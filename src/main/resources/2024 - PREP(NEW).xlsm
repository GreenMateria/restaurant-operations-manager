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ESM8679.V4\Contacts\"/>
    </mc:Choice>
  </mc:AlternateContent>
  <xr:revisionPtr revIDLastSave="0" documentId="8_{E551F4F5-84DF-4F95-857E-0A94C3094041}" xr6:coauthVersionLast="47" xr6:coauthVersionMax="47" xr10:uidLastSave="{00000000-0000-0000-0000-000000000000}"/>
  <bookViews>
    <workbookView xWindow="-120" yWindow="-120" windowWidth="29040" windowHeight="15840" tabRatio="842" firstSheet="4" activeTab="9" xr2:uid="{72D8A952-75CD-4A6A-87AA-5CD30D8CC587}"/>
  </bookViews>
  <sheets>
    <sheet name="FRONT PAGE" sheetId="1" state="hidden" r:id="rId1"/>
    <sheet name="Inventory Worksheet" sheetId="3" state="hidden" r:id="rId2"/>
    <sheet name="INVENTORY INPUT" sheetId="2" state="hidden" r:id="rId3"/>
    <sheet name="Paper Cleaning" sheetId="4" state="hidden" r:id="rId4"/>
    <sheet name="Daily Product Breakdown" sheetId="22" r:id="rId5"/>
    <sheet name="VARIENCES" sheetId="29" state="hidden" r:id="rId6"/>
    <sheet name="Recipes" sheetId="23" r:id="rId7"/>
    <sheet name="Pasta Prep" sheetId="24" r:id="rId8"/>
    <sheet name="PIZZA SALAD" sheetId="25" r:id="rId9"/>
    <sheet name="LINE PREP" sheetId="26" r:id="rId10"/>
    <sheet name="FREEZER PULL" sheetId="36" r:id="rId11"/>
    <sheet name="MD Usage" sheetId="27" r:id="rId12"/>
    <sheet name="Supply Inventory " sheetId="34" state="hidden" r:id="rId13"/>
    <sheet name="ORDER GUIDE" sheetId="31" state="hidden" r:id="rId14"/>
    <sheet name="USAGES" sheetId="30" state="hidden" r:id="rId15"/>
    <sheet name="Drop List" sheetId="10" state="hidden" r:id="rId16"/>
  </sheets>
  <externalReferences>
    <externalReference r:id="rId17"/>
    <externalReference r:id="rId18"/>
    <externalReference r:id="rId19"/>
  </externalReferences>
  <definedNames>
    <definedName name="APPETIZERS">#REF!</definedName>
    <definedName name="BAKED_PASTA">#REF!</definedName>
    <definedName name="BAR_SUPPLIES">'[2]Inventory Worksheet'!#REF!</definedName>
    <definedName name="BEVERAGE">#REF!</definedName>
    <definedName name="BREADS">#REF!</definedName>
    <definedName name="BRUNCH_TOTAL">#REF!</definedName>
    <definedName name="BUILD_YOUR_OWN">#REF!</definedName>
    <definedName name="BURGERS">#REF!</definedName>
    <definedName name="CLEANING">'[2]Inventory Worksheet'!#REF!</definedName>
    <definedName name="CLOSE" localSheetId="12">#REF!</definedName>
    <definedName name="CLOSE">'Inventory Worksheet'!$I$5:$I$344</definedName>
    <definedName name="_xlnm.Database" localSheetId="11">'MD Usage'!$A$1:$G$939</definedName>
    <definedName name="_xlnm.Database">#REF!</definedName>
    <definedName name="DESSERTS">#REF!</definedName>
    <definedName name="dtWkEnding">'[3]Transfer '!$F$6</definedName>
    <definedName name="ENTREE_PASTA">#REF!</definedName>
    <definedName name="EXTRAS">#REF!</definedName>
    <definedName name="GUEST_SUP.">'[2]Inventory Worksheet'!#REF!</definedName>
    <definedName name="HAPPY_HOUR">#REF!</definedName>
    <definedName name="KIDS_MEALS">#REF!</definedName>
    <definedName name="lstDateRange">'[2]Squirrel Volumes'!#REF!</definedName>
    <definedName name="PAPER">'[2]Inventory Worksheet'!#REF!</definedName>
    <definedName name="paperclose" localSheetId="12">'Supply Inventory '!$H$4:$H$106</definedName>
    <definedName name="paperclose">'Paper Cleaning'!$J$4:$J$111</definedName>
    <definedName name="paperpurchase" localSheetId="12">'Supply Inventory '!$E$4:$E$106</definedName>
    <definedName name="paperpurchase">'Paper Cleaning'!$E$4:$E$111</definedName>
    <definedName name="PIZZA">#REF!</definedName>
    <definedName name="_xlnm.Print_Area" localSheetId="10">'FREEZER PULL'!$A$1:$P$77</definedName>
    <definedName name="_xlnm.Print_Area" localSheetId="0">'FRONT PAGE'!$A$2:$B$16</definedName>
    <definedName name="_xlnm.Print_Area" localSheetId="2">'INVENTORY INPUT'!$A$1:$H$322</definedName>
    <definedName name="_xlnm.Print_Area" localSheetId="1">'Inventory Worksheet'!$B$2:$N$367</definedName>
    <definedName name="_xlnm.Print_Area" localSheetId="9">'LINE PREP'!$A$1:$G$364</definedName>
    <definedName name="_xlnm.Print_Area" localSheetId="13">'ORDER GUIDE'!$A$1:$G$242</definedName>
    <definedName name="_xlnm.Print_Area" localSheetId="3">'Paper Cleaning'!$B$1:$R$112</definedName>
    <definedName name="_xlnm.Print_Area" localSheetId="8">'PIZZA SALAD'!$A$1:$G$294</definedName>
    <definedName name="_xlnm.Print_Area" localSheetId="12">'Supply Inventory '!$B$1:$L$107</definedName>
    <definedName name="Product_Variance_Summary">#REF!</definedName>
    <definedName name="PROMOS">#REF!</definedName>
    <definedName name="PURCHASES" localSheetId="1">'Inventory Worksheet'!$E$5:$F$344</definedName>
    <definedName name="SALADS_SOUPS">#REF!</definedName>
    <definedName name="sMDDir">'[3]Transfer '!$F$11</definedName>
    <definedName name="STAFF_MEALS">#REF!</definedName>
    <definedName name="SUGAR">'[2]Inventory Worksheet'!#REF!</definedName>
    <definedName name="THEORETICAL_SUMMARY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54" i="23" l="1"/>
  <c r="F3354" i="23"/>
  <c r="E3354" i="23"/>
  <c r="D3354" i="23"/>
  <c r="G3345" i="23"/>
  <c r="F3345" i="23"/>
  <c r="E3345" i="23"/>
  <c r="D3345" i="23"/>
  <c r="G3336" i="23"/>
  <c r="F3336" i="23"/>
  <c r="E3336" i="23"/>
  <c r="D3336" i="23"/>
  <c r="G3327" i="23"/>
  <c r="F3327" i="23"/>
  <c r="E3327" i="23"/>
  <c r="D3327" i="23"/>
  <c r="G3318" i="23"/>
  <c r="F3318" i="23"/>
  <c r="E3318" i="23"/>
  <c r="D3318" i="23"/>
  <c r="G3309" i="23"/>
  <c r="F3309" i="23"/>
  <c r="E3309" i="23"/>
  <c r="D3309" i="23"/>
  <c r="G3300" i="23"/>
  <c r="F3300" i="23"/>
  <c r="E3300" i="23"/>
  <c r="D3300" i="23"/>
  <c r="G3291" i="23"/>
  <c r="F3291" i="23"/>
  <c r="E3291" i="23"/>
  <c r="D3291" i="23"/>
  <c r="G3282" i="23"/>
  <c r="F3282" i="23"/>
  <c r="E3282" i="23"/>
  <c r="D3282" i="23"/>
  <c r="G3273" i="23"/>
  <c r="F3273" i="23"/>
  <c r="E3273" i="23"/>
  <c r="D3273" i="23"/>
  <c r="G3264" i="23"/>
  <c r="F3264" i="23"/>
  <c r="E3264" i="23"/>
  <c r="D3264" i="23"/>
  <c r="G3255" i="23"/>
  <c r="F3255" i="23"/>
  <c r="E3255" i="23"/>
  <c r="D3255" i="23"/>
  <c r="G3246" i="23"/>
  <c r="F3246" i="23"/>
  <c r="E3246" i="23"/>
  <c r="D3246" i="23"/>
  <c r="G3237" i="23"/>
  <c r="F3237" i="23"/>
  <c r="E3237" i="23"/>
  <c r="D3237" i="23"/>
  <c r="G3228" i="23"/>
  <c r="F3228" i="23"/>
  <c r="E3228" i="23"/>
  <c r="D3228" i="23"/>
  <c r="G3219" i="23"/>
  <c r="F3219" i="23"/>
  <c r="E3219" i="23"/>
  <c r="D3219" i="23"/>
  <c r="G3210" i="23"/>
  <c r="F3210" i="23"/>
  <c r="E3210" i="23"/>
  <c r="D3210" i="23"/>
  <c r="G3201" i="23"/>
  <c r="F3201" i="23"/>
  <c r="E3201" i="23"/>
  <c r="D3201" i="23"/>
  <c r="G3192" i="23"/>
  <c r="F3192" i="23"/>
  <c r="E3192" i="23"/>
  <c r="D3192" i="23"/>
  <c r="G3183" i="23"/>
  <c r="G3184" i="23"/>
  <c r="F3183" i="23"/>
  <c r="F3184" i="23"/>
  <c r="E3183" i="23"/>
  <c r="D3183" i="23"/>
  <c r="G3174" i="23"/>
  <c r="F3174" i="23"/>
  <c r="E3174" i="23"/>
  <c r="E3175" i="23"/>
  <c r="D3174" i="23"/>
  <c r="D3175" i="23"/>
  <c r="G3165" i="23"/>
  <c r="F3165" i="23"/>
  <c r="F3166" i="23"/>
  <c r="E3165" i="23"/>
  <c r="D3165" i="23"/>
  <c r="D3166" i="23"/>
  <c r="G3156" i="23"/>
  <c r="F3156" i="23"/>
  <c r="E3156" i="23"/>
  <c r="D3156" i="23"/>
  <c r="G3147" i="23"/>
  <c r="F3147" i="23"/>
  <c r="F3149" i="23"/>
  <c r="E3147" i="23"/>
  <c r="E3148" i="23"/>
  <c r="D3147" i="23"/>
  <c r="G3138" i="23"/>
  <c r="F3138" i="23"/>
  <c r="E3138" i="23"/>
  <c r="D3138" i="23"/>
  <c r="D3139" i="23"/>
  <c r="G3129" i="23"/>
  <c r="F3129" i="23"/>
  <c r="E3129" i="23"/>
  <c r="D3129" i="23"/>
  <c r="G3120" i="23"/>
  <c r="F3120" i="23"/>
  <c r="E3120" i="23"/>
  <c r="E3123" i="23"/>
  <c r="D3120" i="23"/>
  <c r="G3111" i="23"/>
  <c r="F3111" i="23"/>
  <c r="E3111" i="23"/>
  <c r="D3111" i="23"/>
  <c r="D3113" i="23"/>
  <c r="G3102" i="23"/>
  <c r="F3102" i="23"/>
  <c r="E3102" i="23"/>
  <c r="D3102" i="23"/>
  <c r="G3093" i="23"/>
  <c r="F3093" i="23"/>
  <c r="F3095" i="23"/>
  <c r="E3093" i="23"/>
  <c r="E3094" i="23"/>
  <c r="D3093" i="23"/>
  <c r="G3084" i="23"/>
  <c r="F3084" i="23"/>
  <c r="E3084" i="23"/>
  <c r="D3084" i="23"/>
  <c r="D3085" i="23"/>
  <c r="G3075" i="23"/>
  <c r="G3079" i="23"/>
  <c r="F3075" i="23"/>
  <c r="F3079" i="23"/>
  <c r="E3075" i="23"/>
  <c r="D3075" i="23"/>
  <c r="G3066" i="23"/>
  <c r="F3066" i="23"/>
  <c r="E3066" i="23"/>
  <c r="E3072" i="23"/>
  <c r="D3066" i="23"/>
  <c r="D3067" i="23"/>
  <c r="G3057" i="23"/>
  <c r="F3057" i="23"/>
  <c r="F3059" i="23"/>
  <c r="E3057" i="23"/>
  <c r="D3057" i="23"/>
  <c r="D3059" i="23"/>
  <c r="G3048" i="23"/>
  <c r="G3050" i="23"/>
  <c r="F3048" i="23"/>
  <c r="E3048" i="23"/>
  <c r="D3048" i="23"/>
  <c r="G3039" i="23"/>
  <c r="G3040" i="23"/>
  <c r="F3039" i="23"/>
  <c r="E3039" i="23"/>
  <c r="D3039" i="23"/>
  <c r="G3030" i="23"/>
  <c r="F3030" i="23"/>
  <c r="E3030" i="23"/>
  <c r="D3030" i="23"/>
  <c r="G3021" i="23"/>
  <c r="G3025" i="23"/>
  <c r="F3021" i="23"/>
  <c r="E3021" i="23"/>
  <c r="D3021" i="23"/>
  <c r="G3012" i="23"/>
  <c r="F3012" i="23"/>
  <c r="E3012" i="23"/>
  <c r="E3013" i="23"/>
  <c r="D3012" i="23"/>
  <c r="G3003" i="23"/>
  <c r="F3003" i="23"/>
  <c r="E3003" i="23"/>
  <c r="D3003" i="23"/>
  <c r="D3006" i="23"/>
  <c r="G2993" i="23"/>
  <c r="F2993" i="23"/>
  <c r="E2993" i="23"/>
  <c r="D2993" i="23"/>
  <c r="G2983" i="23"/>
  <c r="F2983" i="23"/>
  <c r="E2983" i="23"/>
  <c r="E2986" i="23"/>
  <c r="D2983" i="23"/>
  <c r="D2987" i="23"/>
  <c r="G2973" i="23"/>
  <c r="F2973" i="23"/>
  <c r="E2973" i="23"/>
  <c r="D2973" i="23"/>
  <c r="D2975" i="23"/>
  <c r="G2963" i="23"/>
  <c r="F2963" i="23"/>
  <c r="E2963" i="23"/>
  <c r="D2963" i="23"/>
  <c r="D2966" i="23"/>
  <c r="G2944" i="23"/>
  <c r="F2944" i="23"/>
  <c r="E2944" i="23"/>
  <c r="E2946" i="23"/>
  <c r="E2949" i="23"/>
  <c r="D2944" i="23"/>
  <c r="G2937" i="23"/>
  <c r="F2937" i="23"/>
  <c r="E2937" i="23"/>
  <c r="E2938" i="23"/>
  <c r="D2937" i="23"/>
  <c r="D2939" i="23"/>
  <c r="G2930" i="23"/>
  <c r="G2931" i="23"/>
  <c r="F2930" i="23"/>
  <c r="E2930" i="23"/>
  <c r="D2930" i="23"/>
  <c r="G2923" i="23"/>
  <c r="F2923" i="23"/>
  <c r="E2923" i="23"/>
  <c r="E2924" i="23"/>
  <c r="D2923" i="23"/>
  <c r="G2916" i="23"/>
  <c r="G2919" i="23"/>
  <c r="F2916" i="23"/>
  <c r="E2916" i="23"/>
  <c r="E2918" i="23"/>
  <c r="D2916" i="23"/>
  <c r="G2910" i="23"/>
  <c r="F2910" i="23"/>
  <c r="E2910" i="23"/>
  <c r="D2910" i="23"/>
  <c r="D2914" i="23"/>
  <c r="G2903" i="23"/>
  <c r="F2903" i="23"/>
  <c r="E2903" i="23"/>
  <c r="D2903" i="23"/>
  <c r="D2905" i="23"/>
  <c r="G2896" i="23"/>
  <c r="F2896" i="23"/>
  <c r="E2896" i="23"/>
  <c r="D2896" i="23"/>
  <c r="D2897" i="23"/>
  <c r="G2890" i="23"/>
  <c r="F2890" i="23"/>
  <c r="E2890" i="23"/>
  <c r="D2890" i="23"/>
  <c r="G2883" i="23"/>
  <c r="F2883" i="23"/>
  <c r="F2884" i="23"/>
  <c r="E2883" i="23"/>
  <c r="E2885" i="23"/>
  <c r="D2883" i="23"/>
  <c r="G2876" i="23"/>
  <c r="F2876" i="23"/>
  <c r="E2876" i="23"/>
  <c r="E2878" i="23"/>
  <c r="D2876" i="23"/>
  <c r="D2878" i="23"/>
  <c r="G2869" i="23"/>
  <c r="F2869" i="23"/>
  <c r="F2870" i="23"/>
  <c r="E2869" i="23"/>
  <c r="D2869" i="23"/>
  <c r="G2862" i="23"/>
  <c r="G2863" i="23"/>
  <c r="F2862" i="23"/>
  <c r="E2862" i="23"/>
  <c r="E2864" i="23"/>
  <c r="D2862" i="23"/>
  <c r="D2864" i="23"/>
  <c r="G2854" i="23"/>
  <c r="G2855" i="23"/>
  <c r="F2854" i="23"/>
  <c r="E2854" i="23"/>
  <c r="E2855" i="23"/>
  <c r="D2854" i="23"/>
  <c r="G2845" i="23"/>
  <c r="G2846" i="23"/>
  <c r="G2848" i="23"/>
  <c r="F2845" i="23"/>
  <c r="E2845" i="23"/>
  <c r="E2847" i="23"/>
  <c r="E2849" i="23"/>
  <c r="D2845" i="23"/>
  <c r="G2836" i="23"/>
  <c r="F2836" i="23"/>
  <c r="E2836" i="23"/>
  <c r="E2837" i="23"/>
  <c r="E2840" i="23"/>
  <c r="D2836" i="23"/>
  <c r="D2837" i="23"/>
  <c r="D2840" i="23"/>
  <c r="G2827" i="23"/>
  <c r="F2827" i="23"/>
  <c r="E2827" i="23"/>
  <c r="E2832" i="23"/>
  <c r="D2827" i="23"/>
  <c r="G2818" i="23"/>
  <c r="F2818" i="23"/>
  <c r="E2818" i="23"/>
  <c r="E2820" i="23"/>
  <c r="D2818" i="23"/>
  <c r="G2810" i="23"/>
  <c r="F2810" i="23"/>
  <c r="E2810" i="23"/>
  <c r="E2811" i="23"/>
  <c r="D2810" i="23"/>
  <c r="D2815" i="23"/>
  <c r="G2803" i="23"/>
  <c r="G2805" i="23"/>
  <c r="F2803" i="23"/>
  <c r="F2807" i="23"/>
  <c r="E2803" i="23"/>
  <c r="D2803" i="23"/>
  <c r="D2805" i="23"/>
  <c r="G2794" i="23"/>
  <c r="F2794" i="23"/>
  <c r="F2795" i="23"/>
  <c r="E2794" i="23"/>
  <c r="E2795" i="23"/>
  <c r="D2794" i="23"/>
  <c r="G2784" i="23"/>
  <c r="F2784" i="23"/>
  <c r="E2784" i="23"/>
  <c r="E2785" i="23"/>
  <c r="D2784" i="23"/>
  <c r="G2775" i="23"/>
  <c r="G2779" i="23"/>
  <c r="F2775" i="23"/>
  <c r="F2776" i="23"/>
  <c r="E2775" i="23"/>
  <c r="D2775" i="23"/>
  <c r="G2766" i="23"/>
  <c r="F2766" i="23"/>
  <c r="F2768" i="23"/>
  <c r="E2766" i="23"/>
  <c r="E2767" i="23"/>
  <c r="D2766" i="23"/>
  <c r="G2757" i="23"/>
  <c r="F2757" i="23"/>
  <c r="F2758" i="23"/>
  <c r="E2757" i="23"/>
  <c r="E2758" i="23"/>
  <c r="D2757" i="23"/>
  <c r="G2749" i="23"/>
  <c r="G2750" i="23"/>
  <c r="F2749" i="23"/>
  <c r="E2749" i="23"/>
  <c r="D2749" i="23"/>
  <c r="G2742" i="23"/>
  <c r="G2743" i="23"/>
  <c r="F2742" i="23"/>
  <c r="F2743" i="23"/>
  <c r="E2742" i="23"/>
  <c r="E2743" i="23"/>
  <c r="D2742" i="23"/>
  <c r="G2735" i="23"/>
  <c r="F2735" i="23"/>
  <c r="E2735" i="23"/>
  <c r="E2736" i="23"/>
  <c r="D2735" i="23"/>
  <c r="G2728" i="23"/>
  <c r="G2729" i="23"/>
  <c r="F2728" i="23"/>
  <c r="E2728" i="23"/>
  <c r="D2728" i="23"/>
  <c r="D2729" i="23"/>
  <c r="G2721" i="23"/>
  <c r="F2721" i="23"/>
  <c r="E2721" i="23"/>
  <c r="D2721" i="23"/>
  <c r="G2714" i="23"/>
  <c r="G2716" i="23"/>
  <c r="F2714" i="23"/>
  <c r="E2714" i="23"/>
  <c r="D2714" i="23"/>
  <c r="D2715" i="23"/>
  <c r="G2707" i="23"/>
  <c r="G2711" i="23"/>
  <c r="F2707" i="23"/>
  <c r="E2707" i="23"/>
  <c r="E2710" i="23"/>
  <c r="D2707" i="23"/>
  <c r="G2700" i="23"/>
  <c r="F2700" i="23"/>
  <c r="E2700" i="23"/>
  <c r="D2700" i="23"/>
  <c r="G2693" i="23"/>
  <c r="G2697" i="23"/>
  <c r="F2693" i="23"/>
  <c r="E2693" i="23"/>
  <c r="D2693" i="23"/>
  <c r="D2694" i="23"/>
  <c r="G2686" i="23"/>
  <c r="F2686" i="23"/>
  <c r="E2686" i="23"/>
  <c r="D2686" i="23"/>
  <c r="G2679" i="23"/>
  <c r="F2679" i="23"/>
  <c r="E2679" i="23"/>
  <c r="D2679" i="23"/>
  <c r="G2672" i="23"/>
  <c r="G2674" i="23"/>
  <c r="F2672" i="23"/>
  <c r="E2672" i="23"/>
  <c r="D2672" i="23"/>
  <c r="D2675" i="23"/>
  <c r="G2665" i="23"/>
  <c r="F2665" i="23"/>
  <c r="E2665" i="23"/>
  <c r="D2665" i="23"/>
  <c r="G2658" i="23"/>
  <c r="F2658" i="23"/>
  <c r="E2658" i="23"/>
  <c r="D2658" i="23"/>
  <c r="G2651" i="23"/>
  <c r="F2651" i="23"/>
  <c r="E2651" i="23"/>
  <c r="E2655" i="23"/>
  <c r="D2651" i="23"/>
  <c r="D2653" i="23"/>
  <c r="G2642" i="23"/>
  <c r="F2642" i="23"/>
  <c r="E2642" i="23"/>
  <c r="E2643" i="23"/>
  <c r="D2642" i="23"/>
  <c r="D2643" i="23"/>
  <c r="G2633" i="23"/>
  <c r="F2633" i="23"/>
  <c r="E2633" i="23"/>
  <c r="D2633" i="23"/>
  <c r="G2624" i="23"/>
  <c r="G2626" i="23"/>
  <c r="F2624" i="23"/>
  <c r="F2625" i="23"/>
  <c r="E2624" i="23"/>
  <c r="D2624" i="23"/>
  <c r="G2615" i="23"/>
  <c r="F2615" i="23"/>
  <c r="F2620" i="23"/>
  <c r="E2615" i="23"/>
  <c r="D2615" i="23"/>
  <c r="G2605" i="23"/>
  <c r="F2605" i="23"/>
  <c r="E2605" i="23"/>
  <c r="D2605" i="23"/>
  <c r="G2596" i="23"/>
  <c r="F2596" i="23"/>
  <c r="F2601" i="23"/>
  <c r="E2596" i="23"/>
  <c r="E2600" i="23"/>
  <c r="D2596" i="23"/>
  <c r="D2597" i="23"/>
  <c r="G2587" i="23"/>
  <c r="F2587" i="23"/>
  <c r="E2587" i="23"/>
  <c r="D2587" i="23"/>
  <c r="G2578" i="23"/>
  <c r="F2578" i="23"/>
  <c r="E2578" i="23"/>
  <c r="D2578" i="23"/>
  <c r="G2569" i="23"/>
  <c r="G2574" i="23"/>
  <c r="F2569" i="23"/>
  <c r="E2569" i="23"/>
  <c r="D2569" i="23"/>
  <c r="D2570" i="23"/>
  <c r="G2564" i="23"/>
  <c r="G2565" i="23"/>
  <c r="F2564" i="23"/>
  <c r="F2565" i="23"/>
  <c r="E2564" i="23"/>
  <c r="D2564" i="23"/>
  <c r="D2566" i="23"/>
  <c r="G2559" i="23"/>
  <c r="G2560" i="23"/>
  <c r="F2559" i="23"/>
  <c r="E2559" i="23"/>
  <c r="D2559" i="23"/>
  <c r="G2554" i="23"/>
  <c r="G2555" i="23"/>
  <c r="F2554" i="23"/>
  <c r="E2554" i="23"/>
  <c r="E2555" i="23"/>
  <c r="D2554" i="23"/>
  <c r="D2556" i="23"/>
  <c r="G2549" i="23"/>
  <c r="F2549" i="23"/>
  <c r="E2549" i="23"/>
  <c r="D2549" i="23"/>
  <c r="D2551" i="23"/>
  <c r="G2544" i="23"/>
  <c r="F2544" i="23"/>
  <c r="E2544" i="23"/>
  <c r="D2544" i="23"/>
  <c r="D2546" i="23"/>
  <c r="G2539" i="23"/>
  <c r="G2540" i="23"/>
  <c r="F2539" i="23"/>
  <c r="E2539" i="23"/>
  <c r="D2539" i="23"/>
  <c r="G2534" i="23"/>
  <c r="F2534" i="23"/>
  <c r="E2534" i="23"/>
  <c r="E2535" i="23"/>
  <c r="D2534" i="23"/>
  <c r="G2529" i="23"/>
  <c r="F2529" i="23"/>
  <c r="E2529" i="23"/>
  <c r="D2529" i="23"/>
  <c r="D2531" i="23"/>
  <c r="G2524" i="23"/>
  <c r="G2525" i="23"/>
  <c r="F2524" i="23"/>
  <c r="F2525" i="23"/>
  <c r="E2524" i="23"/>
  <c r="E2525" i="23"/>
  <c r="D2524" i="23"/>
  <c r="D2526" i="23"/>
  <c r="G2519" i="23"/>
  <c r="G2520" i="23"/>
  <c r="F2519" i="23"/>
  <c r="E2519" i="23"/>
  <c r="D2519" i="23"/>
  <c r="G2514" i="23"/>
  <c r="G2515" i="23"/>
  <c r="F2514" i="23"/>
  <c r="E2514" i="23"/>
  <c r="D2514" i="23"/>
  <c r="D2516" i="23"/>
  <c r="G2509" i="23"/>
  <c r="F2509" i="23"/>
  <c r="E2509" i="23"/>
  <c r="D2509" i="23"/>
  <c r="D2511" i="23"/>
  <c r="G2504" i="23"/>
  <c r="F2504" i="23"/>
  <c r="F2506" i="23"/>
  <c r="E2504" i="23"/>
  <c r="E2505" i="23"/>
  <c r="D2504" i="23"/>
  <c r="G2499" i="23"/>
  <c r="G2500" i="23"/>
  <c r="F2499" i="23"/>
  <c r="E2499" i="23"/>
  <c r="D2499" i="23"/>
  <c r="G2494" i="23"/>
  <c r="G2495" i="23"/>
  <c r="F2494" i="23"/>
  <c r="E2494" i="23"/>
  <c r="E2495" i="23"/>
  <c r="D2494" i="23"/>
  <c r="D2496" i="23"/>
  <c r="G2489" i="23"/>
  <c r="F2489" i="23"/>
  <c r="E2489" i="23"/>
  <c r="D2489" i="23"/>
  <c r="G2484" i="23"/>
  <c r="G2485" i="23"/>
  <c r="F2484" i="23"/>
  <c r="E2484" i="23"/>
  <c r="E2485" i="23"/>
  <c r="D2484" i="23"/>
  <c r="D2486" i="23"/>
  <c r="G2479" i="23"/>
  <c r="F2479" i="23"/>
  <c r="E2479" i="23"/>
  <c r="D2479" i="23"/>
  <c r="D2481" i="23"/>
  <c r="G2474" i="23"/>
  <c r="F2474" i="23"/>
  <c r="E2474" i="23"/>
  <c r="D2474" i="23"/>
  <c r="G2469" i="23"/>
  <c r="F2469" i="23"/>
  <c r="E2469" i="23"/>
  <c r="E2470" i="23"/>
  <c r="D2469" i="23"/>
  <c r="D2470" i="23"/>
  <c r="G2464" i="23"/>
  <c r="F2464" i="23"/>
  <c r="F2465" i="23"/>
  <c r="E2464" i="23"/>
  <c r="E2465" i="23"/>
  <c r="D2464" i="23"/>
  <c r="G2459" i="23"/>
  <c r="G2460" i="23"/>
  <c r="F2459" i="23"/>
  <c r="E2459" i="23"/>
  <c r="D2459" i="23"/>
  <c r="G2454" i="23"/>
  <c r="G2455" i="23"/>
  <c r="F2454" i="23"/>
  <c r="E2454" i="23"/>
  <c r="E2455" i="23"/>
  <c r="D2454" i="23"/>
  <c r="D2456" i="23"/>
  <c r="G2449" i="23"/>
  <c r="G2450" i="23"/>
  <c r="F2449" i="23"/>
  <c r="E2449" i="23"/>
  <c r="E2451" i="23"/>
  <c r="D2449" i="23"/>
  <c r="G2444" i="23"/>
  <c r="F2444" i="23"/>
  <c r="E2444" i="23"/>
  <c r="D2444" i="23"/>
  <c r="D2446" i="23"/>
  <c r="G2439" i="23"/>
  <c r="G2440" i="23"/>
  <c r="F2439" i="23"/>
  <c r="F2441" i="23"/>
  <c r="E2439" i="23"/>
  <c r="D2439" i="23"/>
  <c r="G2434" i="23"/>
  <c r="G2436" i="23"/>
  <c r="F2434" i="23"/>
  <c r="F2435" i="23"/>
  <c r="E2434" i="23"/>
  <c r="E2435" i="23"/>
  <c r="D2434" i="23"/>
  <c r="D2436" i="23"/>
  <c r="G2429" i="23"/>
  <c r="F2429" i="23"/>
  <c r="E2429" i="23"/>
  <c r="D2429" i="23"/>
  <c r="D2431" i="23"/>
  <c r="G2424" i="23"/>
  <c r="G2426" i="23"/>
  <c r="F2424" i="23"/>
  <c r="F2425" i="23"/>
  <c r="E2424" i="23"/>
  <c r="E2425" i="23"/>
  <c r="D2424" i="23"/>
  <c r="D2426" i="23"/>
  <c r="G2419" i="23"/>
  <c r="G2420" i="23"/>
  <c r="F2419" i="23"/>
  <c r="F2421" i="23"/>
  <c r="E2419" i="23"/>
  <c r="E2420" i="23"/>
  <c r="D2419" i="23"/>
  <c r="G2414" i="23"/>
  <c r="F2414" i="23"/>
  <c r="F2416" i="23"/>
  <c r="E2414" i="23"/>
  <c r="D2414" i="23"/>
  <c r="G2409" i="23"/>
  <c r="F2409" i="23"/>
  <c r="F2410" i="23"/>
  <c r="E2409" i="23"/>
  <c r="D2409" i="23"/>
  <c r="D2410" i="23"/>
  <c r="G2404" i="23"/>
  <c r="G2405" i="23"/>
  <c r="F2404" i="23"/>
  <c r="F2405" i="23"/>
  <c r="E2404" i="23"/>
  <c r="E2405" i="23"/>
  <c r="D2404" i="23"/>
  <c r="G2399" i="23"/>
  <c r="G2400" i="23"/>
  <c r="F2399" i="23"/>
  <c r="F2400" i="23"/>
  <c r="E2399" i="23"/>
  <c r="E2401" i="23"/>
  <c r="D2399" i="23"/>
  <c r="D2400" i="23"/>
  <c r="G2394" i="23"/>
  <c r="G2395" i="23"/>
  <c r="F2394" i="23"/>
  <c r="F2395" i="23"/>
  <c r="E2394" i="23"/>
  <c r="E2395" i="23"/>
  <c r="D2394" i="23"/>
  <c r="G2386" i="23"/>
  <c r="G2390" i="23"/>
  <c r="F2386" i="23"/>
  <c r="E2386" i="23"/>
  <c r="E2387" i="23"/>
  <c r="D2386" i="23"/>
  <c r="G2379" i="23"/>
  <c r="F2379" i="23"/>
  <c r="F2380" i="23"/>
  <c r="E2379" i="23"/>
  <c r="E2382" i="23"/>
  <c r="D2379" i="23"/>
  <c r="G2372" i="23"/>
  <c r="F2372" i="23"/>
  <c r="E2372" i="23"/>
  <c r="D2372" i="23"/>
  <c r="D2374" i="23"/>
  <c r="G2365" i="23"/>
  <c r="G2366" i="23"/>
  <c r="F2365" i="23"/>
  <c r="E2365" i="23"/>
  <c r="E2366" i="23"/>
  <c r="D2365" i="23"/>
  <c r="D2367" i="23"/>
  <c r="G2358" i="23"/>
  <c r="G2359" i="23"/>
  <c r="F2358" i="23"/>
  <c r="F2359" i="23"/>
  <c r="E2358" i="23"/>
  <c r="D2358" i="23"/>
  <c r="D2362" i="23"/>
  <c r="G2350" i="23"/>
  <c r="F2350" i="23"/>
  <c r="E2350" i="23"/>
  <c r="E2351" i="23"/>
  <c r="D2350" i="23"/>
  <c r="D2351" i="23"/>
  <c r="G2343" i="23"/>
  <c r="F2343" i="23"/>
  <c r="E2343" i="23"/>
  <c r="E2345" i="23"/>
  <c r="D2343" i="23"/>
  <c r="D2345" i="23"/>
  <c r="G2335" i="23"/>
  <c r="F2335" i="23"/>
  <c r="E2335" i="23"/>
  <c r="E2336" i="23"/>
  <c r="D2335" i="23"/>
  <c r="G2328" i="23"/>
  <c r="G2329" i="23"/>
  <c r="F2328" i="23"/>
  <c r="F2329" i="23"/>
  <c r="E2328" i="23"/>
  <c r="D2328" i="23"/>
  <c r="D2330" i="23"/>
  <c r="G2321" i="23"/>
  <c r="F2321" i="23"/>
  <c r="F2323" i="23"/>
  <c r="E2321" i="23"/>
  <c r="D2321" i="23"/>
  <c r="D2322" i="23"/>
  <c r="G2314" i="23"/>
  <c r="G2315" i="23"/>
  <c r="F2314" i="23"/>
  <c r="E2314" i="23"/>
  <c r="E2316" i="23"/>
  <c r="D2314" i="23"/>
  <c r="D2316" i="23"/>
  <c r="G2307" i="23"/>
  <c r="F2307" i="23"/>
  <c r="E2307" i="23"/>
  <c r="E2308" i="23"/>
  <c r="D2307" i="23"/>
  <c r="G2300" i="23"/>
  <c r="F2300" i="23"/>
  <c r="F2301" i="23"/>
  <c r="E2300" i="23"/>
  <c r="E2302" i="23"/>
  <c r="D2300" i="23"/>
  <c r="G2293" i="23"/>
  <c r="F2293" i="23"/>
  <c r="F2296" i="23"/>
  <c r="E2293" i="23"/>
  <c r="D2293" i="23"/>
  <c r="G2286" i="23"/>
  <c r="F2286" i="23"/>
  <c r="F2287" i="23"/>
  <c r="E2286" i="23"/>
  <c r="E2289" i="23"/>
  <c r="D2286" i="23"/>
  <c r="G2279" i="23"/>
  <c r="F2279" i="23"/>
  <c r="F2280" i="23"/>
  <c r="E2279" i="23"/>
  <c r="E2280" i="23"/>
  <c r="D2279" i="23"/>
  <c r="G2272" i="23"/>
  <c r="G2273" i="23"/>
  <c r="F2272" i="23"/>
  <c r="F2274" i="23"/>
  <c r="E2272" i="23"/>
  <c r="D2272" i="23"/>
  <c r="D2275" i="23"/>
  <c r="G2265" i="23"/>
  <c r="G2266" i="23"/>
  <c r="F2265" i="23"/>
  <c r="F2268" i="23"/>
  <c r="E2265" i="23"/>
  <c r="E2266" i="23"/>
  <c r="D2265" i="23"/>
  <c r="G2258" i="23"/>
  <c r="F2258" i="23"/>
  <c r="E2258" i="23"/>
  <c r="E2261" i="23"/>
  <c r="D2258" i="23"/>
  <c r="D2260" i="23"/>
  <c r="G2251" i="23"/>
  <c r="G2253" i="23"/>
  <c r="F2251" i="23"/>
  <c r="F2252" i="23"/>
  <c r="E2251" i="23"/>
  <c r="D2251" i="23"/>
  <c r="D2253" i="23"/>
  <c r="G2244" i="23"/>
  <c r="F2244" i="23"/>
  <c r="E2244" i="23"/>
  <c r="D2244" i="23"/>
  <c r="G2237" i="23"/>
  <c r="F2237" i="23"/>
  <c r="E2237" i="23"/>
  <c r="E2238" i="23"/>
  <c r="D2237" i="23"/>
  <c r="G2230" i="23"/>
  <c r="F2230" i="23"/>
  <c r="E2230" i="23"/>
  <c r="E2234" i="23"/>
  <c r="D2230" i="23"/>
  <c r="G2223" i="23"/>
  <c r="F2223" i="23"/>
  <c r="F2224" i="23"/>
  <c r="E2223" i="23"/>
  <c r="D2223" i="23"/>
  <c r="G2216" i="23"/>
  <c r="F2216" i="23"/>
  <c r="E2216" i="23"/>
  <c r="E2218" i="23"/>
  <c r="D2216" i="23"/>
  <c r="G2209" i="23"/>
  <c r="G2213" i="23"/>
  <c r="F2209" i="23"/>
  <c r="E2209" i="23"/>
  <c r="D2209" i="23"/>
  <c r="G2202" i="23"/>
  <c r="G2204" i="23"/>
  <c r="F2202" i="23"/>
  <c r="E2202" i="23"/>
  <c r="E2204" i="23"/>
  <c r="D2202" i="23"/>
  <c r="G2195" i="23"/>
  <c r="F2195" i="23"/>
  <c r="E2195" i="23"/>
  <c r="E2199" i="23"/>
  <c r="D2195" i="23"/>
  <c r="G2188" i="23"/>
  <c r="F2188" i="23"/>
  <c r="E2188" i="23"/>
  <c r="D2188" i="23"/>
  <c r="G2181" i="23"/>
  <c r="F2181" i="23"/>
  <c r="F2182" i="23"/>
  <c r="E2181" i="23"/>
  <c r="E2182" i="23"/>
  <c r="D2181" i="23"/>
  <c r="G2171" i="23"/>
  <c r="F2171" i="23"/>
  <c r="F2172" i="23"/>
  <c r="E2171" i="23"/>
  <c r="E2172" i="23"/>
  <c r="D2171" i="23"/>
  <c r="G2161" i="23"/>
  <c r="F2161" i="23"/>
  <c r="E2161" i="23"/>
  <c r="D2161" i="23"/>
  <c r="G2151" i="23"/>
  <c r="G2152" i="23"/>
  <c r="F2151" i="23"/>
  <c r="F2152" i="23"/>
  <c r="E2151" i="23"/>
  <c r="D2151" i="23"/>
  <c r="G2141" i="23"/>
  <c r="F2141" i="23"/>
  <c r="E2141" i="23"/>
  <c r="E2145" i="23"/>
  <c r="D2141" i="23"/>
  <c r="G2131" i="23"/>
  <c r="F2131" i="23"/>
  <c r="F2137" i="23"/>
  <c r="E2131" i="23"/>
  <c r="D2131" i="23"/>
  <c r="G2124" i="23"/>
  <c r="G2125" i="23"/>
  <c r="F2124" i="23"/>
  <c r="F2127" i="23"/>
  <c r="E2124" i="23"/>
  <c r="E2125" i="23"/>
  <c r="D2124" i="23"/>
  <c r="G2115" i="23"/>
  <c r="F2115" i="23"/>
  <c r="F2121" i="23"/>
  <c r="E2115" i="23"/>
  <c r="E2116" i="23"/>
  <c r="D2115" i="23"/>
  <c r="G2108" i="23"/>
  <c r="G2110" i="23"/>
  <c r="F2108" i="23"/>
  <c r="E2108" i="23"/>
  <c r="E2110" i="23"/>
  <c r="D2108" i="23"/>
  <c r="G2100" i="23"/>
  <c r="G2101" i="23"/>
  <c r="F2100" i="23"/>
  <c r="E2100" i="23"/>
  <c r="D2100" i="23"/>
  <c r="D2101" i="23"/>
  <c r="G2093" i="23"/>
  <c r="F2093" i="23"/>
  <c r="F2097" i="23"/>
  <c r="E2093" i="23"/>
  <c r="E2094" i="23"/>
  <c r="D2093" i="23"/>
  <c r="G2085" i="23"/>
  <c r="G2088" i="23"/>
  <c r="F2085" i="23"/>
  <c r="F2086" i="23"/>
  <c r="E2085" i="23"/>
  <c r="D2085" i="23"/>
  <c r="D2086" i="23"/>
  <c r="G2078" i="23"/>
  <c r="F2078" i="23"/>
  <c r="E2078" i="23"/>
  <c r="D2078" i="23"/>
  <c r="G2071" i="23"/>
  <c r="F2071" i="23"/>
  <c r="E2071" i="23"/>
  <c r="D2071" i="23"/>
  <c r="D2072" i="23"/>
  <c r="G2064" i="23"/>
  <c r="F2064" i="23"/>
  <c r="F2068" i="23"/>
  <c r="E2064" i="23"/>
  <c r="D2064" i="23"/>
  <c r="D2066" i="23"/>
  <c r="G2056" i="23"/>
  <c r="F2056" i="23"/>
  <c r="E2056" i="23"/>
  <c r="E2057" i="23"/>
  <c r="E2061" i="23"/>
  <c r="D2056" i="23"/>
  <c r="G2047" i="23"/>
  <c r="G2053" i="23"/>
  <c r="F2047" i="23"/>
  <c r="E2047" i="23"/>
  <c r="D2047" i="23"/>
  <c r="G2039" i="23"/>
  <c r="G2043" i="23"/>
  <c r="F2039" i="23"/>
  <c r="F2044" i="23"/>
  <c r="E2039" i="23"/>
  <c r="D2039" i="23"/>
  <c r="G2030" i="23"/>
  <c r="G2032" i="23"/>
  <c r="F2030" i="23"/>
  <c r="E2030" i="23"/>
  <c r="D2030" i="23"/>
  <c r="G2023" i="23"/>
  <c r="F2023" i="23"/>
  <c r="F2026" i="23"/>
  <c r="E2023" i="23"/>
  <c r="D2023" i="23"/>
  <c r="G2016" i="23"/>
  <c r="F2016" i="23"/>
  <c r="F2020" i="23"/>
  <c r="E2016" i="23"/>
  <c r="E2019" i="23"/>
  <c r="D2016" i="23"/>
  <c r="D2018" i="23"/>
  <c r="G2009" i="23"/>
  <c r="G2010" i="23"/>
  <c r="F2009" i="23"/>
  <c r="F2011" i="23"/>
  <c r="E2009" i="23"/>
  <c r="E2013" i="23"/>
  <c r="D2009" i="23"/>
  <c r="G2002" i="23"/>
  <c r="G2004" i="23"/>
  <c r="F2002" i="23"/>
  <c r="F2006" i="23"/>
  <c r="E2002" i="23"/>
  <c r="E2003" i="23"/>
  <c r="D2002" i="23"/>
  <c r="G1994" i="23"/>
  <c r="F1994" i="23"/>
  <c r="F1998" i="23"/>
  <c r="E1994" i="23"/>
  <c r="E1995" i="23"/>
  <c r="D1994" i="23"/>
  <c r="G1987" i="23"/>
  <c r="F1987" i="23"/>
  <c r="E1987" i="23"/>
  <c r="D1987" i="23"/>
  <c r="D1988" i="23"/>
  <c r="G1980" i="23"/>
  <c r="G1981" i="23"/>
  <c r="F1980" i="23"/>
  <c r="F1981" i="23"/>
  <c r="E1980" i="23"/>
  <c r="D1980" i="23"/>
  <c r="D1984" i="23"/>
  <c r="G1973" i="23"/>
  <c r="F1973" i="23"/>
  <c r="F1976" i="23"/>
  <c r="E1973" i="23"/>
  <c r="D1973" i="23"/>
  <c r="G1966" i="23"/>
  <c r="G1967" i="23"/>
  <c r="F1966" i="23"/>
  <c r="F1970" i="23"/>
  <c r="E1966" i="23"/>
  <c r="D1966" i="23"/>
  <c r="D1968" i="23"/>
  <c r="G1958" i="23"/>
  <c r="F1958" i="23"/>
  <c r="E1958" i="23"/>
  <c r="E1962" i="23"/>
  <c r="D1958" i="23"/>
  <c r="G1951" i="23"/>
  <c r="G1952" i="23"/>
  <c r="F1951" i="23"/>
  <c r="F1954" i="23"/>
  <c r="E1951" i="23"/>
  <c r="E1952" i="23"/>
  <c r="D1951" i="23"/>
  <c r="D1953" i="23"/>
  <c r="G1944" i="23"/>
  <c r="F1944" i="23"/>
  <c r="E1944" i="23"/>
  <c r="D1944" i="23"/>
  <c r="D1946" i="23"/>
  <c r="G1937" i="23"/>
  <c r="G1940" i="23"/>
  <c r="F1937" i="23"/>
  <c r="E1937" i="23"/>
  <c r="E1941" i="23"/>
  <c r="D1937" i="23"/>
  <c r="G1930" i="23"/>
  <c r="G1932" i="23"/>
  <c r="F1930" i="23"/>
  <c r="E1930" i="23"/>
  <c r="D1930" i="23"/>
  <c r="D1932" i="23"/>
  <c r="G1923" i="23"/>
  <c r="F1923" i="23"/>
  <c r="F1924" i="23"/>
  <c r="E1923" i="23"/>
  <c r="E1926" i="23"/>
  <c r="D1923" i="23"/>
  <c r="G1916" i="23"/>
  <c r="F1916" i="23"/>
  <c r="E1916" i="23"/>
  <c r="E1920" i="23"/>
  <c r="D1916" i="23"/>
  <c r="D1918" i="23"/>
  <c r="G1909" i="23"/>
  <c r="G1910" i="23"/>
  <c r="F1909" i="23"/>
  <c r="E1909" i="23"/>
  <c r="E1913" i="23"/>
  <c r="D1909" i="23"/>
  <c r="G1902" i="23"/>
  <c r="F1902" i="23"/>
  <c r="F1903" i="23"/>
  <c r="E1902" i="23"/>
  <c r="E1906" i="23"/>
  <c r="D1902" i="23"/>
  <c r="D1904" i="23"/>
  <c r="G1895" i="23"/>
  <c r="F1895" i="23"/>
  <c r="F1898" i="23"/>
  <c r="E1895" i="23"/>
  <c r="E1898" i="23"/>
  <c r="D1895" i="23"/>
  <c r="D1896" i="23"/>
  <c r="G1887" i="23"/>
  <c r="F1887" i="23"/>
  <c r="E1887" i="23"/>
  <c r="D1887" i="23"/>
  <c r="G1880" i="23"/>
  <c r="F1880" i="23"/>
  <c r="F1882" i="23"/>
  <c r="E1880" i="23"/>
  <c r="D1880" i="23"/>
  <c r="G1873" i="23"/>
  <c r="F1873" i="23"/>
  <c r="F1874" i="23"/>
  <c r="E1873" i="23"/>
  <c r="E1875" i="23"/>
  <c r="D1873" i="23"/>
  <c r="D1877" i="23"/>
  <c r="G1865" i="23"/>
  <c r="F1865" i="23"/>
  <c r="E1865" i="23"/>
  <c r="D1865" i="23"/>
  <c r="G1858" i="23"/>
  <c r="F1858" i="23"/>
  <c r="E1858" i="23"/>
  <c r="D1858" i="23"/>
  <c r="D1861" i="23"/>
  <c r="G1851" i="23"/>
  <c r="G1852" i="23"/>
  <c r="F1851" i="23"/>
  <c r="F1852" i="23"/>
  <c r="E1851" i="23"/>
  <c r="E1853" i="23"/>
  <c r="D1851" i="23"/>
  <c r="G1844" i="23"/>
  <c r="G1845" i="23"/>
  <c r="F1844" i="23"/>
  <c r="F1845" i="23"/>
  <c r="E1844" i="23"/>
  <c r="E1846" i="23"/>
  <c r="D1844" i="23"/>
  <c r="G1837" i="23"/>
  <c r="G1838" i="23"/>
  <c r="F1837" i="23"/>
  <c r="F1841" i="23"/>
  <c r="E1837" i="23"/>
  <c r="D1837" i="23"/>
  <c r="D1841" i="23"/>
  <c r="G1830" i="23"/>
  <c r="G1831" i="23"/>
  <c r="F1830" i="23"/>
  <c r="F1831" i="23"/>
  <c r="E1830" i="23"/>
  <c r="E1832" i="23"/>
  <c r="D1830" i="23"/>
  <c r="D1831" i="23"/>
  <c r="G1820" i="23"/>
  <c r="G1824" i="23"/>
  <c r="F1820" i="23"/>
  <c r="E1820" i="23"/>
  <c r="E1821" i="23"/>
  <c r="D1820" i="23"/>
  <c r="D1825" i="23"/>
  <c r="G1812" i="23"/>
  <c r="F1812" i="23"/>
  <c r="E1812" i="23"/>
  <c r="E1813" i="23"/>
  <c r="D1812" i="23"/>
  <c r="D1814" i="23"/>
  <c r="G1805" i="23"/>
  <c r="G1806" i="23"/>
  <c r="F1805" i="23"/>
  <c r="E1805" i="23"/>
  <c r="E1806" i="23"/>
  <c r="D1805" i="23"/>
  <c r="G1796" i="23"/>
  <c r="F1796" i="23"/>
  <c r="F1797" i="23"/>
  <c r="E1796" i="23"/>
  <c r="E1798" i="23"/>
  <c r="D1796" i="23"/>
  <c r="D1798" i="23"/>
  <c r="G1787" i="23"/>
  <c r="F1787" i="23"/>
  <c r="F1788" i="23"/>
  <c r="E1787" i="23"/>
  <c r="E1788" i="23"/>
  <c r="D1787" i="23"/>
  <c r="D1791" i="23"/>
  <c r="G1779" i="23"/>
  <c r="G1782" i="23"/>
  <c r="F1779" i="23"/>
  <c r="F1780" i="23"/>
  <c r="E1779" i="23"/>
  <c r="D1779" i="23"/>
  <c r="D1781" i="23"/>
  <c r="G1770" i="23"/>
  <c r="G1774" i="23"/>
  <c r="F1770" i="23"/>
  <c r="F1771" i="23"/>
  <c r="F1772" i="23"/>
  <c r="E1770" i="23"/>
  <c r="D1770" i="23"/>
  <c r="G1763" i="23"/>
  <c r="F1763" i="23"/>
  <c r="E1763" i="23"/>
  <c r="D1763" i="23"/>
  <c r="G1755" i="23"/>
  <c r="G1758" i="23"/>
  <c r="F1755" i="23"/>
  <c r="F1756" i="23"/>
  <c r="E1755" i="23"/>
  <c r="E1757" i="23"/>
  <c r="D1755" i="23"/>
  <c r="G1746" i="23"/>
  <c r="G1750" i="23"/>
  <c r="F1746" i="23"/>
  <c r="F1747" i="23"/>
  <c r="E1746" i="23"/>
  <c r="D1746" i="23"/>
  <c r="G1739" i="23"/>
  <c r="F1739" i="23"/>
  <c r="F1741" i="23"/>
  <c r="E1739" i="23"/>
  <c r="E1741" i="23"/>
  <c r="D1739" i="23"/>
  <c r="D1743" i="23"/>
  <c r="G1730" i="23"/>
  <c r="F1730" i="23"/>
  <c r="E1730" i="23"/>
  <c r="E1731" i="23"/>
  <c r="D1730" i="23"/>
  <c r="D1731" i="23"/>
  <c r="G1723" i="23"/>
  <c r="G1724" i="23"/>
  <c r="F1723" i="23"/>
  <c r="F1727" i="23"/>
  <c r="E1723" i="23"/>
  <c r="E1724" i="23"/>
  <c r="D1723" i="23"/>
  <c r="G1716" i="23"/>
  <c r="F1716" i="23"/>
  <c r="F1717" i="23"/>
  <c r="E1716" i="23"/>
  <c r="D1716" i="23"/>
  <c r="D1718" i="23"/>
  <c r="G1709" i="23"/>
  <c r="G1710" i="23"/>
  <c r="F1709" i="23"/>
  <c r="F1711" i="23"/>
  <c r="E1709" i="23"/>
  <c r="E1713" i="23"/>
  <c r="D1709" i="23"/>
  <c r="G1702" i="23"/>
  <c r="G1706" i="23"/>
  <c r="F1702" i="23"/>
  <c r="F1706" i="23"/>
  <c r="E1702" i="23"/>
  <c r="D1702" i="23"/>
  <c r="D1706" i="23"/>
  <c r="G1694" i="23"/>
  <c r="G1696" i="23"/>
  <c r="F1694" i="23"/>
  <c r="F1698" i="23"/>
  <c r="E1694" i="23"/>
  <c r="E1699" i="23"/>
  <c r="D1694" i="23"/>
  <c r="G1686" i="23"/>
  <c r="G1690" i="23"/>
  <c r="F1686" i="23"/>
  <c r="E1686" i="23"/>
  <c r="E1687" i="23"/>
  <c r="D1686" i="23"/>
  <c r="G1679" i="23"/>
  <c r="F1679" i="23"/>
  <c r="F1683" i="23"/>
  <c r="E1679" i="23"/>
  <c r="E1681" i="23"/>
  <c r="D1679" i="23"/>
  <c r="D1681" i="23"/>
  <c r="G1670" i="23"/>
  <c r="G1674" i="23"/>
  <c r="F1670" i="23"/>
  <c r="E1670" i="23"/>
  <c r="E1671" i="23"/>
  <c r="D1670" i="23"/>
  <c r="D1671" i="23"/>
  <c r="G1662" i="23"/>
  <c r="G1666" i="23"/>
  <c r="F1662" i="23"/>
  <c r="E1662" i="23"/>
  <c r="E1666" i="23"/>
  <c r="D1662" i="23"/>
  <c r="D1663" i="23"/>
  <c r="G1655" i="23"/>
  <c r="G1658" i="23"/>
  <c r="F1655" i="23"/>
  <c r="F1657" i="23"/>
  <c r="E1655" i="23"/>
  <c r="D1655" i="23"/>
  <c r="G1648" i="23"/>
  <c r="F1648" i="23"/>
  <c r="E1648" i="23"/>
  <c r="D1648" i="23"/>
  <c r="D1649" i="23"/>
  <c r="G1640" i="23"/>
  <c r="F1640" i="23"/>
  <c r="E1640" i="23"/>
  <c r="D1640" i="23"/>
  <c r="G1632" i="23"/>
  <c r="F1632" i="23"/>
  <c r="E1632" i="23"/>
  <c r="D1632" i="23"/>
  <c r="G1624" i="23"/>
  <c r="F1624" i="23"/>
  <c r="E1624" i="23"/>
  <c r="E1627" i="23"/>
  <c r="D1624" i="23"/>
  <c r="G1617" i="23"/>
  <c r="F1617" i="23"/>
  <c r="E1617" i="23"/>
  <c r="E1618" i="23"/>
  <c r="D1617" i="23"/>
  <c r="D1619" i="23"/>
  <c r="G1610" i="23"/>
  <c r="F1610" i="23"/>
  <c r="E1610" i="23"/>
  <c r="D1610" i="23"/>
  <c r="G1603" i="23"/>
  <c r="F1603" i="23"/>
  <c r="F1606" i="23"/>
  <c r="E1603" i="23"/>
  <c r="D1603" i="23"/>
  <c r="D1605" i="23"/>
  <c r="G1596" i="23"/>
  <c r="F1596" i="23"/>
  <c r="E1596" i="23"/>
  <c r="D1596" i="23"/>
  <c r="D1597" i="23"/>
  <c r="G1589" i="23"/>
  <c r="F1589" i="23"/>
  <c r="E1589" i="23"/>
  <c r="D1589" i="23"/>
  <c r="G1580" i="23"/>
  <c r="F1580" i="23"/>
  <c r="F1582" i="23"/>
  <c r="E1580" i="23"/>
  <c r="D1580" i="23"/>
  <c r="G1571" i="23"/>
  <c r="F1571" i="23"/>
  <c r="E1571" i="23"/>
  <c r="E1574" i="23"/>
  <c r="D1571" i="23"/>
  <c r="G1564" i="23"/>
  <c r="G1565" i="23"/>
  <c r="F1564" i="23"/>
  <c r="F1565" i="23"/>
  <c r="E1564" i="23"/>
  <c r="D1564" i="23"/>
  <c r="D1565" i="23"/>
  <c r="G1557" i="23"/>
  <c r="G1559" i="23"/>
  <c r="F1557" i="23"/>
  <c r="F1558" i="23"/>
  <c r="E1557" i="23"/>
  <c r="D1557" i="23"/>
  <c r="G1550" i="23"/>
  <c r="F1550" i="23"/>
  <c r="F1554" i="23"/>
  <c r="E1550" i="23"/>
  <c r="E1551" i="23"/>
  <c r="D1550" i="23"/>
  <c r="D1554" i="23"/>
  <c r="G1543" i="23"/>
  <c r="G1547" i="23"/>
  <c r="F1543" i="23"/>
  <c r="E1543" i="23"/>
  <c r="D1543" i="23"/>
  <c r="G1536" i="23"/>
  <c r="F1536" i="23"/>
  <c r="E1536" i="23"/>
  <c r="E1540" i="23"/>
  <c r="D1536" i="23"/>
  <c r="D1539" i="23"/>
  <c r="G1528" i="23"/>
  <c r="G1529" i="23"/>
  <c r="F1528" i="23"/>
  <c r="E1528" i="23"/>
  <c r="E1532" i="23"/>
  <c r="D1528" i="23"/>
  <c r="D1530" i="23"/>
  <c r="G1519" i="23"/>
  <c r="F1519" i="23"/>
  <c r="F1520" i="23"/>
  <c r="F1524" i="23"/>
  <c r="E1519" i="23"/>
  <c r="D1519" i="23"/>
  <c r="D1523" i="23"/>
  <c r="G1512" i="23"/>
  <c r="G1513" i="23"/>
  <c r="F1512" i="23"/>
  <c r="F1514" i="23"/>
  <c r="E1512" i="23"/>
  <c r="E1516" i="23"/>
  <c r="D1512" i="23"/>
  <c r="D1515" i="23"/>
  <c r="G1505" i="23"/>
  <c r="G1506" i="23"/>
  <c r="F1505" i="23"/>
  <c r="F1506" i="23"/>
  <c r="E1505" i="23"/>
  <c r="E1506" i="23"/>
  <c r="D1505" i="23"/>
  <c r="G1498" i="23"/>
  <c r="F1498" i="23"/>
  <c r="E1498" i="23"/>
  <c r="E1499" i="23"/>
  <c r="D1498" i="23"/>
  <c r="G1491" i="23"/>
  <c r="F1491" i="23"/>
  <c r="F1495" i="23"/>
  <c r="E1491" i="23"/>
  <c r="D1491" i="23"/>
  <c r="D1493" i="23"/>
  <c r="G1484" i="23"/>
  <c r="F1484" i="23"/>
  <c r="F1488" i="23"/>
  <c r="E1484" i="23"/>
  <c r="E1485" i="23"/>
  <c r="D1484" i="23"/>
  <c r="G1477" i="23"/>
  <c r="F1477" i="23"/>
  <c r="E1477" i="23"/>
  <c r="E1478" i="23"/>
  <c r="D1477" i="23"/>
  <c r="G1470" i="23"/>
  <c r="F1470" i="23"/>
  <c r="E1470" i="23"/>
  <c r="D1470" i="23"/>
  <c r="D1472" i="23"/>
  <c r="G1463" i="23"/>
  <c r="G1464" i="23"/>
  <c r="F1463" i="23"/>
  <c r="E1463" i="23"/>
  <c r="E1464" i="23"/>
  <c r="D1463" i="23"/>
  <c r="D1465" i="23"/>
  <c r="G1456" i="23"/>
  <c r="G1458" i="23"/>
  <c r="F1456" i="23"/>
  <c r="E1456" i="23"/>
  <c r="E1457" i="23"/>
  <c r="D1456" i="23"/>
  <c r="G1449" i="23"/>
  <c r="G1450" i="23"/>
  <c r="F1449" i="23"/>
  <c r="F1450" i="23"/>
  <c r="E1449" i="23"/>
  <c r="E1451" i="23"/>
  <c r="D1449" i="23"/>
  <c r="D1452" i="23"/>
  <c r="G1442" i="23"/>
  <c r="F1442" i="23"/>
  <c r="E1442" i="23"/>
  <c r="D1442" i="23"/>
  <c r="D1444" i="23"/>
  <c r="G1435" i="23"/>
  <c r="F1435" i="23"/>
  <c r="F1439" i="23"/>
  <c r="E1435" i="23"/>
  <c r="D1435" i="23"/>
  <c r="D1437" i="23"/>
  <c r="G1428" i="23"/>
  <c r="F1428" i="23"/>
  <c r="E1428" i="23"/>
  <c r="D1428" i="23"/>
  <c r="G1421" i="23"/>
  <c r="G1425" i="23"/>
  <c r="F1421" i="23"/>
  <c r="F1424" i="23"/>
  <c r="E1421" i="23"/>
  <c r="E1422" i="23"/>
  <c r="D1421" i="23"/>
  <c r="G1414" i="23"/>
  <c r="F1414" i="23"/>
  <c r="E1414" i="23"/>
  <c r="E1415" i="23"/>
  <c r="D1414" i="23"/>
  <c r="G1407" i="23"/>
  <c r="F1407" i="23"/>
  <c r="F1411" i="23"/>
  <c r="E1407" i="23"/>
  <c r="E1411" i="23"/>
  <c r="D1407" i="23"/>
  <c r="G1400" i="23"/>
  <c r="G1402" i="23"/>
  <c r="F1400" i="23"/>
  <c r="E1400" i="23"/>
  <c r="D1400" i="23"/>
  <c r="D1402" i="23"/>
  <c r="G1393" i="23"/>
  <c r="G1397" i="23"/>
  <c r="F1393" i="23"/>
  <c r="E1393" i="23"/>
  <c r="D1393" i="23"/>
  <c r="G1386" i="23"/>
  <c r="G1390" i="23"/>
  <c r="F1386" i="23"/>
  <c r="E1386" i="23"/>
  <c r="E1390" i="23"/>
  <c r="D1386" i="23"/>
  <c r="D1390" i="23"/>
  <c r="G1379" i="23"/>
  <c r="F1379" i="23"/>
  <c r="F1383" i="23"/>
  <c r="E1379" i="23"/>
  <c r="E1383" i="23"/>
  <c r="D1379" i="23"/>
  <c r="G1372" i="23"/>
  <c r="F1372" i="23"/>
  <c r="F1375" i="23"/>
  <c r="E1372" i="23"/>
  <c r="D1372" i="23"/>
  <c r="D1376" i="23"/>
  <c r="G1365" i="23"/>
  <c r="G1369" i="23"/>
  <c r="F1365" i="23"/>
  <c r="F1366" i="23"/>
  <c r="E1365" i="23"/>
  <c r="E1366" i="23"/>
  <c r="D1365" i="23"/>
  <c r="G1356" i="23"/>
  <c r="G1360" i="23"/>
  <c r="F1356" i="23"/>
  <c r="F1359" i="23"/>
  <c r="E1356" i="23"/>
  <c r="E1357" i="23"/>
  <c r="D1356" i="23"/>
  <c r="G1349" i="23"/>
  <c r="F1349" i="23"/>
  <c r="F1353" i="23"/>
  <c r="E1349" i="23"/>
  <c r="D1349" i="23"/>
  <c r="G1341" i="23"/>
  <c r="F1341" i="23"/>
  <c r="E1341" i="23"/>
  <c r="D1341" i="23"/>
  <c r="G1334" i="23"/>
  <c r="G1336" i="23"/>
  <c r="F1334" i="23"/>
  <c r="E1334" i="23"/>
  <c r="D1334" i="23"/>
  <c r="G1326" i="23"/>
  <c r="G1330" i="23"/>
  <c r="F1326" i="23"/>
  <c r="E1326" i="23"/>
  <c r="E1327" i="23"/>
  <c r="D1326" i="23"/>
  <c r="G1319" i="23"/>
  <c r="F1319" i="23"/>
  <c r="E1319" i="23"/>
  <c r="E1321" i="23"/>
  <c r="D1319" i="23"/>
  <c r="D1320" i="23"/>
  <c r="G1311" i="23"/>
  <c r="G1314" i="23"/>
  <c r="F1311" i="23"/>
  <c r="E1311" i="23"/>
  <c r="E1315" i="23"/>
  <c r="D1311" i="23"/>
  <c r="G1304" i="23"/>
  <c r="G1307" i="23"/>
  <c r="F1304" i="23"/>
  <c r="E1304" i="23"/>
  <c r="D1304" i="23"/>
  <c r="D1306" i="23"/>
  <c r="G1296" i="23"/>
  <c r="F1296" i="23"/>
  <c r="F1299" i="23"/>
  <c r="E1296" i="23"/>
  <c r="D1296" i="23"/>
  <c r="G1289" i="23"/>
  <c r="F1289" i="23"/>
  <c r="E1289" i="23"/>
  <c r="E1290" i="23"/>
  <c r="D1289" i="23"/>
  <c r="G1281" i="23"/>
  <c r="F1281" i="23"/>
  <c r="E1281" i="23"/>
  <c r="D1281" i="23"/>
  <c r="D1282" i="23"/>
  <c r="G1274" i="23"/>
  <c r="F1274" i="23"/>
  <c r="E1274" i="23"/>
  <c r="D1274" i="23"/>
  <c r="G1266" i="23"/>
  <c r="G1268" i="23"/>
  <c r="F1266" i="23"/>
  <c r="E1266" i="23"/>
  <c r="E1268" i="23"/>
  <c r="D1266" i="23"/>
  <c r="D1269" i="23"/>
  <c r="G1259" i="23"/>
  <c r="G1262" i="23"/>
  <c r="F1259" i="23"/>
  <c r="F1263" i="23"/>
  <c r="E1259" i="23"/>
  <c r="D1259" i="23"/>
  <c r="G1251" i="23"/>
  <c r="F1251" i="23"/>
  <c r="E1251" i="23"/>
  <c r="D1251" i="23"/>
  <c r="G1244" i="23"/>
  <c r="F1244" i="23"/>
  <c r="E1244" i="23"/>
  <c r="E1245" i="23"/>
  <c r="D1244" i="23"/>
  <c r="G1236" i="23"/>
  <c r="F1236" i="23"/>
  <c r="F1240" i="23"/>
  <c r="E1236" i="23"/>
  <c r="E1240" i="23"/>
  <c r="D1236" i="23"/>
  <c r="G1229" i="23"/>
  <c r="F1229" i="23"/>
  <c r="F1230" i="23"/>
  <c r="E1229" i="23"/>
  <c r="D1229" i="23"/>
  <c r="G1221" i="23"/>
  <c r="G1225" i="23"/>
  <c r="F1221" i="23"/>
  <c r="F1225" i="23"/>
  <c r="E1221" i="23"/>
  <c r="D1221" i="23"/>
  <c r="G1214" i="23"/>
  <c r="G1216" i="23"/>
  <c r="F1214" i="23"/>
  <c r="E1214" i="23"/>
  <c r="D1214" i="23"/>
  <c r="G1206" i="23"/>
  <c r="F1206" i="23"/>
  <c r="F1210" i="23"/>
  <c r="E1206" i="23"/>
  <c r="E1208" i="23"/>
  <c r="D1206" i="23"/>
  <c r="G1199" i="23"/>
  <c r="F1199" i="23"/>
  <c r="E1199" i="23"/>
  <c r="D1199" i="23"/>
  <c r="G1192" i="23"/>
  <c r="F1192" i="23"/>
  <c r="E1192" i="23"/>
  <c r="E1193" i="23"/>
  <c r="D1192" i="23"/>
  <c r="G1185" i="23"/>
  <c r="F1185" i="23"/>
  <c r="F1187" i="23"/>
  <c r="E1185" i="23"/>
  <c r="D1185" i="23"/>
  <c r="G1178" i="23"/>
  <c r="G1180" i="23"/>
  <c r="F1178" i="23"/>
  <c r="E1178" i="23"/>
  <c r="E1180" i="23"/>
  <c r="D1178" i="23"/>
  <c r="G1171" i="23"/>
  <c r="F1171" i="23"/>
  <c r="F1173" i="23"/>
  <c r="E1171" i="23"/>
  <c r="E1175" i="23"/>
  <c r="D1171" i="23"/>
  <c r="G1164" i="23"/>
  <c r="F1164" i="23"/>
  <c r="E1164" i="23"/>
  <c r="D1164" i="23"/>
  <c r="D1166" i="23"/>
  <c r="G1157" i="23"/>
  <c r="F1157" i="23"/>
  <c r="F1158" i="23"/>
  <c r="E1157" i="23"/>
  <c r="D1157" i="23"/>
  <c r="D1160" i="23"/>
  <c r="G1150" i="23"/>
  <c r="F1150" i="23"/>
  <c r="F1154" i="23"/>
  <c r="E1150" i="23"/>
  <c r="E1154" i="23"/>
  <c r="D1150" i="23"/>
  <c r="D1154" i="23"/>
  <c r="G1143" i="23"/>
  <c r="G1145" i="23"/>
  <c r="F1143" i="23"/>
  <c r="E1143" i="23"/>
  <c r="D1143" i="23"/>
  <c r="D1145" i="23"/>
  <c r="G1136" i="23"/>
  <c r="F1136" i="23"/>
  <c r="E1136" i="23"/>
  <c r="E1140" i="23"/>
  <c r="D1136" i="23"/>
  <c r="G1129" i="23"/>
  <c r="G1133" i="23"/>
  <c r="F1129" i="23"/>
  <c r="F1130" i="23"/>
  <c r="E1129" i="23"/>
  <c r="E1133" i="23"/>
  <c r="D1129" i="23"/>
  <c r="D1133" i="23"/>
  <c r="G1120" i="23"/>
  <c r="F1120" i="23"/>
  <c r="F1125" i="23"/>
  <c r="E1120" i="23"/>
  <c r="E1122" i="23"/>
  <c r="D1120" i="23"/>
  <c r="G1111" i="23"/>
  <c r="G1116" i="23"/>
  <c r="F1111" i="23"/>
  <c r="E1111" i="23"/>
  <c r="E1115" i="23"/>
  <c r="D1111" i="23"/>
  <c r="D1117" i="23"/>
  <c r="G1102" i="23"/>
  <c r="G1103" i="23"/>
  <c r="E179" i="22"/>
  <c r="F1102" i="23"/>
  <c r="E1102" i="23"/>
  <c r="D1102" i="23"/>
  <c r="G1093" i="23"/>
  <c r="G1097" i="23"/>
  <c r="F1093" i="23"/>
  <c r="F1097" i="23"/>
  <c r="E1093" i="23"/>
  <c r="D1093" i="23"/>
  <c r="D1097" i="23"/>
  <c r="G1084" i="23"/>
  <c r="F1084" i="23"/>
  <c r="F1086" i="23"/>
  <c r="E1084" i="23"/>
  <c r="E1085" i="23"/>
  <c r="D1084" i="23"/>
  <c r="G1077" i="23"/>
  <c r="G1081" i="23"/>
  <c r="F1077" i="23"/>
  <c r="E1077" i="23"/>
  <c r="D1077" i="23"/>
  <c r="G1070" i="23"/>
  <c r="F1070" i="23"/>
  <c r="F1072" i="23"/>
  <c r="E1070" i="23"/>
  <c r="E1071" i="23"/>
  <c r="D1070" i="23"/>
  <c r="G1063" i="23"/>
  <c r="G1067" i="23"/>
  <c r="F1063" i="23"/>
  <c r="F1065" i="23"/>
  <c r="E1063" i="23"/>
  <c r="D1063" i="23"/>
  <c r="D1067" i="23"/>
  <c r="G1056" i="23"/>
  <c r="G1060" i="23"/>
  <c r="F1056" i="23"/>
  <c r="F1058" i="23"/>
  <c r="E1056" i="23"/>
  <c r="E1058" i="23"/>
  <c r="D1056" i="23"/>
  <c r="D1060" i="23"/>
  <c r="G1049" i="23"/>
  <c r="G1053" i="23"/>
  <c r="F1049" i="23"/>
  <c r="E1049" i="23"/>
  <c r="D1049" i="23"/>
  <c r="D1051" i="23"/>
  <c r="G1042" i="23"/>
  <c r="F1042" i="23"/>
  <c r="F1043" i="23"/>
  <c r="E1042" i="23"/>
  <c r="E1043" i="23"/>
  <c r="D1042" i="23"/>
  <c r="G1035" i="23"/>
  <c r="F1035" i="23"/>
  <c r="E1035" i="23"/>
  <c r="D1035" i="23"/>
  <c r="G1028" i="23"/>
  <c r="G1030" i="23"/>
  <c r="F1028" i="23"/>
  <c r="E1028" i="23"/>
  <c r="D1028" i="23"/>
  <c r="D1032" i="23"/>
  <c r="G1021" i="23"/>
  <c r="G1025" i="23"/>
  <c r="F1021" i="23"/>
  <c r="F1022" i="23"/>
  <c r="E1021" i="23"/>
  <c r="E1023" i="23"/>
  <c r="D1021" i="23"/>
  <c r="G1014" i="23"/>
  <c r="G1017" i="23"/>
  <c r="F1014" i="23"/>
  <c r="F1016" i="23"/>
  <c r="E1014" i="23"/>
  <c r="E1015" i="23"/>
  <c r="D1014" i="23"/>
  <c r="G1007" i="23"/>
  <c r="G1011" i="23"/>
  <c r="F1007" i="23"/>
  <c r="E1007" i="23"/>
  <c r="E1009" i="23"/>
  <c r="D1007" i="23"/>
  <c r="D1009" i="23"/>
  <c r="G999" i="23"/>
  <c r="G1003" i="23"/>
  <c r="F999" i="23"/>
  <c r="F1000" i="23"/>
  <c r="E999" i="23"/>
  <c r="E1004" i="23"/>
  <c r="D999" i="23"/>
  <c r="D1003" i="23"/>
  <c r="G991" i="23"/>
  <c r="G994" i="23"/>
  <c r="F991" i="23"/>
  <c r="F995" i="23"/>
  <c r="E991" i="23"/>
  <c r="E995" i="23"/>
  <c r="D991" i="23"/>
  <c r="G984" i="23"/>
  <c r="F984" i="23"/>
  <c r="E984" i="23"/>
  <c r="E985" i="23"/>
  <c r="D984" i="23"/>
  <c r="D986" i="23"/>
  <c r="G977" i="23"/>
  <c r="F977" i="23"/>
  <c r="E977" i="23"/>
  <c r="D977" i="23"/>
  <c r="D978" i="23"/>
  <c r="G970" i="23"/>
  <c r="G972" i="23"/>
  <c r="F970" i="23"/>
  <c r="E970" i="23"/>
  <c r="E973" i="23"/>
  <c r="D970" i="23"/>
  <c r="D974" i="23"/>
  <c r="G963" i="23"/>
  <c r="F963" i="23"/>
  <c r="E963" i="23"/>
  <c r="D963" i="23"/>
  <c r="D967" i="23"/>
  <c r="G956" i="23"/>
  <c r="G958" i="23"/>
  <c r="F956" i="23"/>
  <c r="E956" i="23"/>
  <c r="D956" i="23"/>
  <c r="G949" i="23"/>
  <c r="F949" i="23"/>
  <c r="F950" i="23"/>
  <c r="E949" i="23"/>
  <c r="D949" i="23"/>
  <c r="G941" i="23"/>
  <c r="F941" i="23"/>
  <c r="E941" i="23"/>
  <c r="E945" i="23"/>
  <c r="D941" i="23"/>
  <c r="D944" i="23"/>
  <c r="G934" i="23"/>
  <c r="G935" i="23"/>
  <c r="F934" i="23"/>
  <c r="F938" i="23"/>
  <c r="E934" i="23"/>
  <c r="D934" i="23"/>
  <c r="D935" i="23"/>
  <c r="G927" i="23"/>
  <c r="F927" i="23"/>
  <c r="E927" i="23"/>
  <c r="E929" i="23"/>
  <c r="D927" i="23"/>
  <c r="G920" i="23"/>
  <c r="G922" i="23"/>
  <c r="F920" i="23"/>
  <c r="F922" i="23"/>
  <c r="E920" i="23"/>
  <c r="D920" i="23"/>
  <c r="D924" i="23"/>
  <c r="G913" i="23"/>
  <c r="G914" i="23"/>
  <c r="F913" i="23"/>
  <c r="E913" i="23"/>
  <c r="E915" i="23"/>
  <c r="D913" i="23"/>
  <c r="D914" i="23"/>
  <c r="G906" i="23"/>
  <c r="F906" i="23"/>
  <c r="F910" i="23"/>
  <c r="E906" i="23"/>
  <c r="E908" i="23"/>
  <c r="D906" i="23"/>
  <c r="G899" i="23"/>
  <c r="G903" i="23"/>
  <c r="F899" i="23"/>
  <c r="F901" i="23"/>
  <c r="E899" i="23"/>
  <c r="D899" i="23"/>
  <c r="G892" i="23"/>
  <c r="F892" i="23"/>
  <c r="F893" i="23"/>
  <c r="E892" i="23"/>
  <c r="D892" i="23"/>
  <c r="D894" i="23"/>
  <c r="G885" i="23"/>
  <c r="F885" i="23"/>
  <c r="E885" i="23"/>
  <c r="D885" i="23"/>
  <c r="G877" i="23"/>
  <c r="G878" i="23"/>
  <c r="F877" i="23"/>
  <c r="F878" i="23"/>
  <c r="E877" i="23"/>
  <c r="D877" i="23"/>
  <c r="D878" i="23"/>
  <c r="G869" i="23"/>
  <c r="F869" i="23"/>
  <c r="E869" i="23"/>
  <c r="D869" i="23"/>
  <c r="D870" i="23"/>
  <c r="G861" i="23"/>
  <c r="F861" i="23"/>
  <c r="F865" i="23"/>
  <c r="E861" i="23"/>
  <c r="E863" i="23"/>
  <c r="D861" i="23"/>
  <c r="D865" i="23"/>
  <c r="G854" i="23"/>
  <c r="G857" i="23"/>
  <c r="F854" i="23"/>
  <c r="F858" i="23"/>
  <c r="E854" i="23"/>
  <c r="D854" i="23"/>
  <c r="G846" i="23"/>
  <c r="F846" i="23"/>
  <c r="F847" i="23"/>
  <c r="E846" i="23"/>
  <c r="D846" i="23"/>
  <c r="D850" i="23"/>
  <c r="G838" i="23"/>
  <c r="F838" i="23"/>
  <c r="E838" i="23"/>
  <c r="D838" i="23"/>
  <c r="D839" i="23"/>
  <c r="G830" i="23"/>
  <c r="F830" i="23"/>
  <c r="F833" i="23"/>
  <c r="E830" i="23"/>
  <c r="E834" i="23"/>
  <c r="D830" i="23"/>
  <c r="D835" i="23"/>
  <c r="G821" i="23"/>
  <c r="G823" i="23"/>
  <c r="F821" i="23"/>
  <c r="F825" i="23"/>
  <c r="E821" i="23"/>
  <c r="E823" i="23"/>
  <c r="D821" i="23"/>
  <c r="D822" i="23"/>
  <c r="G812" i="23"/>
  <c r="F812" i="23"/>
  <c r="F813" i="23"/>
  <c r="E812" i="23"/>
  <c r="D812" i="23"/>
  <c r="D813" i="23"/>
  <c r="G804" i="23"/>
  <c r="F804" i="23"/>
  <c r="F805" i="23"/>
  <c r="E804" i="23"/>
  <c r="D804" i="23"/>
  <c r="D805" i="23"/>
  <c r="G796" i="23"/>
  <c r="F796" i="23"/>
  <c r="E796" i="23"/>
  <c r="E801" i="23"/>
  <c r="D796" i="23"/>
  <c r="G788" i="23"/>
  <c r="G792" i="23"/>
  <c r="F788" i="23"/>
  <c r="E788" i="23"/>
  <c r="D788" i="23"/>
  <c r="G780" i="23"/>
  <c r="K780" i="23"/>
  <c r="F780" i="23"/>
  <c r="E780" i="23"/>
  <c r="D780" i="23"/>
  <c r="G772" i="23"/>
  <c r="F772" i="23"/>
  <c r="E772" i="23"/>
  <c r="E776" i="23"/>
  <c r="D772" i="23"/>
  <c r="D777" i="23"/>
  <c r="G764" i="23"/>
  <c r="G768" i="23"/>
  <c r="F764" i="23"/>
  <c r="E764" i="23"/>
  <c r="E768" i="23"/>
  <c r="D764" i="23"/>
  <c r="D765" i="23"/>
  <c r="G756" i="23"/>
  <c r="G758" i="23"/>
  <c r="F756" i="23"/>
  <c r="F760" i="23"/>
  <c r="E756" i="23"/>
  <c r="D756" i="23"/>
  <c r="D758" i="23"/>
  <c r="G748" i="23"/>
  <c r="G749" i="23"/>
  <c r="F748" i="23"/>
  <c r="E748" i="23"/>
  <c r="D748" i="23"/>
  <c r="G741" i="23"/>
  <c r="F741" i="23"/>
  <c r="F745" i="23"/>
  <c r="E741" i="23"/>
  <c r="E742" i="23"/>
  <c r="D741" i="23"/>
  <c r="G734" i="23"/>
  <c r="F734" i="23"/>
  <c r="F737" i="23"/>
  <c r="E734" i="23"/>
  <c r="D734" i="23"/>
  <c r="D737" i="23"/>
  <c r="G727" i="23"/>
  <c r="F727" i="23"/>
  <c r="F728" i="23"/>
  <c r="E727" i="23"/>
  <c r="D727" i="23"/>
  <c r="D731" i="23"/>
  <c r="G720" i="23"/>
  <c r="G724" i="23"/>
  <c r="F720" i="23"/>
  <c r="F721" i="23"/>
  <c r="E720" i="23"/>
  <c r="D720" i="23"/>
  <c r="G713" i="23"/>
  <c r="G714" i="23"/>
  <c r="F713" i="23"/>
  <c r="F714" i="23"/>
  <c r="E713" i="23"/>
  <c r="E714" i="23"/>
  <c r="D713" i="23"/>
  <c r="D714" i="23"/>
  <c r="G706" i="23"/>
  <c r="F706" i="23"/>
  <c r="E706" i="23"/>
  <c r="D706" i="23"/>
  <c r="D710" i="23"/>
  <c r="G699" i="23"/>
  <c r="G703" i="23"/>
  <c r="F699" i="23"/>
  <c r="F701" i="23"/>
  <c r="E699" i="23"/>
  <c r="E703" i="23"/>
  <c r="D699" i="23"/>
  <c r="G692" i="23"/>
  <c r="G693" i="23"/>
  <c r="F692" i="23"/>
  <c r="F693" i="23"/>
  <c r="E692" i="23"/>
  <c r="E693" i="23"/>
  <c r="D692" i="23"/>
  <c r="D695" i="23"/>
  <c r="G683" i="23"/>
  <c r="G684" i="23"/>
  <c r="F683" i="23"/>
  <c r="F684" i="23"/>
  <c r="E683" i="23"/>
  <c r="E685" i="23"/>
  <c r="D683" i="23"/>
  <c r="D684" i="23"/>
  <c r="G675" i="23"/>
  <c r="G676" i="23"/>
  <c r="F675" i="23"/>
  <c r="F676" i="23"/>
  <c r="E675" i="23"/>
  <c r="E677" i="23"/>
  <c r="D675" i="23"/>
  <c r="D676" i="23"/>
  <c r="G667" i="23"/>
  <c r="G669" i="23"/>
  <c r="F667" i="23"/>
  <c r="E667" i="23"/>
  <c r="E668" i="23"/>
  <c r="D667" i="23"/>
  <c r="D670" i="23"/>
  <c r="G660" i="23"/>
  <c r="G661" i="23"/>
  <c r="F660" i="23"/>
  <c r="F661" i="23"/>
  <c r="E660" i="23"/>
  <c r="E662" i="23"/>
  <c r="D660" i="23"/>
  <c r="D661" i="23"/>
  <c r="G653" i="23"/>
  <c r="G655" i="23"/>
  <c r="F653" i="23"/>
  <c r="F654" i="23"/>
  <c r="E653" i="23"/>
  <c r="E654" i="23"/>
  <c r="D653" i="23"/>
  <c r="D654" i="23"/>
  <c r="G646" i="23"/>
  <c r="G648" i="23"/>
  <c r="F646" i="23"/>
  <c r="F647" i="23"/>
  <c r="E646" i="23"/>
  <c r="E649" i="23"/>
  <c r="D646" i="23"/>
  <c r="G639" i="23"/>
  <c r="F639" i="23"/>
  <c r="F640" i="23"/>
  <c r="E639" i="23"/>
  <c r="D639" i="23"/>
  <c r="D640" i="23"/>
  <c r="G632" i="23"/>
  <c r="F632" i="23"/>
  <c r="E632" i="23"/>
  <c r="D632" i="23"/>
  <c r="G625" i="23"/>
  <c r="F625" i="23"/>
  <c r="E625" i="23"/>
  <c r="D625" i="23"/>
  <c r="G618" i="23"/>
  <c r="G619" i="23"/>
  <c r="F618" i="23"/>
  <c r="F619" i="23"/>
  <c r="E618" i="23"/>
  <c r="D618" i="23"/>
  <c r="D622" i="23"/>
  <c r="G611" i="23"/>
  <c r="F611" i="23"/>
  <c r="F613" i="23"/>
  <c r="E611" i="23"/>
  <c r="D611" i="23"/>
  <c r="G604" i="23"/>
  <c r="F604" i="23"/>
  <c r="E604" i="23"/>
  <c r="E608" i="23"/>
  <c r="D604" i="23"/>
  <c r="D605" i="23"/>
  <c r="G596" i="23"/>
  <c r="F596" i="23"/>
  <c r="E596" i="23"/>
  <c r="E597" i="23"/>
  <c r="D596" i="23"/>
  <c r="D598" i="23"/>
  <c r="G588" i="23"/>
  <c r="F588" i="23"/>
  <c r="E588" i="23"/>
  <c r="E589" i="23"/>
  <c r="D588" i="23"/>
  <c r="G580" i="23"/>
  <c r="G582" i="23"/>
  <c r="F580" i="23"/>
  <c r="F582" i="23"/>
  <c r="E580" i="23"/>
  <c r="E582" i="23"/>
  <c r="D580" i="23"/>
  <c r="D581" i="23"/>
  <c r="G573" i="23"/>
  <c r="F573" i="23"/>
  <c r="E573" i="23"/>
  <c r="E574" i="23"/>
  <c r="D573" i="23"/>
  <c r="G566" i="23"/>
  <c r="G567" i="23"/>
  <c r="F566" i="23"/>
  <c r="F568" i="23"/>
  <c r="E566" i="23"/>
  <c r="D566" i="23"/>
  <c r="G559" i="23"/>
  <c r="G562" i="23"/>
  <c r="F559" i="23"/>
  <c r="F561" i="23"/>
  <c r="E559" i="23"/>
  <c r="E562" i="23"/>
  <c r="D559" i="23"/>
  <c r="D561" i="23"/>
  <c r="G552" i="23"/>
  <c r="F552" i="23"/>
  <c r="E552" i="23"/>
  <c r="E553" i="23"/>
  <c r="D552" i="23"/>
  <c r="D555" i="23"/>
  <c r="G545" i="23"/>
  <c r="G546" i="23"/>
  <c r="F545" i="23"/>
  <c r="E545" i="23"/>
  <c r="D545" i="23"/>
  <c r="G538" i="23"/>
  <c r="G539" i="23"/>
  <c r="F538" i="23"/>
  <c r="F539" i="23"/>
  <c r="E538" i="23"/>
  <c r="E541" i="23"/>
  <c r="D538" i="23"/>
  <c r="D541" i="23"/>
  <c r="G531" i="23"/>
  <c r="G533" i="23"/>
  <c r="F531" i="23"/>
  <c r="F535" i="23"/>
  <c r="E531" i="23"/>
  <c r="D531" i="23"/>
  <c r="D532" i="23"/>
  <c r="G524" i="23"/>
  <c r="G528" i="23"/>
  <c r="F524" i="23"/>
  <c r="F525" i="23"/>
  <c r="E524" i="23"/>
  <c r="D524" i="23"/>
  <c r="D525" i="23"/>
  <c r="G517" i="23"/>
  <c r="G519" i="23"/>
  <c r="F517" i="23"/>
  <c r="E517" i="23"/>
  <c r="D517" i="23"/>
  <c r="G510" i="23"/>
  <c r="F510" i="23"/>
  <c r="F511" i="23"/>
  <c r="E510" i="23"/>
  <c r="E511" i="23"/>
  <c r="D510" i="23"/>
  <c r="D511" i="23"/>
  <c r="G503" i="23"/>
  <c r="G506" i="23"/>
  <c r="F503" i="23"/>
  <c r="E503" i="23"/>
  <c r="E506" i="23"/>
  <c r="D503" i="23"/>
  <c r="D504" i="23"/>
  <c r="G496" i="23"/>
  <c r="F496" i="23"/>
  <c r="E496" i="23"/>
  <c r="E500" i="23"/>
  <c r="D496" i="23"/>
  <c r="D500" i="23"/>
  <c r="G489" i="23"/>
  <c r="F489" i="23"/>
  <c r="E489" i="23"/>
  <c r="D489" i="23"/>
  <c r="G482" i="23"/>
  <c r="F482" i="23"/>
  <c r="F483" i="23"/>
  <c r="E482" i="23"/>
  <c r="D482" i="23"/>
  <c r="G475" i="23"/>
  <c r="F475" i="23"/>
  <c r="F477" i="23"/>
  <c r="E475" i="23"/>
  <c r="D475" i="23"/>
  <c r="G468" i="23"/>
  <c r="G472" i="23"/>
  <c r="F468" i="23"/>
  <c r="F469" i="23"/>
  <c r="E468" i="23"/>
  <c r="E469" i="23"/>
  <c r="D468" i="23"/>
  <c r="D470" i="23"/>
  <c r="G461" i="23"/>
  <c r="F461" i="23"/>
  <c r="E461" i="23"/>
  <c r="E463" i="23"/>
  <c r="D461" i="23"/>
  <c r="D463" i="23"/>
  <c r="G453" i="23"/>
  <c r="G456" i="23"/>
  <c r="F453" i="23"/>
  <c r="F456" i="23"/>
  <c r="E453" i="23"/>
  <c r="D453" i="23"/>
  <c r="D458" i="23"/>
  <c r="G446" i="23"/>
  <c r="G448" i="23"/>
  <c r="F446" i="23"/>
  <c r="E446" i="23"/>
  <c r="E447" i="23"/>
  <c r="D446" i="23"/>
  <c r="G438" i="23"/>
  <c r="F438" i="23"/>
  <c r="F439" i="23"/>
  <c r="F442" i="23"/>
  <c r="E438" i="23"/>
  <c r="D438" i="23"/>
  <c r="D440" i="23"/>
  <c r="G431" i="23"/>
  <c r="F431" i="23"/>
  <c r="F435" i="23"/>
  <c r="E431" i="23"/>
  <c r="D431" i="23"/>
  <c r="D435" i="23"/>
  <c r="G424" i="23"/>
  <c r="G426" i="23"/>
  <c r="F424" i="23"/>
  <c r="E424" i="23"/>
  <c r="D424" i="23"/>
  <c r="G417" i="23"/>
  <c r="G419" i="23"/>
  <c r="F417" i="23"/>
  <c r="F420" i="23"/>
  <c r="E417" i="23"/>
  <c r="E419" i="23"/>
  <c r="D417" i="23"/>
  <c r="G410" i="23"/>
  <c r="G412" i="23"/>
  <c r="F410" i="23"/>
  <c r="F411" i="23"/>
  <c r="E410" i="23"/>
  <c r="D410" i="23"/>
  <c r="D412" i="23"/>
  <c r="G403" i="23"/>
  <c r="G405" i="23"/>
  <c r="F403" i="23"/>
  <c r="E403" i="23"/>
  <c r="E407" i="23"/>
  <c r="D403" i="23"/>
  <c r="D407" i="23"/>
  <c r="G396" i="23"/>
  <c r="F396" i="23"/>
  <c r="E396" i="23"/>
  <c r="D396" i="23"/>
  <c r="G389" i="23"/>
  <c r="G393" i="23"/>
  <c r="F389" i="23"/>
  <c r="F390" i="23"/>
  <c r="E389" i="23"/>
  <c r="E393" i="23"/>
  <c r="D389" i="23"/>
  <c r="G382" i="23"/>
  <c r="F382" i="23"/>
  <c r="F383" i="23"/>
  <c r="E382" i="23"/>
  <c r="D382" i="23"/>
  <c r="G375" i="23"/>
  <c r="G377" i="23"/>
  <c r="F375" i="23"/>
  <c r="E375" i="23"/>
  <c r="E378" i="23"/>
  <c r="D375" i="23"/>
  <c r="G368" i="23"/>
  <c r="G370" i="23"/>
  <c r="F368" i="23"/>
  <c r="F369" i="23"/>
  <c r="E368" i="23"/>
  <c r="E371" i="23"/>
  <c r="D368" i="23"/>
  <c r="D369" i="23"/>
  <c r="G361" i="23"/>
  <c r="G363" i="23"/>
  <c r="F361" i="23"/>
  <c r="E361" i="23"/>
  <c r="D361" i="23"/>
  <c r="D364" i="23"/>
  <c r="G353" i="23"/>
  <c r="F353" i="23"/>
  <c r="E353" i="23"/>
  <c r="D353" i="23"/>
  <c r="G345" i="23"/>
  <c r="G346" i="23"/>
  <c r="F345" i="23"/>
  <c r="E345" i="23"/>
  <c r="D345" i="23"/>
  <c r="G338" i="23"/>
  <c r="G342" i="23"/>
  <c r="F338" i="23"/>
  <c r="F340" i="23"/>
  <c r="E338" i="23"/>
  <c r="E339" i="23"/>
  <c r="D338" i="23"/>
  <c r="G331" i="23"/>
  <c r="F331" i="23"/>
  <c r="F332" i="23"/>
  <c r="E331" i="23"/>
  <c r="E333" i="23"/>
  <c r="D331" i="23"/>
  <c r="G324" i="23"/>
  <c r="G328" i="23"/>
  <c r="F324" i="23"/>
  <c r="E324" i="23"/>
  <c r="D324" i="23"/>
  <c r="G317" i="23"/>
  <c r="G319" i="23"/>
  <c r="F317" i="23"/>
  <c r="E317" i="23"/>
  <c r="E321" i="23"/>
  <c r="D317" i="23"/>
  <c r="D319" i="23"/>
  <c r="G310" i="23"/>
  <c r="F310" i="23"/>
  <c r="E310" i="23"/>
  <c r="E313" i="23"/>
  <c r="D310" i="23"/>
  <c r="G302" i="23"/>
  <c r="F302" i="23"/>
  <c r="E302" i="23"/>
  <c r="D302" i="23"/>
  <c r="D306" i="23"/>
  <c r="G294" i="23"/>
  <c r="F294" i="23"/>
  <c r="E294" i="23"/>
  <c r="E297" i="23"/>
  <c r="D294" i="23"/>
  <c r="G286" i="23"/>
  <c r="F286" i="23"/>
  <c r="E286" i="23"/>
  <c r="E287" i="23"/>
  <c r="D286" i="23"/>
  <c r="G278" i="23"/>
  <c r="F278" i="23"/>
  <c r="E278" i="23"/>
  <c r="D278" i="23"/>
  <c r="D282" i="23"/>
  <c r="G270" i="23"/>
  <c r="G271" i="23"/>
  <c r="F270" i="23"/>
  <c r="E270" i="23"/>
  <c r="D270" i="23"/>
  <c r="D271" i="23"/>
  <c r="G262" i="23"/>
  <c r="G264" i="23"/>
  <c r="F262" i="23"/>
  <c r="E262" i="23"/>
  <c r="D262" i="23"/>
  <c r="D266" i="23"/>
  <c r="G254" i="23"/>
  <c r="G258" i="23"/>
  <c r="F254" i="23"/>
  <c r="E254" i="23"/>
  <c r="E258" i="23"/>
  <c r="D254" i="23"/>
  <c r="G246" i="23"/>
  <c r="F246" i="23"/>
  <c r="E246" i="23"/>
  <c r="E250" i="23"/>
  <c r="D246" i="23"/>
  <c r="G238" i="23"/>
  <c r="G242" i="23"/>
  <c r="F238" i="23"/>
  <c r="F239" i="23"/>
  <c r="E238" i="23"/>
  <c r="E242" i="23"/>
  <c r="D238" i="23"/>
  <c r="G230" i="23"/>
  <c r="F230" i="23"/>
  <c r="F233" i="23"/>
  <c r="E230" i="23"/>
  <c r="E232" i="23"/>
  <c r="D230" i="23"/>
  <c r="D235" i="23"/>
  <c r="G222" i="23"/>
  <c r="F222" i="23"/>
  <c r="E222" i="23"/>
  <c r="D222" i="23"/>
  <c r="G214" i="23"/>
  <c r="G215" i="23"/>
  <c r="F214" i="23"/>
  <c r="E214" i="23"/>
  <c r="D214" i="23"/>
  <c r="G206" i="23"/>
  <c r="F206" i="23"/>
  <c r="E206" i="23"/>
  <c r="E207" i="23"/>
  <c r="D206" i="23"/>
  <c r="G198" i="23"/>
  <c r="G201" i="23"/>
  <c r="F198" i="23"/>
  <c r="F203" i="23"/>
  <c r="E198" i="23"/>
  <c r="D198" i="23"/>
  <c r="G190" i="23"/>
  <c r="F190" i="23"/>
  <c r="F194" i="23"/>
  <c r="E190" i="23"/>
  <c r="E193" i="23"/>
  <c r="D190" i="23"/>
  <c r="G182" i="23"/>
  <c r="G183" i="23"/>
  <c r="F182" i="23"/>
  <c r="F184" i="23"/>
  <c r="E182" i="23"/>
  <c r="D182" i="23"/>
  <c r="D184" i="23"/>
  <c r="G174" i="23"/>
  <c r="F174" i="23"/>
  <c r="F175" i="23"/>
  <c r="E174" i="23"/>
  <c r="E175" i="23"/>
  <c r="D174" i="23"/>
  <c r="D176" i="23"/>
  <c r="B147" i="22"/>
  <c r="G166" i="23"/>
  <c r="F166" i="23"/>
  <c r="E166" i="23"/>
  <c r="E167" i="23"/>
  <c r="D166" i="23"/>
  <c r="G157" i="23"/>
  <c r="G158" i="23"/>
  <c r="F157" i="23"/>
  <c r="F158" i="23"/>
  <c r="E157" i="23"/>
  <c r="D157" i="23"/>
  <c r="D159" i="23"/>
  <c r="G149" i="23"/>
  <c r="F149" i="23"/>
  <c r="E149" i="23"/>
  <c r="D149" i="23"/>
  <c r="D153" i="23"/>
  <c r="G141" i="23"/>
  <c r="G142" i="23"/>
  <c r="F141" i="23"/>
  <c r="F143" i="23"/>
  <c r="E141" i="23"/>
  <c r="E145" i="23"/>
  <c r="D141" i="23"/>
  <c r="G133" i="23"/>
  <c r="F133" i="23"/>
  <c r="F135" i="23"/>
  <c r="E133" i="23"/>
  <c r="D133" i="23"/>
  <c r="D135" i="23"/>
  <c r="G125" i="23"/>
  <c r="F125" i="23"/>
  <c r="E125" i="23"/>
  <c r="E128" i="23"/>
  <c r="D125" i="23"/>
  <c r="G117" i="23"/>
  <c r="F117" i="23"/>
  <c r="E117" i="23"/>
  <c r="D117" i="23"/>
  <c r="G109" i="23"/>
  <c r="G110" i="23"/>
  <c r="F109" i="23"/>
  <c r="E109" i="23"/>
  <c r="D109" i="23"/>
  <c r="D111" i="23"/>
  <c r="G101" i="23"/>
  <c r="G102" i="23"/>
  <c r="F101" i="23"/>
  <c r="E101" i="23"/>
  <c r="E105" i="23"/>
  <c r="D101" i="23"/>
  <c r="G93" i="23"/>
  <c r="G94" i="23"/>
  <c r="F93" i="23"/>
  <c r="F95" i="23"/>
  <c r="E93" i="23"/>
  <c r="D93" i="23"/>
  <c r="G85" i="23"/>
  <c r="G219" i="23"/>
  <c r="F85" i="23"/>
  <c r="E85" i="23"/>
  <c r="D85" i="23"/>
  <c r="G77" i="23"/>
  <c r="F77" i="23"/>
  <c r="E77" i="23"/>
  <c r="D77" i="23"/>
  <c r="D79" i="23"/>
  <c r="G69" i="23"/>
  <c r="G70" i="23"/>
  <c r="F69" i="23"/>
  <c r="E69" i="23"/>
  <c r="D69" i="23"/>
  <c r="G61" i="23"/>
  <c r="G64" i="23"/>
  <c r="F61" i="23"/>
  <c r="E61" i="23"/>
  <c r="D61" i="23"/>
  <c r="G53" i="23"/>
  <c r="G54" i="23"/>
  <c r="F53" i="23"/>
  <c r="F54" i="23"/>
  <c r="E53" i="23"/>
  <c r="E58" i="23"/>
  <c r="D53" i="23"/>
  <c r="G45" i="23"/>
  <c r="G48" i="23"/>
  <c r="F45" i="23"/>
  <c r="E45" i="23"/>
  <c r="E46" i="23"/>
  <c r="D45" i="23"/>
  <c r="G37" i="23"/>
  <c r="G38" i="23"/>
  <c r="F37" i="23"/>
  <c r="E37" i="23"/>
  <c r="E38" i="23"/>
  <c r="D37" i="23"/>
  <c r="D39" i="23"/>
  <c r="G29" i="23"/>
  <c r="F29" i="23"/>
  <c r="E29" i="23"/>
  <c r="D29" i="23"/>
  <c r="G22" i="23"/>
  <c r="G24" i="23"/>
  <c r="F22" i="23"/>
  <c r="E22" i="23"/>
  <c r="D22" i="23"/>
  <c r="D23" i="23"/>
  <c r="G14" i="23"/>
  <c r="G19" i="23"/>
  <c r="F14" i="23"/>
  <c r="E14" i="23"/>
  <c r="E17" i="23"/>
  <c r="D14" i="23"/>
  <c r="D18" i="23"/>
  <c r="G6" i="23"/>
  <c r="G7" i="23"/>
  <c r="E107" i="22"/>
  <c r="F6" i="23"/>
  <c r="F7" i="23"/>
  <c r="D107" i="22"/>
  <c r="E6" i="23"/>
  <c r="E7" i="23"/>
  <c r="C107" i="22"/>
  <c r="D6" i="23"/>
  <c r="H3354" i="23"/>
  <c r="H3345" i="23"/>
  <c r="H3336" i="23"/>
  <c r="H3327" i="23"/>
  <c r="H3318" i="23"/>
  <c r="H3309" i="23"/>
  <c r="H3300" i="23"/>
  <c r="H3291" i="23"/>
  <c r="H3282" i="23"/>
  <c r="H3273" i="23"/>
  <c r="H3264" i="23"/>
  <c r="H3255" i="23"/>
  <c r="H3246" i="23"/>
  <c r="H3237" i="23"/>
  <c r="H3228" i="23"/>
  <c r="H3219" i="23"/>
  <c r="H3210" i="23"/>
  <c r="H3201" i="23"/>
  <c r="H3192" i="23"/>
  <c r="H3183" i="23"/>
  <c r="H3184" i="23"/>
  <c r="H3174" i="23"/>
  <c r="H3176" i="23"/>
  <c r="H3165" i="23"/>
  <c r="H3166" i="23"/>
  <c r="H3156" i="23"/>
  <c r="H3147" i="23"/>
  <c r="H3138" i="23"/>
  <c r="H3140" i="23"/>
  <c r="H3129" i="23"/>
  <c r="H3131" i="23"/>
  <c r="H3120" i="23"/>
  <c r="H3121" i="23"/>
  <c r="H3111" i="23"/>
  <c r="H3114" i="23"/>
  <c r="H3102" i="23"/>
  <c r="H3105" i="23"/>
  <c r="H3093" i="23"/>
  <c r="H3095" i="23"/>
  <c r="H3084" i="23"/>
  <c r="H3075" i="23"/>
  <c r="H3076" i="23"/>
  <c r="H3066" i="23"/>
  <c r="H3067" i="23"/>
  <c r="H3057" i="23"/>
  <c r="H3062" i="23"/>
  <c r="H3048" i="23"/>
  <c r="H3049" i="23"/>
  <c r="H3039" i="23"/>
  <c r="H3040" i="23"/>
  <c r="H3030" i="23"/>
  <c r="H3031" i="23"/>
  <c r="H3021" i="23"/>
  <c r="H3023" i="23"/>
  <c r="H3012" i="23"/>
  <c r="H3003" i="23"/>
  <c r="H3006" i="23"/>
  <c r="H2993" i="23"/>
  <c r="H2983" i="23"/>
  <c r="H2987" i="23"/>
  <c r="H2973" i="23"/>
  <c r="H2974" i="23"/>
  <c r="H2963" i="23"/>
  <c r="H2966" i="23"/>
  <c r="H2944" i="23"/>
  <c r="H2937" i="23"/>
  <c r="H2938" i="23"/>
  <c r="H2930" i="23"/>
  <c r="H2923" i="23"/>
  <c r="H2927" i="23"/>
  <c r="H2916" i="23"/>
  <c r="H2918" i="23"/>
  <c r="H2910" i="23"/>
  <c r="H2911" i="23"/>
  <c r="H2903" i="23"/>
  <c r="H2905" i="23"/>
  <c r="H2896" i="23"/>
  <c r="H2890" i="23"/>
  <c r="H2892" i="23"/>
  <c r="H2883" i="23"/>
  <c r="H2884" i="23"/>
  <c r="H2876" i="23"/>
  <c r="H2878" i="23"/>
  <c r="H2869" i="23"/>
  <c r="H2870" i="23"/>
  <c r="H2862" i="23"/>
  <c r="H2864" i="23"/>
  <c r="H2854" i="23"/>
  <c r="H2855" i="23"/>
  <c r="H2845" i="23"/>
  <c r="H2836" i="23"/>
  <c r="H2837" i="23"/>
  <c r="H2840" i="23"/>
  <c r="H2827" i="23"/>
  <c r="H2829" i="23"/>
  <c r="H2818" i="23"/>
  <c r="H2810" i="23"/>
  <c r="H2815" i="23"/>
  <c r="H2803" i="23"/>
  <c r="H2805" i="23"/>
  <c r="H2794" i="23"/>
  <c r="H2800" i="23"/>
  <c r="H2784" i="23"/>
  <c r="H2786" i="23"/>
  <c r="H2775" i="23"/>
  <c r="H2776" i="23"/>
  <c r="H2766" i="23"/>
  <c r="H2768" i="23"/>
  <c r="H2757" i="23"/>
  <c r="H2749" i="23"/>
  <c r="H2753" i="23"/>
  <c r="H2742" i="23"/>
  <c r="H2743" i="23"/>
  <c r="H2735" i="23"/>
  <c r="H2739" i="23"/>
  <c r="H2728" i="23"/>
  <c r="H2729" i="23"/>
  <c r="H2721" i="23"/>
  <c r="H2725" i="23"/>
  <c r="H2714" i="23"/>
  <c r="H2715" i="23"/>
  <c r="H2707" i="23"/>
  <c r="H2709" i="23"/>
  <c r="H2700" i="23"/>
  <c r="H2693" i="23"/>
  <c r="H2694" i="23"/>
  <c r="H2686" i="23"/>
  <c r="H2687" i="23"/>
  <c r="H2679" i="23"/>
  <c r="H2680" i="23"/>
  <c r="H2672" i="23"/>
  <c r="H2675" i="23"/>
  <c r="H2665" i="23"/>
  <c r="H2668" i="23"/>
  <c r="H2658" i="23"/>
  <c r="H2659" i="23"/>
  <c r="H2651" i="23"/>
  <c r="H2642" i="23"/>
  <c r="H2633" i="23"/>
  <c r="H3125" i="23"/>
  <c r="H2624" i="23"/>
  <c r="H2626" i="23"/>
  <c r="H2615" i="23"/>
  <c r="H2605" i="23"/>
  <c r="H2607" i="23"/>
  <c r="H2596" i="23"/>
  <c r="H2587" i="23"/>
  <c r="H2589" i="23"/>
  <c r="H2578" i="23"/>
  <c r="H2569" i="23"/>
  <c r="H2564" i="23"/>
  <c r="H2559" i="23"/>
  <c r="H2554" i="23"/>
  <c r="H2549" i="23"/>
  <c r="H2550" i="23"/>
  <c r="H2544" i="23"/>
  <c r="H2539" i="23"/>
  <c r="H2540" i="23"/>
  <c r="H2534" i="23"/>
  <c r="H2529" i="23"/>
  <c r="H2530" i="23"/>
  <c r="H2524" i="23"/>
  <c r="H2519" i="23"/>
  <c r="H2520" i="23"/>
  <c r="H2514" i="23"/>
  <c r="H2509" i="23"/>
  <c r="H2510" i="23"/>
  <c r="H2504" i="23"/>
  <c r="H2499" i="23"/>
  <c r="H2500" i="23"/>
  <c r="H2494" i="23"/>
  <c r="H2489" i="23"/>
  <c r="H2490" i="23"/>
  <c r="H2484" i="23"/>
  <c r="H2479" i="23"/>
  <c r="H2474" i="23"/>
  <c r="H2475" i="23"/>
  <c r="H2469" i="23"/>
  <c r="H2470" i="23"/>
  <c r="H2464" i="23"/>
  <c r="H2465" i="23"/>
  <c r="H2459" i="23"/>
  <c r="H2461" i="23"/>
  <c r="H2454" i="23"/>
  <c r="H2456" i="23"/>
  <c r="H2449" i="23"/>
  <c r="H2451" i="23"/>
  <c r="H2444" i="23"/>
  <c r="H2445" i="23"/>
  <c r="H2439" i="23"/>
  <c r="H2440" i="23"/>
  <c r="H2434" i="23"/>
  <c r="H2435" i="23"/>
  <c r="H2429" i="23"/>
  <c r="H2431" i="23"/>
  <c r="H2424" i="23"/>
  <c r="H2425" i="23"/>
  <c r="H2419" i="23"/>
  <c r="H2420" i="23"/>
  <c r="H2414" i="23"/>
  <c r="H2415" i="23"/>
  <c r="H2409" i="23"/>
  <c r="H2410" i="23"/>
  <c r="H2404" i="23"/>
  <c r="H2405" i="23"/>
  <c r="H2399" i="23"/>
  <c r="H2394" i="23"/>
  <c r="H2386" i="23"/>
  <c r="H2387" i="23"/>
  <c r="H2379" i="23"/>
  <c r="H2380" i="23"/>
  <c r="H2372" i="23"/>
  <c r="H2365" i="23"/>
  <c r="H2358" i="23"/>
  <c r="H2362" i="23"/>
  <c r="H2350" i="23"/>
  <c r="H2354" i="23"/>
  <c r="H2343" i="23"/>
  <c r="H2335" i="23"/>
  <c r="H2328" i="23"/>
  <c r="H2329" i="23"/>
  <c r="H2321" i="23"/>
  <c r="H2322" i="23"/>
  <c r="H2314" i="23"/>
  <c r="H2315" i="23"/>
  <c r="H2307" i="23"/>
  <c r="H2300" i="23"/>
  <c r="H2301" i="23"/>
  <c r="H2293" i="23"/>
  <c r="H2294" i="23"/>
  <c r="H2286" i="23"/>
  <c r="H2279" i="23"/>
  <c r="H2280" i="23"/>
  <c r="H2272" i="23"/>
  <c r="H2265" i="23"/>
  <c r="H2268" i="23"/>
  <c r="H2258" i="23"/>
  <c r="H2259" i="23"/>
  <c r="H2251" i="23"/>
  <c r="H2244" i="23"/>
  <c r="H2245" i="23"/>
  <c r="H2237" i="23"/>
  <c r="H2230" i="23"/>
  <c r="H2234" i="23"/>
  <c r="H2223" i="23"/>
  <c r="H2216" i="23"/>
  <c r="H2217" i="23"/>
  <c r="H2209" i="23"/>
  <c r="H2211" i="23"/>
  <c r="H2202" i="23"/>
  <c r="H2195" i="23"/>
  <c r="H2196" i="23"/>
  <c r="H2188" i="23"/>
  <c r="H2181" i="23"/>
  <c r="H2171" i="23"/>
  <c r="H2172" i="23"/>
  <c r="H2161" i="23"/>
  <c r="H2151" i="23"/>
  <c r="H2141" i="23"/>
  <c r="H2131" i="23"/>
  <c r="H2133" i="23"/>
  <c r="H2124" i="23"/>
  <c r="H2125" i="23"/>
  <c r="H2115" i="23"/>
  <c r="H2117" i="23"/>
  <c r="H2108" i="23"/>
  <c r="H2109" i="23"/>
  <c r="H2100" i="23"/>
  <c r="H2101" i="23"/>
  <c r="H2093" i="23"/>
  <c r="H2094" i="23"/>
  <c r="H2085" i="23"/>
  <c r="H2078" i="23"/>
  <c r="H2080" i="23"/>
  <c r="H2071" i="23"/>
  <c r="H2072" i="23"/>
  <c r="H2064" i="23"/>
  <c r="H2056" i="23"/>
  <c r="H2057" i="23"/>
  <c r="H2061" i="23"/>
  <c r="H2047" i="23"/>
  <c r="H2039" i="23"/>
  <c r="H2030" i="23"/>
  <c r="H2031" i="23"/>
  <c r="H2036" i="23"/>
  <c r="H2023" i="23"/>
  <c r="H2024" i="23"/>
  <c r="H2016" i="23"/>
  <c r="H2009" i="23"/>
  <c r="H2002" i="23"/>
  <c r="H2004" i="23"/>
  <c r="H1994" i="23"/>
  <c r="H1995" i="23"/>
  <c r="H1987" i="23"/>
  <c r="H1988" i="23"/>
  <c r="H1980" i="23"/>
  <c r="H1982" i="23"/>
  <c r="H1973" i="23"/>
  <c r="H1974" i="23"/>
  <c r="H1966" i="23"/>
  <c r="H1958" i="23"/>
  <c r="H1960" i="23"/>
  <c r="H1951" i="23"/>
  <c r="H1944" i="23"/>
  <c r="H1945" i="23"/>
  <c r="H1937" i="23"/>
  <c r="H1930" i="23"/>
  <c r="H1932" i="23"/>
  <c r="H1923" i="23"/>
  <c r="H1916" i="23"/>
  <c r="H1909" i="23"/>
  <c r="H1912" i="23"/>
  <c r="H1902" i="23"/>
  <c r="H1903" i="23"/>
  <c r="H1895" i="23"/>
  <c r="H1899" i="23"/>
  <c r="H1887" i="23"/>
  <c r="H1888" i="23"/>
  <c r="H1880" i="23"/>
  <c r="H1883" i="23"/>
  <c r="H1873" i="23"/>
  <c r="H1865" i="23"/>
  <c r="H1869" i="23"/>
  <c r="H1858" i="23"/>
  <c r="H1859" i="23"/>
  <c r="H1851" i="23"/>
  <c r="H1852" i="23"/>
  <c r="H1844" i="23"/>
  <c r="H1837" i="23"/>
  <c r="H1841" i="23"/>
  <c r="H1830" i="23"/>
  <c r="H1820" i="23"/>
  <c r="H1821" i="23"/>
  <c r="H1812" i="23"/>
  <c r="H1813" i="23"/>
  <c r="H1805" i="23"/>
  <c r="H1796" i="23"/>
  <c r="H1797" i="23"/>
  <c r="H1787" i="23"/>
  <c r="H1788" i="23"/>
  <c r="H1779" i="23"/>
  <c r="H1770" i="23"/>
  <c r="H1771" i="23"/>
  <c r="H1772" i="23"/>
  <c r="H1763" i="23"/>
  <c r="H1764" i="23"/>
  <c r="H1755" i="23"/>
  <c r="H1746" i="23"/>
  <c r="H1749" i="23"/>
  <c r="H1739" i="23"/>
  <c r="H1743" i="23"/>
  <c r="H1730" i="23"/>
  <c r="H1735" i="23"/>
  <c r="H1723" i="23"/>
  <c r="H1725" i="23"/>
  <c r="H1716" i="23"/>
  <c r="H1709" i="23"/>
  <c r="H1702" i="23"/>
  <c r="H1703" i="23"/>
  <c r="H1694" i="23"/>
  <c r="H1697" i="23"/>
  <c r="H1686" i="23"/>
  <c r="H1687" i="23"/>
  <c r="H1679" i="23"/>
  <c r="H1680" i="23"/>
  <c r="H1670" i="23"/>
  <c r="H1676" i="23"/>
  <c r="H1662" i="23"/>
  <c r="H1655" i="23"/>
  <c r="H1657" i="23"/>
  <c r="H1648" i="23"/>
  <c r="H1650" i="23"/>
  <c r="H1640" i="23"/>
  <c r="H1641" i="23"/>
  <c r="H1632" i="23"/>
  <c r="H1633" i="23"/>
  <c r="H1624" i="23"/>
  <c r="H1626" i="23"/>
  <c r="H1617" i="23"/>
  <c r="H1619" i="23"/>
  <c r="H1610" i="23"/>
  <c r="H1603" i="23"/>
  <c r="H1604" i="23"/>
  <c r="H1596" i="23"/>
  <c r="H1598" i="23"/>
  <c r="H1589" i="23"/>
  <c r="H1590" i="23"/>
  <c r="H1580" i="23"/>
  <c r="H1581" i="23"/>
  <c r="H1571" i="23"/>
  <c r="H1572" i="23"/>
  <c r="H1564" i="23"/>
  <c r="H1557" i="23"/>
  <c r="H1561" i="23"/>
  <c r="H1550" i="23"/>
  <c r="H1552" i="23"/>
  <c r="H1543" i="23"/>
  <c r="H1544" i="23"/>
  <c r="H1536" i="23"/>
  <c r="H1528" i="23"/>
  <c r="H1519" i="23"/>
  <c r="H1523" i="23"/>
  <c r="H1512" i="23"/>
  <c r="H1505" i="23"/>
  <c r="H1506" i="23"/>
  <c r="H1498" i="23"/>
  <c r="H1499" i="23"/>
  <c r="H1491" i="23"/>
  <c r="H1493" i="23"/>
  <c r="H1484" i="23"/>
  <c r="H1477" i="23"/>
  <c r="H1478" i="23"/>
  <c r="H1470" i="23"/>
  <c r="H1472" i="23"/>
  <c r="H1463" i="23"/>
  <c r="H1466" i="23"/>
  <c r="H1456" i="23"/>
  <c r="H1457" i="23"/>
  <c r="H1449" i="23"/>
  <c r="H1442" i="23"/>
  <c r="H1446" i="23"/>
  <c r="H1435" i="23"/>
  <c r="H1437" i="23"/>
  <c r="H1428" i="23"/>
  <c r="H1430" i="23"/>
  <c r="H1421" i="23"/>
  <c r="H1422" i="23"/>
  <c r="H1414" i="23"/>
  <c r="H1415" i="23"/>
  <c r="H1407" i="23"/>
  <c r="H1400" i="23"/>
  <c r="H1402" i="23"/>
  <c r="H1393" i="23"/>
  <c r="H1394" i="23"/>
  <c r="H1386" i="23"/>
  <c r="H1379" i="23"/>
  <c r="H1372" i="23"/>
  <c r="H1373" i="23"/>
  <c r="H1365" i="23"/>
  <c r="H1366" i="23"/>
  <c r="H1356" i="23"/>
  <c r="H1357" i="23"/>
  <c r="H1349" i="23"/>
  <c r="H1353" i="23"/>
  <c r="H1341" i="23"/>
  <c r="H1334" i="23"/>
  <c r="H1336" i="23"/>
  <c r="H1326" i="23"/>
  <c r="H1327" i="23"/>
  <c r="H1319" i="23"/>
  <c r="H1320" i="23"/>
  <c r="H1311" i="23"/>
  <c r="H1312" i="23"/>
  <c r="H1304" i="23"/>
  <c r="H1296" i="23"/>
  <c r="H1297" i="23"/>
  <c r="H1289" i="23"/>
  <c r="H1281" i="23"/>
  <c r="H1274" i="23"/>
  <c r="H1276" i="23"/>
  <c r="H1266" i="23"/>
  <c r="H1270" i="23"/>
  <c r="H1259" i="23"/>
  <c r="H1263" i="23"/>
  <c r="H1251" i="23"/>
  <c r="H1253" i="23"/>
  <c r="H1244" i="23"/>
  <c r="H1236" i="23"/>
  <c r="H1229" i="23"/>
  <c r="H1233" i="23"/>
  <c r="H1221" i="23"/>
  <c r="H1223" i="23"/>
  <c r="H1214" i="23"/>
  <c r="H1218" i="23"/>
  <c r="H1206" i="23"/>
  <c r="H1210" i="23"/>
  <c r="H1199" i="23"/>
  <c r="H1192" i="23"/>
  <c r="H1194" i="23"/>
  <c r="H1185" i="23"/>
  <c r="H1186" i="23"/>
  <c r="H1178" i="23"/>
  <c r="H1180" i="23"/>
  <c r="H1171" i="23"/>
  <c r="H1172" i="23"/>
  <c r="H1164" i="23"/>
  <c r="H1157" i="23"/>
  <c r="H1150" i="23"/>
  <c r="H1152" i="23"/>
  <c r="H1143" i="23"/>
  <c r="H1146" i="23"/>
  <c r="H1136" i="23"/>
  <c r="H1129" i="23"/>
  <c r="H1120" i="23"/>
  <c r="H1125" i="23"/>
  <c r="H1111" i="23"/>
  <c r="H1102" i="23"/>
  <c r="H1093" i="23"/>
  <c r="H1084" i="23"/>
  <c r="H1077" i="23"/>
  <c r="H1070" i="23"/>
  <c r="H1063" i="23"/>
  <c r="H1065" i="23"/>
  <c r="H1056" i="23"/>
  <c r="H1049" i="23"/>
  <c r="H1042" i="23"/>
  <c r="H1043" i="23"/>
  <c r="H1035" i="23"/>
  <c r="H1037" i="23"/>
  <c r="H1028" i="23"/>
  <c r="H1031" i="23"/>
  <c r="H1021" i="23"/>
  <c r="H1025" i="23"/>
  <c r="H1014" i="23"/>
  <c r="H1017" i="23"/>
  <c r="H1007" i="23"/>
  <c r="H1009" i="23"/>
  <c r="H999" i="23"/>
  <c r="H1001" i="23"/>
  <c r="H991" i="23"/>
  <c r="H984" i="23"/>
  <c r="H977" i="23"/>
  <c r="H979" i="23"/>
  <c r="H970" i="23"/>
  <c r="H972" i="23"/>
  <c r="H963" i="23"/>
  <c r="H965" i="23"/>
  <c r="H956" i="23"/>
  <c r="H958" i="23"/>
  <c r="H949" i="23"/>
  <c r="H951" i="23"/>
  <c r="H941" i="23"/>
  <c r="H944" i="23"/>
  <c r="H934" i="23"/>
  <c r="H938" i="23"/>
  <c r="H927" i="23"/>
  <c r="H929" i="23"/>
  <c r="H920" i="23"/>
  <c r="H921" i="23"/>
  <c r="H913" i="23"/>
  <c r="H916" i="23"/>
  <c r="H906" i="23"/>
  <c r="H908" i="23"/>
  <c r="H899" i="23"/>
  <c r="H900" i="23"/>
  <c r="H892" i="23"/>
  <c r="H893" i="23"/>
  <c r="H885" i="23"/>
  <c r="H877" i="23"/>
  <c r="H869" i="23"/>
  <c r="H870" i="23"/>
  <c r="H861" i="23"/>
  <c r="H854" i="23"/>
  <c r="H846" i="23"/>
  <c r="H838" i="23"/>
  <c r="H830" i="23"/>
  <c r="H835" i="23"/>
  <c r="H821" i="23"/>
  <c r="H812" i="23"/>
  <c r="H814" i="23"/>
  <c r="H804" i="23"/>
  <c r="H806" i="23"/>
  <c r="H796" i="23"/>
  <c r="H797" i="23"/>
  <c r="H788" i="23"/>
  <c r="H792" i="23"/>
  <c r="H780" i="23"/>
  <c r="H784" i="23"/>
  <c r="H772" i="23"/>
  <c r="H773" i="23"/>
  <c r="H764" i="23"/>
  <c r="H766" i="23"/>
  <c r="H756" i="23"/>
  <c r="H748" i="23"/>
  <c r="H741" i="23"/>
  <c r="H734" i="23"/>
  <c r="H737" i="23"/>
  <c r="H727" i="23"/>
  <c r="H728" i="23"/>
  <c r="H720" i="23"/>
  <c r="H722" i="23"/>
  <c r="H713" i="23"/>
  <c r="H714" i="23"/>
  <c r="H706" i="23"/>
  <c r="H699" i="23"/>
  <c r="H692" i="23"/>
  <c r="H683" i="23"/>
  <c r="H675" i="23"/>
  <c r="H679" i="23"/>
  <c r="H667" i="23"/>
  <c r="H671" i="23"/>
  <c r="H660" i="23"/>
  <c r="H661" i="23"/>
  <c r="H653" i="23"/>
  <c r="H654" i="23"/>
  <c r="H646" i="23"/>
  <c r="H649" i="23"/>
  <c r="H639" i="23"/>
  <c r="H642" i="23"/>
  <c r="H632" i="23"/>
  <c r="H625" i="23"/>
  <c r="H626" i="23"/>
  <c r="H618" i="23"/>
  <c r="H619" i="23"/>
  <c r="H611" i="23"/>
  <c r="H612" i="23"/>
  <c r="H604" i="23"/>
  <c r="H596" i="23"/>
  <c r="H600" i="23"/>
  <c r="H588" i="23"/>
  <c r="H580" i="23"/>
  <c r="H581" i="23"/>
  <c r="H573" i="23"/>
  <c r="H566" i="23"/>
  <c r="H559" i="23"/>
  <c r="H561" i="23"/>
  <c r="H552" i="23"/>
  <c r="H554" i="23"/>
  <c r="H545" i="23"/>
  <c r="H538" i="23"/>
  <c r="H539" i="23"/>
  <c r="H531" i="23"/>
  <c r="H524" i="23"/>
  <c r="H526" i="23"/>
  <c r="H517" i="23"/>
  <c r="H519" i="23"/>
  <c r="H510" i="23"/>
  <c r="H512" i="23"/>
  <c r="H503" i="23"/>
  <c r="H496" i="23"/>
  <c r="H489" i="23"/>
  <c r="H492" i="23"/>
  <c r="H482" i="23"/>
  <c r="H483" i="23"/>
  <c r="H475" i="23"/>
  <c r="H468" i="23"/>
  <c r="H469" i="23"/>
  <c r="H461" i="23"/>
  <c r="H463" i="23"/>
  <c r="H453" i="23"/>
  <c r="H456" i="23"/>
  <c r="H446" i="23"/>
  <c r="H447" i="23"/>
  <c r="H438" i="23"/>
  <c r="H439" i="23"/>
  <c r="H442" i="23"/>
  <c r="H431" i="23"/>
  <c r="H434" i="23"/>
  <c r="H424" i="23"/>
  <c r="H428" i="23"/>
  <c r="H417" i="23"/>
  <c r="H418" i="23"/>
  <c r="H410" i="23"/>
  <c r="H411" i="23"/>
  <c r="H403" i="23"/>
  <c r="H407" i="23"/>
  <c r="H396" i="23"/>
  <c r="H400" i="23"/>
  <c r="H389" i="23"/>
  <c r="H382" i="23"/>
  <c r="H375" i="23"/>
  <c r="H368" i="23"/>
  <c r="H372" i="23"/>
  <c r="H361" i="23"/>
  <c r="H365" i="23"/>
  <c r="H353" i="23"/>
  <c r="H345" i="23"/>
  <c r="H349" i="23"/>
  <c r="H338" i="23"/>
  <c r="H331" i="23"/>
  <c r="H324" i="23"/>
  <c r="H317" i="23"/>
  <c r="H310" i="23"/>
  <c r="H314" i="23"/>
  <c r="H302" i="23"/>
  <c r="H304" i="23"/>
  <c r="H294" i="23"/>
  <c r="H298" i="23"/>
  <c r="H286" i="23"/>
  <c r="H278" i="23"/>
  <c r="H279" i="23"/>
  <c r="H270" i="23"/>
  <c r="H271" i="23"/>
  <c r="H262" i="23"/>
  <c r="H263" i="23"/>
  <c r="H254" i="23"/>
  <c r="H256" i="23"/>
  <c r="H246" i="23"/>
  <c r="H247" i="23"/>
  <c r="H238" i="23"/>
  <c r="H242" i="23"/>
  <c r="H230" i="23"/>
  <c r="H234" i="23"/>
  <c r="H222" i="23"/>
  <c r="H214" i="23"/>
  <c r="H206" i="23"/>
  <c r="H198" i="23"/>
  <c r="H190" i="23"/>
  <c r="H194" i="23"/>
  <c r="H182" i="23"/>
  <c r="H174" i="23"/>
  <c r="H166" i="23"/>
  <c r="H170" i="23"/>
  <c r="H157" i="23"/>
  <c r="H159" i="23"/>
  <c r="H149" i="23"/>
  <c r="H153" i="23"/>
  <c r="H141" i="23"/>
  <c r="H133" i="23"/>
  <c r="H125" i="23"/>
  <c r="H127" i="23"/>
  <c r="H117" i="23"/>
  <c r="H109" i="23"/>
  <c r="H101" i="23"/>
  <c r="H93" i="23"/>
  <c r="H85" i="23"/>
  <c r="H77" i="23"/>
  <c r="H69" i="23"/>
  <c r="H61" i="23"/>
  <c r="H53" i="23"/>
  <c r="H45" i="23"/>
  <c r="H49" i="23"/>
  <c r="H37" i="23"/>
  <c r="H29" i="23"/>
  <c r="H30" i="23"/>
  <c r="H22" i="23"/>
  <c r="H26" i="23"/>
  <c r="H14" i="23"/>
  <c r="H6" i="23"/>
  <c r="H7" i="23"/>
  <c r="E218" i="31"/>
  <c r="E217" i="31"/>
  <c r="D217" i="31"/>
  <c r="D219" i="31"/>
  <c r="D155" i="31"/>
  <c r="E150" i="31"/>
  <c r="D150" i="31"/>
  <c r="E149" i="31"/>
  <c r="D149" i="31"/>
  <c r="D147" i="31"/>
  <c r="E145" i="31"/>
  <c r="D145" i="31"/>
  <c r="D118" i="31"/>
  <c r="E111" i="31"/>
  <c r="D111" i="31"/>
  <c r="E103" i="31"/>
  <c r="D103" i="31"/>
  <c r="E93" i="31"/>
  <c r="D93" i="31"/>
  <c r="E92" i="31"/>
  <c r="D92" i="31"/>
  <c r="E79" i="31"/>
  <c r="D79" i="31"/>
  <c r="E77" i="31"/>
  <c r="D77" i="31"/>
  <c r="E76" i="31"/>
  <c r="D76" i="31"/>
  <c r="E75" i="31"/>
  <c r="D75" i="31"/>
  <c r="E74" i="31"/>
  <c r="D74" i="31"/>
  <c r="E73" i="31"/>
  <c r="D73" i="31"/>
  <c r="E72" i="31"/>
  <c r="D72" i="31"/>
  <c r="E65" i="31"/>
  <c r="D65" i="31"/>
  <c r="D59" i="31"/>
  <c r="D66" i="31"/>
  <c r="E57" i="31"/>
  <c r="D57" i="31"/>
  <c r="E51" i="31"/>
  <c r="E46" i="31"/>
  <c r="D46" i="31"/>
  <c r="D44" i="31"/>
  <c r="E43" i="31"/>
  <c r="C38" i="31"/>
  <c r="D36" i="31"/>
  <c r="E34" i="31"/>
  <c r="D34" i="31"/>
  <c r="E7" i="31"/>
  <c r="E5" i="31"/>
  <c r="E18" i="31"/>
  <c r="E17" i="31"/>
  <c r="D17" i="31"/>
  <c r="E19" i="31"/>
  <c r="D19" i="31"/>
  <c r="E30" i="31"/>
  <c r="D30" i="31"/>
  <c r="E28" i="31"/>
  <c r="D28" i="31"/>
  <c r="E27" i="31"/>
  <c r="D27" i="31"/>
  <c r="E26" i="31"/>
  <c r="D26" i="31"/>
  <c r="E140" i="31"/>
  <c r="D140" i="31"/>
  <c r="B36" i="2"/>
  <c r="D5" i="31"/>
  <c r="H106" i="34"/>
  <c r="H105" i="34"/>
  <c r="K17" i="34"/>
  <c r="H317" i="2"/>
  <c r="H316" i="2"/>
  <c r="H315" i="2"/>
  <c r="H314" i="2"/>
  <c r="H312" i="2"/>
  <c r="H311" i="2"/>
  <c r="H310" i="2"/>
  <c r="H309" i="2"/>
  <c r="H308" i="2"/>
  <c r="H307" i="2"/>
  <c r="H306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G276" i="2"/>
  <c r="H57" i="34"/>
  <c r="I57" i="34"/>
  <c r="G275" i="2"/>
  <c r="H56" i="34"/>
  <c r="G274" i="2"/>
  <c r="H55" i="34"/>
  <c r="G273" i="2"/>
  <c r="H54" i="34"/>
  <c r="G272" i="2"/>
  <c r="H53" i="34"/>
  <c r="L53" i="34"/>
  <c r="G271" i="2"/>
  <c r="H52" i="34"/>
  <c r="G270" i="2"/>
  <c r="G269" i="2"/>
  <c r="H50" i="34"/>
  <c r="I50" i="34"/>
  <c r="G268" i="2"/>
  <c r="G267" i="2"/>
  <c r="H48" i="34"/>
  <c r="G266" i="2"/>
  <c r="H47" i="34"/>
  <c r="L47" i="34"/>
  <c r="G265" i="2"/>
  <c r="H46" i="34"/>
  <c r="G264" i="2"/>
  <c r="H45" i="34"/>
  <c r="G263" i="2"/>
  <c r="H44" i="34"/>
  <c r="G262" i="2"/>
  <c r="H43" i="34"/>
  <c r="L43" i="34"/>
  <c r="G261" i="2"/>
  <c r="H42" i="34"/>
  <c r="G260" i="2"/>
  <c r="H41" i="34"/>
  <c r="G259" i="2"/>
  <c r="G258" i="2"/>
  <c r="H39" i="34"/>
  <c r="G257" i="2"/>
  <c r="G256" i="2"/>
  <c r="H37" i="34"/>
  <c r="I37" i="34"/>
  <c r="G253" i="2"/>
  <c r="H32" i="34"/>
  <c r="G252" i="2"/>
  <c r="H31" i="34"/>
  <c r="L31" i="34"/>
  <c r="C237" i="31"/>
  <c r="C236" i="31"/>
  <c r="C235" i="31"/>
  <c r="C233" i="31"/>
  <c r="C232" i="31"/>
  <c r="C231" i="31"/>
  <c r="C230" i="31"/>
  <c r="C229" i="31"/>
  <c r="C228" i="31"/>
  <c r="C227" i="31"/>
  <c r="C225" i="31"/>
  <c r="C218" i="31"/>
  <c r="C217" i="31"/>
  <c r="C216" i="31"/>
  <c r="C215" i="31"/>
  <c r="C214" i="31"/>
  <c r="C211" i="31"/>
  <c r="C208" i="31"/>
  <c r="C207" i="31"/>
  <c r="C206" i="31"/>
  <c r="C205" i="31"/>
  <c r="C198" i="31"/>
  <c r="C197" i="31"/>
  <c r="C193" i="31"/>
  <c r="C192" i="31"/>
  <c r="C191" i="31"/>
  <c r="C189" i="31"/>
  <c r="C188" i="31"/>
  <c r="C187" i="31"/>
  <c r="C185" i="31"/>
  <c r="C184" i="31"/>
  <c r="C183" i="31"/>
  <c r="C182" i="31"/>
  <c r="C177" i="31"/>
  <c r="C176" i="31"/>
  <c r="C175" i="31"/>
  <c r="C174" i="31"/>
  <c r="C173" i="31"/>
  <c r="C172" i="31"/>
  <c r="C171" i="31"/>
  <c r="C170" i="31"/>
  <c r="C169" i="31"/>
  <c r="C168" i="31"/>
  <c r="C167" i="31"/>
  <c r="C166" i="31"/>
  <c r="C160" i="31"/>
  <c r="C159" i="31"/>
  <c r="C158" i="31"/>
  <c r="C156" i="31"/>
  <c r="C154" i="31"/>
  <c r="C149" i="31"/>
  <c r="C145" i="31"/>
  <c r="C144" i="31"/>
  <c r="C143" i="31"/>
  <c r="C142" i="31"/>
  <c r="C141" i="31"/>
  <c r="C140" i="31"/>
  <c r="C139" i="31"/>
  <c r="C138" i="31"/>
  <c r="C137" i="31"/>
  <c r="C136" i="31"/>
  <c r="C135" i="31"/>
  <c r="C134" i="31"/>
  <c r="C133" i="31"/>
  <c r="C132" i="31"/>
  <c r="C131" i="31"/>
  <c r="C120" i="31"/>
  <c r="C119" i="31"/>
  <c r="C117" i="31"/>
  <c r="C116" i="31"/>
  <c r="C115" i="31"/>
  <c r="C114" i="31"/>
  <c r="C113" i="31"/>
  <c r="C112" i="31"/>
  <c r="C110" i="31"/>
  <c r="C101" i="31"/>
  <c r="C100" i="31"/>
  <c r="C90" i="31"/>
  <c r="C89" i="31"/>
  <c r="C87" i="31"/>
  <c r="C86" i="31"/>
  <c r="C84" i="31"/>
  <c r="C83" i="31"/>
  <c r="C78" i="31"/>
  <c r="C67" i="31"/>
  <c r="C66" i="31"/>
  <c r="C65" i="31"/>
  <c r="C61" i="31"/>
  <c r="C57" i="31"/>
  <c r="C56" i="31"/>
  <c r="C55" i="31"/>
  <c r="C48" i="31"/>
  <c r="C47" i="31"/>
  <c r="C46" i="31"/>
  <c r="C45" i="31"/>
  <c r="C44" i="31"/>
  <c r="C43" i="31"/>
  <c r="C42" i="31"/>
  <c r="C41" i="31"/>
  <c r="C40" i="31"/>
  <c r="C39" i="31"/>
  <c r="C27" i="31"/>
  <c r="C25" i="31"/>
  <c r="C21" i="31"/>
  <c r="C20" i="31"/>
  <c r="C18" i="31"/>
  <c r="C17" i="31"/>
  <c r="C12" i="31"/>
  <c r="C6" i="31"/>
  <c r="C3" i="31"/>
  <c r="C2" i="31"/>
  <c r="G4" i="34"/>
  <c r="K4" i="34"/>
  <c r="G5" i="34"/>
  <c r="J5" i="34"/>
  <c r="K5" i="34"/>
  <c r="G6" i="34"/>
  <c r="J6" i="34"/>
  <c r="K6" i="34"/>
  <c r="G7" i="34"/>
  <c r="K7" i="34"/>
  <c r="G8" i="34"/>
  <c r="K8" i="34"/>
  <c r="G9" i="34"/>
  <c r="K9" i="34"/>
  <c r="G10" i="34"/>
  <c r="K10" i="34"/>
  <c r="G11" i="34"/>
  <c r="K11" i="34"/>
  <c r="G12" i="34"/>
  <c r="K12" i="34"/>
  <c r="G13" i="34"/>
  <c r="J13" i="34"/>
  <c r="K13" i="34"/>
  <c r="G14" i="34"/>
  <c r="K14" i="34"/>
  <c r="G15" i="34"/>
  <c r="K15" i="34"/>
  <c r="G16" i="34"/>
  <c r="K16" i="34"/>
  <c r="G17" i="34"/>
  <c r="G18" i="34"/>
  <c r="K18" i="34"/>
  <c r="G19" i="34"/>
  <c r="K19" i="34"/>
  <c r="G20" i="34"/>
  <c r="K20" i="34"/>
  <c r="G21" i="34"/>
  <c r="K21" i="34"/>
  <c r="G22" i="34"/>
  <c r="K22" i="34"/>
  <c r="G23" i="34"/>
  <c r="K23" i="34"/>
  <c r="G24" i="34"/>
  <c r="K24" i="34"/>
  <c r="G25" i="34"/>
  <c r="K25" i="34"/>
  <c r="G26" i="34"/>
  <c r="K26" i="34"/>
  <c r="G27" i="34"/>
  <c r="K27" i="34"/>
  <c r="G28" i="34"/>
  <c r="K28" i="34"/>
  <c r="G29" i="34"/>
  <c r="K29" i="34"/>
  <c r="G30" i="34"/>
  <c r="K30" i="34"/>
  <c r="G31" i="34"/>
  <c r="K31" i="34"/>
  <c r="G32" i="34"/>
  <c r="K32" i="34"/>
  <c r="G36" i="34"/>
  <c r="K36" i="34"/>
  <c r="G37" i="34"/>
  <c r="K37" i="34"/>
  <c r="G38" i="34"/>
  <c r="K38" i="34"/>
  <c r="G39" i="34"/>
  <c r="K39" i="34"/>
  <c r="G40" i="34"/>
  <c r="K40" i="34"/>
  <c r="G41" i="34"/>
  <c r="K41" i="34"/>
  <c r="G42" i="34"/>
  <c r="K42" i="34"/>
  <c r="G43" i="34"/>
  <c r="K43" i="34"/>
  <c r="G44" i="34"/>
  <c r="K44" i="34"/>
  <c r="G45" i="34"/>
  <c r="K45" i="34"/>
  <c r="G46" i="34"/>
  <c r="K46" i="34"/>
  <c r="G47" i="34"/>
  <c r="K47" i="34"/>
  <c r="G48" i="34"/>
  <c r="K48" i="34"/>
  <c r="G49" i="34"/>
  <c r="K49" i="34"/>
  <c r="G50" i="34"/>
  <c r="K50" i="34"/>
  <c r="G51" i="34"/>
  <c r="K51" i="34"/>
  <c r="G52" i="34"/>
  <c r="K52" i="34"/>
  <c r="G53" i="34"/>
  <c r="K53" i="34"/>
  <c r="G54" i="34"/>
  <c r="K54" i="34"/>
  <c r="G55" i="34"/>
  <c r="K55" i="34"/>
  <c r="G56" i="34"/>
  <c r="K56" i="34"/>
  <c r="G57" i="34"/>
  <c r="K57" i="34"/>
  <c r="G61" i="34"/>
  <c r="K61" i="34"/>
  <c r="G62" i="34"/>
  <c r="K62" i="34"/>
  <c r="G63" i="34"/>
  <c r="K63" i="34"/>
  <c r="G64" i="34"/>
  <c r="K64" i="34"/>
  <c r="G65" i="34"/>
  <c r="J65" i="34"/>
  <c r="K65" i="34"/>
  <c r="G66" i="34"/>
  <c r="K66" i="34"/>
  <c r="G67" i="34"/>
  <c r="K67" i="34"/>
  <c r="G68" i="34"/>
  <c r="K68" i="34"/>
  <c r="G69" i="34"/>
  <c r="K69" i="34"/>
  <c r="K70" i="34"/>
  <c r="J71" i="34"/>
  <c r="G72" i="34"/>
  <c r="K72" i="34"/>
  <c r="G73" i="34"/>
  <c r="K73" i="34"/>
  <c r="G74" i="34"/>
  <c r="K74" i="34"/>
  <c r="G75" i="34"/>
  <c r="K75" i="34"/>
  <c r="G76" i="34"/>
  <c r="K76" i="34"/>
  <c r="G77" i="34"/>
  <c r="K77" i="34"/>
  <c r="G78" i="34"/>
  <c r="K78" i="34"/>
  <c r="G79" i="34"/>
  <c r="J79" i="34"/>
  <c r="G80" i="34"/>
  <c r="K80" i="34"/>
  <c r="G81" i="34"/>
  <c r="J81" i="34"/>
  <c r="G82" i="34"/>
  <c r="K82" i="34"/>
  <c r="G83" i="34"/>
  <c r="K83" i="34"/>
  <c r="G84" i="34"/>
  <c r="K84" i="34"/>
  <c r="G85" i="34"/>
  <c r="K85" i="34"/>
  <c r="G86" i="34"/>
  <c r="K86" i="34"/>
  <c r="G87" i="34"/>
  <c r="K87" i="34"/>
  <c r="G91" i="34"/>
  <c r="K91" i="34"/>
  <c r="G92" i="34"/>
  <c r="K92" i="34"/>
  <c r="G93" i="34"/>
  <c r="K93" i="34"/>
  <c r="G94" i="34"/>
  <c r="K94" i="34"/>
  <c r="G95" i="34"/>
  <c r="K95" i="34"/>
  <c r="G96" i="34"/>
  <c r="K96" i="34"/>
  <c r="G97" i="34"/>
  <c r="K97" i="34"/>
  <c r="G101" i="34"/>
  <c r="K101" i="34"/>
  <c r="G102" i="34"/>
  <c r="K102" i="34"/>
  <c r="G103" i="34"/>
  <c r="K103" i="34"/>
  <c r="G104" i="34"/>
  <c r="K104" i="34"/>
  <c r="G105" i="34"/>
  <c r="I105" i="34"/>
  <c r="K105" i="34"/>
  <c r="L105" i="34"/>
  <c r="G106" i="34"/>
  <c r="I106" i="34"/>
  <c r="K106" i="34"/>
  <c r="L106" i="34"/>
  <c r="E237" i="31"/>
  <c r="D237" i="31"/>
  <c r="E236" i="31"/>
  <c r="D236" i="31"/>
  <c r="E234" i="31"/>
  <c r="D234" i="31"/>
  <c r="E233" i="31"/>
  <c r="D233" i="31"/>
  <c r="E232" i="31"/>
  <c r="D232" i="31"/>
  <c r="E231" i="31"/>
  <c r="D231" i="31"/>
  <c r="E228" i="31"/>
  <c r="D228" i="31"/>
  <c r="E235" i="31"/>
  <c r="D235" i="31"/>
  <c r="E227" i="31"/>
  <c r="D227" i="31"/>
  <c r="E226" i="31"/>
  <c r="D226" i="31"/>
  <c r="E225" i="31"/>
  <c r="D225" i="31"/>
  <c r="E220" i="31"/>
  <c r="D220" i="31"/>
  <c r="E219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D208" i="31"/>
  <c r="E208" i="31"/>
  <c r="E207" i="31"/>
  <c r="D207" i="31"/>
  <c r="E206" i="31"/>
  <c r="D206" i="31"/>
  <c r="E205" i="31"/>
  <c r="D205" i="31"/>
  <c r="E204" i="31"/>
  <c r="D204" i="31"/>
  <c r="E200" i="31"/>
  <c r="D200" i="31"/>
  <c r="E199" i="31"/>
  <c r="D199" i="31"/>
  <c r="E198" i="31"/>
  <c r="D198" i="31"/>
  <c r="E197" i="31"/>
  <c r="D197" i="31"/>
  <c r="E196" i="31"/>
  <c r="D196" i="31"/>
  <c r="E195" i="31"/>
  <c r="D195" i="3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E187" i="31"/>
  <c r="D187" i="31"/>
  <c r="E185" i="31"/>
  <c r="D185" i="31"/>
  <c r="E183" i="31"/>
  <c r="D183" i="31"/>
  <c r="E177" i="31"/>
  <c r="D177" i="31"/>
  <c r="E175" i="31"/>
  <c r="D175" i="31"/>
  <c r="E174" i="31"/>
  <c r="D174" i="31"/>
  <c r="E173" i="31"/>
  <c r="D173" i="31"/>
  <c r="E172" i="31"/>
  <c r="D172" i="31"/>
  <c r="D170" i="31"/>
  <c r="E171" i="31"/>
  <c r="D171" i="31"/>
  <c r="E170" i="31"/>
  <c r="E169" i="31"/>
  <c r="D169" i="31"/>
  <c r="E168" i="31"/>
  <c r="D168" i="31"/>
  <c r="E167" i="31"/>
  <c r="D167" i="31"/>
  <c r="E166" i="31"/>
  <c r="D166" i="31"/>
  <c r="E161" i="31"/>
  <c r="D161" i="31"/>
  <c r="D160" i="31"/>
  <c r="E160" i="31"/>
  <c r="E159" i="31"/>
  <c r="D159" i="31"/>
  <c r="E158" i="31"/>
  <c r="D158" i="31"/>
  <c r="E157" i="31"/>
  <c r="D157" i="31"/>
  <c r="E156" i="31"/>
  <c r="D156" i="31"/>
  <c r="E155" i="31"/>
  <c r="E148" i="31"/>
  <c r="D148" i="31"/>
  <c r="E147" i="31"/>
  <c r="E146" i="31"/>
  <c r="D146" i="31"/>
  <c r="E141" i="31"/>
  <c r="D141" i="31"/>
  <c r="E139" i="31"/>
  <c r="D139" i="31"/>
  <c r="D138" i="31"/>
  <c r="E138" i="31"/>
  <c r="E136" i="31"/>
  <c r="D136" i="31"/>
  <c r="E135" i="31"/>
  <c r="D135" i="31"/>
  <c r="E134" i="31"/>
  <c r="D134" i="31"/>
  <c r="E133" i="31"/>
  <c r="D133" i="31"/>
  <c r="E132" i="31"/>
  <c r="D132" i="31"/>
  <c r="E131" i="31"/>
  <c r="D131" i="31"/>
  <c r="E127" i="31"/>
  <c r="D127" i="31"/>
  <c r="E126" i="31"/>
  <c r="D126" i="31"/>
  <c r="D230" i="31"/>
  <c r="D229" i="31"/>
  <c r="D218" i="31"/>
  <c r="D216" i="31"/>
  <c r="D186" i="31"/>
  <c r="D184" i="31"/>
  <c r="D182" i="31"/>
  <c r="D181" i="31"/>
  <c r="D180" i="31"/>
  <c r="D179" i="31"/>
  <c r="D178" i="31"/>
  <c r="D176" i="31"/>
  <c r="D154" i="31"/>
  <c r="D144" i="31"/>
  <c r="D143" i="31"/>
  <c r="D142" i="31"/>
  <c r="D137" i="31"/>
  <c r="D125" i="31"/>
  <c r="D124" i="31"/>
  <c r="D120" i="31"/>
  <c r="D119" i="31"/>
  <c r="D117" i="31"/>
  <c r="D116" i="31"/>
  <c r="D115" i="31"/>
  <c r="D114" i="31"/>
  <c r="D113" i="31"/>
  <c r="D112" i="31"/>
  <c r="D110" i="31"/>
  <c r="D106" i="31"/>
  <c r="D105" i="31"/>
  <c r="D104" i="31"/>
  <c r="D102" i="31"/>
  <c r="D101" i="31"/>
  <c r="D100" i="31"/>
  <c r="D99" i="31"/>
  <c r="D98" i="31"/>
  <c r="D91" i="31"/>
  <c r="D90" i="31"/>
  <c r="D89" i="31"/>
  <c r="D88" i="31"/>
  <c r="D87" i="31"/>
  <c r="D86" i="31"/>
  <c r="D85" i="31"/>
  <c r="D84" i="31"/>
  <c r="D83" i="31"/>
  <c r="D78" i="31"/>
  <c r="D68" i="31"/>
  <c r="D67" i="31"/>
  <c r="D64" i="31"/>
  <c r="D63" i="31"/>
  <c r="D62" i="31"/>
  <c r="D61" i="31"/>
  <c r="D60" i="31"/>
  <c r="D58" i="31"/>
  <c r="D56" i="31"/>
  <c r="D55" i="31"/>
  <c r="D51" i="31"/>
  <c r="D50" i="31"/>
  <c r="D49" i="31"/>
  <c r="D48" i="31"/>
  <c r="D47" i="31"/>
  <c r="D45" i="31"/>
  <c r="D43" i="31"/>
  <c r="D42" i="31"/>
  <c r="D41" i="31"/>
  <c r="D40" i="31"/>
  <c r="D39" i="31"/>
  <c r="D38" i="31"/>
  <c r="D37" i="31"/>
  <c r="D35" i="31"/>
  <c r="D29" i="31"/>
  <c r="D25" i="31"/>
  <c r="D21" i="31"/>
  <c r="D20" i="31"/>
  <c r="D18" i="31"/>
  <c r="D13" i="31"/>
  <c r="D12" i="31"/>
  <c r="D11" i="31"/>
  <c r="D10" i="31"/>
  <c r="D9" i="31"/>
  <c r="D8" i="31"/>
  <c r="D7" i="31"/>
  <c r="D6" i="31"/>
  <c r="D4" i="31"/>
  <c r="D3" i="31"/>
  <c r="E125" i="31"/>
  <c r="E124" i="31"/>
  <c r="E120" i="31"/>
  <c r="E119" i="31"/>
  <c r="E117" i="31"/>
  <c r="E116" i="31"/>
  <c r="E115" i="31"/>
  <c r="E114" i="31"/>
  <c r="E113" i="31"/>
  <c r="E112" i="31"/>
  <c r="E110" i="31"/>
  <c r="E106" i="31"/>
  <c r="E105" i="31"/>
  <c r="E104" i="31"/>
  <c r="E102" i="31"/>
  <c r="E101" i="31"/>
  <c r="E100" i="31"/>
  <c r="E99" i="31"/>
  <c r="E98" i="31"/>
  <c r="E91" i="31"/>
  <c r="E90" i="31"/>
  <c r="E89" i="31"/>
  <c r="E88" i="31"/>
  <c r="E87" i="31"/>
  <c r="E86" i="31"/>
  <c r="E85" i="31"/>
  <c r="E84" i="31"/>
  <c r="E83" i="31"/>
  <c r="E78" i="31"/>
  <c r="E63" i="31"/>
  <c r="E50" i="31"/>
  <c r="E49" i="31"/>
  <c r="E48" i="31"/>
  <c r="E44" i="31"/>
  <c r="E36" i="31"/>
  <c r="E10" i="31"/>
  <c r="E9" i="31"/>
  <c r="E8" i="31"/>
  <c r="A7" i="31"/>
  <c r="A234" i="31"/>
  <c r="A233" i="31"/>
  <c r="A232" i="31"/>
  <c r="A231" i="31"/>
  <c r="A228" i="31"/>
  <c r="A226" i="31"/>
  <c r="A225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5" i="31"/>
  <c r="A183" i="31"/>
  <c r="A177" i="31"/>
  <c r="A175" i="31"/>
  <c r="A174" i="31"/>
  <c r="A173" i="31"/>
  <c r="A172" i="31"/>
  <c r="A171" i="31"/>
  <c r="A170" i="31"/>
  <c r="A169" i="31"/>
  <c r="A168" i="31"/>
  <c r="A167" i="31"/>
  <c r="A166" i="31"/>
  <c r="A161" i="31"/>
  <c r="A160" i="31"/>
  <c r="A159" i="31"/>
  <c r="A158" i="31"/>
  <c r="A157" i="31"/>
  <c r="A156" i="31"/>
  <c r="A155" i="31"/>
  <c r="A149" i="31"/>
  <c r="A147" i="31"/>
  <c r="A146" i="31"/>
  <c r="A145" i="31"/>
  <c r="A144" i="31"/>
  <c r="A143" i="31"/>
  <c r="A142" i="31"/>
  <c r="A141" i="31"/>
  <c r="A139" i="31"/>
  <c r="A138" i="31"/>
  <c r="A135" i="31"/>
  <c r="A134" i="31"/>
  <c r="A133" i="31"/>
  <c r="A132" i="31"/>
  <c r="A131" i="31"/>
  <c r="A125" i="31"/>
  <c r="A124" i="31"/>
  <c r="A120" i="31"/>
  <c r="A119" i="31"/>
  <c r="A117" i="31"/>
  <c r="A116" i="31"/>
  <c r="A115" i="31"/>
  <c r="A114" i="31"/>
  <c r="A113" i="31"/>
  <c r="A112" i="31"/>
  <c r="A111" i="31"/>
  <c r="A110" i="31"/>
  <c r="A102" i="31"/>
  <c r="A101" i="31"/>
  <c r="A100" i="31"/>
  <c r="A99" i="31"/>
  <c r="A98" i="31"/>
  <c r="A90" i="31"/>
  <c r="A89" i="31"/>
  <c r="A88" i="31"/>
  <c r="A87" i="31"/>
  <c r="A86" i="31"/>
  <c r="A85" i="31"/>
  <c r="A84" i="31"/>
  <c r="A83" i="31"/>
  <c r="A78" i="31"/>
  <c r="A77" i="31"/>
  <c r="A76" i="31"/>
  <c r="A75" i="31"/>
  <c r="A74" i="31"/>
  <c r="A73" i="31"/>
  <c r="A72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4" i="31"/>
  <c r="A27" i="31"/>
  <c r="A26" i="31"/>
  <c r="A25" i="31"/>
  <c r="A21" i="31"/>
  <c r="A20" i="31"/>
  <c r="A19" i="31"/>
  <c r="A18" i="31"/>
  <c r="A17" i="31"/>
  <c r="A12" i="31"/>
  <c r="A11" i="31"/>
  <c r="A10" i="31"/>
  <c r="A9" i="31"/>
  <c r="A8" i="31"/>
  <c r="A6" i="31"/>
  <c r="A5" i="31"/>
  <c r="A4" i="31"/>
  <c r="A3" i="31"/>
  <c r="A2" i="31"/>
  <c r="E3" i="31"/>
  <c r="E4" i="31"/>
  <c r="E6" i="31"/>
  <c r="E11" i="31"/>
  <c r="E12" i="31"/>
  <c r="E13" i="31"/>
  <c r="E20" i="31"/>
  <c r="E21" i="31"/>
  <c r="E25" i="31"/>
  <c r="E29" i="31"/>
  <c r="E35" i="31"/>
  <c r="E37" i="31"/>
  <c r="E38" i="31"/>
  <c r="E39" i="31"/>
  <c r="E40" i="31"/>
  <c r="E41" i="31"/>
  <c r="E42" i="31"/>
  <c r="E45" i="31"/>
  <c r="E47" i="31"/>
  <c r="E55" i="31"/>
  <c r="E56" i="31"/>
  <c r="E58" i="31"/>
  <c r="E59" i="31"/>
  <c r="E60" i="31"/>
  <c r="E61" i="31"/>
  <c r="E62" i="31"/>
  <c r="E64" i="31"/>
  <c r="E66" i="31"/>
  <c r="E67" i="31"/>
  <c r="E68" i="31"/>
  <c r="E118" i="31"/>
  <c r="E137" i="31"/>
  <c r="E142" i="31"/>
  <c r="E143" i="31"/>
  <c r="E144" i="31"/>
  <c r="E154" i="31"/>
  <c r="E176" i="31"/>
  <c r="E178" i="31"/>
  <c r="E179" i="31"/>
  <c r="E180" i="31"/>
  <c r="E181" i="31"/>
  <c r="E182" i="31"/>
  <c r="E184" i="31"/>
  <c r="E186" i="31"/>
  <c r="E216" i="31"/>
  <c r="E229" i="31"/>
  <c r="E230" i="31"/>
  <c r="G46" i="2"/>
  <c r="I63" i="3"/>
  <c r="E63" i="3"/>
  <c r="I6" i="23"/>
  <c r="J6" i="23"/>
  <c r="J7" i="23"/>
  <c r="H107" i="22"/>
  <c r="I14" i="23"/>
  <c r="I19" i="23"/>
  <c r="J14" i="23"/>
  <c r="I22" i="23"/>
  <c r="I23" i="23"/>
  <c r="J22" i="23"/>
  <c r="J24" i="23"/>
  <c r="I29" i="23"/>
  <c r="J29" i="23"/>
  <c r="I37" i="23"/>
  <c r="J37" i="23"/>
  <c r="I45" i="23"/>
  <c r="I50" i="23"/>
  <c r="J45" i="23"/>
  <c r="J47" i="23"/>
  <c r="I53" i="23"/>
  <c r="J53" i="23"/>
  <c r="I61" i="23"/>
  <c r="J61" i="23"/>
  <c r="I69" i="23"/>
  <c r="I71" i="23"/>
  <c r="J69" i="23"/>
  <c r="J71" i="23"/>
  <c r="I77" i="23"/>
  <c r="J77" i="23"/>
  <c r="I85" i="23"/>
  <c r="J85" i="23"/>
  <c r="I93" i="23"/>
  <c r="I97" i="23"/>
  <c r="J93" i="23"/>
  <c r="J95" i="23"/>
  <c r="I101" i="23"/>
  <c r="I103" i="23"/>
  <c r="J101" i="23"/>
  <c r="I109" i="23"/>
  <c r="I110" i="23"/>
  <c r="J109" i="23"/>
  <c r="I117" i="23"/>
  <c r="J117" i="23"/>
  <c r="J118" i="23"/>
  <c r="I125" i="23"/>
  <c r="I126" i="23"/>
  <c r="J125" i="23"/>
  <c r="J128" i="23"/>
  <c r="I133" i="23"/>
  <c r="J133" i="23"/>
  <c r="J135" i="23"/>
  <c r="I141" i="23"/>
  <c r="J141" i="23"/>
  <c r="J145" i="23"/>
  <c r="I149" i="23"/>
  <c r="J149" i="23"/>
  <c r="I157" i="23"/>
  <c r="J157" i="23"/>
  <c r="J158" i="23"/>
  <c r="I166" i="23"/>
  <c r="I167" i="23"/>
  <c r="J166" i="23"/>
  <c r="I174" i="23"/>
  <c r="I175" i="23"/>
  <c r="J174" i="23"/>
  <c r="I182" i="23"/>
  <c r="J182" i="23"/>
  <c r="J183" i="23"/>
  <c r="I190" i="23"/>
  <c r="I191" i="23"/>
  <c r="J190" i="23"/>
  <c r="J195" i="23"/>
  <c r="I198" i="23"/>
  <c r="I199" i="23"/>
  <c r="J198" i="23"/>
  <c r="J199" i="23"/>
  <c r="I206" i="23"/>
  <c r="I207" i="23"/>
  <c r="J206" i="23"/>
  <c r="J210" i="23"/>
  <c r="I214" i="23"/>
  <c r="J214" i="23"/>
  <c r="I222" i="23"/>
  <c r="J222" i="23"/>
  <c r="I230" i="23"/>
  <c r="I234" i="23"/>
  <c r="J230" i="23"/>
  <c r="I238" i="23"/>
  <c r="I240" i="23"/>
  <c r="J238" i="23"/>
  <c r="I246" i="23"/>
  <c r="I250" i="23"/>
  <c r="J246" i="23"/>
  <c r="I254" i="23"/>
  <c r="J254" i="23"/>
  <c r="I262" i="23"/>
  <c r="I267" i="23"/>
  <c r="J262" i="23"/>
  <c r="I270" i="23"/>
  <c r="I272" i="23"/>
  <c r="J270" i="23"/>
  <c r="I278" i="23"/>
  <c r="I281" i="23"/>
  <c r="J278" i="23"/>
  <c r="J282" i="23"/>
  <c r="I286" i="23"/>
  <c r="I288" i="23"/>
  <c r="J286" i="23"/>
  <c r="J290" i="23"/>
  <c r="I294" i="23"/>
  <c r="I296" i="23"/>
  <c r="J294" i="23"/>
  <c r="J297" i="23"/>
  <c r="I302" i="23"/>
  <c r="I304" i="23"/>
  <c r="J302" i="23"/>
  <c r="J306" i="23"/>
  <c r="I310" i="23"/>
  <c r="I312" i="23"/>
  <c r="J310" i="23"/>
  <c r="I317" i="23"/>
  <c r="J317" i="23"/>
  <c r="J319" i="23"/>
  <c r="I324" i="23"/>
  <c r="I328" i="23"/>
  <c r="J324" i="23"/>
  <c r="I331" i="23"/>
  <c r="J331" i="23"/>
  <c r="I338" i="23"/>
  <c r="I341" i="23"/>
  <c r="J338" i="23"/>
  <c r="J339" i="23"/>
  <c r="I345" i="23"/>
  <c r="I346" i="23"/>
  <c r="J345" i="23"/>
  <c r="J349" i="23"/>
  <c r="I353" i="23"/>
  <c r="I356" i="23"/>
  <c r="J353" i="23"/>
  <c r="J355" i="23"/>
  <c r="I361" i="23"/>
  <c r="J361" i="23"/>
  <c r="I368" i="23"/>
  <c r="I369" i="23"/>
  <c r="J368" i="23"/>
  <c r="J372" i="23"/>
  <c r="I375" i="23"/>
  <c r="J375" i="23"/>
  <c r="J377" i="23"/>
  <c r="I382" i="23"/>
  <c r="J382" i="23"/>
  <c r="I389" i="23"/>
  <c r="I393" i="23"/>
  <c r="J389" i="23"/>
  <c r="I396" i="23"/>
  <c r="I397" i="23"/>
  <c r="J396" i="23"/>
  <c r="I403" i="23"/>
  <c r="I406" i="23"/>
  <c r="J403" i="23"/>
  <c r="I410" i="23"/>
  <c r="J410" i="23"/>
  <c r="J411" i="23"/>
  <c r="I417" i="23"/>
  <c r="I421" i="23"/>
  <c r="J417" i="23"/>
  <c r="J419" i="23"/>
  <c r="I424" i="23"/>
  <c r="J424" i="23"/>
  <c r="I431" i="23"/>
  <c r="J431" i="23"/>
  <c r="I438" i="23"/>
  <c r="J438" i="23"/>
  <c r="J440" i="23"/>
  <c r="I446" i="23"/>
  <c r="I449" i="23"/>
  <c r="J446" i="23"/>
  <c r="I453" i="23"/>
  <c r="I454" i="23"/>
  <c r="J453" i="23"/>
  <c r="J456" i="23"/>
  <c r="I461" i="23"/>
  <c r="I463" i="23"/>
  <c r="J461" i="23"/>
  <c r="J463" i="23"/>
  <c r="I468" i="23"/>
  <c r="I470" i="23"/>
  <c r="J468" i="23"/>
  <c r="I475" i="23"/>
  <c r="I477" i="23"/>
  <c r="J475" i="23"/>
  <c r="J477" i="23"/>
  <c r="I482" i="23"/>
  <c r="I483" i="23"/>
  <c r="J482" i="23"/>
  <c r="I489" i="23"/>
  <c r="J489" i="23"/>
  <c r="J490" i="23"/>
  <c r="I496" i="23"/>
  <c r="I500" i="23"/>
  <c r="J496" i="23"/>
  <c r="J499" i="23"/>
  <c r="I503" i="23"/>
  <c r="I506" i="23"/>
  <c r="J503" i="23"/>
  <c r="I510" i="23"/>
  <c r="I511" i="23"/>
  <c r="J510" i="23"/>
  <c r="I517" i="23"/>
  <c r="J517" i="23"/>
  <c r="J520" i="23"/>
  <c r="I524" i="23"/>
  <c r="I525" i="23"/>
  <c r="J524" i="23"/>
  <c r="J525" i="23"/>
  <c r="I531" i="23"/>
  <c r="I532" i="23"/>
  <c r="J531" i="23"/>
  <c r="J533" i="23"/>
  <c r="I538" i="23"/>
  <c r="I540" i="23"/>
  <c r="J538" i="23"/>
  <c r="I545" i="23"/>
  <c r="I548" i="23"/>
  <c r="J545" i="23"/>
  <c r="I552" i="23"/>
  <c r="I553" i="23"/>
  <c r="J552" i="23"/>
  <c r="J554" i="23"/>
  <c r="I559" i="23"/>
  <c r="I562" i="23"/>
  <c r="J559" i="23"/>
  <c r="E567" i="23"/>
  <c r="I566" i="23"/>
  <c r="I567" i="23"/>
  <c r="J566" i="23"/>
  <c r="J568" i="23"/>
  <c r="I573" i="23"/>
  <c r="I574" i="23"/>
  <c r="J573" i="23"/>
  <c r="J577" i="23"/>
  <c r="I580" i="23"/>
  <c r="I582" i="23"/>
  <c r="J580" i="23"/>
  <c r="I588" i="23"/>
  <c r="I592" i="23"/>
  <c r="J588" i="23"/>
  <c r="J591" i="23"/>
  <c r="I596" i="23"/>
  <c r="I600" i="23"/>
  <c r="J596" i="23"/>
  <c r="J599" i="23"/>
  <c r="I604" i="23"/>
  <c r="I606" i="23"/>
  <c r="J604" i="23"/>
  <c r="J606" i="23"/>
  <c r="G612" i="23"/>
  <c r="I611" i="23"/>
  <c r="I612" i="23"/>
  <c r="J611" i="23"/>
  <c r="J614" i="23"/>
  <c r="I618" i="23"/>
  <c r="I619" i="23"/>
  <c r="J618" i="23"/>
  <c r="D629" i="23"/>
  <c r="I625" i="23"/>
  <c r="I629" i="23"/>
  <c r="J625" i="23"/>
  <c r="J626" i="23"/>
  <c r="I632" i="23"/>
  <c r="J632" i="23"/>
  <c r="J634" i="23"/>
  <c r="I639" i="23"/>
  <c r="J639" i="23"/>
  <c r="J641" i="23"/>
  <c r="I646" i="23"/>
  <c r="I649" i="23"/>
  <c r="J646" i="23"/>
  <c r="J649" i="23"/>
  <c r="I653" i="23"/>
  <c r="I654" i="23"/>
  <c r="J653" i="23"/>
  <c r="J654" i="23"/>
  <c r="I660" i="23"/>
  <c r="I662" i="23"/>
  <c r="J660" i="23"/>
  <c r="I667" i="23"/>
  <c r="J667" i="23"/>
  <c r="J670" i="23"/>
  <c r="I675" i="23"/>
  <c r="I676" i="23"/>
  <c r="J675" i="23"/>
  <c r="J676" i="23"/>
  <c r="I683" i="23"/>
  <c r="I686" i="23"/>
  <c r="J683" i="23"/>
  <c r="J684" i="23"/>
  <c r="I692" i="23"/>
  <c r="I693" i="23"/>
  <c r="J692" i="23"/>
  <c r="D701" i="23"/>
  <c r="I699" i="23"/>
  <c r="I703" i="23"/>
  <c r="J699" i="23"/>
  <c r="J700" i="23"/>
  <c r="G710" i="23"/>
  <c r="I706" i="23"/>
  <c r="J706" i="23"/>
  <c r="J708" i="23"/>
  <c r="I713" i="23"/>
  <c r="I714" i="23"/>
  <c r="J713" i="23"/>
  <c r="J714" i="23"/>
  <c r="I720" i="23"/>
  <c r="I721" i="23"/>
  <c r="J720" i="23"/>
  <c r="J722" i="23"/>
  <c r="I727" i="23"/>
  <c r="I729" i="23"/>
  <c r="J727" i="23"/>
  <c r="J728" i="23"/>
  <c r="I734" i="23"/>
  <c r="J734" i="23"/>
  <c r="J737" i="23"/>
  <c r="I741" i="23"/>
  <c r="I742" i="23"/>
  <c r="J741" i="23"/>
  <c r="J742" i="23"/>
  <c r="I748" i="23"/>
  <c r="J748" i="23"/>
  <c r="J749" i="23"/>
  <c r="I756" i="23"/>
  <c r="I758" i="23"/>
  <c r="J756" i="23"/>
  <c r="J761" i="23"/>
  <c r="I764" i="23"/>
  <c r="J764" i="23"/>
  <c r="I772" i="23"/>
  <c r="I773" i="23"/>
  <c r="J772" i="23"/>
  <c r="J775" i="23"/>
  <c r="I780" i="23"/>
  <c r="I783" i="23"/>
  <c r="J780" i="23"/>
  <c r="I788" i="23"/>
  <c r="I790" i="23"/>
  <c r="J788" i="23"/>
  <c r="G800" i="23"/>
  <c r="I796" i="23"/>
  <c r="J796" i="23"/>
  <c r="I804" i="23"/>
  <c r="I805" i="23"/>
  <c r="J804" i="23"/>
  <c r="J806" i="23"/>
  <c r="G814" i="23"/>
  <c r="I812" i="23"/>
  <c r="J812" i="23"/>
  <c r="I821" i="23"/>
  <c r="J821" i="23"/>
  <c r="I830" i="23"/>
  <c r="I832" i="23"/>
  <c r="J830" i="23"/>
  <c r="J831" i="23"/>
  <c r="I838" i="23"/>
  <c r="J838" i="23"/>
  <c r="J839" i="23"/>
  <c r="I846" i="23"/>
  <c r="J846" i="23"/>
  <c r="I854" i="23"/>
  <c r="J854" i="23"/>
  <c r="J855" i="23"/>
  <c r="I861" i="23"/>
  <c r="J861" i="23"/>
  <c r="I869" i="23"/>
  <c r="J869" i="23"/>
  <c r="I877" i="23"/>
  <c r="I878" i="23"/>
  <c r="J877" i="23"/>
  <c r="J879" i="23"/>
  <c r="D889" i="23"/>
  <c r="E887" i="23"/>
  <c r="I885" i="23"/>
  <c r="I887" i="23"/>
  <c r="J885" i="23"/>
  <c r="I892" i="23"/>
  <c r="I894" i="23"/>
  <c r="J892" i="23"/>
  <c r="J894" i="23"/>
  <c r="E903" i="23"/>
  <c r="I899" i="23"/>
  <c r="I903" i="23"/>
  <c r="J899" i="23"/>
  <c r="J900" i="23"/>
  <c r="I906" i="23"/>
  <c r="I907" i="23"/>
  <c r="J906" i="23"/>
  <c r="J907" i="23"/>
  <c r="F914" i="23"/>
  <c r="I913" i="23"/>
  <c r="I915" i="23"/>
  <c r="J913" i="23"/>
  <c r="J914" i="23"/>
  <c r="I920" i="23"/>
  <c r="J920" i="23"/>
  <c r="J922" i="23"/>
  <c r="D928" i="23"/>
  <c r="I927" i="23"/>
  <c r="I929" i="23"/>
  <c r="J927" i="23"/>
  <c r="J928" i="23"/>
  <c r="I934" i="23"/>
  <c r="J934" i="23"/>
  <c r="J936" i="23"/>
  <c r="F943" i="23"/>
  <c r="G945" i="23"/>
  <c r="I941" i="23"/>
  <c r="I945" i="23"/>
  <c r="J941" i="23"/>
  <c r="J945" i="23"/>
  <c r="D953" i="23"/>
  <c r="I949" i="23"/>
  <c r="I951" i="23"/>
  <c r="J949" i="23"/>
  <c r="J953" i="23"/>
  <c r="D960" i="23"/>
  <c r="I956" i="23"/>
  <c r="J956" i="23"/>
  <c r="J958" i="23"/>
  <c r="I963" i="23"/>
  <c r="I965" i="23"/>
  <c r="J963" i="23"/>
  <c r="J967" i="23"/>
  <c r="I970" i="23"/>
  <c r="I971" i="23"/>
  <c r="J970" i="23"/>
  <c r="J974" i="23"/>
  <c r="I977" i="23"/>
  <c r="J977" i="23"/>
  <c r="J981" i="23"/>
  <c r="F986" i="23"/>
  <c r="I984" i="23"/>
  <c r="J984" i="23"/>
  <c r="J985" i="23"/>
  <c r="I991" i="23"/>
  <c r="I995" i="23"/>
  <c r="J991" i="23"/>
  <c r="J992" i="23"/>
  <c r="I999" i="23"/>
  <c r="I1001" i="23"/>
  <c r="J999" i="23"/>
  <c r="J1003" i="23"/>
  <c r="I1007" i="23"/>
  <c r="I1011" i="23"/>
  <c r="J1007" i="23"/>
  <c r="I1014" i="23"/>
  <c r="I1018" i="23"/>
  <c r="J1014" i="23"/>
  <c r="J1016" i="23"/>
  <c r="D1025" i="23"/>
  <c r="I1021" i="23"/>
  <c r="I1024" i="23"/>
  <c r="J1021" i="23"/>
  <c r="J1023" i="23"/>
  <c r="I1028" i="23"/>
  <c r="I1030" i="23"/>
  <c r="J1028" i="23"/>
  <c r="J1030" i="23"/>
  <c r="I1035" i="23"/>
  <c r="I1039" i="23"/>
  <c r="J1035" i="23"/>
  <c r="J1039" i="23"/>
  <c r="D1043" i="23"/>
  <c r="I1042" i="23"/>
  <c r="J1042" i="23"/>
  <c r="E1050" i="23"/>
  <c r="I1049" i="23"/>
  <c r="I1053" i="23"/>
  <c r="J1049" i="23"/>
  <c r="J1053" i="23"/>
  <c r="I1056" i="23"/>
  <c r="I1060" i="23"/>
  <c r="J1056" i="23"/>
  <c r="I1063" i="23"/>
  <c r="J1063" i="23"/>
  <c r="I1070" i="23"/>
  <c r="J1070" i="23"/>
  <c r="J1072" i="23"/>
  <c r="I1077" i="23"/>
  <c r="I1080" i="23"/>
  <c r="J1077" i="23"/>
  <c r="J1079" i="23"/>
  <c r="D1086" i="23"/>
  <c r="I1084" i="23"/>
  <c r="J1084" i="23"/>
  <c r="I1093" i="23"/>
  <c r="I1096" i="23"/>
  <c r="J1093" i="23"/>
  <c r="I1102" i="23"/>
  <c r="I1107" i="23"/>
  <c r="J1102" i="23"/>
  <c r="J1107" i="23"/>
  <c r="I1111" i="23"/>
  <c r="I1117" i="23"/>
  <c r="J1111" i="23"/>
  <c r="J1114" i="23"/>
  <c r="G1125" i="23"/>
  <c r="I1120" i="23"/>
  <c r="I1126" i="23"/>
  <c r="J1120" i="23"/>
  <c r="J1126" i="23"/>
  <c r="I1129" i="23"/>
  <c r="I1133" i="23"/>
  <c r="J1129" i="23"/>
  <c r="I1136" i="23"/>
  <c r="I1138" i="23"/>
  <c r="J1136" i="23"/>
  <c r="J1137" i="23"/>
  <c r="E1144" i="23"/>
  <c r="I1143" i="23"/>
  <c r="J1143" i="23"/>
  <c r="J1145" i="23"/>
  <c r="G1152" i="23"/>
  <c r="I1150" i="23"/>
  <c r="J1150" i="23"/>
  <c r="J1152" i="23"/>
  <c r="G1161" i="23"/>
  <c r="I1157" i="23"/>
  <c r="I1159" i="23"/>
  <c r="J1157" i="23"/>
  <c r="J1159" i="23"/>
  <c r="I1164" i="23"/>
  <c r="I1168" i="23"/>
  <c r="J1164" i="23"/>
  <c r="J1166" i="23"/>
  <c r="I1171" i="23"/>
  <c r="I1175" i="23"/>
  <c r="J1171" i="23"/>
  <c r="J1174" i="23"/>
  <c r="I1178" i="23"/>
  <c r="J1178" i="23"/>
  <c r="J1180" i="23"/>
  <c r="D1187" i="23"/>
  <c r="E1189" i="23"/>
  <c r="I1185" i="23"/>
  <c r="I1186" i="23"/>
  <c r="J1185" i="23"/>
  <c r="J1187" i="23"/>
  <c r="D1194" i="23"/>
  <c r="I1192" i="23"/>
  <c r="J1192" i="23"/>
  <c r="F1201" i="23"/>
  <c r="I1199" i="23"/>
  <c r="J1199" i="23"/>
  <c r="J1200" i="23"/>
  <c r="I1206" i="23"/>
  <c r="I1210" i="23"/>
  <c r="J1206" i="23"/>
  <c r="J1210" i="23"/>
  <c r="I1214" i="23"/>
  <c r="J1214" i="23"/>
  <c r="D1223" i="23"/>
  <c r="I1221" i="23"/>
  <c r="J1221" i="23"/>
  <c r="I1229" i="23"/>
  <c r="J1229" i="23"/>
  <c r="G1240" i="23"/>
  <c r="I1236" i="23"/>
  <c r="I1240" i="23"/>
  <c r="J1236" i="23"/>
  <c r="J1239" i="23"/>
  <c r="I1244" i="23"/>
  <c r="I1245" i="23"/>
  <c r="J1244" i="23"/>
  <c r="F1253" i="23"/>
  <c r="G1255" i="23"/>
  <c r="I1251" i="23"/>
  <c r="I1254" i="23"/>
  <c r="J1251" i="23"/>
  <c r="I1259" i="23"/>
  <c r="J1259" i="23"/>
  <c r="F1270" i="23"/>
  <c r="I1266" i="23"/>
  <c r="J1266" i="23"/>
  <c r="J1267" i="23"/>
  <c r="D1276" i="23"/>
  <c r="F1278" i="23"/>
  <c r="I1274" i="23"/>
  <c r="J1274" i="23"/>
  <c r="I1281" i="23"/>
  <c r="J1281" i="23"/>
  <c r="I1289" i="23"/>
  <c r="I1290" i="23"/>
  <c r="J1289" i="23"/>
  <c r="J1290" i="23"/>
  <c r="I1296" i="23"/>
  <c r="J1296" i="23"/>
  <c r="I1304" i="23"/>
  <c r="I1308" i="23"/>
  <c r="J1304" i="23"/>
  <c r="D1314" i="23"/>
  <c r="F1314" i="23"/>
  <c r="I1311" i="23"/>
  <c r="J1311" i="23"/>
  <c r="J1312" i="23"/>
  <c r="F1320" i="23"/>
  <c r="I1319" i="23"/>
  <c r="J1319" i="23"/>
  <c r="I1326" i="23"/>
  <c r="I1328" i="23"/>
  <c r="J1326" i="23"/>
  <c r="I1334" i="23"/>
  <c r="J1334" i="23"/>
  <c r="J1337" i="23"/>
  <c r="E1345" i="23"/>
  <c r="I1341" i="23"/>
  <c r="J1341" i="23"/>
  <c r="E1351" i="23"/>
  <c r="I1349" i="23"/>
  <c r="I1350" i="23"/>
  <c r="J1349" i="23"/>
  <c r="J1351" i="23"/>
  <c r="I1356" i="23"/>
  <c r="J1356" i="23"/>
  <c r="J1357" i="23"/>
  <c r="I1365" i="23"/>
  <c r="J1365" i="23"/>
  <c r="J1366" i="23"/>
  <c r="G1374" i="23"/>
  <c r="I1372" i="23"/>
  <c r="J1372" i="23"/>
  <c r="J1375" i="23"/>
  <c r="I1379" i="23"/>
  <c r="I1380" i="23"/>
  <c r="J1379" i="23"/>
  <c r="J1381" i="23"/>
  <c r="F1390" i="23"/>
  <c r="I1386" i="23"/>
  <c r="I1390" i="23"/>
  <c r="J1386" i="23"/>
  <c r="J1388" i="23"/>
  <c r="E1394" i="23"/>
  <c r="I1393" i="23"/>
  <c r="I1395" i="23"/>
  <c r="J1393" i="23"/>
  <c r="F1403" i="23"/>
  <c r="I1400" i="23"/>
  <c r="J1400" i="23"/>
  <c r="J1402" i="23"/>
  <c r="I1407" i="23"/>
  <c r="I1411" i="23"/>
  <c r="J1407" i="23"/>
  <c r="J1409" i="23"/>
  <c r="I1414" i="23"/>
  <c r="J1414" i="23"/>
  <c r="J1415" i="23"/>
  <c r="I1421" i="23"/>
  <c r="J1421" i="23"/>
  <c r="J1422" i="23"/>
  <c r="I1428" i="23"/>
  <c r="J1428" i="23"/>
  <c r="J1429" i="23"/>
  <c r="I1435" i="23"/>
  <c r="J1435" i="23"/>
  <c r="G1443" i="23"/>
  <c r="I1442" i="23"/>
  <c r="I1444" i="23"/>
  <c r="J1442" i="23"/>
  <c r="J1446" i="23"/>
  <c r="I1449" i="23"/>
  <c r="I1451" i="23"/>
  <c r="J1449" i="23"/>
  <c r="J1452" i="23"/>
  <c r="I1456" i="23"/>
  <c r="I1458" i="23"/>
  <c r="J1456" i="23"/>
  <c r="J1458" i="23"/>
  <c r="I1463" i="23"/>
  <c r="J1463" i="23"/>
  <c r="J1465" i="23"/>
  <c r="G1471" i="23"/>
  <c r="I1470" i="23"/>
  <c r="J1470" i="23"/>
  <c r="J1474" i="23"/>
  <c r="I1477" i="23"/>
  <c r="I1480" i="23"/>
  <c r="J1477" i="23"/>
  <c r="J1478" i="23"/>
  <c r="I1484" i="23"/>
  <c r="I1485" i="23"/>
  <c r="J1484" i="23"/>
  <c r="J1485" i="23"/>
  <c r="E1494" i="23"/>
  <c r="I1491" i="23"/>
  <c r="J1491" i="23"/>
  <c r="J1492" i="23"/>
  <c r="D1502" i="23"/>
  <c r="G1499" i="23"/>
  <c r="I1498" i="23"/>
  <c r="I1499" i="23"/>
  <c r="J1498" i="23"/>
  <c r="I1505" i="23"/>
  <c r="I1508" i="23"/>
  <c r="J1505" i="23"/>
  <c r="I1512" i="23"/>
  <c r="I1513" i="23"/>
  <c r="J1512" i="23"/>
  <c r="E1523" i="23"/>
  <c r="I1519" i="23"/>
  <c r="I1520" i="23"/>
  <c r="I1524" i="23"/>
  <c r="J1519" i="23"/>
  <c r="J1521" i="23"/>
  <c r="I1528" i="23"/>
  <c r="I1529" i="23"/>
  <c r="J1528" i="23"/>
  <c r="J1529" i="23"/>
  <c r="G1537" i="23"/>
  <c r="I1536" i="23"/>
  <c r="I1538" i="23"/>
  <c r="J1536" i="23"/>
  <c r="J1539" i="23"/>
  <c r="I1543" i="23"/>
  <c r="I1547" i="23"/>
  <c r="J1543" i="23"/>
  <c r="J1544" i="23"/>
  <c r="G1551" i="23"/>
  <c r="I1550" i="23"/>
  <c r="J1550" i="23"/>
  <c r="I1557" i="23"/>
  <c r="J1557" i="23"/>
  <c r="E1568" i="23"/>
  <c r="I1564" i="23"/>
  <c r="I1565" i="23"/>
  <c r="J1564" i="23"/>
  <c r="J1568" i="23"/>
  <c r="I1571" i="23"/>
  <c r="I1575" i="23"/>
  <c r="J1571" i="23"/>
  <c r="J1572" i="23"/>
  <c r="G1581" i="23"/>
  <c r="I1580" i="23"/>
  <c r="I1581" i="23"/>
  <c r="J1580" i="23"/>
  <c r="J1584" i="23"/>
  <c r="G1590" i="23"/>
  <c r="I1589" i="23"/>
  <c r="J1589" i="23"/>
  <c r="I1596" i="23"/>
  <c r="I1597" i="23"/>
  <c r="J1596" i="23"/>
  <c r="J1597" i="23"/>
  <c r="G1605" i="23"/>
  <c r="I1603" i="23"/>
  <c r="J1603" i="23"/>
  <c r="E1614" i="23"/>
  <c r="F1611" i="23"/>
  <c r="G1611" i="23"/>
  <c r="I1610" i="23"/>
  <c r="I1612" i="23"/>
  <c r="J1610" i="23"/>
  <c r="J1613" i="23"/>
  <c r="F1619" i="23"/>
  <c r="G1618" i="23"/>
  <c r="I1617" i="23"/>
  <c r="I1618" i="23"/>
  <c r="J1617" i="23"/>
  <c r="D1625" i="23"/>
  <c r="D1629" i="23"/>
  <c r="I1624" i="23"/>
  <c r="J1624" i="23"/>
  <c r="J1625" i="23"/>
  <c r="N1630" i="23"/>
  <c r="O1630" i="23"/>
  <c r="T1630" i="23"/>
  <c r="P1630" i="23"/>
  <c r="Q1630" i="23"/>
  <c r="R1630" i="23"/>
  <c r="S1630" i="23"/>
  <c r="F1633" i="23"/>
  <c r="I1632" i="23"/>
  <c r="J1632" i="23"/>
  <c r="I1640" i="23"/>
  <c r="I1641" i="23"/>
  <c r="J1640" i="23"/>
  <c r="J1641" i="23"/>
  <c r="I1648" i="23"/>
  <c r="I1649" i="23"/>
  <c r="J1648" i="23"/>
  <c r="J1649" i="23"/>
  <c r="I1655" i="23"/>
  <c r="I1659" i="23"/>
  <c r="J1655" i="23"/>
  <c r="D1664" i="23"/>
  <c r="F1666" i="23"/>
  <c r="I1662" i="23"/>
  <c r="I1666" i="23"/>
  <c r="J1662" i="23"/>
  <c r="J1663" i="23"/>
  <c r="F1674" i="23"/>
  <c r="I1670" i="23"/>
  <c r="I1674" i="23"/>
  <c r="J1670" i="23"/>
  <c r="J1671" i="23"/>
  <c r="I1679" i="23"/>
  <c r="J1679" i="23"/>
  <c r="J1681" i="23"/>
  <c r="D1690" i="23"/>
  <c r="F1690" i="23"/>
  <c r="I1686" i="23"/>
  <c r="I1690" i="23"/>
  <c r="J1686" i="23"/>
  <c r="J1687" i="23"/>
  <c r="I1694" i="23"/>
  <c r="I1698" i="23"/>
  <c r="J1694" i="23"/>
  <c r="J1695" i="23"/>
  <c r="I1702" i="23"/>
  <c r="I1706" i="23"/>
  <c r="J1702" i="23"/>
  <c r="J1703" i="23"/>
  <c r="I1709" i="23"/>
  <c r="I1710" i="23"/>
  <c r="J1709" i="23"/>
  <c r="J1710" i="23"/>
  <c r="G1720" i="23"/>
  <c r="I1716" i="23"/>
  <c r="I1720" i="23"/>
  <c r="J1716" i="23"/>
  <c r="D1727" i="23"/>
  <c r="I1723" i="23"/>
  <c r="J1723" i="23"/>
  <c r="I1730" i="23"/>
  <c r="J1730" i="23"/>
  <c r="J1731" i="23"/>
  <c r="J1733" i="23"/>
  <c r="G1740" i="23"/>
  <c r="I1739" i="23"/>
  <c r="I1740" i="23"/>
  <c r="J1739" i="23"/>
  <c r="J1740" i="23"/>
  <c r="D1748" i="23"/>
  <c r="I1746" i="23"/>
  <c r="I1748" i="23"/>
  <c r="J1746" i="23"/>
  <c r="D1760" i="23"/>
  <c r="I1755" i="23"/>
  <c r="I1758" i="23"/>
  <c r="J1755" i="23"/>
  <c r="J1756" i="23"/>
  <c r="F1764" i="23"/>
  <c r="G1764" i="23"/>
  <c r="I1763" i="23"/>
  <c r="J1763" i="23"/>
  <c r="J1764" i="23"/>
  <c r="E1775" i="23"/>
  <c r="I1770" i="23"/>
  <c r="I1773" i="23"/>
  <c r="J1770" i="23"/>
  <c r="I1779" i="23"/>
  <c r="I1783" i="23"/>
  <c r="J1779" i="23"/>
  <c r="G1791" i="23"/>
  <c r="I1787" i="23"/>
  <c r="I1788" i="23"/>
  <c r="J1787" i="23"/>
  <c r="J1791" i="23"/>
  <c r="I1796" i="23"/>
  <c r="J1796" i="23"/>
  <c r="I1805" i="23"/>
  <c r="I1806" i="23"/>
  <c r="J1805" i="23"/>
  <c r="J1806" i="23"/>
  <c r="G1816" i="23"/>
  <c r="I1812" i="23"/>
  <c r="I1814" i="23"/>
  <c r="J1812" i="23"/>
  <c r="I1820" i="23"/>
  <c r="I1822" i="23"/>
  <c r="J1820" i="23"/>
  <c r="J1827" i="23"/>
  <c r="I1830" i="23"/>
  <c r="I1832" i="23"/>
  <c r="J1830" i="23"/>
  <c r="J1831" i="23"/>
  <c r="I1837" i="23"/>
  <c r="I1838" i="23"/>
  <c r="J1837" i="23"/>
  <c r="J1841" i="23"/>
  <c r="I1844" i="23"/>
  <c r="I1846" i="23"/>
  <c r="J1844" i="23"/>
  <c r="D1853" i="23"/>
  <c r="I1851" i="23"/>
  <c r="J1851" i="23"/>
  <c r="J1852" i="23"/>
  <c r="E1862" i="23"/>
  <c r="F1860" i="23"/>
  <c r="I1858" i="23"/>
  <c r="I1859" i="23"/>
  <c r="J1858" i="23"/>
  <c r="J1861" i="23"/>
  <c r="D1867" i="23"/>
  <c r="I1865" i="23"/>
  <c r="I1870" i="23"/>
  <c r="J1865" i="23"/>
  <c r="J1867" i="23"/>
  <c r="I1873" i="23"/>
  <c r="J1873" i="23"/>
  <c r="J1875" i="23"/>
  <c r="D1883" i="23"/>
  <c r="I1880" i="23"/>
  <c r="I1881" i="23"/>
  <c r="J1880" i="23"/>
  <c r="J1883" i="23"/>
  <c r="F1888" i="23"/>
  <c r="I1887" i="23"/>
  <c r="I1890" i="23"/>
  <c r="J1887" i="23"/>
  <c r="J1889" i="23"/>
  <c r="I1895" i="23"/>
  <c r="I1896" i="23"/>
  <c r="J1895" i="23"/>
  <c r="J1899" i="23"/>
  <c r="I1902" i="23"/>
  <c r="I1904" i="23"/>
  <c r="J1902" i="23"/>
  <c r="J1905" i="23"/>
  <c r="F1912" i="23"/>
  <c r="I1909" i="23"/>
  <c r="I1910" i="23"/>
  <c r="J1909" i="23"/>
  <c r="J1912" i="23"/>
  <c r="F1917" i="23"/>
  <c r="G1917" i="23"/>
  <c r="I1916" i="23"/>
  <c r="I1917" i="23"/>
  <c r="J1916" i="23"/>
  <c r="J1918" i="23"/>
  <c r="D1926" i="23"/>
  <c r="G1924" i="23"/>
  <c r="I1923" i="23"/>
  <c r="I1925" i="23"/>
  <c r="J1923" i="23"/>
  <c r="J1924" i="23"/>
  <c r="E1931" i="23"/>
  <c r="I1930" i="23"/>
  <c r="I1931" i="23"/>
  <c r="J1930" i="23"/>
  <c r="J1932" i="23"/>
  <c r="D1938" i="23"/>
  <c r="F1938" i="23"/>
  <c r="I1937" i="23"/>
  <c r="J1937" i="23"/>
  <c r="E1945" i="23"/>
  <c r="F1948" i="23"/>
  <c r="G1945" i="23"/>
  <c r="I1944" i="23"/>
  <c r="I1948" i="23"/>
  <c r="J1944" i="23"/>
  <c r="J1945" i="23"/>
  <c r="I1951" i="23"/>
  <c r="I1953" i="23"/>
  <c r="J1951" i="23"/>
  <c r="J1952" i="23"/>
  <c r="F1959" i="23"/>
  <c r="I1958" i="23"/>
  <c r="I1959" i="23"/>
  <c r="J1958" i="23"/>
  <c r="J1961" i="23"/>
  <c r="E1967" i="23"/>
  <c r="I1966" i="23"/>
  <c r="I1970" i="23"/>
  <c r="J1966" i="23"/>
  <c r="J1970" i="23"/>
  <c r="I1973" i="23"/>
  <c r="J1973" i="23"/>
  <c r="J1974" i="23"/>
  <c r="I1980" i="23"/>
  <c r="I1981" i="23"/>
  <c r="J1980" i="23"/>
  <c r="J1981" i="23"/>
  <c r="E1991" i="23"/>
  <c r="G1990" i="23"/>
  <c r="I1987" i="23"/>
  <c r="J1987" i="23"/>
  <c r="J1990" i="23"/>
  <c r="D1996" i="23"/>
  <c r="G1996" i="23"/>
  <c r="I1994" i="23"/>
  <c r="I1996" i="23"/>
  <c r="J1994" i="23"/>
  <c r="J1998" i="23"/>
  <c r="I2002" i="23"/>
  <c r="I2003" i="23"/>
  <c r="J2002" i="23"/>
  <c r="J2003" i="23"/>
  <c r="I2009" i="23"/>
  <c r="I2010" i="23"/>
  <c r="J2009" i="23"/>
  <c r="J2011" i="23"/>
  <c r="G2017" i="23"/>
  <c r="I2016" i="23"/>
  <c r="I2020" i="23"/>
  <c r="J2016" i="23"/>
  <c r="J2020" i="23"/>
  <c r="I2023" i="23"/>
  <c r="J2023" i="23"/>
  <c r="D2034" i="23"/>
  <c r="I2030" i="23"/>
  <c r="I2032" i="23"/>
  <c r="J2030" i="23"/>
  <c r="J2035" i="23"/>
  <c r="I2039" i="23"/>
  <c r="J2039" i="23"/>
  <c r="I2047" i="23"/>
  <c r="I2048" i="23"/>
  <c r="J2047" i="23"/>
  <c r="J2048" i="23"/>
  <c r="D2058" i="23"/>
  <c r="I2056" i="23"/>
  <c r="I2060" i="23"/>
  <c r="J2056" i="23"/>
  <c r="J2058" i="23"/>
  <c r="P2062" i="23"/>
  <c r="Q2062" i="23"/>
  <c r="R2062" i="23"/>
  <c r="S2062" i="23"/>
  <c r="T2062" i="23"/>
  <c r="U2062" i="23"/>
  <c r="V2062" i="23"/>
  <c r="E2065" i="23"/>
  <c r="I2064" i="23"/>
  <c r="I2065" i="23"/>
  <c r="J2064" i="23"/>
  <c r="J2065" i="23"/>
  <c r="I2071" i="23"/>
  <c r="J2071" i="23"/>
  <c r="J2075" i="23"/>
  <c r="F2079" i="23"/>
  <c r="I2078" i="23"/>
  <c r="I2079" i="23"/>
  <c r="J2078" i="23"/>
  <c r="I2085" i="23"/>
  <c r="J2085" i="23"/>
  <c r="I2093" i="23"/>
  <c r="I2095" i="23"/>
  <c r="J2093" i="23"/>
  <c r="J2094" i="23"/>
  <c r="E2101" i="23"/>
  <c r="I2100" i="23"/>
  <c r="I2102" i="23"/>
  <c r="J2100" i="23"/>
  <c r="J2101" i="23"/>
  <c r="I2108" i="23"/>
  <c r="I2110" i="23"/>
  <c r="J2108" i="23"/>
  <c r="J2109" i="23"/>
  <c r="G2119" i="23"/>
  <c r="I2115" i="23"/>
  <c r="I2116" i="23"/>
  <c r="J2115" i="23"/>
  <c r="J2121" i="23"/>
  <c r="D2125" i="23"/>
  <c r="I2124" i="23"/>
  <c r="I2126" i="23"/>
  <c r="J2124" i="23"/>
  <c r="J2125" i="23"/>
  <c r="E2132" i="23"/>
  <c r="G2132" i="23"/>
  <c r="I2131" i="23"/>
  <c r="I2132" i="23"/>
  <c r="J2131" i="23"/>
  <c r="J2137" i="23"/>
  <c r="I2141" i="23"/>
  <c r="I2145" i="23"/>
  <c r="J2141" i="23"/>
  <c r="J2143" i="23"/>
  <c r="I2151" i="23"/>
  <c r="I2152" i="23"/>
  <c r="J2151" i="23"/>
  <c r="J2152" i="23"/>
  <c r="E2162" i="23"/>
  <c r="G2165" i="23"/>
  <c r="I2161" i="23"/>
  <c r="I2162" i="23"/>
  <c r="J2161" i="23"/>
  <c r="J2162" i="23"/>
  <c r="I2171" i="23"/>
  <c r="J2171" i="23"/>
  <c r="J2172" i="23"/>
  <c r="I2181" i="23"/>
  <c r="I2182" i="23"/>
  <c r="J2181" i="23"/>
  <c r="F2189" i="23"/>
  <c r="G2189" i="23"/>
  <c r="I2188" i="23"/>
  <c r="I2192" i="23"/>
  <c r="J2188" i="23"/>
  <c r="J2189" i="23"/>
  <c r="D2196" i="23"/>
  <c r="G2199" i="23"/>
  <c r="I2195" i="23"/>
  <c r="I2199" i="23"/>
  <c r="J2195" i="23"/>
  <c r="J2199" i="23"/>
  <c r="I2202" i="23"/>
  <c r="I2203" i="23"/>
  <c r="J2202" i="23"/>
  <c r="D2213" i="23"/>
  <c r="F2211" i="23"/>
  <c r="I2209" i="23"/>
  <c r="I2210" i="23"/>
  <c r="J2209" i="23"/>
  <c r="J2211" i="23"/>
  <c r="F2217" i="23"/>
  <c r="G2217" i="23"/>
  <c r="I2216" i="23"/>
  <c r="I2218" i="23"/>
  <c r="J2216" i="23"/>
  <c r="J2217" i="23"/>
  <c r="D2225" i="23"/>
  <c r="E2226" i="23"/>
  <c r="I2223" i="23"/>
  <c r="I2224" i="23"/>
  <c r="J2223" i="23"/>
  <c r="J2224" i="23"/>
  <c r="D2231" i="23"/>
  <c r="G2234" i="23"/>
  <c r="I2230" i="23"/>
  <c r="I2231" i="23"/>
  <c r="J2230" i="23"/>
  <c r="F2239" i="23"/>
  <c r="I2237" i="23"/>
  <c r="I2238" i="23"/>
  <c r="J2237" i="23"/>
  <c r="I2244" i="23"/>
  <c r="J2244" i="23"/>
  <c r="J2245" i="23"/>
  <c r="E2252" i="23"/>
  <c r="I2251" i="23"/>
  <c r="J2251" i="23"/>
  <c r="I2258" i="23"/>
  <c r="I2262" i="23"/>
  <c r="J2258" i="23"/>
  <c r="J2259" i="23"/>
  <c r="D2266" i="23"/>
  <c r="I2265" i="23"/>
  <c r="J2265" i="23"/>
  <c r="J2267" i="23"/>
  <c r="E2273" i="23"/>
  <c r="I2272" i="23"/>
  <c r="J2272" i="23"/>
  <c r="G2281" i="23"/>
  <c r="I2279" i="23"/>
  <c r="J2279" i="23"/>
  <c r="D2290" i="23"/>
  <c r="I2286" i="23"/>
  <c r="J2286" i="23"/>
  <c r="J2287" i="23"/>
  <c r="D2294" i="23"/>
  <c r="E2296" i="23"/>
  <c r="G2295" i="23"/>
  <c r="I2293" i="23"/>
  <c r="I2294" i="23"/>
  <c r="J2293" i="23"/>
  <c r="D2302" i="23"/>
  <c r="I2300" i="23"/>
  <c r="I2302" i="23"/>
  <c r="J2300" i="23"/>
  <c r="J2301" i="23"/>
  <c r="D2310" i="23"/>
  <c r="F2309" i="23"/>
  <c r="I2307" i="23"/>
  <c r="I2308" i="23"/>
  <c r="J2307" i="23"/>
  <c r="I2314" i="23"/>
  <c r="J2314" i="23"/>
  <c r="J2316" i="23"/>
  <c r="G2322" i="23"/>
  <c r="I2321" i="23"/>
  <c r="I2322" i="23"/>
  <c r="J2321" i="23"/>
  <c r="J2323" i="23"/>
  <c r="I2328" i="23"/>
  <c r="J2328" i="23"/>
  <c r="J2329" i="23"/>
  <c r="I2335" i="23"/>
  <c r="I2336" i="23"/>
  <c r="J2335" i="23"/>
  <c r="J2336" i="23"/>
  <c r="F2344" i="23"/>
  <c r="G2344" i="23"/>
  <c r="I2343" i="23"/>
  <c r="I2345" i="23"/>
  <c r="J2343" i="23"/>
  <c r="J2344" i="23"/>
  <c r="F2351" i="23"/>
  <c r="I2350" i="23"/>
  <c r="I2351" i="23"/>
  <c r="J2350" i="23"/>
  <c r="J2351" i="23"/>
  <c r="E2359" i="23"/>
  <c r="I2358" i="23"/>
  <c r="I2359" i="23"/>
  <c r="J2358" i="23"/>
  <c r="J2359" i="23"/>
  <c r="F2366" i="23"/>
  <c r="I2365" i="23"/>
  <c r="I2366" i="23"/>
  <c r="J2365" i="23"/>
  <c r="J2366" i="23"/>
  <c r="E2374" i="23"/>
  <c r="G2373" i="23"/>
  <c r="I2372" i="23"/>
  <c r="I2373" i="23"/>
  <c r="J2372" i="23"/>
  <c r="J2374" i="23"/>
  <c r="D2381" i="23"/>
  <c r="G2380" i="23"/>
  <c r="I2379" i="23"/>
  <c r="J2379" i="23"/>
  <c r="J2380" i="23"/>
  <c r="D2387" i="23"/>
  <c r="F2387" i="23"/>
  <c r="I2386" i="23"/>
  <c r="I2387" i="23"/>
  <c r="J2386" i="23"/>
  <c r="J2387" i="23"/>
  <c r="D2396" i="23"/>
  <c r="H2395" i="23"/>
  <c r="I2394" i="23"/>
  <c r="I2395" i="23"/>
  <c r="J2394" i="23"/>
  <c r="J2395" i="23"/>
  <c r="I2399" i="23"/>
  <c r="I2400" i="23"/>
  <c r="J2399" i="23"/>
  <c r="D2406" i="23"/>
  <c r="I2404" i="23"/>
  <c r="I2406" i="23"/>
  <c r="J2404" i="23"/>
  <c r="J2405" i="23"/>
  <c r="E2411" i="23"/>
  <c r="I2409" i="23"/>
  <c r="J2409" i="23"/>
  <c r="J2410" i="23"/>
  <c r="D2416" i="23"/>
  <c r="E2415" i="23"/>
  <c r="I2414" i="23"/>
  <c r="I2415" i="23"/>
  <c r="J2414" i="23"/>
  <c r="J2415" i="23"/>
  <c r="D2421" i="23"/>
  <c r="I2419" i="23"/>
  <c r="I2420" i="23"/>
  <c r="J2419" i="23"/>
  <c r="J2420" i="23"/>
  <c r="I2424" i="23"/>
  <c r="I2425" i="23"/>
  <c r="J2424" i="23"/>
  <c r="J2425" i="23"/>
  <c r="F2430" i="23"/>
  <c r="I2429" i="23"/>
  <c r="I2431" i="23"/>
  <c r="J2429" i="23"/>
  <c r="J2430" i="23"/>
  <c r="I2434" i="23"/>
  <c r="I2435" i="23"/>
  <c r="J2434" i="23"/>
  <c r="J2435" i="23"/>
  <c r="D2440" i="23"/>
  <c r="E2440" i="23"/>
  <c r="I2439" i="23"/>
  <c r="J2439" i="23"/>
  <c r="J2440" i="23"/>
  <c r="F2445" i="23"/>
  <c r="G2446" i="23"/>
  <c r="I2444" i="23"/>
  <c r="I2445" i="23"/>
  <c r="J2444" i="23"/>
  <c r="J2445" i="23"/>
  <c r="D2450" i="23"/>
  <c r="F2450" i="23"/>
  <c r="I2449" i="23"/>
  <c r="I2451" i="23"/>
  <c r="J2449" i="23"/>
  <c r="J2450" i="23"/>
  <c r="F2456" i="23"/>
  <c r="I2454" i="23"/>
  <c r="I2455" i="23"/>
  <c r="J2454" i="23"/>
  <c r="J2455" i="23"/>
  <c r="E2461" i="23"/>
  <c r="F2461" i="23"/>
  <c r="I2459" i="23"/>
  <c r="I2460" i="23"/>
  <c r="J2459" i="23"/>
  <c r="D2466" i="23"/>
  <c r="G2466" i="23"/>
  <c r="I2464" i="23"/>
  <c r="I2466" i="23"/>
  <c r="J2464" i="23"/>
  <c r="J2465" i="23"/>
  <c r="F2470" i="23"/>
  <c r="I2469" i="23"/>
  <c r="I2470" i="23"/>
  <c r="J2469" i="23"/>
  <c r="J2470" i="23"/>
  <c r="E2475" i="23"/>
  <c r="F2475" i="23"/>
  <c r="G2475" i="23"/>
  <c r="I2474" i="23"/>
  <c r="I2475" i="23"/>
  <c r="J2474" i="23"/>
  <c r="J2475" i="23"/>
  <c r="G2480" i="23"/>
  <c r="I2479" i="23"/>
  <c r="J2479" i="23"/>
  <c r="F2485" i="23"/>
  <c r="I2484" i="23"/>
  <c r="I2485" i="23"/>
  <c r="J2484" i="23"/>
  <c r="J2485" i="23"/>
  <c r="D2490" i="23"/>
  <c r="G2490" i="23"/>
  <c r="I2489" i="23"/>
  <c r="J2489" i="23"/>
  <c r="I2494" i="23"/>
  <c r="I2495" i="23"/>
  <c r="J2494" i="23"/>
  <c r="J2495" i="23"/>
  <c r="I2499" i="23"/>
  <c r="I2501" i="23"/>
  <c r="J2499" i="23"/>
  <c r="D2506" i="23"/>
  <c r="G2505" i="23"/>
  <c r="I2504" i="23"/>
  <c r="I2506" i="23"/>
  <c r="J2504" i="23"/>
  <c r="J2505" i="23"/>
  <c r="G2510" i="23"/>
  <c r="I2509" i="23"/>
  <c r="J2509" i="23"/>
  <c r="E2515" i="23"/>
  <c r="I2514" i="23"/>
  <c r="J2514" i="23"/>
  <c r="J2516" i="23"/>
  <c r="I2519" i="23"/>
  <c r="I2521" i="23"/>
  <c r="J2519" i="23"/>
  <c r="I2524" i="23"/>
  <c r="I2525" i="23"/>
  <c r="J2524" i="23"/>
  <c r="J2525" i="23"/>
  <c r="G2530" i="23"/>
  <c r="I2529" i="23"/>
  <c r="J2529" i="23"/>
  <c r="D2536" i="23"/>
  <c r="G2535" i="23"/>
  <c r="I2534" i="23"/>
  <c r="I2535" i="23"/>
  <c r="J2534" i="23"/>
  <c r="J2536" i="23"/>
  <c r="I2539" i="23"/>
  <c r="I2541" i="23"/>
  <c r="J2539" i="23"/>
  <c r="E2545" i="23"/>
  <c r="F2545" i="23"/>
  <c r="G2545" i="23"/>
  <c r="I2544" i="23"/>
  <c r="I2545" i="23"/>
  <c r="J2544" i="23"/>
  <c r="J2546" i="23"/>
  <c r="G2550" i="23"/>
  <c r="I2549" i="23"/>
  <c r="J2549" i="23"/>
  <c r="I2554" i="23"/>
  <c r="I2556" i="23"/>
  <c r="J2554" i="23"/>
  <c r="J2556" i="23"/>
  <c r="I2559" i="23"/>
  <c r="I2561" i="23"/>
  <c r="J2559" i="23"/>
  <c r="E2565" i="23"/>
  <c r="I2564" i="23"/>
  <c r="I2565" i="23"/>
  <c r="J2564" i="23"/>
  <c r="J2565" i="23"/>
  <c r="I2569" i="23"/>
  <c r="I2573" i="23"/>
  <c r="J2569" i="23"/>
  <c r="J2571" i="23"/>
  <c r="D2580" i="23"/>
  <c r="E2582" i="23"/>
  <c r="F2579" i="23"/>
  <c r="I2578" i="23"/>
  <c r="I2584" i="23"/>
  <c r="J2578" i="23"/>
  <c r="J2581" i="23"/>
  <c r="F2589" i="23"/>
  <c r="G2591" i="23"/>
  <c r="I2587" i="23"/>
  <c r="J2587" i="23"/>
  <c r="J2591" i="23"/>
  <c r="G2598" i="23"/>
  <c r="I2596" i="23"/>
  <c r="I2602" i="23"/>
  <c r="J2596" i="23"/>
  <c r="J2599" i="23"/>
  <c r="G2607" i="23"/>
  <c r="I2605" i="23"/>
  <c r="I2607" i="23"/>
  <c r="J2605" i="23"/>
  <c r="D2617" i="23"/>
  <c r="E2619" i="23"/>
  <c r="I2615" i="23"/>
  <c r="I2617" i="23"/>
  <c r="J2615" i="23"/>
  <c r="I2624" i="23"/>
  <c r="I2625" i="23"/>
  <c r="J2624" i="23"/>
  <c r="G2634" i="23"/>
  <c r="I2633" i="23"/>
  <c r="I3207" i="23"/>
  <c r="J2633" i="23"/>
  <c r="J3045" i="23"/>
  <c r="F2643" i="23"/>
  <c r="G2644" i="23"/>
  <c r="I2642" i="23"/>
  <c r="I2643" i="23"/>
  <c r="J2642" i="23"/>
  <c r="J2643" i="23"/>
  <c r="I2651" i="23"/>
  <c r="I2653" i="23"/>
  <c r="J2651" i="23"/>
  <c r="J2655" i="23"/>
  <c r="D2661" i="23"/>
  <c r="E2660" i="23"/>
  <c r="F2659" i="23"/>
  <c r="G2661" i="23"/>
  <c r="I2658" i="23"/>
  <c r="J2658" i="23"/>
  <c r="J2660" i="23"/>
  <c r="E2666" i="23"/>
  <c r="F2666" i="23"/>
  <c r="I2665" i="23"/>
  <c r="I2668" i="23"/>
  <c r="J2665" i="23"/>
  <c r="E2676" i="23"/>
  <c r="I2672" i="23"/>
  <c r="J2672" i="23"/>
  <c r="J2675" i="23"/>
  <c r="D2682" i="23"/>
  <c r="F2681" i="23"/>
  <c r="I2679" i="23"/>
  <c r="I2680" i="23"/>
  <c r="J2679" i="23"/>
  <c r="J2682" i="23"/>
  <c r="D2689" i="23"/>
  <c r="E2688" i="23"/>
  <c r="G2687" i="23"/>
  <c r="I2686" i="23"/>
  <c r="I2690" i="23"/>
  <c r="J2686" i="23"/>
  <c r="J2687" i="23"/>
  <c r="I2693" i="23"/>
  <c r="I2694" i="23"/>
  <c r="J2693" i="23"/>
  <c r="J2694" i="23"/>
  <c r="D2702" i="23"/>
  <c r="F2701" i="23"/>
  <c r="I2700" i="23"/>
  <c r="I2702" i="23"/>
  <c r="J2700" i="23"/>
  <c r="J2702" i="23"/>
  <c r="I2707" i="23"/>
  <c r="J2707" i="23"/>
  <c r="F2715" i="23"/>
  <c r="I2714" i="23"/>
  <c r="I2718" i="23"/>
  <c r="J2714" i="23"/>
  <c r="D2725" i="23"/>
  <c r="F2725" i="23"/>
  <c r="G2722" i="23"/>
  <c r="I2721" i="23"/>
  <c r="I2725" i="23"/>
  <c r="J2721" i="23"/>
  <c r="J2725" i="23"/>
  <c r="E2729" i="23"/>
  <c r="F2729" i="23"/>
  <c r="I2728" i="23"/>
  <c r="I2732" i="23"/>
  <c r="J2728" i="23"/>
  <c r="J2732" i="23"/>
  <c r="E2730" i="23"/>
  <c r="D2739" i="23"/>
  <c r="F2739" i="23"/>
  <c r="G2736" i="23"/>
  <c r="I2735" i="23"/>
  <c r="I2736" i="23"/>
  <c r="J2735" i="23"/>
  <c r="D2743" i="23"/>
  <c r="I2742" i="23"/>
  <c r="I2746" i="23"/>
  <c r="J2742" i="23"/>
  <c r="J2746" i="23"/>
  <c r="D2753" i="23"/>
  <c r="E2753" i="23"/>
  <c r="F2753" i="23"/>
  <c r="I2749" i="23"/>
  <c r="I2750" i="23"/>
  <c r="J2749" i="23"/>
  <c r="J2753" i="23"/>
  <c r="D2758" i="23"/>
  <c r="I2757" i="23"/>
  <c r="I2761" i="23"/>
  <c r="J2757" i="23"/>
  <c r="J2761" i="23"/>
  <c r="D2768" i="23"/>
  <c r="I2766" i="23"/>
  <c r="I2767" i="23"/>
  <c r="J2766" i="23"/>
  <c r="J2768" i="23"/>
  <c r="D2776" i="23"/>
  <c r="I2775" i="23"/>
  <c r="I2779" i="23"/>
  <c r="J2775" i="23"/>
  <c r="J2779" i="23"/>
  <c r="D2786" i="23"/>
  <c r="F2788" i="23"/>
  <c r="G2786" i="23"/>
  <c r="I2784" i="23"/>
  <c r="I2785" i="23"/>
  <c r="J2784" i="23"/>
  <c r="J2786" i="23"/>
  <c r="D2795" i="23"/>
  <c r="G2796" i="23"/>
  <c r="I2794" i="23"/>
  <c r="I2798" i="23"/>
  <c r="J2794" i="23"/>
  <c r="J2798" i="23"/>
  <c r="E2804" i="23"/>
  <c r="I2803" i="23"/>
  <c r="I2804" i="23"/>
  <c r="J2803" i="23"/>
  <c r="J2805" i="23"/>
  <c r="F2814" i="23"/>
  <c r="G2811" i="23"/>
  <c r="I2810" i="23"/>
  <c r="I2812" i="23"/>
  <c r="J2810" i="23"/>
  <c r="J2813" i="23"/>
  <c r="D2819" i="23"/>
  <c r="F2819" i="23"/>
  <c r="I2818" i="23"/>
  <c r="I2822" i="23"/>
  <c r="J2818" i="23"/>
  <c r="J2822" i="23"/>
  <c r="D2829" i="23"/>
  <c r="F2829" i="23"/>
  <c r="F2831" i="23"/>
  <c r="I2827" i="23"/>
  <c r="I2828" i="23"/>
  <c r="J2827" i="23"/>
  <c r="J2829" i="23"/>
  <c r="F2837" i="23"/>
  <c r="F2840" i="23"/>
  <c r="I2836" i="23"/>
  <c r="I2842" i="23"/>
  <c r="J2836" i="23"/>
  <c r="J2842" i="23"/>
  <c r="I2845" i="23"/>
  <c r="I2851" i="23"/>
  <c r="J2845" i="23"/>
  <c r="J2846" i="23"/>
  <c r="D2855" i="23"/>
  <c r="I2854" i="23"/>
  <c r="I2858" i="23"/>
  <c r="J2854" i="23"/>
  <c r="J2856" i="23"/>
  <c r="I2862" i="23"/>
  <c r="I2864" i="23"/>
  <c r="J2862" i="23"/>
  <c r="J2863" i="23"/>
  <c r="D2870" i="23"/>
  <c r="G2870" i="23"/>
  <c r="I2869" i="23"/>
  <c r="I2873" i="23"/>
  <c r="J2869" i="23"/>
  <c r="J2871" i="23"/>
  <c r="F2878" i="23"/>
  <c r="G2877" i="23"/>
  <c r="I2876" i="23"/>
  <c r="I2877" i="23"/>
  <c r="J2876" i="23"/>
  <c r="J2877" i="23"/>
  <c r="D2884" i="23"/>
  <c r="I2883" i="23"/>
  <c r="I2887" i="23"/>
  <c r="J2883" i="23"/>
  <c r="J2885" i="23"/>
  <c r="E2892" i="23"/>
  <c r="I2890" i="23"/>
  <c r="I2892" i="23"/>
  <c r="J2890" i="23"/>
  <c r="J2891" i="23"/>
  <c r="F2897" i="23"/>
  <c r="G2897" i="23"/>
  <c r="I2896" i="23"/>
  <c r="I2898" i="23"/>
  <c r="J2896" i="23"/>
  <c r="J2898" i="23"/>
  <c r="F2905" i="23"/>
  <c r="G2904" i="23"/>
  <c r="I2903" i="23"/>
  <c r="J2903" i="23"/>
  <c r="J2904" i="23"/>
  <c r="E2911" i="23"/>
  <c r="F2911" i="23"/>
  <c r="G2911" i="23"/>
  <c r="I2910" i="23"/>
  <c r="J2910" i="23"/>
  <c r="J2912" i="23"/>
  <c r="F2920" i="23"/>
  <c r="I2916" i="23"/>
  <c r="I2918" i="23"/>
  <c r="J2916" i="23"/>
  <c r="J2917" i="23"/>
  <c r="D2924" i="23"/>
  <c r="I2923" i="23"/>
  <c r="J2923" i="23"/>
  <c r="J2925" i="23"/>
  <c r="D2933" i="23"/>
  <c r="E2931" i="23"/>
  <c r="I2930" i="23"/>
  <c r="I2931" i="23"/>
  <c r="J2930" i="23"/>
  <c r="J2931" i="23"/>
  <c r="F2938" i="23"/>
  <c r="G2940" i="23"/>
  <c r="I2937" i="23"/>
  <c r="I2938" i="23"/>
  <c r="J2937" i="23"/>
  <c r="J2939" i="23"/>
  <c r="D2946" i="23"/>
  <c r="D2949" i="23"/>
  <c r="F2945" i="23"/>
  <c r="F2948" i="23"/>
  <c r="G2945" i="23"/>
  <c r="G2948" i="23"/>
  <c r="H2945" i="23"/>
  <c r="H2948" i="23"/>
  <c r="I2944" i="23"/>
  <c r="I2945" i="23"/>
  <c r="I2948" i="23"/>
  <c r="J2944" i="23"/>
  <c r="J2945" i="23"/>
  <c r="I2963" i="23"/>
  <c r="I2964" i="23"/>
  <c r="J2963" i="23"/>
  <c r="J2965" i="23"/>
  <c r="E2975" i="23"/>
  <c r="I2973" i="23"/>
  <c r="I2977" i="23"/>
  <c r="J2973" i="23"/>
  <c r="J2975" i="23"/>
  <c r="G2986" i="23"/>
  <c r="I2983" i="23"/>
  <c r="I2984" i="23"/>
  <c r="J2983" i="23"/>
  <c r="D2995" i="23"/>
  <c r="E2994" i="23"/>
  <c r="F2994" i="23"/>
  <c r="G2996" i="23"/>
  <c r="I2993" i="23"/>
  <c r="I2994" i="23"/>
  <c r="J2993" i="23"/>
  <c r="J2994" i="23"/>
  <c r="F3005" i="23"/>
  <c r="G3004" i="23"/>
  <c r="I3003" i="23"/>
  <c r="I3005" i="23"/>
  <c r="J3003" i="23"/>
  <c r="J3007" i="23"/>
  <c r="D3015" i="23"/>
  <c r="I3012" i="23"/>
  <c r="J3012" i="23"/>
  <c r="D3026" i="23"/>
  <c r="F3022" i="23"/>
  <c r="I3021" i="23"/>
  <c r="I3024" i="23"/>
  <c r="J3021" i="23"/>
  <c r="E3032" i="23"/>
  <c r="F3034" i="23"/>
  <c r="I3030" i="23"/>
  <c r="I3032" i="23"/>
  <c r="J3030" i="23"/>
  <c r="J3035" i="23"/>
  <c r="I3039" i="23"/>
  <c r="J3039" i="23"/>
  <c r="J3040" i="23"/>
  <c r="D3049" i="23"/>
  <c r="E3053" i="23"/>
  <c r="I3048" i="23"/>
  <c r="I3050" i="23"/>
  <c r="J3048" i="23"/>
  <c r="E3058" i="23"/>
  <c r="G3058" i="23"/>
  <c r="I3057" i="23"/>
  <c r="J3057" i="23"/>
  <c r="J3059" i="23"/>
  <c r="G3070" i="23"/>
  <c r="I3066" i="23"/>
  <c r="I3070" i="23"/>
  <c r="J3066" i="23"/>
  <c r="E3076" i="23"/>
  <c r="I3075" i="23"/>
  <c r="J3075" i="23"/>
  <c r="J3077" i="23"/>
  <c r="E3087" i="23"/>
  <c r="G3086" i="23"/>
  <c r="I3084" i="23"/>
  <c r="I3086" i="23"/>
  <c r="J3084" i="23"/>
  <c r="J3085" i="23"/>
  <c r="D3095" i="23"/>
  <c r="G3094" i="23"/>
  <c r="I3093" i="23"/>
  <c r="J3093" i="23"/>
  <c r="J3097" i="23"/>
  <c r="D3103" i="23"/>
  <c r="E3106" i="23"/>
  <c r="G3106" i="23"/>
  <c r="I3102" i="23"/>
  <c r="I3106" i="23"/>
  <c r="J3102" i="23"/>
  <c r="J3106" i="23"/>
  <c r="E3112" i="23"/>
  <c r="F3113" i="23"/>
  <c r="I3111" i="23"/>
  <c r="J3111" i="23"/>
  <c r="D3121" i="23"/>
  <c r="G3122" i="23"/>
  <c r="I3120" i="23"/>
  <c r="I3122" i="23"/>
  <c r="J3120" i="23"/>
  <c r="J3122" i="23"/>
  <c r="D3130" i="23"/>
  <c r="G3131" i="23"/>
  <c r="I3129" i="23"/>
  <c r="I3131" i="23"/>
  <c r="J3129" i="23"/>
  <c r="D3135" i="23"/>
  <c r="E3141" i="23"/>
  <c r="G3140" i="23"/>
  <c r="I3138" i="23"/>
  <c r="I3140" i="23"/>
  <c r="J3138" i="23"/>
  <c r="J3139" i="23"/>
  <c r="D3149" i="23"/>
  <c r="G3148" i="23"/>
  <c r="G3151" i="23"/>
  <c r="I3147" i="23"/>
  <c r="J3147" i="23"/>
  <c r="D3157" i="23"/>
  <c r="E3157" i="23"/>
  <c r="H3159" i="23"/>
  <c r="I3156" i="23"/>
  <c r="I3160" i="23"/>
  <c r="J3156" i="23"/>
  <c r="E3166" i="23"/>
  <c r="G3166" i="23"/>
  <c r="I3165" i="23"/>
  <c r="J3165" i="23"/>
  <c r="J3166" i="23"/>
  <c r="F3168" i="23"/>
  <c r="F3169" i="23"/>
  <c r="D3170" i="23"/>
  <c r="D3171" i="23"/>
  <c r="G3175" i="23"/>
  <c r="I3174" i="23"/>
  <c r="I3175" i="23"/>
  <c r="J3174" i="23"/>
  <c r="J3175" i="23"/>
  <c r="F3180" i="23"/>
  <c r="D3184" i="23"/>
  <c r="E3184" i="23"/>
  <c r="I3183" i="23"/>
  <c r="J3183" i="23"/>
  <c r="J3184" i="23"/>
  <c r="I3192" i="23"/>
  <c r="J3192" i="23"/>
  <c r="D3193" i="23"/>
  <c r="D3194" i="23"/>
  <c r="F3195" i="23"/>
  <c r="I3201" i="23"/>
  <c r="J3201" i="23"/>
  <c r="D3202" i="23"/>
  <c r="D3203" i="23"/>
  <c r="D3206" i="23"/>
  <c r="D3207" i="23"/>
  <c r="I3210" i="23"/>
  <c r="J3210" i="23"/>
  <c r="I3219" i="23"/>
  <c r="J3219" i="23"/>
  <c r="D3220" i="23"/>
  <c r="D3221" i="23"/>
  <c r="D3224" i="23"/>
  <c r="D3225" i="23"/>
  <c r="I3228" i="23"/>
  <c r="J3228" i="23"/>
  <c r="F3232" i="23"/>
  <c r="D3233" i="23"/>
  <c r="D3234" i="23"/>
  <c r="I3237" i="23"/>
  <c r="J3237" i="23"/>
  <c r="D3238" i="23"/>
  <c r="D3239" i="23"/>
  <c r="D3242" i="23"/>
  <c r="H3242" i="23"/>
  <c r="D3243" i="23"/>
  <c r="I3246" i="23"/>
  <c r="J3246" i="23"/>
  <c r="D3247" i="23"/>
  <c r="D3248" i="23"/>
  <c r="H3248" i="23"/>
  <c r="D3251" i="23"/>
  <c r="I3255" i="23"/>
  <c r="J3255" i="23"/>
  <c r="D3256" i="23"/>
  <c r="F3257" i="23"/>
  <c r="D3258" i="23"/>
  <c r="D3260" i="23"/>
  <c r="F3261" i="23"/>
  <c r="I3264" i="23"/>
  <c r="J3264" i="23"/>
  <c r="D3265" i="23"/>
  <c r="H3265" i="23"/>
  <c r="D3267" i="23"/>
  <c r="H3267" i="23"/>
  <c r="F3268" i="23"/>
  <c r="D3269" i="23"/>
  <c r="I3273" i="23"/>
  <c r="J3273" i="23"/>
  <c r="D3274" i="23"/>
  <c r="F3275" i="23"/>
  <c r="D3276" i="23"/>
  <c r="H3276" i="23"/>
  <c r="D3278" i="23"/>
  <c r="H3278" i="23"/>
  <c r="F3279" i="23"/>
  <c r="I3282" i="23"/>
  <c r="J3282" i="23"/>
  <c r="D3283" i="23"/>
  <c r="D3285" i="23"/>
  <c r="D3287" i="23"/>
  <c r="I3291" i="23"/>
  <c r="J3291" i="23"/>
  <c r="D3292" i="23"/>
  <c r="D3294" i="23"/>
  <c r="D3296" i="23"/>
  <c r="H3296" i="23"/>
  <c r="I3300" i="23"/>
  <c r="J3300" i="23"/>
  <c r="D3301" i="23"/>
  <c r="H3301" i="23"/>
  <c r="D3303" i="23"/>
  <c r="F3304" i="23"/>
  <c r="D3305" i="23"/>
  <c r="H3305" i="23"/>
  <c r="I3309" i="23"/>
  <c r="J3309" i="23"/>
  <c r="D3310" i="23"/>
  <c r="H3310" i="23"/>
  <c r="F3311" i="23"/>
  <c r="D3312" i="23"/>
  <c r="D3314" i="23"/>
  <c r="F3315" i="23"/>
  <c r="I3318" i="23"/>
  <c r="J3318" i="23"/>
  <c r="D3319" i="23"/>
  <c r="D3321" i="23"/>
  <c r="F3322" i="23"/>
  <c r="D3323" i="23"/>
  <c r="I3327" i="23"/>
  <c r="J3327" i="23"/>
  <c r="D3328" i="23"/>
  <c r="F3329" i="23"/>
  <c r="D3330" i="23"/>
  <c r="D3332" i="23"/>
  <c r="F3333" i="23"/>
  <c r="I3336" i="23"/>
  <c r="J3336" i="23"/>
  <c r="D3337" i="23"/>
  <c r="D3339" i="23"/>
  <c r="D3341" i="23"/>
  <c r="I3345" i="23"/>
  <c r="J3345" i="23"/>
  <c r="D3346" i="23"/>
  <c r="D3348" i="23"/>
  <c r="D3350" i="23"/>
  <c r="I3354" i="23"/>
  <c r="J3354" i="23"/>
  <c r="D3355" i="23"/>
  <c r="F3356" i="23"/>
  <c r="D3357" i="23"/>
  <c r="D3359" i="23"/>
  <c r="F3360" i="23"/>
  <c r="D3" i="29"/>
  <c r="D4" i="29"/>
  <c r="D5" i="29"/>
  <c r="D6" i="29"/>
  <c r="D7" i="29"/>
  <c r="D8" i="29"/>
  <c r="D9" i="29"/>
  <c r="C10" i="29"/>
  <c r="D10" i="29"/>
  <c r="D11" i="29"/>
  <c r="D12" i="29"/>
  <c r="D13" i="29"/>
  <c r="D14" i="29"/>
  <c r="D15" i="29"/>
  <c r="D16" i="29"/>
  <c r="D17" i="29"/>
  <c r="D18" i="29"/>
  <c r="D19" i="29"/>
  <c r="B6" i="22"/>
  <c r="C6" i="22"/>
  <c r="D6" i="22"/>
  <c r="E6" i="22"/>
  <c r="F6" i="22"/>
  <c r="G6" i="22"/>
  <c r="H6" i="22"/>
  <c r="I6" i="22"/>
  <c r="B8" i="22"/>
  <c r="C8" i="22"/>
  <c r="D8" i="22"/>
  <c r="E8" i="22"/>
  <c r="F8" i="22"/>
  <c r="G8" i="22"/>
  <c r="H8" i="22"/>
  <c r="I8" i="22"/>
  <c r="B10" i="22"/>
  <c r="C10" i="22"/>
  <c r="D10" i="22"/>
  <c r="E10" i="22"/>
  <c r="F10" i="22"/>
  <c r="G10" i="22"/>
  <c r="H10" i="22"/>
  <c r="I10" i="22"/>
  <c r="B12" i="22"/>
  <c r="B7" i="24"/>
  <c r="C12" i="22"/>
  <c r="C7" i="24"/>
  <c r="D12" i="22"/>
  <c r="D7" i="24"/>
  <c r="E12" i="22"/>
  <c r="E7" i="24"/>
  <c r="F12" i="22"/>
  <c r="F7" i="24"/>
  <c r="G12" i="22"/>
  <c r="G7" i="24"/>
  <c r="H12" i="22"/>
  <c r="H7" i="24"/>
  <c r="I12" i="22"/>
  <c r="B14" i="22"/>
  <c r="C14" i="22"/>
  <c r="D14" i="22"/>
  <c r="E14" i="22"/>
  <c r="F14" i="22"/>
  <c r="G14" i="22"/>
  <c r="H14" i="22"/>
  <c r="I14" i="22"/>
  <c r="B16" i="22"/>
  <c r="C16" i="22"/>
  <c r="D16" i="22"/>
  <c r="E16" i="22"/>
  <c r="F16" i="22"/>
  <c r="G16" i="22"/>
  <c r="H16" i="22"/>
  <c r="I16" i="22"/>
  <c r="B18" i="22"/>
  <c r="C18" i="22"/>
  <c r="D18" i="22"/>
  <c r="E18" i="22"/>
  <c r="F18" i="22"/>
  <c r="G18" i="22"/>
  <c r="H18" i="22"/>
  <c r="I18" i="22"/>
  <c r="B20" i="22"/>
  <c r="C20" i="22"/>
  <c r="D20" i="22"/>
  <c r="E20" i="22"/>
  <c r="F20" i="22"/>
  <c r="G20" i="22"/>
  <c r="H20" i="22"/>
  <c r="I20" i="22"/>
  <c r="B22" i="22"/>
  <c r="B17" i="24"/>
  <c r="C22" i="22"/>
  <c r="C17" i="24"/>
  <c r="D22" i="22"/>
  <c r="D17" i="24"/>
  <c r="E22" i="22"/>
  <c r="E17" i="24"/>
  <c r="F22" i="22"/>
  <c r="F17" i="24"/>
  <c r="G22" i="22"/>
  <c r="G17" i="24"/>
  <c r="H22" i="22"/>
  <c r="I22" i="22"/>
  <c r="B24" i="22"/>
  <c r="B19" i="24"/>
  <c r="C24" i="22"/>
  <c r="C19" i="24"/>
  <c r="D24" i="22"/>
  <c r="D19" i="24"/>
  <c r="E24" i="22"/>
  <c r="E19" i="24"/>
  <c r="F24" i="22"/>
  <c r="F19" i="24"/>
  <c r="G24" i="22"/>
  <c r="G19" i="24"/>
  <c r="H24" i="22"/>
  <c r="I24" i="22"/>
  <c r="B26" i="22"/>
  <c r="B21" i="24"/>
  <c r="C26" i="22"/>
  <c r="C21" i="24"/>
  <c r="D26" i="22"/>
  <c r="E26" i="22"/>
  <c r="E21" i="24"/>
  <c r="F26" i="22"/>
  <c r="F21" i="24"/>
  <c r="G26" i="22"/>
  <c r="H26" i="22"/>
  <c r="I26" i="22"/>
  <c r="B28" i="22"/>
  <c r="C28" i="22"/>
  <c r="D28" i="22"/>
  <c r="E28" i="22"/>
  <c r="F28" i="22"/>
  <c r="G28" i="22"/>
  <c r="H28" i="22"/>
  <c r="I28" i="22"/>
  <c r="B30" i="22"/>
  <c r="C30" i="22"/>
  <c r="D30" i="22"/>
  <c r="D21" i="24"/>
  <c r="E30" i="22"/>
  <c r="F30" i="22"/>
  <c r="G30" i="22"/>
  <c r="H30" i="22"/>
  <c r="I30" i="22"/>
  <c r="B32" i="22"/>
  <c r="C32" i="22"/>
  <c r="D32" i="22"/>
  <c r="E32" i="22"/>
  <c r="F32" i="22"/>
  <c r="G32" i="22"/>
  <c r="H32" i="22"/>
  <c r="I32" i="22"/>
  <c r="B34" i="22"/>
  <c r="C34" i="22"/>
  <c r="D34" i="22"/>
  <c r="E34" i="22"/>
  <c r="F34" i="22"/>
  <c r="G34" i="22"/>
  <c r="H34" i="22"/>
  <c r="I34" i="22"/>
  <c r="B36" i="22"/>
  <c r="C36" i="22"/>
  <c r="D36" i="22"/>
  <c r="E36" i="22"/>
  <c r="F36" i="22"/>
  <c r="G36" i="22"/>
  <c r="H36" i="22"/>
  <c r="I36" i="22"/>
  <c r="B38" i="22"/>
  <c r="C38" i="22"/>
  <c r="D38" i="22"/>
  <c r="E38" i="22"/>
  <c r="F38" i="22"/>
  <c r="G38" i="22"/>
  <c r="H38" i="22"/>
  <c r="I38" i="22"/>
  <c r="B40" i="22"/>
  <c r="C40" i="22"/>
  <c r="D40" i="22"/>
  <c r="E40" i="22"/>
  <c r="F40" i="22"/>
  <c r="G40" i="22"/>
  <c r="H40" i="22"/>
  <c r="I40" i="22"/>
  <c r="B48" i="22"/>
  <c r="C48" i="22"/>
  <c r="D48" i="22"/>
  <c r="E48" i="22"/>
  <c r="F48" i="22"/>
  <c r="G48" i="22"/>
  <c r="H48" i="22"/>
  <c r="I48" i="22"/>
  <c r="B50" i="22"/>
  <c r="C50" i="22"/>
  <c r="D50" i="22"/>
  <c r="E50" i="22"/>
  <c r="F50" i="22"/>
  <c r="G50" i="22"/>
  <c r="H50" i="22"/>
  <c r="I50" i="22"/>
  <c r="B52" i="22"/>
  <c r="C52" i="22"/>
  <c r="D52" i="22"/>
  <c r="E52" i="22"/>
  <c r="F52" i="22"/>
  <c r="G52" i="22"/>
  <c r="H52" i="22"/>
  <c r="I52" i="22"/>
  <c r="B54" i="22"/>
  <c r="C54" i="22"/>
  <c r="D54" i="22"/>
  <c r="E54" i="22"/>
  <c r="F54" i="22"/>
  <c r="G54" i="22"/>
  <c r="H54" i="22"/>
  <c r="I54" i="22"/>
  <c r="B56" i="22"/>
  <c r="C56" i="22"/>
  <c r="D56" i="22"/>
  <c r="E56" i="22"/>
  <c r="F56" i="22"/>
  <c r="G56" i="22"/>
  <c r="H56" i="22"/>
  <c r="I56" i="22"/>
  <c r="B57" i="22"/>
  <c r="C57" i="22"/>
  <c r="D57" i="22"/>
  <c r="E57" i="22"/>
  <c r="F57" i="22"/>
  <c r="G57" i="22"/>
  <c r="H57" i="22"/>
  <c r="I57" i="22"/>
  <c r="B58" i="22"/>
  <c r="C58" i="22"/>
  <c r="D58" i="22"/>
  <c r="E58" i="22"/>
  <c r="F58" i="22"/>
  <c r="G58" i="22"/>
  <c r="H58" i="22"/>
  <c r="I58" i="22"/>
  <c r="B59" i="22"/>
  <c r="C59" i="22"/>
  <c r="D59" i="22"/>
  <c r="E59" i="22"/>
  <c r="F59" i="22"/>
  <c r="G59" i="22"/>
  <c r="H59" i="22"/>
  <c r="I59" i="22"/>
  <c r="B60" i="22"/>
  <c r="C60" i="22"/>
  <c r="D60" i="22"/>
  <c r="E60" i="22"/>
  <c r="F60" i="22"/>
  <c r="G60" i="22"/>
  <c r="H60" i="22"/>
  <c r="I60" i="22"/>
  <c r="B61" i="22"/>
  <c r="C61" i="22"/>
  <c r="D61" i="22"/>
  <c r="E61" i="22"/>
  <c r="F61" i="22"/>
  <c r="G61" i="22"/>
  <c r="H61" i="22"/>
  <c r="I61" i="22"/>
  <c r="B62" i="22"/>
  <c r="C62" i="22"/>
  <c r="D62" i="22"/>
  <c r="E62" i="22"/>
  <c r="F62" i="22"/>
  <c r="G62" i="22"/>
  <c r="H62" i="22"/>
  <c r="I62" i="22"/>
  <c r="B64" i="22"/>
  <c r="C64" i="22"/>
  <c r="D64" i="22"/>
  <c r="E64" i="22"/>
  <c r="F64" i="22"/>
  <c r="G64" i="22"/>
  <c r="H64" i="22"/>
  <c r="I64" i="22"/>
  <c r="B66" i="22"/>
  <c r="C66" i="22"/>
  <c r="D66" i="22"/>
  <c r="E66" i="22"/>
  <c r="F66" i="22"/>
  <c r="G66" i="22"/>
  <c r="H66" i="22"/>
  <c r="I66" i="22"/>
  <c r="B68" i="22"/>
  <c r="C68" i="22"/>
  <c r="D68" i="22"/>
  <c r="E68" i="22"/>
  <c r="F68" i="22"/>
  <c r="G68" i="22"/>
  <c r="H68" i="22"/>
  <c r="I68" i="22"/>
  <c r="B70" i="22"/>
  <c r="C70" i="22"/>
  <c r="D70" i="22"/>
  <c r="E70" i="22"/>
  <c r="F70" i="22"/>
  <c r="G70" i="22"/>
  <c r="H70" i="22"/>
  <c r="I70" i="22"/>
  <c r="B72" i="22"/>
  <c r="C72" i="22"/>
  <c r="D72" i="22"/>
  <c r="E72" i="22"/>
  <c r="F72" i="22"/>
  <c r="G72" i="22"/>
  <c r="H72" i="22"/>
  <c r="I72" i="22"/>
  <c r="B74" i="22"/>
  <c r="C74" i="22"/>
  <c r="D74" i="22"/>
  <c r="E74" i="22"/>
  <c r="F74" i="22"/>
  <c r="G74" i="22"/>
  <c r="H74" i="22"/>
  <c r="I74" i="22"/>
  <c r="B76" i="22"/>
  <c r="C76" i="22"/>
  <c r="D76" i="22"/>
  <c r="E76" i="22"/>
  <c r="F76" i="22"/>
  <c r="G76" i="22"/>
  <c r="H76" i="22"/>
  <c r="I76" i="22"/>
  <c r="B78" i="22"/>
  <c r="C78" i="22"/>
  <c r="D78" i="22"/>
  <c r="E78" i="22"/>
  <c r="F78" i="22"/>
  <c r="G78" i="22"/>
  <c r="H78" i="22"/>
  <c r="I78" i="22"/>
  <c r="B80" i="22"/>
  <c r="C80" i="22"/>
  <c r="D80" i="22"/>
  <c r="E80" i="22"/>
  <c r="F80" i="22"/>
  <c r="G80" i="22"/>
  <c r="H80" i="22"/>
  <c r="I80" i="22"/>
  <c r="B82" i="22"/>
  <c r="C82" i="22"/>
  <c r="D82" i="22"/>
  <c r="E82" i="22"/>
  <c r="F82" i="22"/>
  <c r="G82" i="22"/>
  <c r="H82" i="22"/>
  <c r="I82" i="22"/>
  <c r="B84" i="22"/>
  <c r="C84" i="22"/>
  <c r="D84" i="22"/>
  <c r="E84" i="22"/>
  <c r="F84" i="22"/>
  <c r="G84" i="22"/>
  <c r="H84" i="22"/>
  <c r="I84" i="22"/>
  <c r="B86" i="22"/>
  <c r="C86" i="22"/>
  <c r="D86" i="22"/>
  <c r="E86" i="22"/>
  <c r="F86" i="22"/>
  <c r="G86" i="22"/>
  <c r="H86" i="22"/>
  <c r="I86" i="22"/>
  <c r="B88" i="22"/>
  <c r="C88" i="22"/>
  <c r="D88" i="22"/>
  <c r="E88" i="22"/>
  <c r="F88" i="22"/>
  <c r="G88" i="22"/>
  <c r="H88" i="22"/>
  <c r="I88" i="22"/>
  <c r="B90" i="22"/>
  <c r="C90" i="22"/>
  <c r="D90" i="22"/>
  <c r="E90" i="22"/>
  <c r="F90" i="22"/>
  <c r="G90" i="22"/>
  <c r="H90" i="22"/>
  <c r="I90" i="22"/>
  <c r="B92" i="22"/>
  <c r="C92" i="22"/>
  <c r="D92" i="22"/>
  <c r="E92" i="22"/>
  <c r="F92" i="22"/>
  <c r="G92" i="22"/>
  <c r="H92" i="22"/>
  <c r="I92" i="22"/>
  <c r="B93" i="22"/>
  <c r="C93" i="22"/>
  <c r="D93" i="22"/>
  <c r="E93" i="22"/>
  <c r="F93" i="22"/>
  <c r="G93" i="22"/>
  <c r="H93" i="22"/>
  <c r="I93" i="22"/>
  <c r="B94" i="22"/>
  <c r="C94" i="22"/>
  <c r="D94" i="22"/>
  <c r="E94" i="22"/>
  <c r="F94" i="22"/>
  <c r="G94" i="22"/>
  <c r="H94" i="22"/>
  <c r="I94" i="22"/>
  <c r="B95" i="22"/>
  <c r="C95" i="22"/>
  <c r="D95" i="22"/>
  <c r="E95" i="22"/>
  <c r="F95" i="22"/>
  <c r="G95" i="22"/>
  <c r="H95" i="22"/>
  <c r="I95" i="22"/>
  <c r="B96" i="22"/>
  <c r="C96" i="22"/>
  <c r="D96" i="22"/>
  <c r="E96" i="22"/>
  <c r="F96" i="22"/>
  <c r="G96" i="22"/>
  <c r="H96" i="22"/>
  <c r="I96" i="22"/>
  <c r="B97" i="22"/>
  <c r="C97" i="22"/>
  <c r="D97" i="22"/>
  <c r="E97" i="22"/>
  <c r="F97" i="22"/>
  <c r="G97" i="22"/>
  <c r="H97" i="22"/>
  <c r="I97" i="22"/>
  <c r="B98" i="22"/>
  <c r="C98" i="22"/>
  <c r="D98" i="22"/>
  <c r="E98" i="22"/>
  <c r="F98" i="22"/>
  <c r="G98" i="22"/>
  <c r="H98" i="22"/>
  <c r="I98" i="22"/>
  <c r="B99" i="22"/>
  <c r="C99" i="22"/>
  <c r="D99" i="22"/>
  <c r="E99" i="22"/>
  <c r="F99" i="22"/>
  <c r="G99" i="22"/>
  <c r="H99" i="22"/>
  <c r="I99" i="22"/>
  <c r="B100" i="22"/>
  <c r="C100" i="22"/>
  <c r="D100" i="22"/>
  <c r="E100" i="22"/>
  <c r="F100" i="22"/>
  <c r="G100" i="22"/>
  <c r="H100" i="22"/>
  <c r="I100" i="22"/>
  <c r="B102" i="22"/>
  <c r="C102" i="22"/>
  <c r="D102" i="22"/>
  <c r="E102" i="22"/>
  <c r="F102" i="22"/>
  <c r="G102" i="22"/>
  <c r="H102" i="22"/>
  <c r="I102" i="22"/>
  <c r="B104" i="22"/>
  <c r="C104" i="22"/>
  <c r="D104" i="22"/>
  <c r="E104" i="22"/>
  <c r="F104" i="22"/>
  <c r="G104" i="22"/>
  <c r="H104" i="22"/>
  <c r="I104" i="22"/>
  <c r="B106" i="22"/>
  <c r="C106" i="22"/>
  <c r="D106" i="22"/>
  <c r="E106" i="22"/>
  <c r="F106" i="22"/>
  <c r="G106" i="22"/>
  <c r="H106" i="22"/>
  <c r="I106" i="22"/>
  <c r="B108" i="22"/>
  <c r="C108" i="22"/>
  <c r="D108" i="22"/>
  <c r="E108" i="22"/>
  <c r="F108" i="22"/>
  <c r="G108" i="22"/>
  <c r="H108" i="22"/>
  <c r="I108" i="22"/>
  <c r="B110" i="22"/>
  <c r="C110" i="22"/>
  <c r="D110" i="22"/>
  <c r="E110" i="22"/>
  <c r="F110" i="22"/>
  <c r="G110" i="22"/>
  <c r="H110" i="22"/>
  <c r="I110" i="22"/>
  <c r="B112" i="22"/>
  <c r="C112" i="22"/>
  <c r="D112" i="22"/>
  <c r="E112" i="22"/>
  <c r="F112" i="22"/>
  <c r="G112" i="22"/>
  <c r="H112" i="22"/>
  <c r="I112" i="22"/>
  <c r="B114" i="22"/>
  <c r="C114" i="22"/>
  <c r="D114" i="22"/>
  <c r="E114" i="22"/>
  <c r="F114" i="22"/>
  <c r="G114" i="22"/>
  <c r="H114" i="22"/>
  <c r="I114" i="22"/>
  <c r="B116" i="22"/>
  <c r="C116" i="22"/>
  <c r="D116" i="22"/>
  <c r="E116" i="22"/>
  <c r="F116" i="22"/>
  <c r="G116" i="22"/>
  <c r="H116" i="22"/>
  <c r="I116" i="22"/>
  <c r="B118" i="22"/>
  <c r="C118" i="22"/>
  <c r="D118" i="22"/>
  <c r="E118" i="22"/>
  <c r="F118" i="22"/>
  <c r="G118" i="22"/>
  <c r="H118" i="22"/>
  <c r="I118" i="22"/>
  <c r="B120" i="22"/>
  <c r="C120" i="22"/>
  <c r="D120" i="22"/>
  <c r="E120" i="22"/>
  <c r="F120" i="22"/>
  <c r="G120" i="22"/>
  <c r="H120" i="22"/>
  <c r="I120" i="22"/>
  <c r="B122" i="22"/>
  <c r="C122" i="22"/>
  <c r="D122" i="22"/>
  <c r="E122" i="22"/>
  <c r="F122" i="22"/>
  <c r="G122" i="22"/>
  <c r="H122" i="22"/>
  <c r="I122" i="22"/>
  <c r="B124" i="22"/>
  <c r="C124" i="22"/>
  <c r="D124" i="22"/>
  <c r="E124" i="22"/>
  <c r="F124" i="22"/>
  <c r="G124" i="22"/>
  <c r="H124" i="22"/>
  <c r="I124" i="22"/>
  <c r="B126" i="22"/>
  <c r="C126" i="22"/>
  <c r="D126" i="22"/>
  <c r="E126" i="22"/>
  <c r="F126" i="22"/>
  <c r="G126" i="22"/>
  <c r="H126" i="22"/>
  <c r="I126" i="22"/>
  <c r="B128" i="22"/>
  <c r="C128" i="22"/>
  <c r="D128" i="22"/>
  <c r="E128" i="22"/>
  <c r="F128" i="22"/>
  <c r="G128" i="22"/>
  <c r="H128" i="22"/>
  <c r="I128" i="22"/>
  <c r="B130" i="22"/>
  <c r="C130" i="22"/>
  <c r="D130" i="22"/>
  <c r="E130" i="22"/>
  <c r="F130" i="22"/>
  <c r="G130" i="22"/>
  <c r="H130" i="22"/>
  <c r="I130" i="22"/>
  <c r="B132" i="22"/>
  <c r="C132" i="22"/>
  <c r="D132" i="22"/>
  <c r="E132" i="22"/>
  <c r="F132" i="22"/>
  <c r="G132" i="22"/>
  <c r="H132" i="22"/>
  <c r="I132" i="22"/>
  <c r="E10" i="29"/>
  <c r="F10" i="29"/>
  <c r="G10" i="29"/>
  <c r="B134" i="22"/>
  <c r="C134" i="22"/>
  <c r="D134" i="22"/>
  <c r="E134" i="22"/>
  <c r="F134" i="22"/>
  <c r="G134" i="22"/>
  <c r="H134" i="22"/>
  <c r="I134" i="22"/>
  <c r="E12" i="29"/>
  <c r="F12" i="29"/>
  <c r="G12" i="29"/>
  <c r="B136" i="22"/>
  <c r="C136" i="22"/>
  <c r="D136" i="22"/>
  <c r="E136" i="22"/>
  <c r="F136" i="22"/>
  <c r="G136" i="22"/>
  <c r="H136" i="22"/>
  <c r="I136" i="22"/>
  <c r="B138" i="22"/>
  <c r="C138" i="22"/>
  <c r="D138" i="22"/>
  <c r="E138" i="22"/>
  <c r="F138" i="22"/>
  <c r="G138" i="22"/>
  <c r="H138" i="22"/>
  <c r="I138" i="22"/>
  <c r="B140" i="22"/>
  <c r="C140" i="22"/>
  <c r="D140" i="22"/>
  <c r="E140" i="22"/>
  <c r="F140" i="22"/>
  <c r="G140" i="22"/>
  <c r="H140" i="22"/>
  <c r="I140" i="22"/>
  <c r="B142" i="22"/>
  <c r="C142" i="22"/>
  <c r="D142" i="22"/>
  <c r="E142" i="22"/>
  <c r="F142" i="22"/>
  <c r="G142" i="22"/>
  <c r="H142" i="22"/>
  <c r="I142" i="22"/>
  <c r="B144" i="22"/>
  <c r="C144" i="22"/>
  <c r="D144" i="22"/>
  <c r="E144" i="22"/>
  <c r="F144" i="22"/>
  <c r="G144" i="22"/>
  <c r="H144" i="22"/>
  <c r="I144" i="22"/>
  <c r="B146" i="22"/>
  <c r="C146" i="22"/>
  <c r="D146" i="22"/>
  <c r="E146" i="22"/>
  <c r="F146" i="22"/>
  <c r="G146" i="22"/>
  <c r="H146" i="22"/>
  <c r="I146" i="22"/>
  <c r="B148" i="22"/>
  <c r="C148" i="22"/>
  <c r="D148" i="22"/>
  <c r="E148" i="22"/>
  <c r="F148" i="22"/>
  <c r="G148" i="22"/>
  <c r="H148" i="22"/>
  <c r="I148" i="22"/>
  <c r="B150" i="22"/>
  <c r="C150" i="22"/>
  <c r="D150" i="22"/>
  <c r="E150" i="22"/>
  <c r="F150" i="22"/>
  <c r="G150" i="22"/>
  <c r="H150" i="22"/>
  <c r="I150" i="22"/>
  <c r="D151" i="22"/>
  <c r="B152" i="22"/>
  <c r="C152" i="22"/>
  <c r="D152" i="22"/>
  <c r="E152" i="22"/>
  <c r="F152" i="22"/>
  <c r="G152" i="22"/>
  <c r="H152" i="22"/>
  <c r="I152" i="22"/>
  <c r="B154" i="22"/>
  <c r="C154" i="22"/>
  <c r="D154" i="22"/>
  <c r="E154" i="22"/>
  <c r="F154" i="22"/>
  <c r="G154" i="22"/>
  <c r="H154" i="22"/>
  <c r="I154" i="22"/>
  <c r="B156" i="22"/>
  <c r="C156" i="22"/>
  <c r="D156" i="22"/>
  <c r="E156" i="22"/>
  <c r="F156" i="22"/>
  <c r="G156" i="22"/>
  <c r="H156" i="22"/>
  <c r="I156" i="22"/>
  <c r="B158" i="22"/>
  <c r="C158" i="22"/>
  <c r="D158" i="22"/>
  <c r="E158" i="22"/>
  <c r="F158" i="22"/>
  <c r="G158" i="22"/>
  <c r="H158" i="22"/>
  <c r="I158" i="22"/>
  <c r="B160" i="22"/>
  <c r="C160" i="22"/>
  <c r="D160" i="22"/>
  <c r="E160" i="22"/>
  <c r="F160" i="22"/>
  <c r="G160" i="22"/>
  <c r="H160" i="22"/>
  <c r="I160" i="22"/>
  <c r="B162" i="22"/>
  <c r="C162" i="22"/>
  <c r="D162" i="22"/>
  <c r="E162" i="22"/>
  <c r="F162" i="22"/>
  <c r="G162" i="22"/>
  <c r="H162" i="22"/>
  <c r="I162" i="22"/>
  <c r="B164" i="22"/>
  <c r="C164" i="22"/>
  <c r="D164" i="22"/>
  <c r="E164" i="22"/>
  <c r="F164" i="22"/>
  <c r="G164" i="22"/>
  <c r="H164" i="22"/>
  <c r="I164" i="22"/>
  <c r="B166" i="22"/>
  <c r="C166" i="22"/>
  <c r="D166" i="22"/>
  <c r="E166" i="22"/>
  <c r="F166" i="22"/>
  <c r="G166" i="22"/>
  <c r="H166" i="22"/>
  <c r="I166" i="22"/>
  <c r="B168" i="22"/>
  <c r="C168" i="22"/>
  <c r="D168" i="22"/>
  <c r="E168" i="22"/>
  <c r="F168" i="22"/>
  <c r="G168" i="22"/>
  <c r="H168" i="22"/>
  <c r="I168" i="22"/>
  <c r="B170" i="22"/>
  <c r="C170" i="22"/>
  <c r="D170" i="22"/>
  <c r="E170" i="22"/>
  <c r="F170" i="22"/>
  <c r="G170" i="22"/>
  <c r="H170" i="22"/>
  <c r="I170" i="22"/>
  <c r="B172" i="22"/>
  <c r="C172" i="22"/>
  <c r="D172" i="22"/>
  <c r="E172" i="22"/>
  <c r="F172" i="22"/>
  <c r="G172" i="22"/>
  <c r="H172" i="22"/>
  <c r="I172" i="22"/>
  <c r="B174" i="22"/>
  <c r="C174" i="22"/>
  <c r="D174" i="22"/>
  <c r="E174" i="22"/>
  <c r="F174" i="22"/>
  <c r="G174" i="22"/>
  <c r="H174" i="22"/>
  <c r="I174" i="22"/>
  <c r="B176" i="22"/>
  <c r="C176" i="22"/>
  <c r="D176" i="22"/>
  <c r="E176" i="22"/>
  <c r="F176" i="22"/>
  <c r="G176" i="22"/>
  <c r="H176" i="22"/>
  <c r="I176" i="22"/>
  <c r="B178" i="22"/>
  <c r="C178" i="22"/>
  <c r="D178" i="22"/>
  <c r="E178" i="22"/>
  <c r="F178" i="22"/>
  <c r="G178" i="22"/>
  <c r="H178" i="22"/>
  <c r="I178" i="22"/>
  <c r="B180" i="22"/>
  <c r="C180" i="22"/>
  <c r="D180" i="22"/>
  <c r="E180" i="22"/>
  <c r="F180" i="22"/>
  <c r="G180" i="22"/>
  <c r="H180" i="22"/>
  <c r="I180" i="22"/>
  <c r="B182" i="22"/>
  <c r="C182" i="22"/>
  <c r="D182" i="22"/>
  <c r="E182" i="22"/>
  <c r="F182" i="22"/>
  <c r="G182" i="22"/>
  <c r="H182" i="22"/>
  <c r="I182" i="22"/>
  <c r="B184" i="22"/>
  <c r="C184" i="22"/>
  <c r="D184" i="22"/>
  <c r="E184" i="22"/>
  <c r="F184" i="22"/>
  <c r="G184" i="22"/>
  <c r="H184" i="22"/>
  <c r="I184" i="22"/>
  <c r="B186" i="22"/>
  <c r="C186" i="22"/>
  <c r="D186" i="22"/>
  <c r="E186" i="22"/>
  <c r="F186" i="22"/>
  <c r="G186" i="22"/>
  <c r="H186" i="22"/>
  <c r="I186" i="22"/>
  <c r="B188" i="22"/>
  <c r="C188" i="22"/>
  <c r="D188" i="22"/>
  <c r="E188" i="22"/>
  <c r="F188" i="22"/>
  <c r="G188" i="22"/>
  <c r="H188" i="22"/>
  <c r="I188" i="22"/>
  <c r="B189" i="22"/>
  <c r="C189" i="22"/>
  <c r="D189" i="22"/>
  <c r="E189" i="22"/>
  <c r="F189" i="22"/>
  <c r="G189" i="22"/>
  <c r="H189" i="22"/>
  <c r="I189" i="22"/>
  <c r="B190" i="22"/>
  <c r="C190" i="22"/>
  <c r="D190" i="22"/>
  <c r="E190" i="22"/>
  <c r="F190" i="22"/>
  <c r="G190" i="22"/>
  <c r="H190" i="22"/>
  <c r="I190" i="22"/>
  <c r="B191" i="22"/>
  <c r="C191" i="22"/>
  <c r="D191" i="22"/>
  <c r="E191" i="22"/>
  <c r="F191" i="22"/>
  <c r="G191" i="22"/>
  <c r="H191" i="22"/>
  <c r="I191" i="22"/>
  <c r="F192" i="22"/>
  <c r="G192" i="22"/>
  <c r="H192" i="22"/>
  <c r="I192" i="22"/>
  <c r="E4" i="4"/>
  <c r="G4" i="4"/>
  <c r="F4" i="4"/>
  <c r="O4" i="4"/>
  <c r="P4" i="4"/>
  <c r="E5" i="4"/>
  <c r="G5" i="4"/>
  <c r="I5" i="4"/>
  <c r="K5" i="4"/>
  <c r="F5" i="4"/>
  <c r="O5" i="4"/>
  <c r="P5" i="4"/>
  <c r="E6" i="4"/>
  <c r="F6" i="4"/>
  <c r="O6" i="4"/>
  <c r="P6" i="4"/>
  <c r="E7" i="4"/>
  <c r="F7" i="4"/>
  <c r="G7" i="4"/>
  <c r="Q7" i="4"/>
  <c r="L7" i="4"/>
  <c r="O7" i="4"/>
  <c r="P7" i="4"/>
  <c r="E8" i="4"/>
  <c r="G8" i="4"/>
  <c r="F8" i="4"/>
  <c r="O8" i="4"/>
  <c r="P8" i="4"/>
  <c r="E9" i="4"/>
  <c r="G9" i="4"/>
  <c r="F9" i="4"/>
  <c r="O9" i="4"/>
  <c r="P9" i="4"/>
  <c r="E10" i="4"/>
  <c r="F10" i="4"/>
  <c r="O10" i="4"/>
  <c r="P10" i="4"/>
  <c r="E11" i="4"/>
  <c r="G11" i="4"/>
  <c r="F11" i="4"/>
  <c r="O11" i="4"/>
  <c r="P11" i="4"/>
  <c r="E12" i="4"/>
  <c r="F12" i="4"/>
  <c r="O12" i="4"/>
  <c r="P12" i="4"/>
  <c r="E13" i="4"/>
  <c r="F13" i="4"/>
  <c r="O13" i="4"/>
  <c r="P13" i="4"/>
  <c r="E14" i="4"/>
  <c r="F14" i="4"/>
  <c r="G14" i="4"/>
  <c r="Q14" i="4"/>
  <c r="L14" i="4"/>
  <c r="O14" i="4"/>
  <c r="P14" i="4"/>
  <c r="E15" i="4"/>
  <c r="F15" i="4"/>
  <c r="O15" i="4"/>
  <c r="P15" i="4"/>
  <c r="E16" i="4"/>
  <c r="F16" i="4"/>
  <c r="O16" i="4"/>
  <c r="P16" i="4"/>
  <c r="E17" i="4"/>
  <c r="F17" i="4"/>
  <c r="O17" i="4"/>
  <c r="P17" i="4"/>
  <c r="E18" i="4"/>
  <c r="F18" i="4"/>
  <c r="G18" i="4"/>
  <c r="L18" i="4"/>
  <c r="O18" i="4"/>
  <c r="P18" i="4"/>
  <c r="Q18" i="4"/>
  <c r="E19" i="4"/>
  <c r="G19" i="4"/>
  <c r="F19" i="4"/>
  <c r="O19" i="4"/>
  <c r="P19" i="4"/>
  <c r="E20" i="4"/>
  <c r="F20" i="4"/>
  <c r="O20" i="4"/>
  <c r="P20" i="4"/>
  <c r="E21" i="4"/>
  <c r="F21" i="4"/>
  <c r="O21" i="4"/>
  <c r="P21" i="4"/>
  <c r="E22" i="4"/>
  <c r="F22" i="4"/>
  <c r="O22" i="4"/>
  <c r="P22" i="4"/>
  <c r="G23" i="4"/>
  <c r="I23" i="4"/>
  <c r="O23" i="4"/>
  <c r="Q23" i="4"/>
  <c r="L23" i="4"/>
  <c r="P23" i="4"/>
  <c r="E24" i="4"/>
  <c r="G24" i="4"/>
  <c r="F24" i="4"/>
  <c r="O24" i="4"/>
  <c r="P24" i="4"/>
  <c r="E25" i="4"/>
  <c r="F25" i="4"/>
  <c r="G25" i="4"/>
  <c r="O25" i="4"/>
  <c r="P25" i="4"/>
  <c r="E26" i="4"/>
  <c r="F26" i="4"/>
  <c r="G26" i="4"/>
  <c r="Q26" i="4"/>
  <c r="L26" i="4"/>
  <c r="R26" i="4"/>
  <c r="O26" i="4"/>
  <c r="P26" i="4"/>
  <c r="E27" i="4"/>
  <c r="F27" i="4"/>
  <c r="O27" i="4"/>
  <c r="P27" i="4"/>
  <c r="E28" i="4"/>
  <c r="F28" i="4"/>
  <c r="G28" i="4"/>
  <c r="O28" i="4"/>
  <c r="P28" i="4"/>
  <c r="G29" i="4"/>
  <c r="I29" i="4"/>
  <c r="N29" i="4"/>
  <c r="Q29" i="4"/>
  <c r="E30" i="4"/>
  <c r="F30" i="4"/>
  <c r="O30" i="4"/>
  <c r="P30" i="4"/>
  <c r="G31" i="4"/>
  <c r="I31" i="4"/>
  <c r="N31" i="4"/>
  <c r="Q31" i="4"/>
  <c r="E32" i="4"/>
  <c r="F32" i="4"/>
  <c r="O32" i="4"/>
  <c r="P32" i="4"/>
  <c r="E33" i="4"/>
  <c r="F33" i="4"/>
  <c r="G33" i="4"/>
  <c r="Q33" i="4"/>
  <c r="L33" i="4"/>
  <c r="O33" i="4"/>
  <c r="P33" i="4"/>
  <c r="E34" i="4"/>
  <c r="G34" i="4"/>
  <c r="Q34" i="4"/>
  <c r="L34" i="4"/>
  <c r="F34" i="4"/>
  <c r="O34" i="4"/>
  <c r="P34" i="4"/>
  <c r="E35" i="4"/>
  <c r="F35" i="4"/>
  <c r="N35" i="4"/>
  <c r="O35" i="4"/>
  <c r="P35" i="4"/>
  <c r="E39" i="4"/>
  <c r="G39" i="4"/>
  <c r="I39" i="4"/>
  <c r="K39" i="4"/>
  <c r="F39" i="4"/>
  <c r="O39" i="4"/>
  <c r="P39" i="4"/>
  <c r="E40" i="4"/>
  <c r="G40" i="4"/>
  <c r="F40" i="4"/>
  <c r="O40" i="4"/>
  <c r="P40" i="4"/>
  <c r="E41" i="4"/>
  <c r="F41" i="4"/>
  <c r="O41" i="4"/>
  <c r="P41" i="4"/>
  <c r="E42" i="4"/>
  <c r="G42" i="4"/>
  <c r="F42" i="4"/>
  <c r="O42" i="4"/>
  <c r="P42" i="4"/>
  <c r="E43" i="4"/>
  <c r="G43" i="4"/>
  <c r="Q43" i="4"/>
  <c r="L43" i="4"/>
  <c r="F43" i="4"/>
  <c r="O43" i="4"/>
  <c r="P43" i="4"/>
  <c r="E44" i="4"/>
  <c r="F44" i="4"/>
  <c r="O44" i="4"/>
  <c r="P44" i="4"/>
  <c r="E45" i="4"/>
  <c r="F45" i="4"/>
  <c r="O45" i="4"/>
  <c r="P45" i="4"/>
  <c r="E46" i="4"/>
  <c r="G46" i="4"/>
  <c r="F46" i="4"/>
  <c r="O46" i="4"/>
  <c r="P46" i="4"/>
  <c r="E47" i="4"/>
  <c r="F47" i="4"/>
  <c r="G47" i="4"/>
  <c r="Q47" i="4"/>
  <c r="L47" i="4"/>
  <c r="R47" i="4"/>
  <c r="O47" i="4"/>
  <c r="P47" i="4"/>
  <c r="E48" i="4"/>
  <c r="F48" i="4"/>
  <c r="O48" i="4"/>
  <c r="P48" i="4"/>
  <c r="E49" i="4"/>
  <c r="F49" i="4"/>
  <c r="O49" i="4"/>
  <c r="P49" i="4"/>
  <c r="E50" i="4"/>
  <c r="F50" i="4"/>
  <c r="O50" i="4"/>
  <c r="P50" i="4"/>
  <c r="E51" i="4"/>
  <c r="F51" i="4"/>
  <c r="G51" i="4"/>
  <c r="O51" i="4"/>
  <c r="P51" i="4"/>
  <c r="E52" i="4"/>
  <c r="F52" i="4"/>
  <c r="O52" i="4"/>
  <c r="P52" i="4"/>
  <c r="E53" i="4"/>
  <c r="F53" i="4"/>
  <c r="G53" i="4"/>
  <c r="O53" i="4"/>
  <c r="P53" i="4"/>
  <c r="E54" i="4"/>
  <c r="F54" i="4"/>
  <c r="O54" i="4"/>
  <c r="P54" i="4"/>
  <c r="G55" i="4"/>
  <c r="I55" i="4"/>
  <c r="N55" i="4"/>
  <c r="Q55" i="4"/>
  <c r="E56" i="4"/>
  <c r="F56" i="4"/>
  <c r="G56" i="4"/>
  <c r="Q56" i="4"/>
  <c r="N56" i="4"/>
  <c r="O56" i="4"/>
  <c r="P56" i="4"/>
  <c r="E57" i="4"/>
  <c r="G57" i="4"/>
  <c r="I57" i="4"/>
  <c r="K57" i="4"/>
  <c r="F57" i="4"/>
  <c r="N57" i="4"/>
  <c r="O57" i="4"/>
  <c r="P57" i="4"/>
  <c r="E58" i="4"/>
  <c r="F58" i="4"/>
  <c r="O58" i="4"/>
  <c r="P58" i="4"/>
  <c r="E59" i="4"/>
  <c r="F59" i="4"/>
  <c r="O59" i="4"/>
  <c r="P59" i="4"/>
  <c r="E60" i="4"/>
  <c r="F60" i="4"/>
  <c r="O60" i="4"/>
  <c r="P60" i="4"/>
  <c r="E61" i="4"/>
  <c r="F61" i="4"/>
  <c r="N61" i="4"/>
  <c r="O61" i="4"/>
  <c r="P61" i="4"/>
  <c r="E62" i="4"/>
  <c r="G62" i="4"/>
  <c r="F62" i="4"/>
  <c r="N62" i="4"/>
  <c r="O62" i="4"/>
  <c r="P62" i="4"/>
  <c r="E66" i="4"/>
  <c r="F66" i="4"/>
  <c r="O66" i="4"/>
  <c r="P66" i="4"/>
  <c r="E67" i="4"/>
  <c r="G67" i="4"/>
  <c r="L67" i="4"/>
  <c r="F67" i="4"/>
  <c r="O67" i="4"/>
  <c r="P67" i="4"/>
  <c r="E68" i="4"/>
  <c r="G68" i="4"/>
  <c r="F68" i="4"/>
  <c r="O68" i="4"/>
  <c r="P68" i="4"/>
  <c r="E69" i="4"/>
  <c r="G69" i="4"/>
  <c r="F69" i="4"/>
  <c r="O69" i="4"/>
  <c r="P69" i="4"/>
  <c r="P93" i="4"/>
  <c r="E70" i="4"/>
  <c r="G70" i="4"/>
  <c r="F70" i="4"/>
  <c r="O70" i="4"/>
  <c r="P70" i="4"/>
  <c r="E71" i="4"/>
  <c r="G71" i="4"/>
  <c r="F71" i="4"/>
  <c r="O71" i="4"/>
  <c r="P71" i="4"/>
  <c r="G72" i="4"/>
  <c r="I72" i="4"/>
  <c r="N72" i="4"/>
  <c r="Q72" i="4"/>
  <c r="E73" i="4"/>
  <c r="G73" i="4"/>
  <c r="Q73" i="4"/>
  <c r="L73" i="4"/>
  <c r="F73" i="4"/>
  <c r="E74" i="4"/>
  <c r="F74" i="4"/>
  <c r="O74" i="4"/>
  <c r="P74" i="4"/>
  <c r="E75" i="4"/>
  <c r="F75" i="4"/>
  <c r="O75" i="4"/>
  <c r="P75" i="4"/>
  <c r="E76" i="4"/>
  <c r="F76" i="4"/>
  <c r="O76" i="4"/>
  <c r="P76" i="4"/>
  <c r="E77" i="4"/>
  <c r="F77" i="4"/>
  <c r="G77" i="4"/>
  <c r="O77" i="4"/>
  <c r="P77" i="4"/>
  <c r="E78" i="4"/>
  <c r="F78" i="4"/>
  <c r="O78" i="4"/>
  <c r="P78" i="4"/>
  <c r="E79" i="4"/>
  <c r="F79" i="4"/>
  <c r="O79" i="4"/>
  <c r="P79" i="4"/>
  <c r="E80" i="4"/>
  <c r="F80" i="4"/>
  <c r="O80" i="4"/>
  <c r="P80" i="4"/>
  <c r="E81" i="4"/>
  <c r="G81" i="4"/>
  <c r="F81" i="4"/>
  <c r="O81" i="4"/>
  <c r="P81" i="4"/>
  <c r="E82" i="4"/>
  <c r="G82" i="4"/>
  <c r="F82" i="4"/>
  <c r="O82" i="4"/>
  <c r="P82" i="4"/>
  <c r="E83" i="4"/>
  <c r="F83" i="4"/>
  <c r="O83" i="4"/>
  <c r="P83" i="4"/>
  <c r="E84" i="4"/>
  <c r="G84" i="4"/>
  <c r="I84" i="4"/>
  <c r="K84" i="4"/>
  <c r="F84" i="4"/>
  <c r="O84" i="4"/>
  <c r="P84" i="4"/>
  <c r="E85" i="4"/>
  <c r="F85" i="4"/>
  <c r="O85" i="4"/>
  <c r="P85" i="4"/>
  <c r="E86" i="4"/>
  <c r="F86" i="4"/>
  <c r="G86" i="4"/>
  <c r="O86" i="4"/>
  <c r="P86" i="4"/>
  <c r="E87" i="4"/>
  <c r="F87" i="4"/>
  <c r="O87" i="4"/>
  <c r="P87" i="4"/>
  <c r="E88" i="4"/>
  <c r="F88" i="4"/>
  <c r="G88" i="4"/>
  <c r="O88" i="4"/>
  <c r="P88" i="4"/>
  <c r="E89" i="4"/>
  <c r="F89" i="4"/>
  <c r="O89" i="4"/>
  <c r="P89" i="4"/>
  <c r="E90" i="4"/>
  <c r="G90" i="4"/>
  <c r="Q90" i="4"/>
  <c r="L90" i="4"/>
  <c r="F90" i="4"/>
  <c r="O90" i="4"/>
  <c r="P90" i="4"/>
  <c r="E91" i="4"/>
  <c r="F91" i="4"/>
  <c r="N91" i="4"/>
  <c r="O91" i="4"/>
  <c r="P91" i="4"/>
  <c r="E92" i="4"/>
  <c r="F92" i="4"/>
  <c r="O92" i="4"/>
  <c r="P92" i="4"/>
  <c r="G96" i="4"/>
  <c r="I96" i="4"/>
  <c r="N96" i="4"/>
  <c r="Q96" i="4"/>
  <c r="G97" i="4"/>
  <c r="I97" i="4"/>
  <c r="K97" i="4"/>
  <c r="N97" i="4"/>
  <c r="Q97" i="4"/>
  <c r="R97" i="4"/>
  <c r="E98" i="4"/>
  <c r="G98" i="4"/>
  <c r="F98" i="4"/>
  <c r="O98" i="4"/>
  <c r="P98" i="4"/>
  <c r="E99" i="4"/>
  <c r="F99" i="4"/>
  <c r="O99" i="4"/>
  <c r="P99" i="4"/>
  <c r="E100" i="4"/>
  <c r="F100" i="4"/>
  <c r="O100" i="4"/>
  <c r="P100" i="4"/>
  <c r="E101" i="4"/>
  <c r="F101" i="4"/>
  <c r="O101" i="4"/>
  <c r="P101" i="4"/>
  <c r="G102" i="4"/>
  <c r="I102" i="4"/>
  <c r="N102" i="4"/>
  <c r="Q102" i="4"/>
  <c r="E106" i="4"/>
  <c r="F106" i="4"/>
  <c r="O106" i="4"/>
  <c r="P106" i="4"/>
  <c r="E107" i="4"/>
  <c r="F107" i="4"/>
  <c r="O107" i="4"/>
  <c r="P107" i="4"/>
  <c r="E108" i="4"/>
  <c r="F108" i="4"/>
  <c r="G108" i="4"/>
  <c r="O108" i="4"/>
  <c r="O112" i="4"/>
  <c r="P108" i="4"/>
  <c r="I109" i="4"/>
  <c r="L109" i="4"/>
  <c r="N109" i="4"/>
  <c r="Q109" i="4"/>
  <c r="I110" i="4"/>
  <c r="J110" i="4"/>
  <c r="N110" i="4"/>
  <c r="Q110" i="4"/>
  <c r="I111" i="4"/>
  <c r="J111" i="4"/>
  <c r="K111" i="4"/>
  <c r="N111" i="4"/>
  <c r="Q111" i="4"/>
  <c r="A2" i="2"/>
  <c r="B2" i="2"/>
  <c r="G2" i="2"/>
  <c r="I5" i="3"/>
  <c r="H2" i="2"/>
  <c r="A3" i="2"/>
  <c r="B3" i="2"/>
  <c r="G3" i="2"/>
  <c r="H3" i="2"/>
  <c r="A4" i="2"/>
  <c r="G4" i="2"/>
  <c r="I7" i="3"/>
  <c r="M7" i="3"/>
  <c r="H4" i="2"/>
  <c r="A5" i="2"/>
  <c r="G5" i="2"/>
  <c r="I8" i="3"/>
  <c r="H5" i="2"/>
  <c r="A6" i="2"/>
  <c r="G6" i="2"/>
  <c r="I9" i="3"/>
  <c r="J9" i="3"/>
  <c r="L9" i="3"/>
  <c r="H6" i="2"/>
  <c r="A7" i="2"/>
  <c r="B7" i="2"/>
  <c r="G7" i="2"/>
  <c r="I10" i="3"/>
  <c r="H7" i="2"/>
  <c r="A8" i="2"/>
  <c r="G8" i="2"/>
  <c r="I11" i="3"/>
  <c r="M11" i="3"/>
  <c r="H8" i="2"/>
  <c r="A9" i="2"/>
  <c r="B9" i="2"/>
  <c r="G9" i="2"/>
  <c r="I12" i="3"/>
  <c r="H9" i="2"/>
  <c r="A10" i="2"/>
  <c r="B10" i="2"/>
  <c r="G10" i="2"/>
  <c r="H10" i="2"/>
  <c r="I14" i="3"/>
  <c r="M14" i="3"/>
  <c r="I15" i="3"/>
  <c r="J15" i="3"/>
  <c r="L15" i="3"/>
  <c r="A12" i="2"/>
  <c r="B12" i="2"/>
  <c r="G12" i="2"/>
  <c r="I19" i="3"/>
  <c r="H12" i="2"/>
  <c r="A13" i="2"/>
  <c r="B13" i="2"/>
  <c r="G13" i="2"/>
  <c r="I20" i="3"/>
  <c r="J20" i="3"/>
  <c r="C6" i="29"/>
  <c r="H13" i="2"/>
  <c r="A14" i="2"/>
  <c r="G14" i="2"/>
  <c r="I21" i="3"/>
  <c r="M21" i="3"/>
  <c r="H14" i="2"/>
  <c r="A15" i="2"/>
  <c r="B15" i="2"/>
  <c r="G15" i="2"/>
  <c r="I22" i="3"/>
  <c r="H15" i="2"/>
  <c r="A16" i="2"/>
  <c r="B16" i="2"/>
  <c r="G16" i="2"/>
  <c r="I23" i="3"/>
  <c r="H16" i="2"/>
  <c r="A18" i="2"/>
  <c r="B18" i="2"/>
  <c r="G18" i="2"/>
  <c r="I27" i="3"/>
  <c r="J27" i="3"/>
  <c r="H18" i="2"/>
  <c r="A19" i="2"/>
  <c r="B19" i="2"/>
  <c r="G19" i="2"/>
  <c r="I28" i="3"/>
  <c r="H19" i="2"/>
  <c r="A20" i="2"/>
  <c r="B20" i="2"/>
  <c r="G20" i="2"/>
  <c r="I29" i="3"/>
  <c r="H20" i="2"/>
  <c r="A21" i="2"/>
  <c r="B21" i="2"/>
  <c r="G21" i="2"/>
  <c r="I30" i="3"/>
  <c r="H21" i="2"/>
  <c r="A22" i="2"/>
  <c r="B22" i="2"/>
  <c r="G22" i="2"/>
  <c r="I31" i="3"/>
  <c r="H22" i="2"/>
  <c r="G23" i="2"/>
  <c r="I32" i="3"/>
  <c r="J32" i="3"/>
  <c r="L32" i="3"/>
  <c r="H23" i="2"/>
  <c r="I33" i="3"/>
  <c r="A25" i="2"/>
  <c r="G25" i="2"/>
  <c r="I37" i="3"/>
  <c r="M37" i="3"/>
  <c r="H25" i="2"/>
  <c r="A26" i="2"/>
  <c r="B26" i="2"/>
  <c r="G26" i="2"/>
  <c r="I38" i="3"/>
  <c r="J38" i="3"/>
  <c r="L38" i="3"/>
  <c r="H26" i="2"/>
  <c r="A27" i="2"/>
  <c r="G27" i="2"/>
  <c r="I39" i="3"/>
  <c r="H27" i="2"/>
  <c r="A28" i="2"/>
  <c r="G28" i="2"/>
  <c r="I40" i="3"/>
  <c r="J40" i="3"/>
  <c r="L40" i="3"/>
  <c r="H28" i="2"/>
  <c r="A29" i="2"/>
  <c r="B29" i="2"/>
  <c r="G29" i="2"/>
  <c r="I41" i="3"/>
  <c r="J41" i="3"/>
  <c r="L41" i="3"/>
  <c r="H29" i="2"/>
  <c r="A30" i="2"/>
  <c r="B30" i="2"/>
  <c r="G30" i="2"/>
  <c r="I42" i="3"/>
  <c r="H30" i="2"/>
  <c r="A31" i="2"/>
  <c r="B31" i="2"/>
  <c r="G31" i="2"/>
  <c r="I43" i="3"/>
  <c r="M43" i="3"/>
  <c r="H31" i="2"/>
  <c r="A32" i="2"/>
  <c r="B32" i="2"/>
  <c r="G32" i="2"/>
  <c r="I44" i="3"/>
  <c r="H32" i="2"/>
  <c r="A33" i="2"/>
  <c r="B33" i="2"/>
  <c r="G33" i="2"/>
  <c r="I45" i="3"/>
  <c r="M45" i="3"/>
  <c r="H33" i="2"/>
  <c r="A34" i="2"/>
  <c r="B34" i="2"/>
  <c r="G34" i="2"/>
  <c r="I46" i="3"/>
  <c r="H34" i="2"/>
  <c r="A35" i="2"/>
  <c r="G35" i="2"/>
  <c r="I47" i="3"/>
  <c r="H35" i="2"/>
  <c r="A36" i="2"/>
  <c r="G36" i="2"/>
  <c r="I48" i="3"/>
  <c r="H36" i="2"/>
  <c r="A37" i="2"/>
  <c r="G37" i="2"/>
  <c r="I49" i="3"/>
  <c r="M49" i="3"/>
  <c r="H37" i="2"/>
  <c r="A38" i="2"/>
  <c r="B38" i="2"/>
  <c r="G38" i="2"/>
  <c r="I50" i="3"/>
  <c r="H38" i="2"/>
  <c r="A39" i="2"/>
  <c r="B39" i="2"/>
  <c r="G39" i="2"/>
  <c r="I51" i="3"/>
  <c r="M51" i="3"/>
  <c r="H39" i="2"/>
  <c r="A40" i="2"/>
  <c r="B40" i="2"/>
  <c r="G40" i="2"/>
  <c r="I52" i="3"/>
  <c r="H40" i="2"/>
  <c r="A41" i="2"/>
  <c r="B41" i="2"/>
  <c r="G41" i="2"/>
  <c r="I53" i="3"/>
  <c r="H41" i="2"/>
  <c r="I54" i="3"/>
  <c r="M54" i="3"/>
  <c r="I55" i="3"/>
  <c r="M55" i="3"/>
  <c r="A43" i="2"/>
  <c r="B43" i="2"/>
  <c r="G43" i="2"/>
  <c r="I60" i="3"/>
  <c r="H43" i="2"/>
  <c r="A44" i="2"/>
  <c r="B44" i="2"/>
  <c r="G44" i="2"/>
  <c r="I61" i="3"/>
  <c r="H44" i="2"/>
  <c r="A45" i="2"/>
  <c r="B45" i="2"/>
  <c r="G45" i="2"/>
  <c r="I62" i="3"/>
  <c r="J62" i="3"/>
  <c r="L62" i="3"/>
  <c r="H45" i="2"/>
  <c r="A46" i="2"/>
  <c r="B46" i="2"/>
  <c r="H46" i="2"/>
  <c r="A47" i="2"/>
  <c r="B47" i="2"/>
  <c r="G47" i="2"/>
  <c r="I64" i="3"/>
  <c r="H47" i="2"/>
  <c r="A48" i="2"/>
  <c r="B48" i="2"/>
  <c r="G48" i="2"/>
  <c r="I65" i="3"/>
  <c r="H48" i="2"/>
  <c r="A49" i="2"/>
  <c r="B49" i="2"/>
  <c r="G49" i="2"/>
  <c r="I66" i="3"/>
  <c r="M66" i="3"/>
  <c r="H49" i="2"/>
  <c r="A50" i="2"/>
  <c r="B50" i="2"/>
  <c r="G50" i="2"/>
  <c r="I67" i="3"/>
  <c r="H50" i="2"/>
  <c r="A51" i="2"/>
  <c r="B51" i="2"/>
  <c r="G51" i="2"/>
  <c r="I68" i="3"/>
  <c r="M68" i="3"/>
  <c r="H51" i="2"/>
  <c r="A52" i="2"/>
  <c r="B52" i="2"/>
  <c r="G52" i="2"/>
  <c r="I69" i="3"/>
  <c r="J69" i="3"/>
  <c r="L69" i="3"/>
  <c r="H52" i="2"/>
  <c r="A53" i="2"/>
  <c r="G53" i="2"/>
  <c r="I70" i="3"/>
  <c r="H53" i="2"/>
  <c r="A54" i="2"/>
  <c r="G54" i="2"/>
  <c r="I71" i="3"/>
  <c r="M71" i="3"/>
  <c r="H54" i="2"/>
  <c r="A55" i="2"/>
  <c r="G55" i="2"/>
  <c r="I72" i="3"/>
  <c r="J72" i="3"/>
  <c r="L72" i="3"/>
  <c r="H55" i="2"/>
  <c r="A56" i="2"/>
  <c r="G56" i="2"/>
  <c r="I73" i="3"/>
  <c r="H56" i="2"/>
  <c r="A57" i="2"/>
  <c r="G57" i="2"/>
  <c r="I74" i="3"/>
  <c r="H57" i="2"/>
  <c r="A58" i="2"/>
  <c r="G58" i="2"/>
  <c r="I75" i="3"/>
  <c r="H58" i="2"/>
  <c r="I76" i="3"/>
  <c r="I77" i="3"/>
  <c r="J77" i="3"/>
  <c r="L77" i="3"/>
  <c r="I78" i="3"/>
  <c r="J78" i="3"/>
  <c r="L78" i="3"/>
  <c r="A60" i="2"/>
  <c r="B60" i="2"/>
  <c r="G60" i="2"/>
  <c r="I82" i="3"/>
  <c r="M82" i="3"/>
  <c r="H60" i="2"/>
  <c r="A61" i="2"/>
  <c r="G61" i="2"/>
  <c r="I83" i="3"/>
  <c r="M83" i="3"/>
  <c r="H61" i="2"/>
  <c r="A62" i="2"/>
  <c r="G62" i="2"/>
  <c r="I84" i="3"/>
  <c r="H62" i="2"/>
  <c r="A63" i="2"/>
  <c r="G63" i="2"/>
  <c r="I85" i="3"/>
  <c r="J85" i="3"/>
  <c r="L85" i="3"/>
  <c r="H63" i="2"/>
  <c r="A64" i="2"/>
  <c r="G64" i="2"/>
  <c r="I86" i="3"/>
  <c r="J86" i="3"/>
  <c r="L86" i="3"/>
  <c r="H64" i="2"/>
  <c r="A65" i="2"/>
  <c r="G65" i="2"/>
  <c r="I87" i="3"/>
  <c r="H65" i="2"/>
  <c r="A66" i="2"/>
  <c r="B66" i="2"/>
  <c r="G66" i="2"/>
  <c r="I88" i="3"/>
  <c r="H66" i="2"/>
  <c r="A67" i="2"/>
  <c r="G67" i="2"/>
  <c r="I89" i="3"/>
  <c r="H67" i="2"/>
  <c r="I90" i="3"/>
  <c r="I91" i="3"/>
  <c r="G68" i="2"/>
  <c r="A69" i="2"/>
  <c r="B69" i="2"/>
  <c r="G69" i="2"/>
  <c r="I95" i="3"/>
  <c r="H69" i="2"/>
  <c r="A70" i="2"/>
  <c r="B70" i="2"/>
  <c r="G70" i="2"/>
  <c r="I96" i="3"/>
  <c r="H70" i="2"/>
  <c r="A71" i="2"/>
  <c r="B71" i="2"/>
  <c r="G71" i="2"/>
  <c r="I97" i="3"/>
  <c r="H71" i="2"/>
  <c r="A72" i="2"/>
  <c r="B72" i="2"/>
  <c r="G72" i="2"/>
  <c r="I98" i="3"/>
  <c r="H72" i="2"/>
  <c r="A73" i="2"/>
  <c r="B73" i="2"/>
  <c r="G73" i="2"/>
  <c r="I99" i="3"/>
  <c r="H73" i="2"/>
  <c r="A74" i="2"/>
  <c r="B74" i="2"/>
  <c r="G74" i="2"/>
  <c r="I100" i="3"/>
  <c r="H74" i="2"/>
  <c r="A75" i="2"/>
  <c r="B75" i="2"/>
  <c r="G75" i="2"/>
  <c r="I101" i="3"/>
  <c r="H75" i="2"/>
  <c r="A76" i="2"/>
  <c r="B76" i="2"/>
  <c r="G76" i="2"/>
  <c r="I102" i="3"/>
  <c r="J102" i="3"/>
  <c r="L102" i="3"/>
  <c r="H76" i="2"/>
  <c r="A77" i="2"/>
  <c r="B77" i="2"/>
  <c r="G77" i="2"/>
  <c r="I103" i="3"/>
  <c r="H77" i="2"/>
  <c r="A78" i="2"/>
  <c r="B78" i="2"/>
  <c r="G78" i="2"/>
  <c r="I104" i="3"/>
  <c r="J104" i="3"/>
  <c r="L104" i="3"/>
  <c r="H78" i="2"/>
  <c r="A79" i="2"/>
  <c r="B79" i="2"/>
  <c r="G79" i="2"/>
  <c r="I105" i="3"/>
  <c r="M105" i="3"/>
  <c r="H79" i="2"/>
  <c r="I107" i="3"/>
  <c r="M107" i="3"/>
  <c r="A81" i="2"/>
  <c r="B81" i="2"/>
  <c r="G81" i="2"/>
  <c r="I111" i="3"/>
  <c r="J111" i="3"/>
  <c r="L111" i="3"/>
  <c r="H81" i="2"/>
  <c r="A82" i="2"/>
  <c r="B82" i="2"/>
  <c r="G82" i="2"/>
  <c r="I112" i="3"/>
  <c r="H82" i="2"/>
  <c r="A83" i="2"/>
  <c r="B83" i="2"/>
  <c r="G83" i="2"/>
  <c r="I113" i="3"/>
  <c r="H83" i="2"/>
  <c r="A84" i="2"/>
  <c r="B84" i="2"/>
  <c r="G84" i="2"/>
  <c r="I114" i="3"/>
  <c r="H84" i="2"/>
  <c r="A85" i="2"/>
  <c r="B85" i="2"/>
  <c r="G85" i="2"/>
  <c r="I115" i="3"/>
  <c r="H85" i="2"/>
  <c r="A86" i="2"/>
  <c r="B86" i="2"/>
  <c r="G86" i="2"/>
  <c r="I116" i="3"/>
  <c r="J116" i="3"/>
  <c r="L116" i="3"/>
  <c r="H86" i="2"/>
  <c r="A87" i="2"/>
  <c r="B87" i="2"/>
  <c r="G87" i="2"/>
  <c r="I117" i="3"/>
  <c r="H87" i="2"/>
  <c r="A88" i="2"/>
  <c r="B88" i="2"/>
  <c r="G88" i="2"/>
  <c r="I118" i="3"/>
  <c r="H88" i="2"/>
  <c r="A89" i="2"/>
  <c r="G89" i="2"/>
  <c r="I119" i="3"/>
  <c r="H89" i="2"/>
  <c r="I120" i="3"/>
  <c r="I121" i="3"/>
  <c r="I122" i="3"/>
  <c r="A91" i="2"/>
  <c r="B91" i="2"/>
  <c r="G91" i="2"/>
  <c r="I126" i="3"/>
  <c r="H91" i="2"/>
  <c r="A92" i="2"/>
  <c r="G92" i="2"/>
  <c r="I127" i="3"/>
  <c r="H92" i="2"/>
  <c r="A93" i="2"/>
  <c r="B93" i="2"/>
  <c r="G93" i="2"/>
  <c r="I128" i="3"/>
  <c r="H93" i="2"/>
  <c r="A94" i="2"/>
  <c r="B94" i="2"/>
  <c r="G94" i="2"/>
  <c r="I129" i="3"/>
  <c r="H94" i="2"/>
  <c r="A95" i="2"/>
  <c r="B95" i="2"/>
  <c r="G95" i="2"/>
  <c r="I130" i="3"/>
  <c r="H95" i="2"/>
  <c r="A96" i="2"/>
  <c r="B96" i="2"/>
  <c r="G96" i="2"/>
  <c r="I131" i="3"/>
  <c r="H96" i="2"/>
  <c r="A97" i="2"/>
  <c r="B97" i="2"/>
  <c r="G97" i="2"/>
  <c r="I132" i="3"/>
  <c r="M132" i="3"/>
  <c r="H97" i="2"/>
  <c r="A98" i="2"/>
  <c r="B98" i="2"/>
  <c r="G98" i="2"/>
  <c r="I133" i="3"/>
  <c r="J133" i="3"/>
  <c r="L133" i="3"/>
  <c r="H98" i="2"/>
  <c r="A99" i="2"/>
  <c r="B99" i="2"/>
  <c r="G99" i="2"/>
  <c r="I134" i="3"/>
  <c r="H99" i="2"/>
  <c r="A100" i="2"/>
  <c r="B100" i="2"/>
  <c r="G100" i="2"/>
  <c r="I135" i="3"/>
  <c r="H100" i="2"/>
  <c r="A101" i="2"/>
  <c r="B101" i="2"/>
  <c r="G101" i="2"/>
  <c r="I136" i="3"/>
  <c r="M136" i="3"/>
  <c r="H101" i="2"/>
  <c r="A102" i="2"/>
  <c r="B102" i="2"/>
  <c r="G102" i="2"/>
  <c r="I137" i="3"/>
  <c r="H102" i="2"/>
  <c r="I138" i="3"/>
  <c r="A104" i="2"/>
  <c r="B104" i="2"/>
  <c r="G104" i="2"/>
  <c r="I143" i="3"/>
  <c r="M143" i="3"/>
  <c r="H104" i="2"/>
  <c r="A105" i="2"/>
  <c r="B105" i="2"/>
  <c r="G105" i="2"/>
  <c r="I144" i="3"/>
  <c r="M144" i="3"/>
  <c r="H105" i="2"/>
  <c r="A106" i="2"/>
  <c r="B106" i="2"/>
  <c r="G106" i="2"/>
  <c r="H106" i="2"/>
  <c r="A107" i="2"/>
  <c r="B107" i="2"/>
  <c r="G107" i="2"/>
  <c r="I146" i="3"/>
  <c r="J146" i="3"/>
  <c r="L146" i="3"/>
  <c r="H107" i="2"/>
  <c r="I147" i="3"/>
  <c r="M147" i="3"/>
  <c r="A109" i="2"/>
  <c r="B109" i="2"/>
  <c r="G109" i="2"/>
  <c r="I151" i="3"/>
  <c r="J151" i="3"/>
  <c r="L151" i="3"/>
  <c r="H109" i="2"/>
  <c r="A110" i="2"/>
  <c r="G110" i="2"/>
  <c r="I152" i="3"/>
  <c r="H110" i="2"/>
  <c r="A111" i="2"/>
  <c r="B111" i="2"/>
  <c r="G111" i="2"/>
  <c r="I153" i="3"/>
  <c r="H111" i="2"/>
  <c r="A112" i="2"/>
  <c r="B112" i="2"/>
  <c r="G112" i="2"/>
  <c r="I154" i="3"/>
  <c r="H112" i="2"/>
  <c r="A113" i="2"/>
  <c r="B113" i="2"/>
  <c r="G113" i="2"/>
  <c r="I155" i="3"/>
  <c r="J155" i="3"/>
  <c r="L155" i="3"/>
  <c r="H113" i="2"/>
  <c r="A114" i="2"/>
  <c r="B114" i="2"/>
  <c r="G114" i="2"/>
  <c r="I156" i="3"/>
  <c r="H114" i="2"/>
  <c r="A115" i="2"/>
  <c r="B115" i="2"/>
  <c r="G115" i="2"/>
  <c r="I157" i="3"/>
  <c r="M157" i="3"/>
  <c r="H115" i="2"/>
  <c r="A116" i="2"/>
  <c r="G116" i="2"/>
  <c r="I158" i="3"/>
  <c r="H116" i="2"/>
  <c r="G117" i="2"/>
  <c r="I159" i="3"/>
  <c r="H117" i="2"/>
  <c r="A118" i="2"/>
  <c r="G118" i="2"/>
  <c r="I160" i="3"/>
  <c r="J160" i="3"/>
  <c r="L160" i="3"/>
  <c r="H118" i="2"/>
  <c r="A119" i="2"/>
  <c r="B119" i="2"/>
  <c r="G119" i="2"/>
  <c r="I161" i="3"/>
  <c r="J161" i="3"/>
  <c r="L161" i="3"/>
  <c r="H119" i="2"/>
  <c r="A120" i="2"/>
  <c r="G120" i="2"/>
  <c r="I162" i="3"/>
  <c r="H120" i="2"/>
  <c r="A121" i="2"/>
  <c r="B121" i="2"/>
  <c r="G121" i="2"/>
  <c r="I163" i="3"/>
  <c r="M163" i="3"/>
  <c r="H121" i="2"/>
  <c r="A122" i="2"/>
  <c r="B122" i="2"/>
  <c r="G122" i="2"/>
  <c r="I164" i="3"/>
  <c r="H122" i="2"/>
  <c r="A123" i="2"/>
  <c r="B123" i="2"/>
  <c r="G123" i="2"/>
  <c r="I165" i="3"/>
  <c r="M165" i="3"/>
  <c r="H123" i="2"/>
  <c r="A124" i="2"/>
  <c r="B124" i="2"/>
  <c r="G124" i="2"/>
  <c r="I166" i="3"/>
  <c r="J166" i="3"/>
  <c r="L166" i="3"/>
  <c r="H124" i="2"/>
  <c r="A125" i="2"/>
  <c r="B125" i="2"/>
  <c r="G125" i="2"/>
  <c r="I167" i="3"/>
  <c r="J167" i="3"/>
  <c r="L167" i="3"/>
  <c r="H125" i="2"/>
  <c r="A126" i="2"/>
  <c r="B126" i="2"/>
  <c r="G126" i="2"/>
  <c r="I168" i="3"/>
  <c r="H126" i="2"/>
  <c r="A127" i="2"/>
  <c r="B127" i="2"/>
  <c r="G127" i="2"/>
  <c r="I169" i="3"/>
  <c r="H127" i="2"/>
  <c r="A128" i="2"/>
  <c r="B128" i="2"/>
  <c r="G128" i="2"/>
  <c r="I170" i="3"/>
  <c r="J170" i="3"/>
  <c r="L170" i="3"/>
  <c r="H128" i="2"/>
  <c r="A129" i="2"/>
  <c r="B129" i="2"/>
  <c r="G129" i="2"/>
  <c r="I171" i="3"/>
  <c r="M171" i="3"/>
  <c r="H129" i="2"/>
  <c r="A130" i="2"/>
  <c r="G130" i="2"/>
  <c r="I172" i="3"/>
  <c r="H130" i="2"/>
  <c r="A131" i="2"/>
  <c r="B131" i="2"/>
  <c r="G131" i="2"/>
  <c r="I173" i="3"/>
  <c r="M173" i="3"/>
  <c r="H131" i="2"/>
  <c r="A132" i="2"/>
  <c r="B132" i="2"/>
  <c r="G132" i="2"/>
  <c r="I174" i="3"/>
  <c r="H132" i="2"/>
  <c r="I175" i="3"/>
  <c r="J175" i="3"/>
  <c r="L175" i="3"/>
  <c r="I176" i="3"/>
  <c r="M176" i="3"/>
  <c r="A134" i="2"/>
  <c r="B134" i="2"/>
  <c r="G134" i="2"/>
  <c r="I180" i="3"/>
  <c r="M180" i="3"/>
  <c r="H134" i="2"/>
  <c r="A135" i="2"/>
  <c r="B135" i="2"/>
  <c r="G135" i="2"/>
  <c r="I181" i="3"/>
  <c r="H135" i="2"/>
  <c r="A136" i="2"/>
  <c r="G136" i="2"/>
  <c r="I182" i="3"/>
  <c r="H136" i="2"/>
  <c r="A137" i="2"/>
  <c r="B137" i="2"/>
  <c r="G137" i="2"/>
  <c r="I183" i="3"/>
  <c r="M183" i="3"/>
  <c r="H137" i="2"/>
  <c r="A138" i="2"/>
  <c r="B138" i="2"/>
  <c r="G138" i="2"/>
  <c r="I184" i="3"/>
  <c r="H138" i="2"/>
  <c r="A139" i="2"/>
  <c r="B139" i="2"/>
  <c r="G139" i="2"/>
  <c r="I185" i="3"/>
  <c r="M185" i="3"/>
  <c r="H139" i="2"/>
  <c r="A140" i="2"/>
  <c r="B140" i="2"/>
  <c r="G140" i="2"/>
  <c r="I186" i="3"/>
  <c r="M186" i="3"/>
  <c r="H140" i="2"/>
  <c r="A141" i="2"/>
  <c r="B141" i="2"/>
  <c r="G141" i="2"/>
  <c r="I187" i="3"/>
  <c r="H141" i="2"/>
  <c r="A142" i="2"/>
  <c r="G142" i="2"/>
  <c r="I188" i="3"/>
  <c r="H142" i="2"/>
  <c r="I189" i="3"/>
  <c r="I190" i="3"/>
  <c r="A144" i="2"/>
  <c r="B144" i="2"/>
  <c r="G144" i="2"/>
  <c r="I194" i="3"/>
  <c r="M194" i="3"/>
  <c r="H144" i="2"/>
  <c r="A145" i="2"/>
  <c r="B145" i="2"/>
  <c r="G145" i="2"/>
  <c r="I195" i="3"/>
  <c r="H145" i="2"/>
  <c r="A146" i="2"/>
  <c r="B146" i="2"/>
  <c r="G146" i="2"/>
  <c r="I196" i="3"/>
  <c r="H146" i="2"/>
  <c r="A147" i="2"/>
  <c r="B147" i="2"/>
  <c r="G147" i="2"/>
  <c r="I197" i="3"/>
  <c r="J197" i="3"/>
  <c r="L197" i="3"/>
  <c r="H147" i="2"/>
  <c r="A148" i="2"/>
  <c r="B148" i="2"/>
  <c r="G148" i="2"/>
  <c r="I198" i="3"/>
  <c r="H148" i="2"/>
  <c r="A149" i="2"/>
  <c r="B149" i="2"/>
  <c r="G149" i="2"/>
  <c r="I199" i="3"/>
  <c r="H149" i="2"/>
  <c r="A150" i="2"/>
  <c r="B150" i="2"/>
  <c r="G150" i="2"/>
  <c r="I200" i="3"/>
  <c r="H150" i="2"/>
  <c r="A151" i="2"/>
  <c r="B151" i="2"/>
  <c r="G151" i="2"/>
  <c r="I201" i="3"/>
  <c r="H151" i="2"/>
  <c r="A152" i="2"/>
  <c r="B152" i="2"/>
  <c r="G152" i="2"/>
  <c r="I202" i="3"/>
  <c r="H152" i="2"/>
  <c r="A153" i="2"/>
  <c r="B153" i="2"/>
  <c r="G153" i="2"/>
  <c r="I203" i="3"/>
  <c r="M203" i="3"/>
  <c r="H153" i="2"/>
  <c r="A154" i="2"/>
  <c r="B154" i="2"/>
  <c r="G154" i="2"/>
  <c r="I204" i="3"/>
  <c r="J204" i="3"/>
  <c r="L204" i="3"/>
  <c r="H154" i="2"/>
  <c r="A155" i="2"/>
  <c r="B155" i="2"/>
  <c r="G155" i="2"/>
  <c r="I205" i="3"/>
  <c r="H155" i="2"/>
  <c r="A156" i="2"/>
  <c r="B156" i="2"/>
  <c r="G156" i="2"/>
  <c r="I206" i="3"/>
  <c r="H156" i="2"/>
  <c r="A157" i="2"/>
  <c r="B157" i="2"/>
  <c r="G157" i="2"/>
  <c r="I207" i="3"/>
  <c r="J207" i="3"/>
  <c r="L207" i="3"/>
  <c r="H157" i="2"/>
  <c r="A158" i="2"/>
  <c r="B158" i="2"/>
  <c r="G158" i="2"/>
  <c r="I208" i="3"/>
  <c r="H158" i="2"/>
  <c r="A159" i="2"/>
  <c r="B159" i="2"/>
  <c r="G159" i="2"/>
  <c r="I209" i="3"/>
  <c r="J209" i="3"/>
  <c r="L209" i="3"/>
  <c r="H159" i="2"/>
  <c r="A160" i="2"/>
  <c r="B160" i="2"/>
  <c r="G160" i="2"/>
  <c r="I210" i="3"/>
  <c r="H160" i="2"/>
  <c r="A161" i="2"/>
  <c r="B161" i="2"/>
  <c r="G161" i="2"/>
  <c r="I211" i="3"/>
  <c r="H161" i="2"/>
  <c r="A162" i="2"/>
  <c r="B162" i="2"/>
  <c r="G162" i="2"/>
  <c r="I212" i="3"/>
  <c r="H162" i="2"/>
  <c r="A163" i="2"/>
  <c r="G163" i="2"/>
  <c r="I213" i="3"/>
  <c r="H163" i="2"/>
  <c r="A164" i="2"/>
  <c r="B164" i="2"/>
  <c r="G164" i="2"/>
  <c r="I214" i="3"/>
  <c r="H164" i="2"/>
  <c r="I215" i="3"/>
  <c r="M215" i="3"/>
  <c r="I216" i="3"/>
  <c r="M216" i="3"/>
  <c r="I217" i="3"/>
  <c r="J217" i="3"/>
  <c r="L217" i="3"/>
  <c r="A165" i="2"/>
  <c r="B165" i="2"/>
  <c r="G165" i="2"/>
  <c r="I218" i="3"/>
  <c r="M218" i="3"/>
  <c r="H165" i="2"/>
  <c r="A166" i="2"/>
  <c r="B166" i="2"/>
  <c r="G166" i="2"/>
  <c r="I219" i="3"/>
  <c r="H166" i="2"/>
  <c r="A167" i="2"/>
  <c r="B167" i="2"/>
  <c r="G167" i="2"/>
  <c r="I220" i="3"/>
  <c r="H167" i="2"/>
  <c r="A168" i="2"/>
  <c r="B168" i="2"/>
  <c r="G168" i="2"/>
  <c r="I221" i="3"/>
  <c r="H168" i="2"/>
  <c r="A169" i="2"/>
  <c r="B169" i="2"/>
  <c r="G169" i="2"/>
  <c r="I222" i="3"/>
  <c r="M222" i="3"/>
  <c r="H169" i="2"/>
  <c r="A170" i="2"/>
  <c r="B170" i="2"/>
  <c r="G170" i="2"/>
  <c r="I223" i="3"/>
  <c r="M223" i="3"/>
  <c r="H170" i="2"/>
  <c r="A171" i="2"/>
  <c r="G171" i="2"/>
  <c r="I224" i="3"/>
  <c r="H171" i="2"/>
  <c r="A172" i="2"/>
  <c r="B172" i="2"/>
  <c r="G172" i="2"/>
  <c r="I225" i="3"/>
  <c r="J225" i="3"/>
  <c r="L225" i="3"/>
  <c r="H172" i="2"/>
  <c r="A173" i="2"/>
  <c r="B173" i="2"/>
  <c r="G173" i="2"/>
  <c r="I226" i="3"/>
  <c r="M226" i="3"/>
  <c r="H173" i="2"/>
  <c r="A174" i="2"/>
  <c r="B174" i="2"/>
  <c r="G174" i="2"/>
  <c r="I227" i="3"/>
  <c r="J227" i="3"/>
  <c r="L227" i="3"/>
  <c r="H174" i="2"/>
  <c r="A175" i="2"/>
  <c r="B175" i="2"/>
  <c r="G175" i="2"/>
  <c r="I228" i="3"/>
  <c r="M228" i="3"/>
  <c r="H175" i="2"/>
  <c r="A176" i="2"/>
  <c r="B176" i="2"/>
  <c r="G176" i="2"/>
  <c r="I229" i="3"/>
  <c r="H176" i="2"/>
  <c r="A177" i="2"/>
  <c r="B177" i="2"/>
  <c r="G177" i="2"/>
  <c r="I230" i="3"/>
  <c r="H177" i="2"/>
  <c r="A178" i="2"/>
  <c r="B178" i="2"/>
  <c r="G178" i="2"/>
  <c r="I231" i="3"/>
  <c r="H178" i="2"/>
  <c r="A179" i="2"/>
  <c r="B179" i="2"/>
  <c r="G179" i="2"/>
  <c r="I232" i="3"/>
  <c r="M232" i="3"/>
  <c r="H179" i="2"/>
  <c r="I233" i="3"/>
  <c r="I234" i="3"/>
  <c r="A181" i="2"/>
  <c r="B181" i="2"/>
  <c r="G181" i="2"/>
  <c r="I238" i="3"/>
  <c r="H181" i="2"/>
  <c r="A182" i="2"/>
  <c r="B182" i="2"/>
  <c r="G182" i="2"/>
  <c r="I239" i="3"/>
  <c r="H182" i="2"/>
  <c r="A183" i="2"/>
  <c r="B183" i="2"/>
  <c r="G183" i="2"/>
  <c r="I240" i="3"/>
  <c r="J240" i="3"/>
  <c r="L240" i="3"/>
  <c r="H183" i="2"/>
  <c r="A184" i="2"/>
  <c r="B184" i="2"/>
  <c r="G184" i="2"/>
  <c r="I241" i="3"/>
  <c r="H184" i="2"/>
  <c r="A185" i="2"/>
  <c r="G185" i="2"/>
  <c r="I242" i="3"/>
  <c r="J242" i="3"/>
  <c r="L242" i="3"/>
  <c r="H185" i="2"/>
  <c r="A186" i="2"/>
  <c r="B186" i="2"/>
  <c r="G186" i="2"/>
  <c r="I243" i="3"/>
  <c r="J243" i="3"/>
  <c r="L243" i="3"/>
  <c r="H186" i="2"/>
  <c r="A187" i="2"/>
  <c r="B187" i="2"/>
  <c r="G187" i="2"/>
  <c r="I244" i="3"/>
  <c r="H187" i="2"/>
  <c r="A188" i="2"/>
  <c r="B188" i="2"/>
  <c r="G188" i="2"/>
  <c r="I245" i="3"/>
  <c r="J245" i="3"/>
  <c r="L245" i="3"/>
  <c r="H188" i="2"/>
  <c r="A189" i="2"/>
  <c r="B189" i="2"/>
  <c r="G189" i="2"/>
  <c r="I246" i="3"/>
  <c r="J246" i="3"/>
  <c r="L246" i="3"/>
  <c r="H189" i="2"/>
  <c r="A190" i="2"/>
  <c r="B190" i="2"/>
  <c r="G190" i="2"/>
  <c r="H190" i="2"/>
  <c r="A191" i="2"/>
  <c r="B191" i="2"/>
  <c r="G191" i="2"/>
  <c r="I248" i="3"/>
  <c r="J248" i="3"/>
  <c r="L248" i="3"/>
  <c r="H191" i="2"/>
  <c r="A192" i="2"/>
  <c r="B192" i="2"/>
  <c r="G192" i="2"/>
  <c r="I249" i="3"/>
  <c r="M249" i="3"/>
  <c r="H192" i="2"/>
  <c r="A193" i="2"/>
  <c r="B193" i="2"/>
  <c r="G193" i="2"/>
  <c r="H193" i="2"/>
  <c r="A194" i="2"/>
  <c r="B194" i="2"/>
  <c r="G194" i="2"/>
  <c r="I251" i="3"/>
  <c r="M251" i="3"/>
  <c r="H194" i="2"/>
  <c r="A195" i="2"/>
  <c r="B195" i="2"/>
  <c r="G195" i="2"/>
  <c r="I252" i="3"/>
  <c r="H195" i="2"/>
  <c r="A196" i="2"/>
  <c r="G196" i="2"/>
  <c r="I253" i="3"/>
  <c r="H196" i="2"/>
  <c r="A197" i="2"/>
  <c r="G197" i="2"/>
  <c r="I254" i="3"/>
  <c r="H197" i="2"/>
  <c r="A198" i="2"/>
  <c r="G198" i="2"/>
  <c r="I255" i="3"/>
  <c r="H198" i="2"/>
  <c r="A199" i="2"/>
  <c r="G199" i="2"/>
  <c r="I256" i="3"/>
  <c r="H199" i="2"/>
  <c r="A200" i="2"/>
  <c r="G200" i="2"/>
  <c r="I257" i="3"/>
  <c r="H200" i="2"/>
  <c r="I258" i="3"/>
  <c r="I259" i="3"/>
  <c r="I260" i="3"/>
  <c r="M260" i="3"/>
  <c r="I264" i="3"/>
  <c r="I265" i="3"/>
  <c r="J265" i="3"/>
  <c r="L265" i="3"/>
  <c r="I266" i="3"/>
  <c r="M266" i="3"/>
  <c r="I267" i="3"/>
  <c r="J267" i="3"/>
  <c r="L267" i="3"/>
  <c r="I268" i="3"/>
  <c r="I269" i="3"/>
  <c r="J269" i="3"/>
  <c r="L269" i="3"/>
  <c r="I270" i="3"/>
  <c r="J270" i="3"/>
  <c r="L270" i="3"/>
  <c r="I271" i="3"/>
  <c r="M271" i="3"/>
  <c r="I272" i="3"/>
  <c r="I273" i="3"/>
  <c r="I274" i="3"/>
  <c r="M274" i="3"/>
  <c r="I275" i="3"/>
  <c r="M275" i="3"/>
  <c r="I276" i="3"/>
  <c r="I278" i="3"/>
  <c r="M278" i="3"/>
  <c r="I279" i="3"/>
  <c r="J279" i="3"/>
  <c r="L279" i="3"/>
  <c r="I280" i="3"/>
  <c r="J280" i="3"/>
  <c r="L280" i="3"/>
  <c r="A203" i="2"/>
  <c r="B203" i="2"/>
  <c r="G203" i="2"/>
  <c r="I284" i="3"/>
  <c r="J284" i="3"/>
  <c r="L284" i="3"/>
  <c r="H203" i="2"/>
  <c r="A204" i="2"/>
  <c r="B204" i="2"/>
  <c r="G204" i="2"/>
  <c r="I285" i="3"/>
  <c r="H204" i="2"/>
  <c r="A205" i="2"/>
  <c r="B205" i="2"/>
  <c r="G205" i="2"/>
  <c r="I286" i="3"/>
  <c r="J286" i="3"/>
  <c r="L286" i="3"/>
  <c r="H205" i="2"/>
  <c r="A206" i="2"/>
  <c r="B206" i="2"/>
  <c r="G206" i="2"/>
  <c r="I287" i="3"/>
  <c r="H206" i="2"/>
  <c r="A207" i="2"/>
  <c r="B207" i="2"/>
  <c r="G207" i="2"/>
  <c r="I288" i="3"/>
  <c r="J288" i="3"/>
  <c r="L288" i="3"/>
  <c r="H207" i="2"/>
  <c r="A208" i="2"/>
  <c r="B208" i="2"/>
  <c r="G208" i="2"/>
  <c r="I289" i="3"/>
  <c r="H208" i="2"/>
  <c r="A209" i="2"/>
  <c r="B209" i="2"/>
  <c r="G209" i="2"/>
  <c r="I290" i="3"/>
  <c r="M290" i="3"/>
  <c r="H209" i="2"/>
  <c r="A210" i="2"/>
  <c r="B210" i="2"/>
  <c r="G210" i="2"/>
  <c r="I291" i="3"/>
  <c r="J291" i="3"/>
  <c r="L291" i="3"/>
  <c r="H210" i="2"/>
  <c r="A211" i="2"/>
  <c r="B211" i="2"/>
  <c r="G211" i="2"/>
  <c r="I292" i="3"/>
  <c r="H211" i="2"/>
  <c r="A212" i="2"/>
  <c r="B212" i="2"/>
  <c r="G212" i="2"/>
  <c r="I293" i="3"/>
  <c r="H212" i="2"/>
  <c r="A213" i="2"/>
  <c r="B213" i="2"/>
  <c r="G213" i="2"/>
  <c r="I294" i="3"/>
  <c r="H213" i="2"/>
  <c r="A214" i="2"/>
  <c r="B214" i="2"/>
  <c r="G214" i="2"/>
  <c r="I295" i="3"/>
  <c r="H214" i="2"/>
  <c r="A215" i="2"/>
  <c r="B215" i="2"/>
  <c r="G215" i="2"/>
  <c r="I296" i="3"/>
  <c r="H215" i="2"/>
  <c r="A216" i="2"/>
  <c r="B216" i="2"/>
  <c r="G216" i="2"/>
  <c r="I297" i="3"/>
  <c r="H216" i="2"/>
  <c r="A217" i="2"/>
  <c r="B217" i="2"/>
  <c r="G217" i="2"/>
  <c r="I298" i="3"/>
  <c r="M298" i="3"/>
  <c r="H217" i="2"/>
  <c r="A218" i="2"/>
  <c r="B218" i="2"/>
  <c r="G218" i="2"/>
  <c r="I299" i="3"/>
  <c r="M299" i="3"/>
  <c r="H218" i="2"/>
  <c r="A219" i="2"/>
  <c r="B219" i="2"/>
  <c r="G219" i="2"/>
  <c r="I300" i="3"/>
  <c r="J300" i="3"/>
  <c r="L300" i="3"/>
  <c r="H219" i="2"/>
  <c r="A220" i="2"/>
  <c r="B220" i="2"/>
  <c r="G220" i="2"/>
  <c r="I301" i="3"/>
  <c r="H220" i="2"/>
  <c r="A221" i="2"/>
  <c r="B221" i="2"/>
  <c r="G221" i="2"/>
  <c r="I302" i="3"/>
  <c r="H221" i="2"/>
  <c r="A222" i="2"/>
  <c r="B222" i="2"/>
  <c r="G222" i="2"/>
  <c r="I303" i="3"/>
  <c r="H222" i="2"/>
  <c r="I307" i="3"/>
  <c r="I308" i="3"/>
  <c r="M308" i="3"/>
  <c r="I309" i="3"/>
  <c r="I310" i="3"/>
  <c r="I311" i="3"/>
  <c r="I312" i="3"/>
  <c r="M312" i="3"/>
  <c r="I313" i="3"/>
  <c r="J313" i="3"/>
  <c r="L313" i="3"/>
  <c r="I314" i="3"/>
  <c r="M314" i="3"/>
  <c r="I315" i="3"/>
  <c r="I316" i="3"/>
  <c r="I317" i="3"/>
  <c r="M317" i="3"/>
  <c r="I318" i="3"/>
  <c r="I319" i="3"/>
  <c r="I320" i="3"/>
  <c r="M320" i="3"/>
  <c r="I321" i="3"/>
  <c r="M321" i="3"/>
  <c r="I322" i="3"/>
  <c r="J322" i="3"/>
  <c r="L322" i="3"/>
  <c r="I323" i="3"/>
  <c r="M323" i="3"/>
  <c r="I324" i="3"/>
  <c r="I325" i="3"/>
  <c r="M325" i="3"/>
  <c r="I326" i="3"/>
  <c r="I327" i="3"/>
  <c r="I328" i="3"/>
  <c r="I329" i="3"/>
  <c r="I330" i="3"/>
  <c r="I331" i="3"/>
  <c r="I335" i="3"/>
  <c r="I336" i="3"/>
  <c r="J336" i="3"/>
  <c r="L336" i="3"/>
  <c r="I337" i="3"/>
  <c r="I338" i="3"/>
  <c r="I339" i="3"/>
  <c r="I340" i="3"/>
  <c r="I341" i="3"/>
  <c r="I342" i="3"/>
  <c r="J342" i="3"/>
  <c r="L342" i="3"/>
  <c r="I343" i="3"/>
  <c r="J343" i="3"/>
  <c r="L343" i="3"/>
  <c r="I344" i="3"/>
  <c r="J344" i="3"/>
  <c r="L344" i="3"/>
  <c r="G225" i="2"/>
  <c r="H4" i="34"/>
  <c r="G226" i="2"/>
  <c r="G227" i="2"/>
  <c r="G228" i="2"/>
  <c r="J7" i="4"/>
  <c r="G229" i="2"/>
  <c r="H8" i="34"/>
  <c r="J9" i="4"/>
  <c r="J10" i="4"/>
  <c r="G230" i="2"/>
  <c r="J11" i="4"/>
  <c r="G231" i="2"/>
  <c r="J12" i="4"/>
  <c r="G232" i="2"/>
  <c r="G233" i="2"/>
  <c r="J14" i="4"/>
  <c r="G234" i="2"/>
  <c r="J15" i="4"/>
  <c r="G235" i="2"/>
  <c r="H14" i="34"/>
  <c r="G236" i="2"/>
  <c r="H15" i="34"/>
  <c r="G237" i="2"/>
  <c r="G238" i="2"/>
  <c r="G239" i="2"/>
  <c r="H18" i="34"/>
  <c r="G240" i="2"/>
  <c r="H19" i="34"/>
  <c r="I19" i="34"/>
  <c r="G241" i="2"/>
  <c r="H20" i="34"/>
  <c r="L20" i="34"/>
  <c r="G242" i="2"/>
  <c r="J23" i="4"/>
  <c r="K23" i="4"/>
  <c r="G243" i="2"/>
  <c r="J25" i="4"/>
  <c r="G244" i="2"/>
  <c r="J26" i="4"/>
  <c r="G245" i="2"/>
  <c r="H24" i="34"/>
  <c r="I24" i="34"/>
  <c r="G246" i="2"/>
  <c r="H25" i="34"/>
  <c r="G247" i="2"/>
  <c r="H26" i="34"/>
  <c r="J30" i="4"/>
  <c r="J31" i="4"/>
  <c r="K31" i="4"/>
  <c r="G248" i="2"/>
  <c r="H27" i="34"/>
  <c r="I27" i="34"/>
  <c r="G249" i="2"/>
  <c r="H28" i="34"/>
  <c r="G250" i="2"/>
  <c r="H29" i="34"/>
  <c r="I29" i="34"/>
  <c r="G251" i="2"/>
  <c r="J35" i="4"/>
  <c r="R35" i="4"/>
  <c r="G254" i="2"/>
  <c r="G255" i="2"/>
  <c r="H36" i="34"/>
  <c r="I36" i="34"/>
  <c r="J42" i="4"/>
  <c r="J43" i="4"/>
  <c r="J44" i="4"/>
  <c r="J46" i="4"/>
  <c r="J47" i="4"/>
  <c r="J48" i="4"/>
  <c r="J49" i="4"/>
  <c r="J50" i="4"/>
  <c r="J51" i="4"/>
  <c r="J57" i="4"/>
  <c r="R57" i="4"/>
  <c r="J58" i="4"/>
  <c r="J59" i="4"/>
  <c r="J61" i="4"/>
  <c r="R61" i="4"/>
  <c r="J62" i="4"/>
  <c r="G277" i="2"/>
  <c r="B278" i="2"/>
  <c r="G278" i="2"/>
  <c r="J66" i="4"/>
  <c r="B279" i="2"/>
  <c r="G279" i="2"/>
  <c r="H62" i="34"/>
  <c r="I62" i="34"/>
  <c r="B280" i="2"/>
  <c r="G280" i="2"/>
  <c r="H63" i="34"/>
  <c r="L63" i="34"/>
  <c r="B281" i="2"/>
  <c r="G281" i="2"/>
  <c r="H64" i="34"/>
  <c r="B282" i="2"/>
  <c r="G282" i="2"/>
  <c r="J70" i="4"/>
  <c r="B283" i="2"/>
  <c r="G283" i="2"/>
  <c r="J71" i="4"/>
  <c r="B284" i="2"/>
  <c r="G284" i="2"/>
  <c r="J72" i="4"/>
  <c r="B285" i="2"/>
  <c r="G285" i="2"/>
  <c r="H68" i="34"/>
  <c r="B286" i="2"/>
  <c r="G286" i="2"/>
  <c r="J74" i="4"/>
  <c r="B287" i="2"/>
  <c r="G287" i="2"/>
  <c r="H70" i="34"/>
  <c r="B288" i="2"/>
  <c r="G288" i="2"/>
  <c r="H71" i="34"/>
  <c r="B289" i="2"/>
  <c r="G289" i="2"/>
  <c r="H72" i="34"/>
  <c r="B290" i="2"/>
  <c r="G290" i="2"/>
  <c r="H73" i="34"/>
  <c r="I73" i="34"/>
  <c r="B291" i="2"/>
  <c r="G291" i="2"/>
  <c r="J79" i="4"/>
  <c r="B292" i="2"/>
  <c r="G292" i="2"/>
  <c r="J80" i="4"/>
  <c r="B293" i="2"/>
  <c r="G293" i="2"/>
  <c r="H76" i="34"/>
  <c r="I76" i="34"/>
  <c r="B294" i="2"/>
  <c r="G294" i="2"/>
  <c r="J82" i="4"/>
  <c r="B295" i="2"/>
  <c r="G295" i="2"/>
  <c r="J83" i="4"/>
  <c r="B296" i="2"/>
  <c r="G296" i="2"/>
  <c r="H79" i="34"/>
  <c r="B297" i="2"/>
  <c r="G297" i="2"/>
  <c r="H80" i="34"/>
  <c r="I80" i="34"/>
  <c r="B298" i="2"/>
  <c r="G298" i="2"/>
  <c r="H81" i="34"/>
  <c r="B299" i="2"/>
  <c r="G299" i="2"/>
  <c r="H82" i="34"/>
  <c r="G300" i="2"/>
  <c r="J88" i="4"/>
  <c r="G301" i="2"/>
  <c r="H84" i="34"/>
  <c r="B302" i="2"/>
  <c r="G302" i="2"/>
  <c r="B303" i="2"/>
  <c r="G303" i="2"/>
  <c r="H86" i="34"/>
  <c r="I86" i="34"/>
  <c r="B304" i="2"/>
  <c r="G304" i="2"/>
  <c r="H87" i="34"/>
  <c r="G305" i="2"/>
  <c r="A306" i="2"/>
  <c r="B306" i="2"/>
  <c r="G306" i="2"/>
  <c r="A307" i="2"/>
  <c r="B307" i="2"/>
  <c r="G307" i="2"/>
  <c r="H92" i="34"/>
  <c r="B308" i="2"/>
  <c r="G308" i="2"/>
  <c r="H93" i="34"/>
  <c r="A309" i="2"/>
  <c r="B309" i="2"/>
  <c r="G309" i="2"/>
  <c r="A310" i="2"/>
  <c r="B310" i="2"/>
  <c r="G310" i="2"/>
  <c r="J100" i="4"/>
  <c r="A311" i="2"/>
  <c r="B311" i="2"/>
  <c r="G311" i="2"/>
  <c r="H96" i="34"/>
  <c r="A312" i="2"/>
  <c r="B312" i="2"/>
  <c r="G312" i="2"/>
  <c r="A314" i="2"/>
  <c r="B314" i="2"/>
  <c r="G314" i="2"/>
  <c r="J106" i="4"/>
  <c r="A315" i="2"/>
  <c r="B315" i="2"/>
  <c r="G315" i="2"/>
  <c r="H102" i="34"/>
  <c r="I102" i="34"/>
  <c r="A316" i="2"/>
  <c r="B316" i="2"/>
  <c r="G316" i="2"/>
  <c r="A317" i="2"/>
  <c r="B317" i="2"/>
  <c r="G317" i="2"/>
  <c r="J109" i="4"/>
  <c r="R109" i="4"/>
  <c r="A318" i="2"/>
  <c r="B318" i="2"/>
  <c r="A319" i="2"/>
  <c r="B319" i="2"/>
  <c r="H5" i="3"/>
  <c r="N5" i="3"/>
  <c r="H6" i="3"/>
  <c r="I6" i="3"/>
  <c r="J6" i="3"/>
  <c r="L6" i="3"/>
  <c r="N6" i="3"/>
  <c r="H7" i="3"/>
  <c r="N7" i="3"/>
  <c r="H8" i="3"/>
  <c r="N8" i="3"/>
  <c r="H9" i="3"/>
  <c r="K9" i="3"/>
  <c r="N9" i="3"/>
  <c r="H10" i="3"/>
  <c r="N10" i="3"/>
  <c r="H11" i="3"/>
  <c r="N11" i="3"/>
  <c r="H12" i="3"/>
  <c r="K12" i="3"/>
  <c r="N12" i="3"/>
  <c r="H13" i="3"/>
  <c r="I13" i="3"/>
  <c r="J13" i="3"/>
  <c r="L13" i="3"/>
  <c r="N13" i="3"/>
  <c r="N14" i="3"/>
  <c r="N15" i="3"/>
  <c r="H19" i="3"/>
  <c r="N19" i="3"/>
  <c r="H20" i="3"/>
  <c r="N20" i="3"/>
  <c r="H21" i="3"/>
  <c r="N21" i="3"/>
  <c r="H22" i="3"/>
  <c r="N22" i="3"/>
  <c r="H23" i="3"/>
  <c r="N23" i="3"/>
  <c r="H27" i="3"/>
  <c r="N27" i="3"/>
  <c r="H28" i="3"/>
  <c r="N28" i="3"/>
  <c r="H29" i="3"/>
  <c r="N29" i="3"/>
  <c r="H30" i="3"/>
  <c r="N30" i="3"/>
  <c r="H31" i="3"/>
  <c r="N31" i="3"/>
  <c r="H32" i="3"/>
  <c r="N32" i="3"/>
  <c r="N33" i="3"/>
  <c r="N34" i="3"/>
  <c r="J351" i="3"/>
  <c r="H37" i="3"/>
  <c r="N37" i="3"/>
  <c r="H38" i="3"/>
  <c r="K38" i="3"/>
  <c r="N38" i="3"/>
  <c r="H39" i="3"/>
  <c r="N39" i="3"/>
  <c r="H40" i="3"/>
  <c r="N40" i="3"/>
  <c r="H41" i="3"/>
  <c r="N41" i="3"/>
  <c r="H42" i="3"/>
  <c r="N42" i="3"/>
  <c r="H43" i="3"/>
  <c r="N43" i="3"/>
  <c r="H44" i="3"/>
  <c r="N44" i="3"/>
  <c r="H45" i="3"/>
  <c r="N45" i="3"/>
  <c r="H46" i="3"/>
  <c r="N46" i="3"/>
  <c r="H47" i="3"/>
  <c r="N47" i="3"/>
  <c r="H48" i="3"/>
  <c r="N48" i="3"/>
  <c r="H49" i="3"/>
  <c r="N49" i="3"/>
  <c r="H50" i="3"/>
  <c r="N50" i="3"/>
  <c r="H51" i="3"/>
  <c r="N51" i="3"/>
  <c r="H52" i="3"/>
  <c r="N52" i="3"/>
  <c r="H53" i="3"/>
  <c r="N53" i="3"/>
  <c r="N54" i="3"/>
  <c r="N55" i="3"/>
  <c r="I56" i="3"/>
  <c r="J56" i="3"/>
  <c r="L56" i="3"/>
  <c r="N56" i="3"/>
  <c r="H60" i="3"/>
  <c r="N60" i="3"/>
  <c r="H61" i="3"/>
  <c r="N61" i="3"/>
  <c r="H62" i="3"/>
  <c r="N62" i="3"/>
  <c r="H63" i="3"/>
  <c r="N63" i="3"/>
  <c r="H64" i="3"/>
  <c r="N64" i="3"/>
  <c r="H65" i="3"/>
  <c r="N65" i="3"/>
  <c r="H66" i="3"/>
  <c r="N66" i="3"/>
  <c r="H67" i="3"/>
  <c r="N67" i="3"/>
  <c r="H68" i="3"/>
  <c r="K68" i="3"/>
  <c r="N68" i="3"/>
  <c r="H69" i="3"/>
  <c r="N69" i="3"/>
  <c r="H70" i="3"/>
  <c r="N70" i="3"/>
  <c r="H71" i="3"/>
  <c r="N71" i="3"/>
  <c r="H72" i="3"/>
  <c r="N72" i="3"/>
  <c r="H73" i="3"/>
  <c r="K73" i="3"/>
  <c r="N73" i="3"/>
  <c r="H74" i="3"/>
  <c r="N74" i="3"/>
  <c r="H75" i="3"/>
  <c r="N75" i="3"/>
  <c r="H76" i="3"/>
  <c r="N76" i="3"/>
  <c r="N77" i="3"/>
  <c r="N78" i="3"/>
  <c r="H82" i="3"/>
  <c r="N82" i="3"/>
  <c r="H83" i="3"/>
  <c r="N83" i="3"/>
  <c r="H84" i="3"/>
  <c r="N84" i="3"/>
  <c r="H85" i="3"/>
  <c r="N85" i="3"/>
  <c r="H86" i="3"/>
  <c r="N86" i="3"/>
  <c r="H87" i="3"/>
  <c r="N87" i="3"/>
  <c r="H88" i="3"/>
  <c r="N88" i="3"/>
  <c r="H89" i="3"/>
  <c r="N89" i="3"/>
  <c r="H90" i="3"/>
  <c r="N90" i="3"/>
  <c r="N91" i="3"/>
  <c r="H95" i="3"/>
  <c r="N95" i="3"/>
  <c r="H96" i="3"/>
  <c r="N96" i="3"/>
  <c r="H97" i="3"/>
  <c r="N97" i="3"/>
  <c r="H98" i="3"/>
  <c r="N98" i="3"/>
  <c r="H99" i="3"/>
  <c r="K99" i="3"/>
  <c r="N99" i="3"/>
  <c r="H100" i="3"/>
  <c r="N100" i="3"/>
  <c r="H101" i="3"/>
  <c r="N101" i="3"/>
  <c r="H102" i="3"/>
  <c r="N102" i="3"/>
  <c r="H103" i="3"/>
  <c r="N103" i="3"/>
  <c r="H104" i="3"/>
  <c r="K104" i="3"/>
  <c r="N104" i="3"/>
  <c r="H105" i="3"/>
  <c r="N105" i="3"/>
  <c r="I106" i="3"/>
  <c r="J106" i="3"/>
  <c r="L106" i="3"/>
  <c r="N106" i="3"/>
  <c r="N107" i="3"/>
  <c r="H111" i="3"/>
  <c r="N111" i="3"/>
  <c r="H112" i="3"/>
  <c r="N112" i="3"/>
  <c r="H113" i="3"/>
  <c r="K113" i="3"/>
  <c r="N113" i="3"/>
  <c r="H114" i="3"/>
  <c r="N114" i="3"/>
  <c r="H115" i="3"/>
  <c r="N115" i="3"/>
  <c r="H116" i="3"/>
  <c r="N116" i="3"/>
  <c r="H117" i="3"/>
  <c r="N117" i="3"/>
  <c r="H118" i="3"/>
  <c r="N118" i="3"/>
  <c r="H119" i="3"/>
  <c r="N119" i="3"/>
  <c r="N120" i="3"/>
  <c r="N121" i="3"/>
  <c r="N122" i="3"/>
  <c r="H126" i="3"/>
  <c r="N126" i="3"/>
  <c r="H127" i="3"/>
  <c r="N127" i="3"/>
  <c r="H128" i="3"/>
  <c r="K128" i="3"/>
  <c r="N128" i="3"/>
  <c r="H129" i="3"/>
  <c r="N129" i="3"/>
  <c r="H130" i="3"/>
  <c r="N130" i="3"/>
  <c r="H131" i="3"/>
  <c r="N131" i="3"/>
  <c r="H132" i="3"/>
  <c r="K132" i="3"/>
  <c r="N132" i="3"/>
  <c r="H133" i="3"/>
  <c r="N133" i="3"/>
  <c r="H134" i="3"/>
  <c r="N134" i="3"/>
  <c r="H135" i="3"/>
  <c r="N135" i="3"/>
  <c r="H136" i="3"/>
  <c r="N136" i="3"/>
  <c r="H137" i="3"/>
  <c r="N137" i="3"/>
  <c r="H138" i="3"/>
  <c r="N138" i="3"/>
  <c r="J139" i="3"/>
  <c r="L139" i="3"/>
  <c r="M139" i="3"/>
  <c r="N139" i="3"/>
  <c r="H143" i="3"/>
  <c r="K143" i="3"/>
  <c r="N143" i="3"/>
  <c r="H144" i="3"/>
  <c r="N144" i="3"/>
  <c r="H145" i="3"/>
  <c r="I145" i="3"/>
  <c r="M145" i="3"/>
  <c r="K145" i="3"/>
  <c r="N145" i="3"/>
  <c r="H146" i="3"/>
  <c r="N146" i="3"/>
  <c r="H147" i="3"/>
  <c r="N147" i="3"/>
  <c r="H151" i="3"/>
  <c r="K151" i="3"/>
  <c r="N151" i="3"/>
  <c r="H152" i="3"/>
  <c r="N152" i="3"/>
  <c r="H153" i="3"/>
  <c r="N153" i="3"/>
  <c r="H154" i="3"/>
  <c r="N154" i="3"/>
  <c r="H155" i="3"/>
  <c r="N155" i="3"/>
  <c r="H156" i="3"/>
  <c r="N156" i="3"/>
  <c r="H157" i="3"/>
  <c r="N157" i="3"/>
  <c r="H158" i="3"/>
  <c r="N158" i="3"/>
  <c r="H159" i="3"/>
  <c r="N159" i="3"/>
  <c r="H160" i="3"/>
  <c r="N160" i="3"/>
  <c r="H161" i="3"/>
  <c r="N161" i="3"/>
  <c r="H162" i="3"/>
  <c r="N162" i="3"/>
  <c r="H163" i="3"/>
  <c r="N163" i="3"/>
  <c r="H164" i="3"/>
  <c r="N164" i="3"/>
  <c r="H165" i="3"/>
  <c r="N165" i="3"/>
  <c r="H166" i="3"/>
  <c r="N166" i="3"/>
  <c r="H167" i="3"/>
  <c r="N167" i="3"/>
  <c r="H168" i="3"/>
  <c r="N168" i="3"/>
  <c r="H169" i="3"/>
  <c r="N169" i="3"/>
  <c r="H170" i="3"/>
  <c r="N170" i="3"/>
  <c r="H171" i="3"/>
  <c r="N171" i="3"/>
  <c r="H172" i="3"/>
  <c r="N172" i="3"/>
  <c r="H173" i="3"/>
  <c r="N173" i="3"/>
  <c r="H174" i="3"/>
  <c r="N174" i="3"/>
  <c r="N175" i="3"/>
  <c r="N176" i="3"/>
  <c r="H180" i="3"/>
  <c r="N180" i="3"/>
  <c r="H181" i="3"/>
  <c r="N181" i="3"/>
  <c r="H182" i="3"/>
  <c r="N182" i="3"/>
  <c r="H183" i="3"/>
  <c r="N183" i="3"/>
  <c r="H184" i="3"/>
  <c r="N184" i="3"/>
  <c r="H185" i="3"/>
  <c r="N185" i="3"/>
  <c r="H186" i="3"/>
  <c r="N186" i="3"/>
  <c r="H187" i="3"/>
  <c r="N187" i="3"/>
  <c r="H188" i="3"/>
  <c r="N188" i="3"/>
  <c r="N189" i="3"/>
  <c r="N190" i="3"/>
  <c r="H194" i="3"/>
  <c r="N194" i="3"/>
  <c r="H195" i="3"/>
  <c r="N195" i="3"/>
  <c r="H196" i="3"/>
  <c r="N196" i="3"/>
  <c r="H197" i="3"/>
  <c r="N197" i="3"/>
  <c r="H198" i="3"/>
  <c r="N198" i="3"/>
  <c r="H199" i="3"/>
  <c r="N199" i="3"/>
  <c r="H200" i="3"/>
  <c r="N200" i="3"/>
  <c r="H201" i="3"/>
  <c r="N201" i="3"/>
  <c r="H202" i="3"/>
  <c r="N202" i="3"/>
  <c r="H203" i="3"/>
  <c r="N203" i="3"/>
  <c r="H204" i="3"/>
  <c r="N204" i="3"/>
  <c r="H205" i="3"/>
  <c r="N205" i="3"/>
  <c r="H206" i="3"/>
  <c r="N206" i="3"/>
  <c r="H207" i="3"/>
  <c r="K207" i="3"/>
  <c r="N207" i="3"/>
  <c r="H208" i="3"/>
  <c r="N208" i="3"/>
  <c r="H209" i="3"/>
  <c r="N209" i="3"/>
  <c r="H210" i="3"/>
  <c r="N210" i="3"/>
  <c r="H211" i="3"/>
  <c r="N211" i="3"/>
  <c r="H212" i="3"/>
  <c r="K212" i="3"/>
  <c r="N212" i="3"/>
  <c r="H213" i="3"/>
  <c r="N213" i="3"/>
  <c r="H214" i="3"/>
  <c r="N214" i="3"/>
  <c r="H215" i="3"/>
  <c r="N215" i="3"/>
  <c r="H216" i="3"/>
  <c r="N216" i="3"/>
  <c r="H217" i="3"/>
  <c r="N217" i="3"/>
  <c r="H218" i="3"/>
  <c r="N218" i="3"/>
  <c r="H219" i="3"/>
  <c r="N219" i="3"/>
  <c r="H220" i="3"/>
  <c r="N220" i="3"/>
  <c r="H221" i="3"/>
  <c r="N221" i="3"/>
  <c r="H222" i="3"/>
  <c r="N222" i="3"/>
  <c r="H223" i="3"/>
  <c r="N223" i="3"/>
  <c r="H224" i="3"/>
  <c r="N224" i="3"/>
  <c r="H225" i="3"/>
  <c r="K225" i="3"/>
  <c r="N225" i="3"/>
  <c r="H226" i="3"/>
  <c r="N226" i="3"/>
  <c r="H227" i="3"/>
  <c r="N227" i="3"/>
  <c r="H228" i="3"/>
  <c r="N228" i="3"/>
  <c r="H229" i="3"/>
  <c r="N229" i="3"/>
  <c r="H230" i="3"/>
  <c r="N230" i="3"/>
  <c r="H231" i="3"/>
  <c r="N231" i="3"/>
  <c r="H232" i="3"/>
  <c r="N232" i="3"/>
  <c r="N233" i="3"/>
  <c r="N234" i="3"/>
  <c r="H238" i="3"/>
  <c r="N238" i="3"/>
  <c r="H239" i="3"/>
  <c r="N239" i="3"/>
  <c r="H240" i="3"/>
  <c r="N240" i="3"/>
  <c r="H241" i="3"/>
  <c r="N241" i="3"/>
  <c r="H242" i="3"/>
  <c r="N242" i="3"/>
  <c r="H243" i="3"/>
  <c r="N243" i="3"/>
  <c r="H244" i="3"/>
  <c r="N244" i="3"/>
  <c r="H245" i="3"/>
  <c r="N245" i="3"/>
  <c r="H246" i="3"/>
  <c r="N246" i="3"/>
  <c r="H247" i="3"/>
  <c r="I247" i="3"/>
  <c r="M247" i="3"/>
  <c r="N247" i="3"/>
  <c r="H248" i="3"/>
  <c r="N248" i="3"/>
  <c r="H249" i="3"/>
  <c r="N249" i="3"/>
  <c r="H250" i="3"/>
  <c r="I250" i="3"/>
  <c r="J250" i="3"/>
  <c r="L250" i="3"/>
  <c r="N250" i="3"/>
  <c r="H251" i="3"/>
  <c r="N251" i="3"/>
  <c r="H252" i="3"/>
  <c r="K252" i="3"/>
  <c r="N252" i="3"/>
  <c r="H253" i="3"/>
  <c r="K253" i="3"/>
  <c r="N253" i="3"/>
  <c r="H254" i="3"/>
  <c r="N254" i="3"/>
  <c r="H255" i="3"/>
  <c r="K255" i="3"/>
  <c r="N255" i="3"/>
  <c r="H256" i="3"/>
  <c r="N256" i="3"/>
  <c r="H257" i="3"/>
  <c r="N257" i="3"/>
  <c r="H258" i="3"/>
  <c r="N258" i="3"/>
  <c r="H259" i="3"/>
  <c r="N259" i="3"/>
  <c r="H260" i="3"/>
  <c r="N260" i="3"/>
  <c r="I277" i="3"/>
  <c r="M277" i="3"/>
  <c r="H284" i="3"/>
  <c r="N284" i="3"/>
  <c r="H285" i="3"/>
  <c r="N285" i="3"/>
  <c r="H286" i="3"/>
  <c r="N286" i="3"/>
  <c r="H287" i="3"/>
  <c r="N287" i="3"/>
  <c r="H288" i="3"/>
  <c r="N288" i="3"/>
  <c r="H289" i="3"/>
  <c r="N289" i="3"/>
  <c r="H290" i="3"/>
  <c r="N290" i="3"/>
  <c r="H291" i="3"/>
  <c r="K291" i="3"/>
  <c r="N291" i="3"/>
  <c r="H292" i="3"/>
  <c r="N292" i="3"/>
  <c r="H293" i="3"/>
  <c r="K293" i="3"/>
  <c r="N293" i="3"/>
  <c r="H294" i="3"/>
  <c r="N294" i="3"/>
  <c r="H295" i="3"/>
  <c r="K295" i="3"/>
  <c r="N295" i="3"/>
  <c r="H296" i="3"/>
  <c r="N296" i="3"/>
  <c r="H297" i="3"/>
  <c r="N297" i="3"/>
  <c r="H298" i="3"/>
  <c r="K298" i="3"/>
  <c r="N298" i="3"/>
  <c r="H299" i="3"/>
  <c r="N299" i="3"/>
  <c r="H300" i="3"/>
  <c r="N300" i="3"/>
  <c r="H301" i="3"/>
  <c r="K301" i="3"/>
  <c r="N301" i="3"/>
  <c r="H302" i="3"/>
  <c r="N302" i="3"/>
  <c r="H303" i="3"/>
  <c r="N303" i="3"/>
  <c r="H307" i="3"/>
  <c r="N307" i="3"/>
  <c r="N332" i="3"/>
  <c r="J364" i="3"/>
  <c r="H308" i="3"/>
  <c r="N308" i="3"/>
  <c r="H309" i="3"/>
  <c r="N309" i="3"/>
  <c r="H310" i="3"/>
  <c r="N310" i="3"/>
  <c r="H311" i="3"/>
  <c r="N311" i="3"/>
  <c r="H312" i="3"/>
  <c r="N312" i="3"/>
  <c r="H313" i="3"/>
  <c r="N313" i="3"/>
  <c r="H314" i="3"/>
  <c r="N314" i="3"/>
  <c r="H315" i="3"/>
  <c r="N315" i="3"/>
  <c r="H316" i="3"/>
  <c r="N316" i="3"/>
  <c r="H317" i="3"/>
  <c r="N317" i="3"/>
  <c r="H318" i="3"/>
  <c r="N318" i="3"/>
  <c r="H319" i="3"/>
  <c r="N319" i="3"/>
  <c r="H320" i="3"/>
  <c r="N320" i="3"/>
  <c r="H321" i="3"/>
  <c r="N321" i="3"/>
  <c r="H322" i="3"/>
  <c r="N322" i="3"/>
  <c r="H323" i="3"/>
  <c r="N323" i="3"/>
  <c r="H324" i="3"/>
  <c r="N324" i="3"/>
  <c r="H325" i="3"/>
  <c r="N325" i="3"/>
  <c r="H326" i="3"/>
  <c r="N326" i="3"/>
  <c r="H327" i="3"/>
  <c r="N327" i="3"/>
  <c r="H328" i="3"/>
  <c r="N328" i="3"/>
  <c r="H329" i="3"/>
  <c r="N329" i="3"/>
  <c r="H330" i="3"/>
  <c r="N330" i="3"/>
  <c r="H331" i="3"/>
  <c r="N331" i="3"/>
  <c r="H335" i="3"/>
  <c r="N335" i="3"/>
  <c r="H336" i="3"/>
  <c r="N336" i="3"/>
  <c r="H337" i="3"/>
  <c r="N337" i="3"/>
  <c r="H338" i="3"/>
  <c r="N338" i="3"/>
  <c r="H339" i="3"/>
  <c r="N339" i="3"/>
  <c r="H340" i="3"/>
  <c r="N340" i="3"/>
  <c r="N346" i="3"/>
  <c r="J365" i="3"/>
  <c r="H341" i="3"/>
  <c r="N341" i="3"/>
  <c r="H342" i="3"/>
  <c r="N342" i="3"/>
  <c r="H343" i="3"/>
  <c r="N343" i="3"/>
  <c r="H344" i="3"/>
  <c r="N344" i="3"/>
  <c r="H345" i="3"/>
  <c r="I345" i="3"/>
  <c r="J345" i="3"/>
  <c r="L345" i="3"/>
  <c r="N345" i="3"/>
  <c r="J2192" i="23"/>
  <c r="H2192" i="23"/>
  <c r="F2192" i="23"/>
  <c r="D2192" i="23"/>
  <c r="J2191" i="23"/>
  <c r="H2191" i="23"/>
  <c r="F2191" i="23"/>
  <c r="D2191" i="23"/>
  <c r="J2176" i="23"/>
  <c r="H2176" i="23"/>
  <c r="F2176" i="23"/>
  <c r="D2176" i="23"/>
  <c r="J2174" i="23"/>
  <c r="H2174" i="23"/>
  <c r="F2174" i="23"/>
  <c r="D2174" i="23"/>
  <c r="K2161" i="23"/>
  <c r="J2156" i="23"/>
  <c r="H2156" i="23"/>
  <c r="F2156" i="23"/>
  <c r="D2156" i="23"/>
  <c r="J2154" i="23"/>
  <c r="H2154" i="23"/>
  <c r="F2154" i="23"/>
  <c r="D2154" i="23"/>
  <c r="K2188" i="23"/>
  <c r="K2171" i="23"/>
  <c r="K2151" i="23"/>
  <c r="K1498" i="23"/>
  <c r="J1494" i="23"/>
  <c r="H1494" i="23"/>
  <c r="K1484" i="23"/>
  <c r="J1480" i="23"/>
  <c r="H1480" i="23"/>
  <c r="F1480" i="23"/>
  <c r="K1491" i="23"/>
  <c r="J1487" i="23"/>
  <c r="H1487" i="23"/>
  <c r="K1477" i="23"/>
  <c r="K1289" i="23"/>
  <c r="K1274" i="23"/>
  <c r="K1259" i="23"/>
  <c r="K1244" i="23"/>
  <c r="K1229" i="23"/>
  <c r="K1199" i="23"/>
  <c r="K1296" i="23"/>
  <c r="J1292" i="23"/>
  <c r="H1292" i="23"/>
  <c r="F1292" i="23"/>
  <c r="D1292" i="23"/>
  <c r="D1290" i="23"/>
  <c r="K1281" i="23"/>
  <c r="J1277" i="23"/>
  <c r="H1277" i="23"/>
  <c r="F1277" i="23"/>
  <c r="D1277" i="23"/>
  <c r="D1275" i="23"/>
  <c r="J1262" i="23"/>
  <c r="H1262" i="23"/>
  <c r="F1262" i="23"/>
  <c r="D1262" i="23"/>
  <c r="D1260" i="23"/>
  <c r="K1251" i="23"/>
  <c r="J1247" i="23"/>
  <c r="H1247" i="23"/>
  <c r="F1247" i="23"/>
  <c r="D1247" i="23"/>
  <c r="D1245" i="23"/>
  <c r="K1236" i="23"/>
  <c r="J1232" i="23"/>
  <c r="H1232" i="23"/>
  <c r="F1232" i="23"/>
  <c r="D1232" i="23"/>
  <c r="D1230" i="23"/>
  <c r="K1221" i="23"/>
  <c r="J1217" i="23"/>
  <c r="H1217" i="23"/>
  <c r="F1217" i="23"/>
  <c r="D1217" i="23"/>
  <c r="K1217" i="23"/>
  <c r="D1215" i="23"/>
  <c r="K1206" i="23"/>
  <c r="J1202" i="23"/>
  <c r="H1202" i="23"/>
  <c r="F1202" i="23"/>
  <c r="D1202" i="23"/>
  <c r="D1200" i="23"/>
  <c r="K1192" i="23"/>
  <c r="K446" i="23"/>
  <c r="K438" i="23"/>
  <c r="K410" i="23"/>
  <c r="K396" i="23"/>
  <c r="D1107" i="23"/>
  <c r="K453" i="23"/>
  <c r="J449" i="23"/>
  <c r="H449" i="23"/>
  <c r="F449" i="23"/>
  <c r="D449" i="23"/>
  <c r="D447" i="23"/>
  <c r="J443" i="23"/>
  <c r="H443" i="23"/>
  <c r="F443" i="23"/>
  <c r="D443" i="23"/>
  <c r="J441" i="23"/>
  <c r="H441" i="23"/>
  <c r="F441" i="23"/>
  <c r="D441" i="23"/>
  <c r="D439" i="23"/>
  <c r="K431" i="23"/>
  <c r="J427" i="23"/>
  <c r="H427" i="23"/>
  <c r="F427" i="23"/>
  <c r="D427" i="23"/>
  <c r="D425" i="23"/>
  <c r="K417" i="23"/>
  <c r="J413" i="23"/>
  <c r="H413" i="23"/>
  <c r="F413" i="23"/>
  <c r="D413" i="23"/>
  <c r="D411" i="23"/>
  <c r="K403" i="23"/>
  <c r="J399" i="23"/>
  <c r="H399" i="23"/>
  <c r="F399" i="23"/>
  <c r="D399" i="23"/>
  <c r="D397" i="23"/>
  <c r="K389" i="23"/>
  <c r="J385" i="23"/>
  <c r="H385" i="23"/>
  <c r="F385" i="23"/>
  <c r="D385" i="23"/>
  <c r="D383" i="23"/>
  <c r="K375" i="23"/>
  <c r="N177" i="3"/>
  <c r="J359" i="3"/>
  <c r="N191" i="3"/>
  <c r="J360" i="3"/>
  <c r="N148" i="3"/>
  <c r="J358" i="3"/>
  <c r="N108" i="3"/>
  <c r="J355" i="3"/>
  <c r="N92" i="3"/>
  <c r="J354" i="3"/>
  <c r="N79" i="3"/>
  <c r="J353" i="3"/>
  <c r="N57" i="3"/>
  <c r="J352" i="3"/>
  <c r="D3018" i="23"/>
  <c r="E3017" i="23"/>
  <c r="F3017" i="23"/>
  <c r="D3016" i="23"/>
  <c r="E3015" i="23"/>
  <c r="F3015" i="23"/>
  <c r="D3014" i="23"/>
  <c r="K2251" i="23"/>
  <c r="K2237" i="23"/>
  <c r="K2223" i="23"/>
  <c r="E2283" i="23"/>
  <c r="E2282" i="23"/>
  <c r="E2281" i="23"/>
  <c r="G2276" i="23"/>
  <c r="E2276" i="23"/>
  <c r="G2275" i="23"/>
  <c r="E2275" i="23"/>
  <c r="G2274" i="23"/>
  <c r="E2274" i="23"/>
  <c r="G2269" i="23"/>
  <c r="E2269" i="23"/>
  <c r="G2268" i="23"/>
  <c r="E2268" i="23"/>
  <c r="G2267" i="23"/>
  <c r="E2267" i="23"/>
  <c r="H2254" i="23"/>
  <c r="F2254" i="23"/>
  <c r="D2254" i="23"/>
  <c r="D2252" i="23"/>
  <c r="K2244" i="23"/>
  <c r="J2240" i="23"/>
  <c r="H2240" i="23"/>
  <c r="F2240" i="23"/>
  <c r="D2240" i="23"/>
  <c r="D2238" i="23"/>
  <c r="J2226" i="23"/>
  <c r="H2226" i="23"/>
  <c r="F2226" i="23"/>
  <c r="D2226" i="23"/>
  <c r="D2224" i="23"/>
  <c r="K2216" i="23"/>
  <c r="G2191" i="23"/>
  <c r="J2190" i="23"/>
  <c r="F2190" i="23"/>
  <c r="J2184" i="23"/>
  <c r="H2184" i="23"/>
  <c r="F2184" i="23"/>
  <c r="D2184" i="23"/>
  <c r="J2177" i="23"/>
  <c r="F2177" i="23"/>
  <c r="G2176" i="23"/>
  <c r="J2175" i="23"/>
  <c r="F2175" i="23"/>
  <c r="G2174" i="23"/>
  <c r="J2173" i="23"/>
  <c r="F2173" i="23"/>
  <c r="J2166" i="23"/>
  <c r="H2166" i="23"/>
  <c r="F2166" i="23"/>
  <c r="D2166" i="23"/>
  <c r="J2164" i="23"/>
  <c r="H2164" i="23"/>
  <c r="F2164" i="23"/>
  <c r="D2164" i="23"/>
  <c r="J2157" i="23"/>
  <c r="F2157" i="23"/>
  <c r="G2156" i="23"/>
  <c r="J2155" i="23"/>
  <c r="F2155" i="23"/>
  <c r="G2154" i="23"/>
  <c r="J2153" i="23"/>
  <c r="F2153" i="23"/>
  <c r="I2147" i="23"/>
  <c r="G2147" i="23"/>
  <c r="E2147" i="23"/>
  <c r="D2146" i="23"/>
  <c r="F1784" i="23"/>
  <c r="F1783" i="23"/>
  <c r="F1782" i="23"/>
  <c r="F1781" i="23"/>
  <c r="H1776" i="23"/>
  <c r="F1776" i="23"/>
  <c r="H1775" i="23"/>
  <c r="F1775" i="23"/>
  <c r="H1774" i="23"/>
  <c r="F1774" i="23"/>
  <c r="H1773" i="23"/>
  <c r="F1773" i="23"/>
  <c r="H1767" i="23"/>
  <c r="F1767" i="23"/>
  <c r="H1766" i="23"/>
  <c r="F1766" i="23"/>
  <c r="H1765" i="23"/>
  <c r="F1765" i="23"/>
  <c r="J1760" i="23"/>
  <c r="F1760" i="23"/>
  <c r="J1759" i="23"/>
  <c r="F1759" i="23"/>
  <c r="J1758" i="23"/>
  <c r="H1758" i="23"/>
  <c r="F1758" i="23"/>
  <c r="J1757" i="23"/>
  <c r="H1757" i="23"/>
  <c r="F1757" i="23"/>
  <c r="E1509" i="23"/>
  <c r="E1508" i="23"/>
  <c r="E1507" i="23"/>
  <c r="G1502" i="23"/>
  <c r="E1502" i="23"/>
  <c r="G1501" i="23"/>
  <c r="E1501" i="23"/>
  <c r="G1500" i="23"/>
  <c r="E1500" i="23"/>
  <c r="G1495" i="23"/>
  <c r="F1494" i="23"/>
  <c r="J1488" i="23"/>
  <c r="G1487" i="23"/>
  <c r="E1487" i="23"/>
  <c r="J1486" i="23"/>
  <c r="I1481" i="23"/>
  <c r="E1481" i="23"/>
  <c r="H1479" i="23"/>
  <c r="I1474" i="23"/>
  <c r="G1474" i="23"/>
  <c r="E1474" i="23"/>
  <c r="D1473" i="23"/>
  <c r="J1275" i="23"/>
  <c r="J1276" i="23"/>
  <c r="G1275" i="23"/>
  <c r="G1277" i="23"/>
  <c r="E1260" i="23"/>
  <c r="E1261" i="23"/>
  <c r="E1262" i="23"/>
  <c r="E1263" i="23"/>
  <c r="J1252" i="23"/>
  <c r="J1254" i="23"/>
  <c r="H1252" i="23"/>
  <c r="H1254" i="23"/>
  <c r="F1252" i="23"/>
  <c r="F1254" i="23"/>
  <c r="D1252" i="23"/>
  <c r="D1254" i="23"/>
  <c r="F1245" i="23"/>
  <c r="F1246" i="23"/>
  <c r="F1248" i="23"/>
  <c r="D1246" i="23"/>
  <c r="D1248" i="23"/>
  <c r="I1237" i="23"/>
  <c r="I1239" i="23"/>
  <c r="G1237" i="23"/>
  <c r="G1239" i="23"/>
  <c r="E1237" i="23"/>
  <c r="E1239" i="23"/>
  <c r="I1230" i="23"/>
  <c r="I1231" i="23"/>
  <c r="I1232" i="23"/>
  <c r="I1233" i="23"/>
  <c r="J1215" i="23"/>
  <c r="J1216" i="23"/>
  <c r="J1218" i="23"/>
  <c r="G1215" i="23"/>
  <c r="G1217" i="23"/>
  <c r="E1200" i="23"/>
  <c r="E1201" i="23"/>
  <c r="E1202" i="23"/>
  <c r="E1203" i="23"/>
  <c r="J1193" i="23"/>
  <c r="J1195" i="23"/>
  <c r="H1193" i="23"/>
  <c r="H1195" i="23"/>
  <c r="F1193" i="23"/>
  <c r="F1195" i="23"/>
  <c r="D1193" i="23"/>
  <c r="D1195" i="23"/>
  <c r="I1299" i="23"/>
  <c r="G1299" i="23"/>
  <c r="I1293" i="23"/>
  <c r="E1293" i="23"/>
  <c r="I1292" i="23"/>
  <c r="E1292" i="23"/>
  <c r="I1291" i="23"/>
  <c r="E1291" i="23"/>
  <c r="J1284" i="23"/>
  <c r="H1284" i="23"/>
  <c r="F1284" i="23"/>
  <c r="D1284" i="23"/>
  <c r="J1278" i="23"/>
  <c r="F1275" i="23"/>
  <c r="F1276" i="23"/>
  <c r="G1267" i="23"/>
  <c r="G1269" i="23"/>
  <c r="E1267" i="23"/>
  <c r="E1269" i="23"/>
  <c r="I1260" i="23"/>
  <c r="I1261" i="23"/>
  <c r="I1262" i="23"/>
  <c r="I1263" i="23"/>
  <c r="J1245" i="23"/>
  <c r="J1246" i="23"/>
  <c r="J1248" i="23"/>
  <c r="G1245" i="23"/>
  <c r="G1247" i="23"/>
  <c r="I1238" i="23"/>
  <c r="G1238" i="23"/>
  <c r="E1238" i="23"/>
  <c r="E1230" i="23"/>
  <c r="E1231" i="23"/>
  <c r="E1232" i="23"/>
  <c r="E1233" i="23"/>
  <c r="J1222" i="23"/>
  <c r="J1224" i="23"/>
  <c r="H1222" i="23"/>
  <c r="H1224" i="23"/>
  <c r="F1222" i="23"/>
  <c r="F1224" i="23"/>
  <c r="D1222" i="23"/>
  <c r="D1224" i="23"/>
  <c r="F1215" i="23"/>
  <c r="F1216" i="23"/>
  <c r="F1218" i="23"/>
  <c r="D1216" i="23"/>
  <c r="D1218" i="23"/>
  <c r="I1207" i="23"/>
  <c r="I1209" i="23"/>
  <c r="G1207" i="23"/>
  <c r="G1209" i="23"/>
  <c r="E1207" i="23"/>
  <c r="E1209" i="23"/>
  <c r="I1200" i="23"/>
  <c r="I1201" i="23"/>
  <c r="I1202" i="23"/>
  <c r="I1203" i="23"/>
  <c r="I1188" i="23"/>
  <c r="G1188" i="23"/>
  <c r="E1188" i="23"/>
  <c r="K1185" i="23"/>
  <c r="D1181" i="23"/>
  <c r="D1179" i="23"/>
  <c r="B171" i="22"/>
  <c r="G1174" i="23"/>
  <c r="E1174" i="23"/>
  <c r="K1171" i="23"/>
  <c r="K1102" i="23"/>
  <c r="K999" i="23"/>
  <c r="J1108" i="23"/>
  <c r="F1108" i="23"/>
  <c r="J1105" i="23"/>
  <c r="F1105" i="23"/>
  <c r="J1104" i="23"/>
  <c r="F1104" i="23"/>
  <c r="J1103" i="23"/>
  <c r="H179" i="22"/>
  <c r="F1103" i="23"/>
  <c r="D179" i="22"/>
  <c r="I584" i="23"/>
  <c r="I585" i="23"/>
  <c r="G584" i="23"/>
  <c r="G585" i="23"/>
  <c r="E585" i="23"/>
  <c r="K545" i="23"/>
  <c r="K531" i="23"/>
  <c r="J454" i="23"/>
  <c r="J457" i="23"/>
  <c r="J455" i="23"/>
  <c r="J458" i="23"/>
  <c r="H455" i="23"/>
  <c r="H458" i="23"/>
  <c r="F454" i="23"/>
  <c r="F455" i="23"/>
  <c r="F458" i="23"/>
  <c r="D454" i="23"/>
  <c r="D455" i="23"/>
  <c r="F447" i="23"/>
  <c r="F448" i="23"/>
  <c r="F450" i="23"/>
  <c r="D448" i="23"/>
  <c r="D450" i="23"/>
  <c r="K450" i="23"/>
  <c r="G439" i="23"/>
  <c r="G441" i="23"/>
  <c r="G443" i="23"/>
  <c r="G440" i="23"/>
  <c r="J425" i="23"/>
  <c r="J426" i="23"/>
  <c r="J428" i="23"/>
  <c r="G425" i="23"/>
  <c r="E121" i="22"/>
  <c r="G427" i="23"/>
  <c r="E411" i="23"/>
  <c r="E412" i="23"/>
  <c r="E413" i="23"/>
  <c r="E414" i="23"/>
  <c r="J404" i="23"/>
  <c r="J406" i="23"/>
  <c r="H404" i="23"/>
  <c r="H406" i="23"/>
  <c r="F404" i="23"/>
  <c r="F406" i="23"/>
  <c r="D404" i="23"/>
  <c r="D406" i="23"/>
  <c r="F397" i="23"/>
  <c r="F398" i="23"/>
  <c r="F400" i="23"/>
  <c r="D398" i="23"/>
  <c r="D400" i="23"/>
  <c r="I583" i="23"/>
  <c r="G583" i="23"/>
  <c r="E583" i="23"/>
  <c r="I581" i="23"/>
  <c r="G581" i="23"/>
  <c r="E581" i="23"/>
  <c r="K580" i="23"/>
  <c r="D585" i="23"/>
  <c r="D576" i="23"/>
  <c r="D574" i="23"/>
  <c r="I569" i="23"/>
  <c r="G569" i="23"/>
  <c r="K566" i="23"/>
  <c r="D560" i="23"/>
  <c r="I555" i="23"/>
  <c r="K552" i="23"/>
  <c r="I541" i="23"/>
  <c r="G541" i="23"/>
  <c r="K538" i="23"/>
  <c r="I527" i="23"/>
  <c r="K524" i="23"/>
  <c r="I513" i="23"/>
  <c r="G513" i="23"/>
  <c r="E513" i="23"/>
  <c r="K510" i="23"/>
  <c r="I499" i="23"/>
  <c r="G499" i="23"/>
  <c r="K496" i="23"/>
  <c r="D490" i="23"/>
  <c r="I485" i="23"/>
  <c r="G485" i="23"/>
  <c r="E485" i="23"/>
  <c r="K482" i="23"/>
  <c r="D478" i="23"/>
  <c r="D476" i="23"/>
  <c r="I471" i="23"/>
  <c r="G471" i="23"/>
  <c r="E471" i="23"/>
  <c r="K468" i="23"/>
  <c r="D464" i="23"/>
  <c r="D462" i="23"/>
  <c r="J447" i="23"/>
  <c r="J448" i="23"/>
  <c r="J450" i="23"/>
  <c r="G447" i="23"/>
  <c r="G449" i="23"/>
  <c r="I390" i="23"/>
  <c r="I392" i="23"/>
  <c r="I391" i="23"/>
  <c r="G390" i="23"/>
  <c r="G392" i="23"/>
  <c r="G391" i="23"/>
  <c r="E390" i="23"/>
  <c r="E392" i="23"/>
  <c r="E391" i="23"/>
  <c r="I383" i="23"/>
  <c r="I384" i="23"/>
  <c r="I385" i="23"/>
  <c r="I386" i="23"/>
  <c r="K368" i="23"/>
  <c r="J432" i="23"/>
  <c r="J434" i="23"/>
  <c r="H432" i="23"/>
  <c r="F432" i="23"/>
  <c r="F434" i="23"/>
  <c r="D432" i="23"/>
  <c r="D434" i="23"/>
  <c r="F425" i="23"/>
  <c r="D121" i="22"/>
  <c r="F426" i="23"/>
  <c r="F428" i="23"/>
  <c r="D426" i="23"/>
  <c r="D428" i="23"/>
  <c r="I418" i="23"/>
  <c r="I420" i="23"/>
  <c r="G418" i="23"/>
  <c r="G420" i="23"/>
  <c r="E418" i="23"/>
  <c r="E420" i="23"/>
  <c r="I411" i="23"/>
  <c r="I412" i="23"/>
  <c r="I413" i="23"/>
  <c r="I414" i="23"/>
  <c r="J397" i="23"/>
  <c r="J398" i="23"/>
  <c r="J400" i="23"/>
  <c r="G397" i="23"/>
  <c r="G399" i="23"/>
  <c r="E383" i="23"/>
  <c r="E384" i="23"/>
  <c r="E385" i="23"/>
  <c r="E386" i="23"/>
  <c r="J376" i="23"/>
  <c r="J378" i="23"/>
  <c r="H376" i="23"/>
  <c r="H378" i="23"/>
  <c r="F378" i="23"/>
  <c r="D376" i="23"/>
  <c r="D378" i="23"/>
  <c r="K378" i="23"/>
  <c r="E11" i="23"/>
  <c r="E10" i="23"/>
  <c r="E9" i="23"/>
  <c r="E8" i="23"/>
  <c r="N304" i="3"/>
  <c r="J366" i="3"/>
  <c r="J937" i="23"/>
  <c r="H937" i="23"/>
  <c r="F937" i="23"/>
  <c r="D937" i="23"/>
  <c r="K934" i="23"/>
  <c r="I902" i="23"/>
  <c r="G902" i="23"/>
  <c r="E902" i="23"/>
  <c r="K899" i="23"/>
  <c r="I888" i="23"/>
  <c r="G888" i="23"/>
  <c r="E888" i="23"/>
  <c r="K885" i="23"/>
  <c r="I871" i="23"/>
  <c r="G871" i="23"/>
  <c r="E871" i="23"/>
  <c r="I874" i="23"/>
  <c r="G874" i="23"/>
  <c r="E874" i="23"/>
  <c r="I872" i="23"/>
  <c r="G872" i="23"/>
  <c r="E872" i="23"/>
  <c r="K869" i="23"/>
  <c r="J857" i="23"/>
  <c r="K857" i="23"/>
  <c r="H857" i="23"/>
  <c r="F857" i="23"/>
  <c r="D857" i="23"/>
  <c r="K854" i="23"/>
  <c r="H851" i="23"/>
  <c r="F851" i="23"/>
  <c r="D851" i="23"/>
  <c r="J849" i="23"/>
  <c r="H849" i="23"/>
  <c r="F849" i="23"/>
  <c r="D849" i="23"/>
  <c r="K846" i="23"/>
  <c r="J843" i="23"/>
  <c r="H843" i="23"/>
  <c r="F843" i="23"/>
  <c r="D843" i="23"/>
  <c r="J841" i="23"/>
  <c r="H841" i="23"/>
  <c r="F841" i="23"/>
  <c r="D841" i="23"/>
  <c r="K838" i="23"/>
  <c r="I835" i="23"/>
  <c r="G835" i="23"/>
  <c r="E835" i="23"/>
  <c r="I833" i="23"/>
  <c r="G833" i="23"/>
  <c r="E833" i="23"/>
  <c r="K830" i="23"/>
  <c r="I826" i="23"/>
  <c r="G826" i="23"/>
  <c r="E826" i="23"/>
  <c r="I824" i="23"/>
  <c r="G824" i="23"/>
  <c r="E824" i="23"/>
  <c r="K821" i="23"/>
  <c r="J801" i="23"/>
  <c r="H801" i="23"/>
  <c r="F801" i="23"/>
  <c r="D801" i="23"/>
  <c r="K801" i="23"/>
  <c r="J799" i="23"/>
  <c r="H799" i="23"/>
  <c r="F799" i="23"/>
  <c r="D799" i="23"/>
  <c r="K796" i="23"/>
  <c r="J793" i="23"/>
  <c r="H793" i="23"/>
  <c r="F793" i="23"/>
  <c r="D793" i="23"/>
  <c r="J791" i="23"/>
  <c r="H791" i="23"/>
  <c r="F791" i="23"/>
  <c r="D791" i="23"/>
  <c r="K788" i="23"/>
  <c r="J785" i="23"/>
  <c r="H785" i="23"/>
  <c r="F785" i="23"/>
  <c r="D785" i="23"/>
  <c r="H783" i="23"/>
  <c r="F783" i="23"/>
  <c r="D783" i="23"/>
  <c r="J769" i="23"/>
  <c r="H769" i="23"/>
  <c r="F769" i="23"/>
  <c r="D769" i="23"/>
  <c r="J767" i="23"/>
  <c r="H767" i="23"/>
  <c r="F767" i="23"/>
  <c r="D767" i="23"/>
  <c r="K764" i="23"/>
  <c r="I761" i="23"/>
  <c r="G761" i="23"/>
  <c r="I759" i="23"/>
  <c r="G759" i="23"/>
  <c r="E759" i="23"/>
  <c r="K756" i="23"/>
  <c r="J744" i="23"/>
  <c r="H744" i="23"/>
  <c r="F744" i="23"/>
  <c r="D744" i="23"/>
  <c r="K741" i="23"/>
  <c r="J730" i="23"/>
  <c r="H730" i="23"/>
  <c r="F730" i="23"/>
  <c r="D730" i="23"/>
  <c r="K727" i="23"/>
  <c r="I723" i="23"/>
  <c r="G723" i="23"/>
  <c r="E723" i="23"/>
  <c r="K720" i="23"/>
  <c r="J716" i="23"/>
  <c r="H716" i="23"/>
  <c r="F716" i="23"/>
  <c r="D716" i="23"/>
  <c r="K713" i="23"/>
  <c r="I695" i="23"/>
  <c r="G695" i="23"/>
  <c r="E695" i="23"/>
  <c r="K692" i="23"/>
  <c r="J688" i="23"/>
  <c r="H688" i="23"/>
  <c r="F688" i="23"/>
  <c r="D688" i="23"/>
  <c r="J686" i="23"/>
  <c r="H686" i="23"/>
  <c r="F686" i="23"/>
  <c r="D686" i="23"/>
  <c r="J680" i="23"/>
  <c r="H680" i="23"/>
  <c r="F680" i="23"/>
  <c r="D680" i="23"/>
  <c r="J678" i="23"/>
  <c r="H678" i="23"/>
  <c r="F678" i="23"/>
  <c r="D678" i="23"/>
  <c r="K675" i="23"/>
  <c r="J642" i="23"/>
  <c r="F642" i="23"/>
  <c r="D642" i="23"/>
  <c r="I635" i="23"/>
  <c r="G635" i="23"/>
  <c r="E635" i="23"/>
  <c r="K632" i="23"/>
  <c r="I621" i="23"/>
  <c r="G621" i="23"/>
  <c r="E621" i="23"/>
  <c r="K618" i="23"/>
  <c r="I607" i="23"/>
  <c r="G607" i="23"/>
  <c r="E607" i="23"/>
  <c r="K604" i="23"/>
  <c r="I598" i="23"/>
  <c r="G598" i="23"/>
  <c r="I601" i="23"/>
  <c r="G601" i="23"/>
  <c r="I599" i="23"/>
  <c r="G599" i="23"/>
  <c r="H563" i="23"/>
  <c r="J562" i="23"/>
  <c r="F562" i="23"/>
  <c r="K559" i="23"/>
  <c r="H528" i="23"/>
  <c r="E528" i="23"/>
  <c r="H527" i="23"/>
  <c r="E527" i="23"/>
  <c r="I428" i="23"/>
  <c r="I427" i="23"/>
  <c r="I426" i="23"/>
  <c r="H414" i="23"/>
  <c r="F414" i="23"/>
  <c r="H386" i="23"/>
  <c r="J154" i="23"/>
  <c r="H154" i="23"/>
  <c r="F154" i="23"/>
  <c r="D154" i="23"/>
  <c r="J152" i="23"/>
  <c r="H152" i="23"/>
  <c r="F152" i="23"/>
  <c r="D152" i="23"/>
  <c r="K149" i="23"/>
  <c r="J130" i="23"/>
  <c r="H130" i="23"/>
  <c r="F130" i="23"/>
  <c r="D130" i="23"/>
  <c r="H128" i="23"/>
  <c r="F128" i="23"/>
  <c r="D128" i="23"/>
  <c r="K125" i="23"/>
  <c r="J82" i="23"/>
  <c r="H82" i="23"/>
  <c r="J80" i="23"/>
  <c r="H80" i="23"/>
  <c r="J58" i="23"/>
  <c r="J56" i="23"/>
  <c r="I3033" i="23"/>
  <c r="G3033" i="23"/>
  <c r="E3033" i="23"/>
  <c r="F2629" i="23"/>
  <c r="D2629" i="23"/>
  <c r="F2627" i="23"/>
  <c r="D2627" i="23"/>
  <c r="K2627" i="23"/>
  <c r="I2620" i="23"/>
  <c r="G2620" i="23"/>
  <c r="I2618" i="23"/>
  <c r="G2618" i="23"/>
  <c r="K2615" i="23"/>
  <c r="F2610" i="23"/>
  <c r="D2610" i="23"/>
  <c r="F2608" i="23"/>
  <c r="D2608" i="23"/>
  <c r="I2601" i="23"/>
  <c r="G2601" i="23"/>
  <c r="I2599" i="23"/>
  <c r="G2599" i="23"/>
  <c r="K2596" i="23"/>
  <c r="F2592" i="23"/>
  <c r="D2592" i="23"/>
  <c r="F2590" i="23"/>
  <c r="D2590" i="23"/>
  <c r="I2583" i="23"/>
  <c r="G2583" i="23"/>
  <c r="I2581" i="23"/>
  <c r="G2581" i="23"/>
  <c r="K2578" i="23"/>
  <c r="F2574" i="23"/>
  <c r="D2574" i="23"/>
  <c r="F2572" i="23"/>
  <c r="D2572" i="23"/>
  <c r="K2564" i="23"/>
  <c r="K2554" i="23"/>
  <c r="K2544" i="23"/>
  <c r="K2534" i="23"/>
  <c r="K2524" i="23"/>
  <c r="K2514" i="23"/>
  <c r="K2504" i="23"/>
  <c r="K2494" i="23"/>
  <c r="K2484" i="23"/>
  <c r="D3017" i="23"/>
  <c r="E3016" i="23"/>
  <c r="F3016" i="23"/>
  <c r="D3013" i="23"/>
  <c r="K2624" i="23"/>
  <c r="K2569" i="23"/>
  <c r="K2549" i="23"/>
  <c r="K2539" i="23"/>
  <c r="K2529" i="23"/>
  <c r="K2519" i="23"/>
  <c r="K2509" i="23"/>
  <c r="K2499" i="23"/>
  <c r="K2489" i="23"/>
  <c r="H2283" i="23"/>
  <c r="F2283" i="23"/>
  <c r="H2282" i="23"/>
  <c r="F2282" i="23"/>
  <c r="H2281" i="23"/>
  <c r="F2281" i="23"/>
  <c r="J2276" i="23"/>
  <c r="H2276" i="23"/>
  <c r="D2276" i="23"/>
  <c r="D2274" i="23"/>
  <c r="J2269" i="23"/>
  <c r="H2269" i="23"/>
  <c r="D2269" i="23"/>
  <c r="D2267" i="23"/>
  <c r="J2262" i="23"/>
  <c r="H2262" i="23"/>
  <c r="J2261" i="23"/>
  <c r="H2261" i="23"/>
  <c r="J2260" i="23"/>
  <c r="H2260" i="23"/>
  <c r="J2255" i="23"/>
  <c r="F2255" i="23"/>
  <c r="D2255" i="23"/>
  <c r="G2254" i="23"/>
  <c r="J2253" i="23"/>
  <c r="F2253" i="23"/>
  <c r="I2247" i="23"/>
  <c r="G2247" i="23"/>
  <c r="E2247" i="23"/>
  <c r="I2241" i="23"/>
  <c r="E2241" i="23"/>
  <c r="I2240" i="23"/>
  <c r="E2240" i="23"/>
  <c r="I2239" i="23"/>
  <c r="E2239" i="23"/>
  <c r="J2233" i="23"/>
  <c r="H2233" i="23"/>
  <c r="F2233" i="23"/>
  <c r="D2233" i="23"/>
  <c r="J2227" i="23"/>
  <c r="F2227" i="23"/>
  <c r="D2227" i="23"/>
  <c r="G2226" i="23"/>
  <c r="J2225" i="23"/>
  <c r="F2225" i="23"/>
  <c r="I2219" i="23"/>
  <c r="G2219" i="23"/>
  <c r="E2219" i="23"/>
  <c r="G2192" i="23"/>
  <c r="I2191" i="23"/>
  <c r="G2190" i="23"/>
  <c r="I2185" i="23"/>
  <c r="E2185" i="23"/>
  <c r="I2184" i="23"/>
  <c r="E2184" i="23"/>
  <c r="I2183" i="23"/>
  <c r="E2183" i="23"/>
  <c r="I2177" i="23"/>
  <c r="G2177" i="23"/>
  <c r="H2175" i="23"/>
  <c r="I2174" i="23"/>
  <c r="G2173" i="23"/>
  <c r="I2167" i="23"/>
  <c r="E2167" i="23"/>
  <c r="I2166" i="23"/>
  <c r="E2166" i="23"/>
  <c r="I2165" i="23"/>
  <c r="E2165" i="23"/>
  <c r="I2164" i="23"/>
  <c r="E2164" i="23"/>
  <c r="K2164" i="23"/>
  <c r="I2163" i="23"/>
  <c r="E2163" i="23"/>
  <c r="I2157" i="23"/>
  <c r="G2157" i="23"/>
  <c r="H2155" i="23"/>
  <c r="I2154" i="23"/>
  <c r="G2153" i="23"/>
  <c r="D2147" i="23"/>
  <c r="I2146" i="23"/>
  <c r="E2146" i="23"/>
  <c r="D2145" i="23"/>
  <c r="I2144" i="23"/>
  <c r="E2144" i="23"/>
  <c r="D2144" i="23"/>
  <c r="I2143" i="23"/>
  <c r="E2143" i="23"/>
  <c r="D2143" i="23"/>
  <c r="I2142" i="23"/>
  <c r="E2142" i="23"/>
  <c r="D2142" i="23"/>
  <c r="I1847" i="23"/>
  <c r="G1847" i="23"/>
  <c r="E1847" i="23"/>
  <c r="K1844" i="23"/>
  <c r="D1840" i="23"/>
  <c r="D1838" i="23"/>
  <c r="I1833" i="23"/>
  <c r="G1833" i="23"/>
  <c r="E1833" i="23"/>
  <c r="K1830" i="23"/>
  <c r="I1827" i="23"/>
  <c r="G1827" i="23"/>
  <c r="E1827" i="23"/>
  <c r="I1825" i="23"/>
  <c r="G1825" i="23"/>
  <c r="E1825" i="23"/>
  <c r="K1825" i="23"/>
  <c r="I1823" i="23"/>
  <c r="G1823" i="23"/>
  <c r="E1823" i="23"/>
  <c r="K1820" i="23"/>
  <c r="I1817" i="23"/>
  <c r="G1817" i="23"/>
  <c r="E1817" i="23"/>
  <c r="I1815" i="23"/>
  <c r="G1815" i="23"/>
  <c r="E1815" i="23"/>
  <c r="K1812" i="23"/>
  <c r="D1808" i="23"/>
  <c r="D1806" i="23"/>
  <c r="I1801" i="23"/>
  <c r="G1801" i="23"/>
  <c r="E1801" i="23"/>
  <c r="I1799" i="23"/>
  <c r="G1799" i="23"/>
  <c r="E1799" i="23"/>
  <c r="K1796" i="23"/>
  <c r="D1792" i="23"/>
  <c r="K1792" i="23"/>
  <c r="D1790" i="23"/>
  <c r="D1788" i="23"/>
  <c r="K1779" i="23"/>
  <c r="D1780" i="23"/>
  <c r="E1765" i="23"/>
  <c r="E1767" i="23"/>
  <c r="J1658" i="23"/>
  <c r="H1658" i="23"/>
  <c r="H1656" i="23"/>
  <c r="K1610" i="23"/>
  <c r="J1780" i="23"/>
  <c r="J1781" i="23"/>
  <c r="J1782" i="23"/>
  <c r="J1783" i="23"/>
  <c r="J1784" i="23"/>
  <c r="H1780" i="23"/>
  <c r="H1781" i="23"/>
  <c r="H1782" i="23"/>
  <c r="H1783" i="23"/>
  <c r="H1784" i="23"/>
  <c r="E1780" i="23"/>
  <c r="E1781" i="23"/>
  <c r="E1782" i="23"/>
  <c r="E1783" i="23"/>
  <c r="E1784" i="23"/>
  <c r="J1771" i="23"/>
  <c r="J1772" i="23"/>
  <c r="J1774" i="23"/>
  <c r="J1776" i="23"/>
  <c r="K1770" i="23"/>
  <c r="I1765" i="23"/>
  <c r="I1767" i="23"/>
  <c r="K1763" i="23"/>
  <c r="D1766" i="23"/>
  <c r="K1755" i="23"/>
  <c r="E1656" i="23"/>
  <c r="E1657" i="23"/>
  <c r="E1658" i="23"/>
  <c r="E1659" i="23"/>
  <c r="G1649" i="23"/>
  <c r="G1650" i="23"/>
  <c r="G1651" i="23"/>
  <c r="G1652" i="23"/>
  <c r="E1649" i="23"/>
  <c r="E1650" i="23"/>
  <c r="E1651" i="23"/>
  <c r="E1652" i="23"/>
  <c r="G1641" i="23"/>
  <c r="G1642" i="23"/>
  <c r="G1643" i="23"/>
  <c r="G1644" i="23"/>
  <c r="G1645" i="23"/>
  <c r="E1641" i="23"/>
  <c r="E1642" i="23"/>
  <c r="E1643" i="23"/>
  <c r="E1644" i="23"/>
  <c r="E1645" i="23"/>
  <c r="I1633" i="23"/>
  <c r="I1634" i="23"/>
  <c r="I1635" i="23"/>
  <c r="G1633" i="23"/>
  <c r="G1634" i="23"/>
  <c r="I1627" i="23"/>
  <c r="G1627" i="23"/>
  <c r="K1624" i="23"/>
  <c r="D1618" i="23"/>
  <c r="I1613" i="23"/>
  <c r="G1613" i="23"/>
  <c r="H1509" i="23"/>
  <c r="F1509" i="23"/>
  <c r="H1508" i="23"/>
  <c r="F1508" i="23"/>
  <c r="H1507" i="23"/>
  <c r="F1507" i="23"/>
  <c r="J1502" i="23"/>
  <c r="F1501" i="23"/>
  <c r="J1500" i="23"/>
  <c r="D1495" i="23"/>
  <c r="J1493" i="23"/>
  <c r="E1493" i="23"/>
  <c r="E1488" i="23"/>
  <c r="F1486" i="23"/>
  <c r="H1481" i="23"/>
  <c r="J1479" i="23"/>
  <c r="I1478" i="23"/>
  <c r="H1473" i="23"/>
  <c r="G1472" i="23"/>
  <c r="I1218" i="23"/>
  <c r="I1217" i="23"/>
  <c r="H1201" i="23"/>
  <c r="H1189" i="23"/>
  <c r="G1187" i="23"/>
  <c r="H1175" i="23"/>
  <c r="G1173" i="23"/>
  <c r="H1323" i="23"/>
  <c r="F1323" i="23"/>
  <c r="H1322" i="23"/>
  <c r="F1322" i="23"/>
  <c r="H1321" i="23"/>
  <c r="F1321" i="23"/>
  <c r="J1315" i="23"/>
  <c r="H1315" i="23"/>
  <c r="J1314" i="23"/>
  <c r="H1314" i="23"/>
  <c r="J1313" i="23"/>
  <c r="H1313" i="23"/>
  <c r="J1299" i="23"/>
  <c r="I1298" i="23"/>
  <c r="J1293" i="23"/>
  <c r="J1291" i="23"/>
  <c r="I1248" i="23"/>
  <c r="I1247" i="23"/>
  <c r="I1246" i="23"/>
  <c r="F1004" i="23"/>
  <c r="D1004" i="23"/>
  <c r="F1002" i="23"/>
  <c r="D1002" i="23"/>
  <c r="F1001" i="23"/>
  <c r="D1001" i="23"/>
  <c r="F341" i="23"/>
  <c r="H585" i="23"/>
  <c r="J584" i="23"/>
  <c r="F584" i="23"/>
  <c r="J583" i="23"/>
  <c r="F583" i="23"/>
  <c r="H582" i="23"/>
  <c r="D582" i="23"/>
  <c r="J570" i="23"/>
  <c r="F570" i="23"/>
  <c r="E569" i="23"/>
  <c r="I563" i="23"/>
  <c r="G563" i="23"/>
  <c r="E563" i="23"/>
  <c r="D563" i="23"/>
  <c r="J556" i="23"/>
  <c r="F555" i="23"/>
  <c r="I554" i="23"/>
  <c r="H542" i="23"/>
  <c r="H541" i="23"/>
  <c r="H540" i="23"/>
  <c r="J534" i="23"/>
  <c r="H534" i="23"/>
  <c r="F534" i="23"/>
  <c r="D533" i="23"/>
  <c r="J528" i="23"/>
  <c r="F528" i="23"/>
  <c r="D528" i="23"/>
  <c r="F527" i="23"/>
  <c r="D527" i="23"/>
  <c r="I526" i="23"/>
  <c r="I520" i="23"/>
  <c r="G520" i="23"/>
  <c r="I514" i="23"/>
  <c r="E514" i="23"/>
  <c r="J513" i="23"/>
  <c r="F513" i="23"/>
  <c r="I507" i="23"/>
  <c r="G507" i="23"/>
  <c r="E507" i="23"/>
  <c r="J500" i="23"/>
  <c r="I493" i="23"/>
  <c r="J420" i="23"/>
  <c r="H419" i="23"/>
  <c r="J412" i="23"/>
  <c r="H384" i="23"/>
  <c r="J371" i="23"/>
  <c r="J370" i="23"/>
  <c r="J369" i="23"/>
  <c r="K338" i="23"/>
  <c r="J122" i="23"/>
  <c r="H122" i="23"/>
  <c r="E122" i="23"/>
  <c r="J121" i="23"/>
  <c r="H121" i="23"/>
  <c r="E121" i="23"/>
  <c r="J120" i="23"/>
  <c r="H120" i="23"/>
  <c r="E120" i="23"/>
  <c r="J119" i="23"/>
  <c r="H119" i="23"/>
  <c r="H118" i="23"/>
  <c r="F106" i="23"/>
  <c r="D106" i="23"/>
  <c r="F105" i="23"/>
  <c r="D105" i="23"/>
  <c r="F104" i="23"/>
  <c r="D104" i="23"/>
  <c r="F98" i="23"/>
  <c r="D98" i="23"/>
  <c r="F96" i="23"/>
  <c r="D96" i="23"/>
  <c r="F90" i="23"/>
  <c r="D90" i="23"/>
  <c r="F88" i="23"/>
  <c r="D88" i="23"/>
  <c r="F82" i="23"/>
  <c r="D82" i="23"/>
  <c r="F80" i="23"/>
  <c r="D80" i="23"/>
  <c r="F74" i="23"/>
  <c r="D74" i="23"/>
  <c r="F72" i="23"/>
  <c r="D72" i="23"/>
  <c r="F66" i="23"/>
  <c r="D66" i="23"/>
  <c r="F64" i="23"/>
  <c r="D64" i="23"/>
  <c r="F58" i="23"/>
  <c r="D58" i="23"/>
  <c r="F56" i="23"/>
  <c r="D56" i="23"/>
  <c r="F50" i="23"/>
  <c r="D50" i="23"/>
  <c r="F48" i="23"/>
  <c r="D48" i="23"/>
  <c r="F42" i="23"/>
  <c r="D42" i="23"/>
  <c r="K42" i="23"/>
  <c r="F40" i="23"/>
  <c r="D40" i="23"/>
  <c r="K101" i="23"/>
  <c r="K93" i="23"/>
  <c r="K85" i="23"/>
  <c r="K77" i="23"/>
  <c r="K69" i="23"/>
  <c r="K61" i="23"/>
  <c r="K53" i="23"/>
  <c r="K45" i="23"/>
  <c r="K37" i="23"/>
  <c r="E30" i="23"/>
  <c r="E31" i="23"/>
  <c r="E32" i="23"/>
  <c r="E33" i="23"/>
  <c r="E34" i="23"/>
  <c r="I25" i="23"/>
  <c r="G25" i="23"/>
  <c r="K22" i="23"/>
  <c r="H11" i="23"/>
  <c r="F11" i="23"/>
  <c r="H10" i="23"/>
  <c r="F10" i="23"/>
  <c r="H9" i="23"/>
  <c r="F9" i="23"/>
  <c r="H8" i="23"/>
  <c r="F8" i="23"/>
  <c r="N261" i="3"/>
  <c r="J362" i="3"/>
  <c r="N24" i="3"/>
  <c r="J350" i="3"/>
  <c r="N140" i="3"/>
  <c r="J357" i="3"/>
  <c r="N123" i="3"/>
  <c r="J356" i="3"/>
  <c r="I3031" i="23"/>
  <c r="I3034" i="23"/>
  <c r="I3035" i="23"/>
  <c r="I3036" i="23"/>
  <c r="F3032" i="23"/>
  <c r="F3033" i="23"/>
  <c r="K3021" i="23"/>
  <c r="D3023" i="23"/>
  <c r="D3024" i="23"/>
  <c r="D3027" i="23"/>
  <c r="K3012" i="23"/>
  <c r="F2710" i="23"/>
  <c r="F2711" i="23"/>
  <c r="K2707" i="23"/>
  <c r="H2652" i="23"/>
  <c r="H2653" i="23"/>
  <c r="H2654" i="23"/>
  <c r="H2655" i="23"/>
  <c r="F2652" i="23"/>
  <c r="F2653" i="23"/>
  <c r="F2654" i="23"/>
  <c r="F2655" i="23"/>
  <c r="E2616" i="23"/>
  <c r="E2618" i="23"/>
  <c r="E2620" i="23"/>
  <c r="J2606" i="23"/>
  <c r="H2606" i="23"/>
  <c r="H2608" i="23"/>
  <c r="H2610" i="23"/>
  <c r="E2606" i="23"/>
  <c r="E2607" i="23"/>
  <c r="E2608" i="23"/>
  <c r="E2609" i="23"/>
  <c r="E2610" i="23"/>
  <c r="E2611" i="23"/>
  <c r="H2597" i="23"/>
  <c r="H2598" i="23"/>
  <c r="H2599" i="23"/>
  <c r="H2600" i="23"/>
  <c r="H2601" i="23"/>
  <c r="H2602" i="23"/>
  <c r="E2579" i="23"/>
  <c r="E2581" i="23"/>
  <c r="E2583" i="23"/>
  <c r="J2570" i="23"/>
  <c r="J2572" i="23"/>
  <c r="J2574" i="23"/>
  <c r="H2570" i="23"/>
  <c r="H2572" i="23"/>
  <c r="H2574" i="23"/>
  <c r="E2570" i="23"/>
  <c r="E2571" i="23"/>
  <c r="E2572" i="23"/>
  <c r="E2573" i="23"/>
  <c r="E2574" i="23"/>
  <c r="E2575" i="23"/>
  <c r="H2565" i="23"/>
  <c r="H2566" i="23"/>
  <c r="E2550" i="23"/>
  <c r="E2551" i="23"/>
  <c r="H2545" i="23"/>
  <c r="H2546" i="23"/>
  <c r="E2530" i="23"/>
  <c r="E2531" i="23"/>
  <c r="H2525" i="23"/>
  <c r="H2526" i="23"/>
  <c r="E2510" i="23"/>
  <c r="E2511" i="23"/>
  <c r="H2505" i="23"/>
  <c r="H2506" i="23"/>
  <c r="E2490" i="23"/>
  <c r="E2491" i="23"/>
  <c r="H2485" i="23"/>
  <c r="H2486" i="23"/>
  <c r="H2274" i="23"/>
  <c r="H2273" i="23"/>
  <c r="H2275" i="23"/>
  <c r="G2245" i="23"/>
  <c r="G2246" i="23"/>
  <c r="G2248" i="23"/>
  <c r="D2247" i="23"/>
  <c r="D2248" i="23"/>
  <c r="D2245" i="23"/>
  <c r="D2246" i="23"/>
  <c r="I2173" i="23"/>
  <c r="I2172" i="23"/>
  <c r="I2175" i="23"/>
  <c r="I2176" i="23"/>
  <c r="G2172" i="23"/>
  <c r="G2175" i="23"/>
  <c r="F2162" i="23"/>
  <c r="F2163" i="23"/>
  <c r="F2165" i="23"/>
  <c r="F2167" i="23"/>
  <c r="D2152" i="23"/>
  <c r="D2153" i="23"/>
  <c r="D2155" i="23"/>
  <c r="D2157" i="23"/>
  <c r="K1805" i="23"/>
  <c r="D1807" i="23"/>
  <c r="J1798" i="23"/>
  <c r="J1799" i="23"/>
  <c r="J1802" i="23"/>
  <c r="E1797" i="23"/>
  <c r="E1800" i="23"/>
  <c r="J1773" i="23"/>
  <c r="J1775" i="23"/>
  <c r="I1650" i="23"/>
  <c r="I1652" i="23"/>
  <c r="I1651" i="23"/>
  <c r="F3031" i="23"/>
  <c r="J3032" i="23"/>
  <c r="J3033" i="23"/>
  <c r="E3031" i="23"/>
  <c r="E3034" i="23"/>
  <c r="E3035" i="23"/>
  <c r="E3036" i="23"/>
  <c r="D3025" i="23"/>
  <c r="D3022" i="23"/>
  <c r="I3022" i="23"/>
  <c r="I3023" i="23"/>
  <c r="I3026" i="23"/>
  <c r="I3027" i="23"/>
  <c r="G3022" i="23"/>
  <c r="G3023" i="23"/>
  <c r="G3026" i="23"/>
  <c r="G3027" i="23"/>
  <c r="E3022" i="23"/>
  <c r="E3023" i="23"/>
  <c r="E3026" i="23"/>
  <c r="E3027" i="23"/>
  <c r="E2675" i="23"/>
  <c r="E2673" i="23"/>
  <c r="F2673" i="23"/>
  <c r="F2674" i="23"/>
  <c r="F2675" i="23"/>
  <c r="F2676" i="23"/>
  <c r="E2659" i="23"/>
  <c r="H2660" i="23"/>
  <c r="H2661" i="23"/>
  <c r="H2662" i="23"/>
  <c r="F2660" i="23"/>
  <c r="F2661" i="23"/>
  <c r="F2662" i="23"/>
  <c r="K2651" i="23"/>
  <c r="G3125" i="23"/>
  <c r="G3126" i="23"/>
  <c r="G3134" i="23"/>
  <c r="G3135" i="23"/>
  <c r="G3168" i="23"/>
  <c r="G3169" i="23"/>
  <c r="G3170" i="23"/>
  <c r="G3171" i="23"/>
  <c r="G3177" i="23"/>
  <c r="G3178" i="23"/>
  <c r="G3179" i="23"/>
  <c r="G3180" i="23"/>
  <c r="G3186" i="23"/>
  <c r="G3187" i="23"/>
  <c r="G3188" i="23"/>
  <c r="G3189" i="23"/>
  <c r="G3193" i="23"/>
  <c r="G3194" i="23"/>
  <c r="G3195" i="23"/>
  <c r="G3196" i="23"/>
  <c r="G3197" i="23"/>
  <c r="G3198" i="23"/>
  <c r="G3202" i="23"/>
  <c r="G3203" i="23"/>
  <c r="G3204" i="23"/>
  <c r="G3205" i="23"/>
  <c r="G3206" i="23"/>
  <c r="G3207" i="23"/>
  <c r="G3211" i="23"/>
  <c r="G3212" i="23"/>
  <c r="G3213" i="23"/>
  <c r="G3214" i="23"/>
  <c r="G3215" i="23"/>
  <c r="G3216" i="23"/>
  <c r="G3220" i="23"/>
  <c r="G3221" i="23"/>
  <c r="G3222" i="23"/>
  <c r="G3223" i="23"/>
  <c r="G3224" i="23"/>
  <c r="G3225" i="23"/>
  <c r="G3229" i="23"/>
  <c r="G3230" i="23"/>
  <c r="G3231" i="23"/>
  <c r="G3232" i="23"/>
  <c r="G3233" i="23"/>
  <c r="G3234" i="23"/>
  <c r="G3238" i="23"/>
  <c r="G3239" i="23"/>
  <c r="G3240" i="23"/>
  <c r="G3241" i="23"/>
  <c r="G3242" i="23"/>
  <c r="G3243" i="23"/>
  <c r="G3247" i="23"/>
  <c r="G3248" i="23"/>
  <c r="G3249" i="23"/>
  <c r="G3250" i="23"/>
  <c r="G3251" i="23"/>
  <c r="G3252" i="23"/>
  <c r="G3256" i="23"/>
  <c r="G3257" i="23"/>
  <c r="G3258" i="23"/>
  <c r="G3259" i="23"/>
  <c r="G3260" i="23"/>
  <c r="G3261" i="23"/>
  <c r="G3265" i="23"/>
  <c r="G3266" i="23"/>
  <c r="G3267" i="23"/>
  <c r="G3268" i="23"/>
  <c r="G3269" i="23"/>
  <c r="G3270" i="23"/>
  <c r="G3274" i="23"/>
  <c r="G3275" i="23"/>
  <c r="G3276" i="23"/>
  <c r="G3277" i="23"/>
  <c r="G3278" i="23"/>
  <c r="G3279" i="23"/>
  <c r="G3283" i="23"/>
  <c r="G3284" i="23"/>
  <c r="G3285" i="23"/>
  <c r="G3286" i="23"/>
  <c r="G3287" i="23"/>
  <c r="G3288" i="23"/>
  <c r="G3292" i="23"/>
  <c r="G3293" i="23"/>
  <c r="G3294" i="23"/>
  <c r="G3295" i="23"/>
  <c r="G3296" i="23"/>
  <c r="G3297" i="23"/>
  <c r="G3301" i="23"/>
  <c r="G3302" i="23"/>
  <c r="G3303" i="23"/>
  <c r="G3304" i="23"/>
  <c r="G3305" i="23"/>
  <c r="G3306" i="23"/>
  <c r="G3310" i="23"/>
  <c r="G3311" i="23"/>
  <c r="G3312" i="23"/>
  <c r="G3313" i="23"/>
  <c r="G3314" i="23"/>
  <c r="G3315" i="23"/>
  <c r="G3319" i="23"/>
  <c r="G3320" i="23"/>
  <c r="G3321" i="23"/>
  <c r="G3322" i="23"/>
  <c r="G3323" i="23"/>
  <c r="G3324" i="23"/>
  <c r="G3328" i="23"/>
  <c r="G3329" i="23"/>
  <c r="G3330" i="23"/>
  <c r="G3331" i="23"/>
  <c r="G3332" i="23"/>
  <c r="G3333" i="23"/>
  <c r="G3337" i="23"/>
  <c r="G3338" i="23"/>
  <c r="G3339" i="23"/>
  <c r="G3340" i="23"/>
  <c r="G3341" i="23"/>
  <c r="G3342" i="23"/>
  <c r="G3346" i="23"/>
  <c r="G3347" i="23"/>
  <c r="G3348" i="23"/>
  <c r="G3349" i="23"/>
  <c r="G3350" i="23"/>
  <c r="G3351" i="23"/>
  <c r="G3355" i="23"/>
  <c r="G3356" i="23"/>
  <c r="G3357" i="23"/>
  <c r="G3358" i="23"/>
  <c r="G3359" i="23"/>
  <c r="G3360" i="23"/>
  <c r="E3125" i="23"/>
  <c r="E3126" i="23"/>
  <c r="E3134" i="23"/>
  <c r="E3135" i="23"/>
  <c r="E3152" i="23"/>
  <c r="E3153" i="23"/>
  <c r="E3168" i="23"/>
  <c r="E3169" i="23"/>
  <c r="E3170" i="23"/>
  <c r="E3171" i="23"/>
  <c r="E3177" i="23"/>
  <c r="E3178" i="23"/>
  <c r="E3179" i="23"/>
  <c r="E3180" i="23"/>
  <c r="E3186" i="23"/>
  <c r="E3187" i="23"/>
  <c r="E3188" i="23"/>
  <c r="E3189" i="23"/>
  <c r="E3193" i="23"/>
  <c r="E3194" i="23"/>
  <c r="E3195" i="23"/>
  <c r="E3196" i="23"/>
  <c r="E3197" i="23"/>
  <c r="E3198" i="23"/>
  <c r="E3202" i="23"/>
  <c r="E3203" i="23"/>
  <c r="E3204" i="23"/>
  <c r="E3205" i="23"/>
  <c r="E3206" i="23"/>
  <c r="E3207" i="23"/>
  <c r="E3211" i="23"/>
  <c r="E3212" i="23"/>
  <c r="E3213" i="23"/>
  <c r="E3214" i="23"/>
  <c r="E3215" i="23"/>
  <c r="E3216" i="23"/>
  <c r="E3220" i="23"/>
  <c r="E3221" i="23"/>
  <c r="E3222" i="23"/>
  <c r="E3223" i="23"/>
  <c r="E3224" i="23"/>
  <c r="E3225" i="23"/>
  <c r="E3229" i="23"/>
  <c r="E3230" i="23"/>
  <c r="E3231" i="23"/>
  <c r="E3232" i="23"/>
  <c r="E3233" i="23"/>
  <c r="E3234" i="23"/>
  <c r="E3238" i="23"/>
  <c r="E3239" i="23"/>
  <c r="E3240" i="23"/>
  <c r="E3241" i="23"/>
  <c r="E3242" i="23"/>
  <c r="K3242" i="23"/>
  <c r="E3243" i="23"/>
  <c r="E3247" i="23"/>
  <c r="E3248" i="23"/>
  <c r="E3249" i="23"/>
  <c r="E3250" i="23"/>
  <c r="E3251" i="23"/>
  <c r="E3252" i="23"/>
  <c r="E3256" i="23"/>
  <c r="E3257" i="23"/>
  <c r="E3258" i="23"/>
  <c r="E3259" i="23"/>
  <c r="E3260" i="23"/>
  <c r="E3261" i="23"/>
  <c r="E3265" i="23"/>
  <c r="E3266" i="23"/>
  <c r="E3267" i="23"/>
  <c r="E3268" i="23"/>
  <c r="E3269" i="23"/>
  <c r="E3270" i="23"/>
  <c r="E3274" i="23"/>
  <c r="E3275" i="23"/>
  <c r="E3276" i="23"/>
  <c r="E3277" i="23"/>
  <c r="E3278" i="23"/>
  <c r="E3279" i="23"/>
  <c r="E3283" i="23"/>
  <c r="E3284" i="23"/>
  <c r="E3285" i="23"/>
  <c r="E3286" i="23"/>
  <c r="E3287" i="23"/>
  <c r="E3288" i="23"/>
  <c r="E3292" i="23"/>
  <c r="E3293" i="23"/>
  <c r="E3294" i="23"/>
  <c r="E3295" i="23"/>
  <c r="E3296" i="23"/>
  <c r="E3297" i="23"/>
  <c r="E3301" i="23"/>
  <c r="E3302" i="23"/>
  <c r="E3303" i="23"/>
  <c r="E3304" i="23"/>
  <c r="E3305" i="23"/>
  <c r="E3306" i="23"/>
  <c r="E3310" i="23"/>
  <c r="E3311" i="23"/>
  <c r="E3312" i="23"/>
  <c r="E3313" i="23"/>
  <c r="E3314" i="23"/>
  <c r="E3315" i="23"/>
  <c r="E3319" i="23"/>
  <c r="E3320" i="23"/>
  <c r="E3321" i="23"/>
  <c r="E3322" i="23"/>
  <c r="E3323" i="23"/>
  <c r="E3324" i="23"/>
  <c r="E3328" i="23"/>
  <c r="E3329" i="23"/>
  <c r="E3330" i="23"/>
  <c r="E3331" i="23"/>
  <c r="E3332" i="23"/>
  <c r="E3333" i="23"/>
  <c r="E3337" i="23"/>
  <c r="E3338" i="23"/>
  <c r="E3339" i="23"/>
  <c r="E3340" i="23"/>
  <c r="E3341" i="23"/>
  <c r="E3342" i="23"/>
  <c r="E3346" i="23"/>
  <c r="E3347" i="23"/>
  <c r="E3348" i="23"/>
  <c r="E3349" i="23"/>
  <c r="E3350" i="23"/>
  <c r="E3351" i="23"/>
  <c r="E3355" i="23"/>
  <c r="E3356" i="23"/>
  <c r="E3357" i="23"/>
  <c r="E3358" i="23"/>
  <c r="E3359" i="23"/>
  <c r="E3360" i="23"/>
  <c r="J2625" i="23"/>
  <c r="J2627" i="23"/>
  <c r="J2629" i="23"/>
  <c r="H2625" i="23"/>
  <c r="H2627" i="23"/>
  <c r="H2629" i="23"/>
  <c r="E2625" i="23"/>
  <c r="E2626" i="23"/>
  <c r="E2627" i="23"/>
  <c r="E2628" i="23"/>
  <c r="E2629" i="23"/>
  <c r="E2630" i="23"/>
  <c r="G2621" i="23"/>
  <c r="E2621" i="23"/>
  <c r="G2617" i="23"/>
  <c r="E2617" i="23"/>
  <c r="H2616" i="23"/>
  <c r="H2617" i="23"/>
  <c r="H2618" i="23"/>
  <c r="H2619" i="23"/>
  <c r="H2620" i="23"/>
  <c r="H2621" i="23"/>
  <c r="E2597" i="23"/>
  <c r="E2599" i="23"/>
  <c r="E2601" i="23"/>
  <c r="J2588" i="23"/>
  <c r="J2590" i="23"/>
  <c r="J2592" i="23"/>
  <c r="H2588" i="23"/>
  <c r="H2590" i="23"/>
  <c r="H2592" i="23"/>
  <c r="E2588" i="23"/>
  <c r="E2589" i="23"/>
  <c r="E2590" i="23"/>
  <c r="E2591" i="23"/>
  <c r="E2592" i="23"/>
  <c r="E2593" i="23"/>
  <c r="G2584" i="23"/>
  <c r="E2584" i="23"/>
  <c r="G2580" i="23"/>
  <c r="E2580" i="23"/>
  <c r="K2580" i="23"/>
  <c r="H2579" i="23"/>
  <c r="H2580" i="23"/>
  <c r="H2581" i="23"/>
  <c r="H2582" i="23"/>
  <c r="H2583" i="23"/>
  <c r="H2584" i="23"/>
  <c r="E2560" i="23"/>
  <c r="E2561" i="23"/>
  <c r="G2556" i="23"/>
  <c r="E2556" i="23"/>
  <c r="H2555" i="23"/>
  <c r="H2556" i="23"/>
  <c r="E2540" i="23"/>
  <c r="E2541" i="23"/>
  <c r="G2536" i="23"/>
  <c r="E2536" i="23"/>
  <c r="H2535" i="23"/>
  <c r="H2536" i="23"/>
  <c r="E2520" i="23"/>
  <c r="E2521" i="23"/>
  <c r="G2516" i="23"/>
  <c r="E2516" i="23"/>
  <c r="H2515" i="23"/>
  <c r="H2516" i="23"/>
  <c r="E2500" i="23"/>
  <c r="E2501" i="23"/>
  <c r="G2496" i="23"/>
  <c r="E2496" i="23"/>
  <c r="H2495" i="23"/>
  <c r="H2496" i="23"/>
  <c r="J2480" i="23"/>
  <c r="J2481" i="23"/>
  <c r="H2480" i="23"/>
  <c r="H2481" i="23"/>
  <c r="F2480" i="23"/>
  <c r="F2481" i="23"/>
  <c r="K2479" i="23"/>
  <c r="K2279" i="23"/>
  <c r="I2267" i="23"/>
  <c r="I2268" i="23"/>
  <c r="I2266" i="23"/>
  <c r="I2269" i="23"/>
  <c r="K2265" i="23"/>
  <c r="I2259" i="23"/>
  <c r="I2261" i="23"/>
  <c r="I2260" i="23"/>
  <c r="D2259" i="23"/>
  <c r="D2261" i="23"/>
  <c r="D2262" i="23"/>
  <c r="J2231" i="23"/>
  <c r="J2232" i="23"/>
  <c r="J2234" i="23"/>
  <c r="G2231" i="23"/>
  <c r="G2233" i="23"/>
  <c r="G2232" i="23"/>
  <c r="H2224" i="23"/>
  <c r="H2225" i="23"/>
  <c r="H2227" i="23"/>
  <c r="J2218" i="23"/>
  <c r="J2219" i="23"/>
  <c r="E2217" i="23"/>
  <c r="E2220" i="23"/>
  <c r="D2189" i="23"/>
  <c r="D2190" i="23"/>
  <c r="G2145" i="23"/>
  <c r="G2142" i="23"/>
  <c r="G2143" i="23"/>
  <c r="G2144" i="23"/>
  <c r="G2146" i="23"/>
  <c r="K2141" i="23"/>
  <c r="J1846" i="23"/>
  <c r="J1847" i="23"/>
  <c r="E1845" i="23"/>
  <c r="E1848" i="23"/>
  <c r="J1832" i="23"/>
  <c r="J1833" i="23"/>
  <c r="E1831" i="23"/>
  <c r="E1834" i="23"/>
  <c r="H1823" i="23"/>
  <c r="H1824" i="23"/>
  <c r="H1827" i="23"/>
  <c r="H1822" i="23"/>
  <c r="H1825" i="23"/>
  <c r="H1815" i="23"/>
  <c r="H1816" i="23"/>
  <c r="H1814" i="23"/>
  <c r="H1817" i="23"/>
  <c r="D1809" i="23"/>
  <c r="D1776" i="23"/>
  <c r="D1771" i="23"/>
  <c r="D1773" i="23"/>
  <c r="D1774" i="23"/>
  <c r="D1775" i="23"/>
  <c r="I1764" i="23"/>
  <c r="I1766" i="23"/>
  <c r="D1765" i="23"/>
  <c r="D1764" i="23"/>
  <c r="D1767" i="23"/>
  <c r="I1747" i="23"/>
  <c r="I1749" i="23"/>
  <c r="I1751" i="23"/>
  <c r="G1747" i="23"/>
  <c r="G1749" i="23"/>
  <c r="G1751" i="23"/>
  <c r="F1740" i="23"/>
  <c r="F1742" i="23"/>
  <c r="K1739" i="23"/>
  <c r="D1740" i="23"/>
  <c r="D1742" i="23"/>
  <c r="I1731" i="23"/>
  <c r="I1733" i="23"/>
  <c r="I1735" i="23"/>
  <c r="G1731" i="23"/>
  <c r="G1733" i="23"/>
  <c r="G1735" i="23"/>
  <c r="F1724" i="23"/>
  <c r="F1726" i="23"/>
  <c r="D1724" i="23"/>
  <c r="D1726" i="23"/>
  <c r="I1717" i="23"/>
  <c r="I1719" i="23"/>
  <c r="G1717" i="23"/>
  <c r="G1719" i="23"/>
  <c r="F1710" i="23"/>
  <c r="F1712" i="23"/>
  <c r="K1709" i="23"/>
  <c r="D1710" i="23"/>
  <c r="D1712" i="23"/>
  <c r="I1703" i="23"/>
  <c r="I1705" i="23"/>
  <c r="G1703" i="23"/>
  <c r="G1705" i="23"/>
  <c r="I1695" i="23"/>
  <c r="I1697" i="23"/>
  <c r="I1699" i="23"/>
  <c r="G1695" i="23"/>
  <c r="G1697" i="23"/>
  <c r="G1699" i="23"/>
  <c r="I1687" i="23"/>
  <c r="I1689" i="23"/>
  <c r="I1691" i="23"/>
  <c r="G1687" i="23"/>
  <c r="G1689" i="23"/>
  <c r="G1691" i="23"/>
  <c r="F1680" i="23"/>
  <c r="F1682" i="23"/>
  <c r="K1679" i="23"/>
  <c r="D1680" i="23"/>
  <c r="D1682" i="23"/>
  <c r="I1671" i="23"/>
  <c r="I1673" i="23"/>
  <c r="I1675" i="23"/>
  <c r="G1671" i="23"/>
  <c r="G1673" i="23"/>
  <c r="G1675" i="23"/>
  <c r="I1663" i="23"/>
  <c r="I1665" i="23"/>
  <c r="I1667" i="23"/>
  <c r="G1663" i="23"/>
  <c r="G1665" i="23"/>
  <c r="G1667" i="23"/>
  <c r="J1656" i="23"/>
  <c r="J1657" i="23"/>
  <c r="J1659" i="23"/>
  <c r="K1655" i="23"/>
  <c r="G1656" i="23"/>
  <c r="G1657" i="23"/>
  <c r="J1642" i="23"/>
  <c r="J1644" i="23"/>
  <c r="H1642" i="23"/>
  <c r="H1644" i="23"/>
  <c r="F1641" i="23"/>
  <c r="F1643" i="23"/>
  <c r="F1645" i="23"/>
  <c r="F1642" i="23"/>
  <c r="F1644" i="23"/>
  <c r="K1640" i="23"/>
  <c r="D1642" i="23"/>
  <c r="D1644" i="23"/>
  <c r="D1641" i="23"/>
  <c r="D1643" i="23"/>
  <c r="D1645" i="23"/>
  <c r="I1625" i="23"/>
  <c r="I1629" i="23"/>
  <c r="I1626" i="23"/>
  <c r="I1628" i="23"/>
  <c r="E1625" i="23"/>
  <c r="E1629" i="23"/>
  <c r="E1626" i="23"/>
  <c r="E1628" i="23"/>
  <c r="I1620" i="23"/>
  <c r="I1621" i="23"/>
  <c r="G1620" i="23"/>
  <c r="G1621" i="23"/>
  <c r="E1620" i="23"/>
  <c r="E1621" i="23"/>
  <c r="E1611" i="23"/>
  <c r="E1613" i="23"/>
  <c r="I1492" i="23"/>
  <c r="I1493" i="23"/>
  <c r="G1493" i="23"/>
  <c r="G1494" i="23"/>
  <c r="E1492" i="23"/>
  <c r="E1495" i="23"/>
  <c r="I1486" i="23"/>
  <c r="I1488" i="23"/>
  <c r="G1485" i="23"/>
  <c r="G1486" i="23"/>
  <c r="G1488" i="23"/>
  <c r="G1478" i="23"/>
  <c r="G1479" i="23"/>
  <c r="G1481" i="23"/>
  <c r="E1480" i="23"/>
  <c r="E1479" i="23"/>
  <c r="I1472" i="23"/>
  <c r="I1473" i="23"/>
  <c r="K1470" i="23"/>
  <c r="D1471" i="23"/>
  <c r="D1474" i="23"/>
  <c r="K1456" i="23"/>
  <c r="K1442" i="23"/>
  <c r="E1320" i="23"/>
  <c r="E1322" i="23"/>
  <c r="K1311" i="23"/>
  <c r="E1312" i="23"/>
  <c r="E1314" i="23"/>
  <c r="E1305" i="23"/>
  <c r="E1306" i="23"/>
  <c r="E1307" i="23"/>
  <c r="E1308" i="23"/>
  <c r="G1297" i="23"/>
  <c r="G1300" i="23"/>
  <c r="F1290" i="23"/>
  <c r="F1291" i="23"/>
  <c r="E1282" i="23"/>
  <c r="E1283" i="23"/>
  <c r="E1284" i="23"/>
  <c r="E1285" i="23"/>
  <c r="J1268" i="23"/>
  <c r="J1269" i="23"/>
  <c r="H1267" i="23"/>
  <c r="H1268" i="23"/>
  <c r="F1268" i="23"/>
  <c r="F1269" i="23"/>
  <c r="D1267" i="23"/>
  <c r="D1268" i="23"/>
  <c r="D1261" i="23"/>
  <c r="D1263" i="23"/>
  <c r="G1252" i="23"/>
  <c r="G1254" i="23"/>
  <c r="H1237" i="23"/>
  <c r="H1238" i="23"/>
  <c r="H1239" i="23"/>
  <c r="H1240" i="23"/>
  <c r="D1237" i="23"/>
  <c r="D1238" i="23"/>
  <c r="D1239" i="23"/>
  <c r="D1240" i="23"/>
  <c r="D1231" i="23"/>
  <c r="D1233" i="23"/>
  <c r="G1222" i="23"/>
  <c r="G1224" i="23"/>
  <c r="G1201" i="23"/>
  <c r="G1202" i="23"/>
  <c r="E1186" i="23"/>
  <c r="E1187" i="23"/>
  <c r="F1172" i="23"/>
  <c r="F1174" i="23"/>
  <c r="F1175" i="23"/>
  <c r="H1107" i="23"/>
  <c r="H1103" i="23"/>
  <c r="F179" i="22"/>
  <c r="H1105" i="23"/>
  <c r="H1108" i="23"/>
  <c r="F1107" i="23"/>
  <c r="F1106" i="23"/>
  <c r="I1043" i="23"/>
  <c r="I1044" i="23"/>
  <c r="I1045" i="23"/>
  <c r="I1046" i="23"/>
  <c r="K1035" i="23"/>
  <c r="K1021" i="23"/>
  <c r="K1007" i="23"/>
  <c r="I1000" i="23"/>
  <c r="I1002" i="23"/>
  <c r="G1000" i="23"/>
  <c r="G1002" i="23"/>
  <c r="I935" i="23"/>
  <c r="I936" i="23"/>
  <c r="I937" i="23"/>
  <c r="I938" i="23"/>
  <c r="I900" i="23"/>
  <c r="I901" i="23"/>
  <c r="E900" i="23"/>
  <c r="E901" i="23"/>
  <c r="J887" i="23"/>
  <c r="J888" i="23"/>
  <c r="E886" i="23"/>
  <c r="E889" i="23"/>
  <c r="E870" i="23"/>
  <c r="E873" i="23"/>
  <c r="I855" i="23"/>
  <c r="I856" i="23"/>
  <c r="I857" i="23"/>
  <c r="I858" i="23"/>
  <c r="I847" i="23"/>
  <c r="G151" i="22"/>
  <c r="I848" i="23"/>
  <c r="I849" i="23"/>
  <c r="I850" i="23"/>
  <c r="I851" i="23"/>
  <c r="I839" i="23"/>
  <c r="I840" i="23"/>
  <c r="I841" i="23"/>
  <c r="I842" i="23"/>
  <c r="I843" i="23"/>
  <c r="I2280" i="23"/>
  <c r="I2281" i="23"/>
  <c r="I2282" i="23"/>
  <c r="I2283" i="23"/>
  <c r="I2274" i="23"/>
  <c r="I2275" i="23"/>
  <c r="K2272" i="23"/>
  <c r="H2267" i="23"/>
  <c r="H2266" i="23"/>
  <c r="E2259" i="23"/>
  <c r="E2260" i="23"/>
  <c r="E2262" i="23"/>
  <c r="H2247" i="23"/>
  <c r="H2248" i="23"/>
  <c r="J2238" i="23"/>
  <c r="J2239" i="23"/>
  <c r="J2241" i="23"/>
  <c r="D2239" i="23"/>
  <c r="D2241" i="23"/>
  <c r="K2241" i="23"/>
  <c r="F2231" i="23"/>
  <c r="F2232" i="23"/>
  <c r="F2234" i="23"/>
  <c r="I2217" i="23"/>
  <c r="I2220" i="23"/>
  <c r="F2218" i="23"/>
  <c r="F2219" i="23"/>
  <c r="E2189" i="23"/>
  <c r="E2192" i="23"/>
  <c r="J2182" i="23"/>
  <c r="J2185" i="23"/>
  <c r="G2162" i="23"/>
  <c r="G2164" i="23"/>
  <c r="G2166" i="23"/>
  <c r="E2152" i="23"/>
  <c r="E2156" i="23"/>
  <c r="H2145" i="23"/>
  <c r="H2146" i="23"/>
  <c r="I1845" i="23"/>
  <c r="I1848" i="23"/>
  <c r="F1846" i="23"/>
  <c r="F1847" i="23"/>
  <c r="I1831" i="23"/>
  <c r="I1834" i="23"/>
  <c r="F1832" i="23"/>
  <c r="F1833" i="23"/>
  <c r="G1821" i="23"/>
  <c r="G1822" i="23"/>
  <c r="G1826" i="23"/>
  <c r="D1823" i="23"/>
  <c r="D1824" i="23"/>
  <c r="D1827" i="23"/>
  <c r="G1813" i="23"/>
  <c r="G1814" i="23"/>
  <c r="D1815" i="23"/>
  <c r="D1816" i="23"/>
  <c r="I1797" i="23"/>
  <c r="I1800" i="23"/>
  <c r="F1798" i="23"/>
  <c r="F1799" i="23"/>
  <c r="F1802" i="23"/>
  <c r="K1746" i="23"/>
  <c r="K1730" i="23"/>
  <c r="K1716" i="23"/>
  <c r="K1702" i="23"/>
  <c r="K1694" i="23"/>
  <c r="K1686" i="23"/>
  <c r="K1670" i="23"/>
  <c r="K1662" i="23"/>
  <c r="I1636" i="23"/>
  <c r="I1637" i="23"/>
  <c r="G1635" i="23"/>
  <c r="G1636" i="23"/>
  <c r="G1637" i="23"/>
  <c r="D1633" i="23"/>
  <c r="D1634" i="23"/>
  <c r="G1625" i="23"/>
  <c r="G1629" i="23"/>
  <c r="G1626" i="23"/>
  <c r="G1628" i="23"/>
  <c r="I1619" i="23"/>
  <c r="G1619" i="23"/>
  <c r="E1619" i="23"/>
  <c r="K1617" i="23"/>
  <c r="D1621" i="23"/>
  <c r="G1612" i="23"/>
  <c r="E1612" i="23"/>
  <c r="H1611" i="23"/>
  <c r="H1612" i="23"/>
  <c r="H1613" i="23"/>
  <c r="H1614" i="23"/>
  <c r="J1508" i="23"/>
  <c r="G1508" i="23"/>
  <c r="K1505" i="23"/>
  <c r="D1506" i="23"/>
  <c r="D1507" i="23"/>
  <c r="D1508" i="23"/>
  <c r="K1508" i="23"/>
  <c r="D1509" i="23"/>
  <c r="J1499" i="23"/>
  <c r="J1501" i="23"/>
  <c r="I1495" i="23"/>
  <c r="I1494" i="23"/>
  <c r="G1492" i="23"/>
  <c r="H1492" i="23"/>
  <c r="H1495" i="23"/>
  <c r="F1492" i="23"/>
  <c r="F1493" i="23"/>
  <c r="D1494" i="23"/>
  <c r="D1492" i="23"/>
  <c r="I1487" i="23"/>
  <c r="F1485" i="23"/>
  <c r="F1487" i="23"/>
  <c r="G1480" i="23"/>
  <c r="G1473" i="23"/>
  <c r="I1471" i="23"/>
  <c r="J1471" i="23"/>
  <c r="J1472" i="23"/>
  <c r="H1471" i="23"/>
  <c r="H1474" i="23"/>
  <c r="I1466" i="23"/>
  <c r="G1466" i="23"/>
  <c r="K1463" i="23"/>
  <c r="F1459" i="23"/>
  <c r="D1459" i="23"/>
  <c r="D1457" i="23"/>
  <c r="I1452" i="23"/>
  <c r="G1452" i="23"/>
  <c r="K1449" i="23"/>
  <c r="F1445" i="23"/>
  <c r="D1445" i="23"/>
  <c r="D1443" i="23"/>
  <c r="I1438" i="23"/>
  <c r="G1438" i="23"/>
  <c r="K1435" i="23"/>
  <c r="D1432" i="23"/>
  <c r="D1431" i="23"/>
  <c r="D1430" i="23"/>
  <c r="D1429" i="23"/>
  <c r="E1429" i="23"/>
  <c r="E1430" i="23"/>
  <c r="E1431" i="23"/>
  <c r="E1432" i="23"/>
  <c r="I1424" i="23"/>
  <c r="G1424" i="23"/>
  <c r="E1424" i="23"/>
  <c r="K1421" i="23"/>
  <c r="D1417" i="23"/>
  <c r="D1415" i="23"/>
  <c r="I1410" i="23"/>
  <c r="G1410" i="23"/>
  <c r="E1410" i="23"/>
  <c r="K1407" i="23"/>
  <c r="D1403" i="23"/>
  <c r="D1401" i="23"/>
  <c r="I1396" i="23"/>
  <c r="G1396" i="23"/>
  <c r="E1396" i="23"/>
  <c r="K1396" i="23"/>
  <c r="K1393" i="23"/>
  <c r="D1389" i="23"/>
  <c r="D1387" i="23"/>
  <c r="I1382" i="23"/>
  <c r="G1382" i="23"/>
  <c r="E1382" i="23"/>
  <c r="K1379" i="23"/>
  <c r="D1375" i="23"/>
  <c r="K1375" i="23"/>
  <c r="D1373" i="23"/>
  <c r="I1368" i="23"/>
  <c r="G1368" i="23"/>
  <c r="E1368" i="23"/>
  <c r="K1365" i="23"/>
  <c r="I1361" i="23"/>
  <c r="G1361" i="23"/>
  <c r="E1361" i="23"/>
  <c r="I1359" i="23"/>
  <c r="G1359" i="23"/>
  <c r="E1359" i="23"/>
  <c r="K1356" i="23"/>
  <c r="D1352" i="23"/>
  <c r="D1350" i="23"/>
  <c r="I1344" i="23"/>
  <c r="G1344" i="23"/>
  <c r="E1344" i="23"/>
  <c r="D1337" i="23"/>
  <c r="D1335" i="23"/>
  <c r="I1329" i="23"/>
  <c r="G1329" i="23"/>
  <c r="E1329" i="23"/>
  <c r="K1326" i="23"/>
  <c r="E1323" i="23"/>
  <c r="I1320" i="23"/>
  <c r="I1322" i="23"/>
  <c r="K1319" i="23"/>
  <c r="D1321" i="23"/>
  <c r="D1323" i="23"/>
  <c r="I1313" i="23"/>
  <c r="I1315" i="23"/>
  <c r="J1307" i="23"/>
  <c r="H1307" i="23"/>
  <c r="G1298" i="23"/>
  <c r="E1298" i="23"/>
  <c r="E1297" i="23"/>
  <c r="F1293" i="23"/>
  <c r="G1290" i="23"/>
  <c r="G1293" i="23"/>
  <c r="I1282" i="23"/>
  <c r="I1283" i="23"/>
  <c r="I1284" i="23"/>
  <c r="I1285" i="23"/>
  <c r="I1275" i="23"/>
  <c r="I1276" i="23"/>
  <c r="I1277" i="23"/>
  <c r="I1278" i="23"/>
  <c r="H1269" i="23"/>
  <c r="F1267" i="23"/>
  <c r="F1261" i="23"/>
  <c r="J1260" i="23"/>
  <c r="J1261" i="23"/>
  <c r="J1263" i="23"/>
  <c r="G1261" i="23"/>
  <c r="G1263" i="23"/>
  <c r="E1254" i="23"/>
  <c r="I1253" i="23"/>
  <c r="G1253" i="23"/>
  <c r="F1239" i="23"/>
  <c r="F1238" i="23"/>
  <c r="F1237" i="23"/>
  <c r="F1231" i="23"/>
  <c r="J1230" i="23"/>
  <c r="J1231" i="23"/>
  <c r="J1233" i="23"/>
  <c r="G1231" i="23"/>
  <c r="G1233" i="23"/>
  <c r="E1224" i="23"/>
  <c r="I1223" i="23"/>
  <c r="G1223" i="23"/>
  <c r="J1203" i="23"/>
  <c r="G1203" i="23"/>
  <c r="J1201" i="23"/>
  <c r="G1200" i="23"/>
  <c r="F1200" i="23"/>
  <c r="F1203" i="23"/>
  <c r="G1193" i="23"/>
  <c r="G1195" i="23"/>
  <c r="F1186" i="23"/>
  <c r="D3" i="22"/>
  <c r="D20" i="24"/>
  <c r="R11" i="24"/>
  <c r="D107" i="26"/>
  <c r="F1188" i="23"/>
  <c r="F1189" i="23"/>
  <c r="E1172" i="23"/>
  <c r="E1173" i="23"/>
  <c r="F1122" i="23"/>
  <c r="F1123" i="23"/>
  <c r="F1126" i="23"/>
  <c r="K1120" i="23"/>
  <c r="E1116" i="23"/>
  <c r="E1114" i="23"/>
  <c r="E1112" i="23"/>
  <c r="F1112" i="23"/>
  <c r="F1113" i="23"/>
  <c r="F1114" i="23"/>
  <c r="F1115" i="23"/>
  <c r="F1116" i="23"/>
  <c r="F1117" i="23"/>
  <c r="H1106" i="23"/>
  <c r="H1104" i="23"/>
  <c r="I1104" i="23"/>
  <c r="I1106" i="23"/>
  <c r="G1106" i="23"/>
  <c r="G1104" i="23"/>
  <c r="E1103" i="23"/>
  <c r="C179" i="22"/>
  <c r="E1105" i="23"/>
  <c r="C21" i="22"/>
  <c r="E1107" i="23"/>
  <c r="E1108" i="23"/>
  <c r="H1044" i="23"/>
  <c r="H1045" i="23"/>
  <c r="H1046" i="23"/>
  <c r="F1044" i="23"/>
  <c r="F1045" i="23"/>
  <c r="F1046" i="23"/>
  <c r="K1042" i="23"/>
  <c r="D1044" i="23"/>
  <c r="D1045" i="23"/>
  <c r="D1046" i="23"/>
  <c r="H1038" i="23"/>
  <c r="F1038" i="23"/>
  <c r="D1038" i="23"/>
  <c r="D1036" i="23"/>
  <c r="I1031" i="23"/>
  <c r="K1028" i="23"/>
  <c r="H1024" i="23"/>
  <c r="F1024" i="23"/>
  <c r="D1024" i="23"/>
  <c r="D1022" i="23"/>
  <c r="I1017" i="23"/>
  <c r="K1014" i="23"/>
  <c r="H1010" i="23"/>
  <c r="F1010" i="23"/>
  <c r="D1010" i="23"/>
  <c r="D1008" i="23"/>
  <c r="D938" i="23"/>
  <c r="D936" i="23"/>
  <c r="E935" i="23"/>
  <c r="E936" i="23"/>
  <c r="E937" i="23"/>
  <c r="E938" i="23"/>
  <c r="I930" i="23"/>
  <c r="G930" i="23"/>
  <c r="E930" i="23"/>
  <c r="K927" i="23"/>
  <c r="D923" i="23"/>
  <c r="D921" i="23"/>
  <c r="I916" i="23"/>
  <c r="G916" i="23"/>
  <c r="E916" i="23"/>
  <c r="K913" i="23"/>
  <c r="D909" i="23"/>
  <c r="G900" i="23"/>
  <c r="G901" i="23"/>
  <c r="I886" i="23"/>
  <c r="I889" i="23"/>
  <c r="I870" i="23"/>
  <c r="I873" i="23"/>
  <c r="G831" i="23"/>
  <c r="G832" i="23"/>
  <c r="G834" i="23"/>
  <c r="D833" i="23"/>
  <c r="D834" i="23"/>
  <c r="D831" i="23"/>
  <c r="D832" i="23"/>
  <c r="J823" i="23"/>
  <c r="J824" i="23"/>
  <c r="J827" i="23"/>
  <c r="E822" i="23"/>
  <c r="E825" i="23"/>
  <c r="G797" i="23"/>
  <c r="G799" i="23"/>
  <c r="G801" i="23"/>
  <c r="F797" i="23"/>
  <c r="F798" i="23"/>
  <c r="F800" i="23"/>
  <c r="J789" i="23"/>
  <c r="J790" i="23"/>
  <c r="J792" i="23"/>
  <c r="G789" i="23"/>
  <c r="G791" i="23"/>
  <c r="G793" i="23"/>
  <c r="F781" i="23"/>
  <c r="F782" i="23"/>
  <c r="F784" i="23"/>
  <c r="J765" i="23"/>
  <c r="J766" i="23"/>
  <c r="J768" i="23"/>
  <c r="G765" i="23"/>
  <c r="G767" i="23"/>
  <c r="G769" i="23"/>
  <c r="I757" i="23"/>
  <c r="I760" i="23"/>
  <c r="F758" i="23"/>
  <c r="F759" i="23"/>
  <c r="G870" i="23"/>
  <c r="G873" i="23"/>
  <c r="E855" i="23"/>
  <c r="C35" i="22"/>
  <c r="D69" i="26"/>
  <c r="E856" i="23"/>
  <c r="E857" i="23"/>
  <c r="E858" i="23"/>
  <c r="E847" i="23"/>
  <c r="C151" i="22"/>
  <c r="E848" i="23"/>
  <c r="E849" i="23"/>
  <c r="E850" i="23"/>
  <c r="E851" i="23"/>
  <c r="E839" i="23"/>
  <c r="E841" i="23"/>
  <c r="E842" i="23"/>
  <c r="H833" i="23"/>
  <c r="H834" i="23"/>
  <c r="I822" i="23"/>
  <c r="I825" i="23"/>
  <c r="F823" i="23"/>
  <c r="F824" i="23"/>
  <c r="F827" i="23"/>
  <c r="G798" i="23"/>
  <c r="J797" i="23"/>
  <c r="J798" i="23"/>
  <c r="J800" i="23"/>
  <c r="G790" i="23"/>
  <c r="F789" i="23"/>
  <c r="F790" i="23"/>
  <c r="F792" i="23"/>
  <c r="J781" i="23"/>
  <c r="J782" i="23"/>
  <c r="G781" i="23"/>
  <c r="G783" i="23"/>
  <c r="G785" i="23"/>
  <c r="G766" i="23"/>
  <c r="F765" i="23"/>
  <c r="F766" i="23"/>
  <c r="F768" i="23"/>
  <c r="F761" i="23"/>
  <c r="F757" i="23"/>
  <c r="J758" i="23"/>
  <c r="J759" i="23"/>
  <c r="E757" i="23"/>
  <c r="E760" i="23"/>
  <c r="K667" i="23"/>
  <c r="D513" i="23"/>
  <c r="D514" i="23"/>
  <c r="K503" i="23"/>
  <c r="I497" i="23"/>
  <c r="I498" i="23"/>
  <c r="F497" i="23"/>
  <c r="F500" i="23"/>
  <c r="D491" i="23"/>
  <c r="D492" i="23"/>
  <c r="D493" i="23"/>
  <c r="G483" i="23"/>
  <c r="G484" i="23"/>
  <c r="D485" i="23"/>
  <c r="D486" i="23"/>
  <c r="H471" i="23"/>
  <c r="H472" i="23"/>
  <c r="E745" i="23"/>
  <c r="E744" i="23"/>
  <c r="E743" i="23"/>
  <c r="J731" i="23"/>
  <c r="F731" i="23"/>
  <c r="G730" i="23"/>
  <c r="J729" i="23"/>
  <c r="F729" i="23"/>
  <c r="I724" i="23"/>
  <c r="E724" i="23"/>
  <c r="J723" i="23"/>
  <c r="F723" i="23"/>
  <c r="I717" i="23"/>
  <c r="E717" i="23"/>
  <c r="I716" i="23"/>
  <c r="E716" i="23"/>
  <c r="I715" i="23"/>
  <c r="E715" i="23"/>
  <c r="H696" i="23"/>
  <c r="D696" i="23"/>
  <c r="G694" i="23"/>
  <c r="J689" i="23"/>
  <c r="F689" i="23"/>
  <c r="G688" i="23"/>
  <c r="J687" i="23"/>
  <c r="F687" i="23"/>
  <c r="G686" i="23"/>
  <c r="J685" i="23"/>
  <c r="F685" i="23"/>
  <c r="G680" i="23"/>
  <c r="J679" i="23"/>
  <c r="F679" i="23"/>
  <c r="G678" i="23"/>
  <c r="J677" i="23"/>
  <c r="F677" i="23"/>
  <c r="E669" i="23"/>
  <c r="H664" i="23"/>
  <c r="H663" i="23"/>
  <c r="H662" i="23"/>
  <c r="G643" i="23"/>
  <c r="E643" i="23"/>
  <c r="E642" i="23"/>
  <c r="E641" i="23"/>
  <c r="H636" i="23"/>
  <c r="D636" i="23"/>
  <c r="G634" i="23"/>
  <c r="F622" i="23"/>
  <c r="I620" i="23"/>
  <c r="J607" i="23"/>
  <c r="F607" i="23"/>
  <c r="H606" i="23"/>
  <c r="D606" i="23"/>
  <c r="J601" i="23"/>
  <c r="F601" i="23"/>
  <c r="F585" i="23"/>
  <c r="J581" i="23"/>
  <c r="H570" i="23"/>
  <c r="E570" i="23"/>
  <c r="F569" i="23"/>
  <c r="G568" i="23"/>
  <c r="F563" i="23"/>
  <c r="D562" i="23"/>
  <c r="G561" i="23"/>
  <c r="J560" i="23"/>
  <c r="H560" i="23"/>
  <c r="F560" i="23"/>
  <c r="I556" i="23"/>
  <c r="E556" i="23"/>
  <c r="J555" i="23"/>
  <c r="G548" i="23"/>
  <c r="G547" i="23"/>
  <c r="E547" i="23"/>
  <c r="F542" i="23"/>
  <c r="F541" i="23"/>
  <c r="F540" i="23"/>
  <c r="I535" i="23"/>
  <c r="E535" i="23"/>
  <c r="I534" i="23"/>
  <c r="E534" i="23"/>
  <c r="I533" i="23"/>
  <c r="I528" i="23"/>
  <c r="J527" i="23"/>
  <c r="J526" i="23"/>
  <c r="F526" i="23"/>
  <c r="D526" i="23"/>
  <c r="J521" i="23"/>
  <c r="F521" i="23"/>
  <c r="D521" i="23"/>
  <c r="D519" i="23"/>
  <c r="I518" i="23"/>
  <c r="I512" i="23"/>
  <c r="D512" i="23"/>
  <c r="J512" i="23"/>
  <c r="J511" i="23"/>
  <c r="J514" i="23"/>
  <c r="G505" i="23"/>
  <c r="G504" i="23"/>
  <c r="H504" i="23"/>
  <c r="H505" i="23"/>
  <c r="F499" i="23"/>
  <c r="F498" i="23"/>
  <c r="J498" i="23"/>
  <c r="J497" i="23"/>
  <c r="E497" i="23"/>
  <c r="K497" i="23"/>
  <c r="E498" i="23"/>
  <c r="E499" i="23"/>
  <c r="J493" i="23"/>
  <c r="J491" i="23"/>
  <c r="I492" i="23"/>
  <c r="I490" i="23"/>
  <c r="I491" i="23"/>
  <c r="G490" i="23"/>
  <c r="G491" i="23"/>
  <c r="E490" i="23"/>
  <c r="E491" i="23"/>
  <c r="G486" i="23"/>
  <c r="D484" i="23"/>
  <c r="D483" i="23"/>
  <c r="H485" i="23"/>
  <c r="H486" i="23"/>
  <c r="I478" i="23"/>
  <c r="G478" i="23"/>
  <c r="E478" i="23"/>
  <c r="K475" i="23"/>
  <c r="H470" i="23"/>
  <c r="G469" i="23"/>
  <c r="G470" i="23"/>
  <c r="D471" i="23"/>
  <c r="D472" i="23"/>
  <c r="K278" i="23"/>
  <c r="F247" i="23"/>
  <c r="F249" i="23"/>
  <c r="K246" i="23"/>
  <c r="K214" i="23"/>
  <c r="E215" i="23"/>
  <c r="E216" i="23"/>
  <c r="J150" i="23"/>
  <c r="J151" i="23"/>
  <c r="J153" i="23"/>
  <c r="G150" i="23"/>
  <c r="G152" i="23"/>
  <c r="G154" i="23"/>
  <c r="F126" i="23"/>
  <c r="F127" i="23"/>
  <c r="F129" i="23"/>
  <c r="K117" i="23"/>
  <c r="G118" i="23"/>
  <c r="G119" i="23"/>
  <c r="G120" i="23"/>
  <c r="G121" i="23"/>
  <c r="G122" i="23"/>
  <c r="D119" i="23"/>
  <c r="D120" i="23"/>
  <c r="D121" i="23"/>
  <c r="D122" i="23"/>
  <c r="K109" i="23"/>
  <c r="J102" i="23"/>
  <c r="J104" i="23"/>
  <c r="J106" i="23"/>
  <c r="H102" i="23"/>
  <c r="H104" i="23"/>
  <c r="H106" i="23"/>
  <c r="E102" i="23"/>
  <c r="E103" i="23"/>
  <c r="E104" i="23"/>
  <c r="E106" i="23"/>
  <c r="J94" i="23"/>
  <c r="J96" i="23"/>
  <c r="J98" i="23"/>
  <c r="H94" i="23"/>
  <c r="H96" i="23"/>
  <c r="H98" i="23"/>
  <c r="E94" i="23"/>
  <c r="E95" i="23"/>
  <c r="E96" i="23"/>
  <c r="E97" i="23"/>
  <c r="E98" i="23"/>
  <c r="J86" i="23"/>
  <c r="J88" i="23"/>
  <c r="J90" i="23"/>
  <c r="H86" i="23"/>
  <c r="H88" i="23"/>
  <c r="H90" i="23"/>
  <c r="E86" i="23"/>
  <c r="E87" i="23"/>
  <c r="E88" i="23"/>
  <c r="E89" i="23"/>
  <c r="E90" i="23"/>
  <c r="E217" i="23"/>
  <c r="E218" i="23"/>
  <c r="E219" i="23"/>
  <c r="I458" i="23"/>
  <c r="E458" i="23"/>
  <c r="I456" i="23"/>
  <c r="E456" i="23"/>
  <c r="I455" i="23"/>
  <c r="E450" i="23"/>
  <c r="E449" i="23"/>
  <c r="E448" i="23"/>
  <c r="F440" i="23"/>
  <c r="G434" i="23"/>
  <c r="J421" i="23"/>
  <c r="I400" i="23"/>
  <c r="I399" i="23"/>
  <c r="I398" i="23"/>
  <c r="J386" i="23"/>
  <c r="F386" i="23"/>
  <c r="G385" i="23"/>
  <c r="G378" i="23"/>
  <c r="H371" i="23"/>
  <c r="H370" i="23"/>
  <c r="H369" i="23"/>
  <c r="E358" i="23"/>
  <c r="E356" i="23"/>
  <c r="E355" i="23"/>
  <c r="I350" i="23"/>
  <c r="G350" i="23"/>
  <c r="E350" i="23"/>
  <c r="I349" i="23"/>
  <c r="G349" i="23"/>
  <c r="E349" i="23"/>
  <c r="I348" i="23"/>
  <c r="G348" i="23"/>
  <c r="I347" i="23"/>
  <c r="G347" i="23"/>
  <c r="E342" i="23"/>
  <c r="J341" i="23"/>
  <c r="H341" i="23"/>
  <c r="E291" i="23"/>
  <c r="E290" i="23"/>
  <c r="E289" i="23"/>
  <c r="E288" i="23"/>
  <c r="H283" i="23"/>
  <c r="H282" i="23"/>
  <c r="H281" i="23"/>
  <c r="H280" i="23"/>
  <c r="H275" i="23"/>
  <c r="H274" i="23"/>
  <c r="H273" i="23"/>
  <c r="H272" i="23"/>
  <c r="F105" i="22"/>
  <c r="H251" i="23"/>
  <c r="F251" i="23"/>
  <c r="H250" i="23"/>
  <c r="F250" i="23"/>
  <c r="H249" i="23"/>
  <c r="J248" i="23"/>
  <c r="H248" i="23"/>
  <c r="F248" i="23"/>
  <c r="F150" i="23"/>
  <c r="F151" i="23"/>
  <c r="F153" i="23"/>
  <c r="J126" i="23"/>
  <c r="J127" i="23"/>
  <c r="J129" i="23"/>
  <c r="G126" i="23"/>
  <c r="G128" i="23"/>
  <c r="G130" i="23"/>
  <c r="D118" i="23"/>
  <c r="H112" i="23"/>
  <c r="D86" i="23"/>
  <c r="D217" i="23"/>
  <c r="D218" i="23"/>
  <c r="D219" i="23"/>
  <c r="J70" i="23"/>
  <c r="J72" i="23"/>
  <c r="J74" i="23"/>
  <c r="H70" i="23"/>
  <c r="H72" i="23"/>
  <c r="H74" i="23"/>
  <c r="E70" i="23"/>
  <c r="E71" i="23"/>
  <c r="E72" i="23"/>
  <c r="E73" i="23"/>
  <c r="E74" i="23"/>
  <c r="J62" i="23"/>
  <c r="J64" i="23"/>
  <c r="J66" i="23"/>
  <c r="H62" i="23"/>
  <c r="H64" i="23"/>
  <c r="H66" i="23"/>
  <c r="E62" i="23"/>
  <c r="E63" i="23"/>
  <c r="E64" i="23"/>
  <c r="E65" i="23"/>
  <c r="E66" i="23"/>
  <c r="I58" i="23"/>
  <c r="H57" i="23"/>
  <c r="D57" i="23"/>
  <c r="H56" i="23"/>
  <c r="E56" i="23"/>
  <c r="I55" i="23"/>
  <c r="E55" i="23"/>
  <c r="J50" i="23"/>
  <c r="H50" i="23"/>
  <c r="E50" i="23"/>
  <c r="E49" i="23"/>
  <c r="J48" i="23"/>
  <c r="H48" i="23"/>
  <c r="E48" i="23"/>
  <c r="E47" i="23"/>
  <c r="J42" i="23"/>
  <c r="H42" i="23"/>
  <c r="E42" i="23"/>
  <c r="E41" i="23"/>
  <c r="J40" i="23"/>
  <c r="H40" i="23"/>
  <c r="E40" i="23"/>
  <c r="E39" i="23"/>
  <c r="I26" i="23"/>
  <c r="J25" i="23"/>
  <c r="F25" i="23"/>
  <c r="I24" i="23"/>
  <c r="J11" i="23"/>
  <c r="G11" i="23"/>
  <c r="J10" i="23"/>
  <c r="G10" i="23"/>
  <c r="J9" i="23"/>
  <c r="G9" i="23"/>
  <c r="J8" i="23"/>
  <c r="G8" i="23"/>
  <c r="N235" i="3"/>
  <c r="J361" i="3"/>
  <c r="N16" i="3"/>
  <c r="J349" i="3"/>
  <c r="J368" i="3"/>
  <c r="B11" i="1"/>
  <c r="J553" i="23"/>
  <c r="E555" i="23"/>
  <c r="G553" i="23"/>
  <c r="F554" i="23"/>
  <c r="E554" i="23"/>
  <c r="G549" i="23"/>
  <c r="H547" i="23"/>
  <c r="D549" i="23"/>
  <c r="J546" i="23"/>
  <c r="E546" i="23"/>
  <c r="H548" i="23"/>
  <c r="J549" i="23"/>
  <c r="G615" i="23"/>
  <c r="F615" i="23"/>
  <c r="F612" i="23"/>
  <c r="K611" i="23"/>
  <c r="J1036" i="23"/>
  <c r="J1038" i="23"/>
  <c r="I1036" i="23"/>
  <c r="I1038" i="23"/>
  <c r="G1038" i="23"/>
  <c r="E1036" i="23"/>
  <c r="J1037" i="23"/>
  <c r="I1037" i="23"/>
  <c r="F1037" i="23"/>
  <c r="E1032" i="23"/>
  <c r="F1030" i="23"/>
  <c r="G1031" i="23"/>
  <c r="F1031" i="23"/>
  <c r="G1029" i="23"/>
  <c r="E15" i="22"/>
  <c r="E1031" i="23"/>
  <c r="J1032" i="23"/>
  <c r="D1031" i="23"/>
  <c r="I1032" i="23"/>
  <c r="G1032" i="23"/>
  <c r="F1025" i="23"/>
  <c r="E1025" i="23"/>
  <c r="F1023" i="23"/>
  <c r="F1017" i="23"/>
  <c r="E1017" i="23"/>
  <c r="G1016" i="23"/>
  <c r="G1015" i="23"/>
  <c r="G1018" i="23"/>
  <c r="F1015" i="23"/>
  <c r="E1018" i="23"/>
  <c r="E1016" i="23"/>
  <c r="J1017" i="23"/>
  <c r="J1015" i="23"/>
  <c r="J1018" i="23"/>
  <c r="D1017" i="23"/>
  <c r="J1010" i="23"/>
  <c r="I1008" i="23"/>
  <c r="G3" i="22"/>
  <c r="G20" i="24"/>
  <c r="I1010" i="23"/>
  <c r="G1008" i="23"/>
  <c r="G1010" i="23"/>
  <c r="E1008" i="23"/>
  <c r="C3" i="22"/>
  <c r="C20" i="24"/>
  <c r="E1010" i="23"/>
  <c r="I1009" i="23"/>
  <c r="I593" i="23"/>
  <c r="E592" i="23"/>
  <c r="H593" i="23"/>
  <c r="D592" i="23"/>
  <c r="D589" i="23"/>
  <c r="G593" i="23"/>
  <c r="G590" i="23"/>
  <c r="K588" i="23"/>
  <c r="F593" i="23"/>
  <c r="F590" i="23"/>
  <c r="D593" i="23"/>
  <c r="G592" i="23"/>
  <c r="J593" i="23"/>
  <c r="F592" i="23"/>
  <c r="K3183" i="23"/>
  <c r="K3165" i="23"/>
  <c r="F3161" i="23"/>
  <c r="D3161" i="23"/>
  <c r="F3159" i="23"/>
  <c r="D3159" i="23"/>
  <c r="I3150" i="23"/>
  <c r="G3150" i="23"/>
  <c r="K3147" i="23"/>
  <c r="F3143" i="23"/>
  <c r="D3143" i="23"/>
  <c r="F3141" i="23"/>
  <c r="D3141" i="23"/>
  <c r="F3132" i="23"/>
  <c r="D3132" i="23"/>
  <c r="F3123" i="23"/>
  <c r="D3123" i="23"/>
  <c r="I3116" i="23"/>
  <c r="G3116" i="23"/>
  <c r="I3114" i="23"/>
  <c r="G3114" i="23"/>
  <c r="K3111" i="23"/>
  <c r="F3107" i="23"/>
  <c r="D3107" i="23"/>
  <c r="F3105" i="23"/>
  <c r="D3105" i="23"/>
  <c r="I3098" i="23"/>
  <c r="G3098" i="23"/>
  <c r="I3096" i="23"/>
  <c r="G3096" i="23"/>
  <c r="K3093" i="23"/>
  <c r="F3089" i="23"/>
  <c r="D3089" i="23"/>
  <c r="F3087" i="23"/>
  <c r="D3087" i="23"/>
  <c r="I3080" i="23"/>
  <c r="G3080" i="23"/>
  <c r="I3078" i="23"/>
  <c r="G3078" i="23"/>
  <c r="F3071" i="23"/>
  <c r="D3071" i="23"/>
  <c r="F3069" i="23"/>
  <c r="D3069" i="23"/>
  <c r="I3062" i="23"/>
  <c r="G3062" i="23"/>
  <c r="I3060" i="23"/>
  <c r="G3060" i="23"/>
  <c r="K3057" i="23"/>
  <c r="F3053" i="23"/>
  <c r="K3053" i="23"/>
  <c r="D3053" i="23"/>
  <c r="F3051" i="23"/>
  <c r="D3051" i="23"/>
  <c r="I3044" i="23"/>
  <c r="G3044" i="23"/>
  <c r="I3042" i="23"/>
  <c r="G3042" i="23"/>
  <c r="K3039" i="23"/>
  <c r="J3031" i="23"/>
  <c r="J3034" i="23"/>
  <c r="J3036" i="23"/>
  <c r="H3032" i="23"/>
  <c r="H3035" i="23"/>
  <c r="F2704" i="23"/>
  <c r="F2703" i="23"/>
  <c r="F2702" i="23"/>
  <c r="E2701" i="23"/>
  <c r="K2700" i="23"/>
  <c r="E2702" i="23"/>
  <c r="E2703" i="23"/>
  <c r="E2704" i="23"/>
  <c r="J2676" i="23"/>
  <c r="H2676" i="23"/>
  <c r="K2672" i="23"/>
  <c r="E2674" i="23"/>
  <c r="I2660" i="23"/>
  <c r="I2662" i="23"/>
  <c r="K2658" i="23"/>
  <c r="I2652" i="23"/>
  <c r="I2654" i="23"/>
  <c r="G2653" i="23"/>
  <c r="G2655" i="23"/>
  <c r="E2652" i="23"/>
  <c r="E2654" i="23"/>
  <c r="I3125" i="23"/>
  <c r="I3134" i="23"/>
  <c r="I3168" i="23"/>
  <c r="I3170" i="23"/>
  <c r="I3177" i="23"/>
  <c r="I3179" i="23"/>
  <c r="I3186" i="23"/>
  <c r="I3188" i="23"/>
  <c r="I3193" i="23"/>
  <c r="I3195" i="23"/>
  <c r="I3197" i="23"/>
  <c r="I3202" i="23"/>
  <c r="I3204" i="23"/>
  <c r="I3206" i="23"/>
  <c r="I3211" i="23"/>
  <c r="I3213" i="23"/>
  <c r="I3215" i="23"/>
  <c r="I3220" i="23"/>
  <c r="I3222" i="23"/>
  <c r="I3224" i="23"/>
  <c r="I3229" i="23"/>
  <c r="I3231" i="23"/>
  <c r="I3233" i="23"/>
  <c r="I3238" i="23"/>
  <c r="I3240" i="23"/>
  <c r="I3242" i="23"/>
  <c r="I3247" i="23"/>
  <c r="I3249" i="23"/>
  <c r="J2630" i="23"/>
  <c r="H2630" i="23"/>
  <c r="D2625" i="23"/>
  <c r="D2626" i="23"/>
  <c r="D2628" i="23"/>
  <c r="D2630" i="23"/>
  <c r="D2621" i="23"/>
  <c r="D2618" i="23"/>
  <c r="J2616" i="23"/>
  <c r="J2617" i="23"/>
  <c r="J2620" i="23"/>
  <c r="J2621" i="23"/>
  <c r="F2606" i="23"/>
  <c r="F2607" i="23"/>
  <c r="F2609" i="23"/>
  <c r="F2611" i="23"/>
  <c r="G2602" i="23"/>
  <c r="E2602" i="23"/>
  <c r="E2598" i="23"/>
  <c r="I2579" i="23"/>
  <c r="I2582" i="23"/>
  <c r="F2580" i="23"/>
  <c r="F2581" i="23"/>
  <c r="F2582" i="23"/>
  <c r="F2584" i="23"/>
  <c r="D2579" i="23"/>
  <c r="D2582" i="23"/>
  <c r="D2583" i="23"/>
  <c r="I2570" i="23"/>
  <c r="I2572" i="23"/>
  <c r="I2574" i="23"/>
  <c r="D2565" i="23"/>
  <c r="J2560" i="23"/>
  <c r="J2561" i="23"/>
  <c r="D2555" i="23"/>
  <c r="J2550" i="23"/>
  <c r="J2551" i="23"/>
  <c r="D2545" i="23"/>
  <c r="J2540" i="23"/>
  <c r="J2541" i="23"/>
  <c r="D2535" i="23"/>
  <c r="J2530" i="23"/>
  <c r="J2531" i="23"/>
  <c r="D2525" i="23"/>
  <c r="K2525" i="23"/>
  <c r="J2520" i="23"/>
  <c r="J2521" i="23"/>
  <c r="D2515" i="23"/>
  <c r="J2510" i="23"/>
  <c r="J2511" i="23"/>
  <c r="D2505" i="23"/>
  <c r="J2500" i="23"/>
  <c r="J2501" i="23"/>
  <c r="D2495" i="23"/>
  <c r="J2490" i="23"/>
  <c r="J2491" i="23"/>
  <c r="D2485" i="23"/>
  <c r="G2481" i="23"/>
  <c r="K3246" i="23"/>
  <c r="K3228" i="23"/>
  <c r="K3219" i="23"/>
  <c r="K3210" i="23"/>
  <c r="K3201" i="23"/>
  <c r="K3192" i="23"/>
  <c r="K3174" i="23"/>
  <c r="K3138" i="23"/>
  <c r="K3129" i="23"/>
  <c r="K3120" i="23"/>
  <c r="K3102" i="23"/>
  <c r="K3084" i="23"/>
  <c r="K3066" i="23"/>
  <c r="K3048" i="23"/>
  <c r="G3031" i="23"/>
  <c r="F2708" i="23"/>
  <c r="F2709" i="23"/>
  <c r="D2708" i="23"/>
  <c r="D2709" i="23"/>
  <c r="D2710" i="23"/>
  <c r="D2711" i="23"/>
  <c r="J2673" i="23"/>
  <c r="J2674" i="23"/>
  <c r="H2673" i="23"/>
  <c r="H2674" i="23"/>
  <c r="I2616" i="23"/>
  <c r="I2619" i="23"/>
  <c r="F2617" i="23"/>
  <c r="F2618" i="23"/>
  <c r="F2619" i="23"/>
  <c r="F2621" i="23"/>
  <c r="D2616" i="23"/>
  <c r="D2619" i="23"/>
  <c r="D2620" i="23"/>
  <c r="I2606" i="23"/>
  <c r="I2608" i="23"/>
  <c r="I2610" i="23"/>
  <c r="G2597" i="23"/>
  <c r="G2600" i="23"/>
  <c r="D2588" i="23"/>
  <c r="D2589" i="23"/>
  <c r="D2591" i="23"/>
  <c r="D2593" i="23"/>
  <c r="J2579" i="23"/>
  <c r="J2580" i="23"/>
  <c r="J2583" i="23"/>
  <c r="J2584" i="23"/>
  <c r="F2570" i="23"/>
  <c r="F2571" i="23"/>
  <c r="F2573" i="23"/>
  <c r="F2575" i="23"/>
  <c r="F2560" i="23"/>
  <c r="F2561" i="23"/>
  <c r="F2550" i="23"/>
  <c r="F2551" i="23"/>
  <c r="F2540" i="23"/>
  <c r="F2541" i="23"/>
  <c r="F2530" i="23"/>
  <c r="F2531" i="23"/>
  <c r="F2520" i="23"/>
  <c r="F2521" i="23"/>
  <c r="F2510" i="23"/>
  <c r="F2511" i="23"/>
  <c r="F2500" i="23"/>
  <c r="F2501" i="23"/>
  <c r="F2490" i="23"/>
  <c r="F2491" i="23"/>
  <c r="I2480" i="23"/>
  <c r="I2481" i="23"/>
  <c r="E2480" i="23"/>
  <c r="E2481" i="23"/>
  <c r="K2481" i="23"/>
  <c r="K1571" i="23"/>
  <c r="K1557" i="23"/>
  <c r="K1543" i="23"/>
  <c r="K1519" i="23"/>
  <c r="J1506" i="23"/>
  <c r="J1507" i="23"/>
  <c r="J1509" i="23"/>
  <c r="D1478" i="23"/>
  <c r="D1479" i="23"/>
  <c r="D1481" i="23"/>
  <c r="E1472" i="23"/>
  <c r="E1473" i="23"/>
  <c r="J1464" i="23"/>
  <c r="J1466" i="23"/>
  <c r="F1457" i="23"/>
  <c r="F1458" i="23"/>
  <c r="F1460" i="23"/>
  <c r="D1458" i="23"/>
  <c r="D1460" i="23"/>
  <c r="H1450" i="23"/>
  <c r="F121" i="22"/>
  <c r="H1451" i="23"/>
  <c r="H1452" i="23"/>
  <c r="H1453" i="23"/>
  <c r="I1436" i="23"/>
  <c r="I1437" i="23"/>
  <c r="I1439" i="23"/>
  <c r="F1436" i="23"/>
  <c r="F1438" i="23"/>
  <c r="D1436" i="23"/>
  <c r="D1438" i="23"/>
  <c r="I1429" i="23"/>
  <c r="I1431" i="23"/>
  <c r="G1429" i="23"/>
  <c r="G1431" i="23"/>
  <c r="H1424" i="23"/>
  <c r="H1425" i="23"/>
  <c r="G1408" i="23"/>
  <c r="G1409" i="23"/>
  <c r="D1410" i="23"/>
  <c r="D1411" i="23"/>
  <c r="H1396" i="23"/>
  <c r="H1397" i="23"/>
  <c r="G1380" i="23"/>
  <c r="G1381" i="23"/>
  <c r="D1382" i="23"/>
  <c r="D1383" i="23"/>
  <c r="H1368" i="23"/>
  <c r="H1369" i="23"/>
  <c r="H1359" i="23"/>
  <c r="H1360" i="23"/>
  <c r="G1342" i="23"/>
  <c r="G1343" i="23"/>
  <c r="D1344" i="23"/>
  <c r="D1345" i="23"/>
  <c r="H1329" i="23"/>
  <c r="H1330" i="23"/>
  <c r="J1320" i="23"/>
  <c r="J1321" i="23"/>
  <c r="J1323" i="23"/>
  <c r="G1321" i="23"/>
  <c r="G1322" i="23"/>
  <c r="G1323" i="23"/>
  <c r="D1312" i="23"/>
  <c r="D1313" i="23"/>
  <c r="G1276" i="23"/>
  <c r="G1278" i="23"/>
  <c r="E1275" i="23"/>
  <c r="K1275" i="23"/>
  <c r="E1277" i="23"/>
  <c r="E1278" i="23"/>
  <c r="E1276" i="23"/>
  <c r="E1223" i="23"/>
  <c r="E1225" i="23"/>
  <c r="E1222" i="23"/>
  <c r="I1193" i="23"/>
  <c r="I1194" i="23"/>
  <c r="I1195" i="23"/>
  <c r="I1196" i="23"/>
  <c r="G1194" i="23"/>
  <c r="G1196" i="23"/>
  <c r="E1194" i="23"/>
  <c r="E1195" i="23"/>
  <c r="E1196" i="23"/>
  <c r="F1179" i="23"/>
  <c r="F1181" i="23"/>
  <c r="K1178" i="23"/>
  <c r="K1111" i="23"/>
  <c r="E1113" i="23"/>
  <c r="E1117" i="23"/>
  <c r="J1094" i="23"/>
  <c r="J1096" i="23"/>
  <c r="J1098" i="23"/>
  <c r="H1094" i="23"/>
  <c r="H1096" i="23"/>
  <c r="H1098" i="23"/>
  <c r="F1094" i="23"/>
  <c r="F1096" i="23"/>
  <c r="F1098" i="23"/>
  <c r="K1093" i="23"/>
  <c r="D1094" i="23"/>
  <c r="K1094" i="23"/>
  <c r="D1096" i="23"/>
  <c r="D1098" i="23"/>
  <c r="J1078" i="23"/>
  <c r="J1080" i="23"/>
  <c r="H1078" i="23"/>
  <c r="H1080" i="23"/>
  <c r="F1078" i="23"/>
  <c r="F1080" i="23"/>
  <c r="K1077" i="23"/>
  <c r="D1078" i="23"/>
  <c r="K1078" i="23"/>
  <c r="D1080" i="23"/>
  <c r="J1064" i="23"/>
  <c r="J1066" i="23"/>
  <c r="H1064" i="23"/>
  <c r="H1066" i="23"/>
  <c r="F1064" i="23"/>
  <c r="F1066" i="23"/>
  <c r="K1063" i="23"/>
  <c r="D1064" i="23"/>
  <c r="D1066" i="23"/>
  <c r="J1050" i="23"/>
  <c r="J1052" i="23"/>
  <c r="H1050" i="23"/>
  <c r="H1052" i="23"/>
  <c r="F1050" i="23"/>
  <c r="F1052" i="23"/>
  <c r="K1049" i="23"/>
  <c r="D1050" i="23"/>
  <c r="D1052" i="23"/>
  <c r="H1036" i="23"/>
  <c r="H1039" i="23"/>
  <c r="H1029" i="23"/>
  <c r="H1030" i="23"/>
  <c r="H1032" i="23"/>
  <c r="G2283" i="23"/>
  <c r="J2282" i="23"/>
  <c r="F2276" i="23"/>
  <c r="F2275" i="23"/>
  <c r="J2268" i="23"/>
  <c r="F2261" i="23"/>
  <c r="H2246" i="23"/>
  <c r="E2246" i="23"/>
  <c r="D2234" i="23"/>
  <c r="E2233" i="23"/>
  <c r="D2232" i="23"/>
  <c r="G2225" i="23"/>
  <c r="H2220" i="23"/>
  <c r="H2219" i="23"/>
  <c r="G2218" i="23"/>
  <c r="F2185" i="23"/>
  <c r="G2184" i="23"/>
  <c r="D2183" i="23"/>
  <c r="H2177" i="23"/>
  <c r="D2177" i="23"/>
  <c r="E2175" i="23"/>
  <c r="E2174" i="23"/>
  <c r="E2173" i="23"/>
  <c r="J2167" i="23"/>
  <c r="J2165" i="23"/>
  <c r="J2163" i="23"/>
  <c r="H2157" i="23"/>
  <c r="I2156" i="23"/>
  <c r="G2155" i="23"/>
  <c r="F2147" i="23"/>
  <c r="F2146" i="23"/>
  <c r="K2146" i="23"/>
  <c r="F2145" i="23"/>
  <c r="H2144" i="23"/>
  <c r="H1848" i="23"/>
  <c r="H1847" i="23"/>
  <c r="G1846" i="23"/>
  <c r="E1840" i="23"/>
  <c r="H1834" i="23"/>
  <c r="H1833" i="23"/>
  <c r="G1832" i="23"/>
  <c r="F1827" i="23"/>
  <c r="F1826" i="23"/>
  <c r="F1825" i="23"/>
  <c r="E1824" i="23"/>
  <c r="F1823" i="23"/>
  <c r="E1822" i="23"/>
  <c r="F1817" i="23"/>
  <c r="E1816" i="23"/>
  <c r="F1815" i="23"/>
  <c r="E1814" i="23"/>
  <c r="G1802" i="23"/>
  <c r="H1801" i="23"/>
  <c r="H1800" i="23"/>
  <c r="H1799" i="23"/>
  <c r="G1798" i="23"/>
  <c r="E1792" i="23"/>
  <c r="E1790" i="23"/>
  <c r="G1767" i="23"/>
  <c r="G1766" i="23"/>
  <c r="G1765" i="23"/>
  <c r="J1751" i="23"/>
  <c r="F1751" i="23"/>
  <c r="D1751" i="23"/>
  <c r="J1749" i="23"/>
  <c r="F1749" i="23"/>
  <c r="D1749" i="23"/>
  <c r="I1742" i="23"/>
  <c r="G1742" i="23"/>
  <c r="J1735" i="23"/>
  <c r="F1735" i="23"/>
  <c r="D1735" i="23"/>
  <c r="I1726" i="23"/>
  <c r="G1726" i="23"/>
  <c r="J1719" i="23"/>
  <c r="F1719" i="23"/>
  <c r="D1719" i="23"/>
  <c r="I1712" i="23"/>
  <c r="G1712" i="23"/>
  <c r="J1705" i="23"/>
  <c r="F1705" i="23"/>
  <c r="D1705" i="23"/>
  <c r="J1699" i="23"/>
  <c r="F1699" i="23"/>
  <c r="D1699" i="23"/>
  <c r="J1697" i="23"/>
  <c r="F1697" i="23"/>
  <c r="D1697" i="23"/>
  <c r="J1691" i="23"/>
  <c r="F1691" i="23"/>
  <c r="D1691" i="23"/>
  <c r="J1689" i="23"/>
  <c r="F1689" i="23"/>
  <c r="D1689" i="23"/>
  <c r="I1682" i="23"/>
  <c r="G1682" i="23"/>
  <c r="J1675" i="23"/>
  <c r="F1675" i="23"/>
  <c r="D1675" i="23"/>
  <c r="J1673" i="23"/>
  <c r="F1673" i="23"/>
  <c r="D1673" i="23"/>
  <c r="J1667" i="23"/>
  <c r="F1667" i="23"/>
  <c r="D1667" i="23"/>
  <c r="J1665" i="23"/>
  <c r="F1665" i="23"/>
  <c r="D1665" i="23"/>
  <c r="G1659" i="23"/>
  <c r="H1652" i="23"/>
  <c r="D1652" i="23"/>
  <c r="H1651" i="23"/>
  <c r="D1651" i="23"/>
  <c r="D1650" i="23"/>
  <c r="J1645" i="23"/>
  <c r="H1645" i="23"/>
  <c r="J1643" i="23"/>
  <c r="H1643" i="23"/>
  <c r="J1637" i="23"/>
  <c r="F1637" i="23"/>
  <c r="H1636" i="23"/>
  <c r="E1636" i="23"/>
  <c r="H1634" i="23"/>
  <c r="E1634" i="23"/>
  <c r="K1632" i="23"/>
  <c r="J1628" i="23"/>
  <c r="F1628" i="23"/>
  <c r="F1627" i="23"/>
  <c r="D1627" i="23"/>
  <c r="D1626" i="23"/>
  <c r="H1620" i="23"/>
  <c r="D1620" i="23"/>
  <c r="G1614" i="23"/>
  <c r="I1586" i="23"/>
  <c r="G1586" i="23"/>
  <c r="I1585" i="23"/>
  <c r="G1585" i="23"/>
  <c r="I1584" i="23"/>
  <c r="G1584" i="23"/>
  <c r="I1583" i="23"/>
  <c r="G1583" i="23"/>
  <c r="I1582" i="23"/>
  <c r="G1582" i="23"/>
  <c r="K1580" i="23"/>
  <c r="F1576" i="23"/>
  <c r="D1576" i="23"/>
  <c r="F1574" i="23"/>
  <c r="D1574" i="23"/>
  <c r="D1572" i="23"/>
  <c r="I1567" i="23"/>
  <c r="G1567" i="23"/>
  <c r="K1564" i="23"/>
  <c r="F1560" i="23"/>
  <c r="D1560" i="23"/>
  <c r="D1558" i="23"/>
  <c r="I1553" i="23"/>
  <c r="G1553" i="23"/>
  <c r="K1550" i="23"/>
  <c r="F1546" i="23"/>
  <c r="D1546" i="23"/>
  <c r="D1544" i="23"/>
  <c r="I1539" i="23"/>
  <c r="G1539" i="23"/>
  <c r="K1536" i="23"/>
  <c r="I1533" i="23"/>
  <c r="G1533" i="23"/>
  <c r="I1531" i="23"/>
  <c r="G1531" i="23"/>
  <c r="K1528" i="23"/>
  <c r="F1522" i="23"/>
  <c r="D1522" i="23"/>
  <c r="D1520" i="23"/>
  <c r="D1524" i="23"/>
  <c r="I1515" i="23"/>
  <c r="G1515" i="23"/>
  <c r="K1512" i="23"/>
  <c r="D1499" i="23"/>
  <c r="D1500" i="23"/>
  <c r="D1501" i="23"/>
  <c r="D1486" i="23"/>
  <c r="D1485" i="23"/>
  <c r="D1480" i="23"/>
  <c r="F1479" i="23"/>
  <c r="E1471" i="23"/>
  <c r="F1471" i="23"/>
  <c r="F1472" i="23"/>
  <c r="I1464" i="23"/>
  <c r="I1465" i="23"/>
  <c r="I1467" i="23"/>
  <c r="F1464" i="23"/>
  <c r="F1466" i="23"/>
  <c r="D1464" i="23"/>
  <c r="D1466" i="23"/>
  <c r="I1457" i="23"/>
  <c r="I1459" i="23"/>
  <c r="G1457" i="23"/>
  <c r="E23" i="22"/>
  <c r="G1459" i="23"/>
  <c r="E1450" i="23"/>
  <c r="E1452" i="23"/>
  <c r="J1443" i="23"/>
  <c r="J1445" i="23"/>
  <c r="H1443" i="23"/>
  <c r="H1445" i="23"/>
  <c r="E1443" i="23"/>
  <c r="K1443" i="23"/>
  <c r="E1444" i="23"/>
  <c r="E1445" i="23"/>
  <c r="E1446" i="23"/>
  <c r="J1436" i="23"/>
  <c r="J1438" i="23"/>
  <c r="K1428" i="23"/>
  <c r="H1423" i="23"/>
  <c r="G1422" i="23"/>
  <c r="G1423" i="23"/>
  <c r="D1424" i="23"/>
  <c r="D1425" i="23"/>
  <c r="D1416" i="23"/>
  <c r="G1411" i="23"/>
  <c r="D1409" i="23"/>
  <c r="D1408" i="23"/>
  <c r="H1410" i="23"/>
  <c r="H1411" i="23"/>
  <c r="I1403" i="23"/>
  <c r="G1403" i="23"/>
  <c r="E1403" i="23"/>
  <c r="K1400" i="23"/>
  <c r="H1395" i="23"/>
  <c r="G1394" i="23"/>
  <c r="G1395" i="23"/>
  <c r="D1396" i="23"/>
  <c r="D1397" i="23"/>
  <c r="D1388" i="23"/>
  <c r="G1383" i="23"/>
  <c r="K1383" i="23"/>
  <c r="D1381" i="23"/>
  <c r="D1380" i="23"/>
  <c r="H1382" i="23"/>
  <c r="H1383" i="23"/>
  <c r="I1375" i="23"/>
  <c r="G1375" i="23"/>
  <c r="E1375" i="23"/>
  <c r="K1372" i="23"/>
  <c r="H1367" i="23"/>
  <c r="G1366" i="23"/>
  <c r="G1367" i="23"/>
  <c r="D1368" i="23"/>
  <c r="D1369" i="23"/>
  <c r="H1361" i="23"/>
  <c r="H1358" i="23"/>
  <c r="G1357" i="23"/>
  <c r="G1358" i="23"/>
  <c r="D1359" i="23"/>
  <c r="D1360" i="23"/>
  <c r="D1351" i="23"/>
  <c r="G1345" i="23"/>
  <c r="D1343" i="23"/>
  <c r="D1342" i="23"/>
  <c r="H1344" i="23"/>
  <c r="H1345" i="23"/>
  <c r="I1337" i="23"/>
  <c r="G1337" i="23"/>
  <c r="E1337" i="23"/>
  <c r="K1334" i="23"/>
  <c r="H1328" i="23"/>
  <c r="G1327" i="23"/>
  <c r="G1328" i="23"/>
  <c r="D1329" i="23"/>
  <c r="D1330" i="23"/>
  <c r="J1322" i="23"/>
  <c r="G1320" i="23"/>
  <c r="F1315" i="23"/>
  <c r="D1315" i="23"/>
  <c r="J1297" i="23"/>
  <c r="J1298" i="23"/>
  <c r="J1300" i="23"/>
  <c r="H1298" i="23"/>
  <c r="H1299" i="23"/>
  <c r="F1297" i="23"/>
  <c r="F1300" i="23"/>
  <c r="J1282" i="23"/>
  <c r="J1283" i="23"/>
  <c r="J1285" i="23"/>
  <c r="G1283" i="23"/>
  <c r="G1285" i="23"/>
  <c r="G1282" i="23"/>
  <c r="G1284" i="23"/>
  <c r="E1253" i="23"/>
  <c r="E1255" i="23"/>
  <c r="E1252" i="23"/>
  <c r="J1172" i="23"/>
  <c r="J1175" i="23"/>
  <c r="H1174" i="23"/>
  <c r="H1173" i="23"/>
  <c r="H1022" i="23"/>
  <c r="G1024" i="23"/>
  <c r="G1023" i="23"/>
  <c r="J1000" i="23"/>
  <c r="J1002" i="23"/>
  <c r="E1000" i="23"/>
  <c r="E1002" i="23"/>
  <c r="K991" i="23"/>
  <c r="K977" i="23"/>
  <c r="K949" i="23"/>
  <c r="K941" i="23"/>
  <c r="G937" i="23"/>
  <c r="G938" i="23"/>
  <c r="I928" i="23"/>
  <c r="I931" i="23"/>
  <c r="F929" i="23"/>
  <c r="F930" i="23"/>
  <c r="I914" i="23"/>
  <c r="I917" i="23"/>
  <c r="F915" i="23"/>
  <c r="F916" i="23"/>
  <c r="F887" i="23"/>
  <c r="F889" i="23"/>
  <c r="D886" i="23"/>
  <c r="B63" i="22"/>
  <c r="D887" i="23"/>
  <c r="D888" i="23"/>
  <c r="K888" i="23"/>
  <c r="I882" i="23"/>
  <c r="G882" i="23"/>
  <c r="I880" i="23"/>
  <c r="G880" i="23"/>
  <c r="K877" i="23"/>
  <c r="E831" i="23"/>
  <c r="E832" i="23"/>
  <c r="F822" i="23"/>
  <c r="K822" i="23"/>
  <c r="F826" i="23"/>
  <c r="D824" i="23"/>
  <c r="D825" i="23"/>
  <c r="F817" i="23"/>
  <c r="D817" i="23"/>
  <c r="F815" i="23"/>
  <c r="D815" i="23"/>
  <c r="K815" i="23"/>
  <c r="F809" i="23"/>
  <c r="D809" i="23"/>
  <c r="F807" i="23"/>
  <c r="D807" i="23"/>
  <c r="E797" i="23"/>
  <c r="E799" i="23"/>
  <c r="E789" i="23"/>
  <c r="E791" i="23"/>
  <c r="H781" i="23"/>
  <c r="H782" i="23"/>
  <c r="I765" i="23"/>
  <c r="I766" i="23"/>
  <c r="I767" i="23"/>
  <c r="G757" i="23"/>
  <c r="G760" i="23"/>
  <c r="J1305" i="23"/>
  <c r="J1306" i="23"/>
  <c r="J1308" i="23"/>
  <c r="I1297" i="23"/>
  <c r="I1300" i="23"/>
  <c r="E1300" i="23"/>
  <c r="E1299" i="23"/>
  <c r="D1291" i="23"/>
  <c r="D1293" i="23"/>
  <c r="H1260" i="23"/>
  <c r="H1261" i="23"/>
  <c r="J1240" i="23"/>
  <c r="J1238" i="23"/>
  <c r="H1230" i="23"/>
  <c r="H1231" i="23"/>
  <c r="D1201" i="23"/>
  <c r="D1203" i="23"/>
  <c r="I1172" i="23"/>
  <c r="I1173" i="23"/>
  <c r="G1172" i="23"/>
  <c r="G1175" i="23"/>
  <c r="J1121" i="23"/>
  <c r="J1122" i="23"/>
  <c r="J1123" i="23"/>
  <c r="J1124" i="23"/>
  <c r="H1121" i="23"/>
  <c r="H1122" i="23"/>
  <c r="H1123" i="23"/>
  <c r="H1124" i="23"/>
  <c r="F1121" i="23"/>
  <c r="F1124" i="23"/>
  <c r="D1121" i="23"/>
  <c r="K1121" i="23"/>
  <c r="D1126" i="23"/>
  <c r="J1112" i="23"/>
  <c r="J1113" i="23"/>
  <c r="J1116" i="23"/>
  <c r="J1117" i="23"/>
  <c r="H1112" i="23"/>
  <c r="H1113" i="23"/>
  <c r="H1116" i="23"/>
  <c r="H1117" i="23"/>
  <c r="D1104" i="23"/>
  <c r="D1105" i="23"/>
  <c r="K1084" i="23"/>
  <c r="K1070" i="23"/>
  <c r="K1056" i="23"/>
  <c r="J1044" i="23"/>
  <c r="J1046" i="23"/>
  <c r="E1037" i="23"/>
  <c r="E1038" i="23"/>
  <c r="E1039" i="23"/>
  <c r="F1029" i="23"/>
  <c r="D15" i="22"/>
  <c r="D15" i="24"/>
  <c r="F1032" i="23"/>
  <c r="E1024" i="23"/>
  <c r="E1022" i="23"/>
  <c r="K1022" i="23"/>
  <c r="I1016" i="23"/>
  <c r="I1015" i="23"/>
  <c r="E1011" i="23"/>
  <c r="G1009" i="23"/>
  <c r="F1008" i="23"/>
  <c r="F1009" i="23"/>
  <c r="F1011" i="23"/>
  <c r="H1002" i="23"/>
  <c r="K984" i="23"/>
  <c r="K970" i="23"/>
  <c r="K956" i="23"/>
  <c r="J935" i="23"/>
  <c r="J938" i="23"/>
  <c r="F935" i="23"/>
  <c r="F936" i="23"/>
  <c r="J929" i="23"/>
  <c r="J930" i="23"/>
  <c r="E928" i="23"/>
  <c r="E931" i="23"/>
  <c r="J915" i="23"/>
  <c r="J916" i="23"/>
  <c r="E914" i="23"/>
  <c r="E917" i="23"/>
  <c r="H886" i="23"/>
  <c r="H887" i="23"/>
  <c r="H888" i="23"/>
  <c r="H889" i="23"/>
  <c r="H855" i="23"/>
  <c r="H856" i="23"/>
  <c r="H858" i="23"/>
  <c r="H847" i="23"/>
  <c r="F151" i="22"/>
  <c r="H848" i="23"/>
  <c r="H850" i="23"/>
  <c r="H839" i="23"/>
  <c r="H840" i="23"/>
  <c r="H842" i="23"/>
  <c r="H831" i="23"/>
  <c r="H832" i="23"/>
  <c r="F834" i="23"/>
  <c r="F835" i="23"/>
  <c r="D11" i="22"/>
  <c r="D4" i="24"/>
  <c r="K812" i="23"/>
  <c r="K804" i="23"/>
  <c r="D797" i="23"/>
  <c r="K797" i="23"/>
  <c r="D798" i="23"/>
  <c r="K798" i="23"/>
  <c r="D800" i="23"/>
  <c r="D789" i="23"/>
  <c r="D790" i="23"/>
  <c r="D792" i="23"/>
  <c r="I781" i="23"/>
  <c r="I784" i="23"/>
  <c r="I785" i="23"/>
  <c r="H765" i="23"/>
  <c r="H768" i="23"/>
  <c r="J757" i="23"/>
  <c r="J760" i="23"/>
  <c r="H758" i="23"/>
  <c r="H761" i="23"/>
  <c r="H731" i="23"/>
  <c r="I730" i="23"/>
  <c r="H721" i="23"/>
  <c r="H723" i="23"/>
  <c r="H724" i="23"/>
  <c r="F722" i="23"/>
  <c r="F724" i="23"/>
  <c r="G721" i="23"/>
  <c r="G722" i="23"/>
  <c r="F717" i="23"/>
  <c r="G716" i="23"/>
  <c r="F715" i="23"/>
  <c r="G696" i="23"/>
  <c r="I694" i="23"/>
  <c r="H693" i="23"/>
  <c r="E689" i="23"/>
  <c r="D687" i="23"/>
  <c r="E686" i="23"/>
  <c r="D679" i="23"/>
  <c r="E678" i="23"/>
  <c r="G672" i="23"/>
  <c r="E672" i="23"/>
  <c r="E671" i="23"/>
  <c r="E670" i="23"/>
  <c r="F664" i="23"/>
  <c r="F663" i="23"/>
  <c r="F662" i="23"/>
  <c r="F636" i="23"/>
  <c r="E634" i="23"/>
  <c r="J589" i="23"/>
  <c r="H555" i="23"/>
  <c r="H553" i="23"/>
  <c r="F549" i="23"/>
  <c r="F548" i="23"/>
  <c r="D547" i="23"/>
  <c r="J542" i="23"/>
  <c r="G542" i="23"/>
  <c r="G540" i="23"/>
  <c r="H521" i="23"/>
  <c r="H520" i="23"/>
  <c r="G518" i="23"/>
  <c r="J507" i="23"/>
  <c r="F507" i="23"/>
  <c r="J506" i="23"/>
  <c r="F506" i="23"/>
  <c r="I504" i="23"/>
  <c r="E504" i="23"/>
  <c r="I486" i="23"/>
  <c r="I484" i="23"/>
  <c r="H479" i="23"/>
  <c r="H478" i="23"/>
  <c r="E472" i="23"/>
  <c r="F471" i="23"/>
  <c r="E470" i="23"/>
  <c r="I465" i="23"/>
  <c r="G465" i="23"/>
  <c r="E465" i="23"/>
  <c r="D465" i="23"/>
  <c r="I464" i="23"/>
  <c r="G464" i="23"/>
  <c r="E464" i="23"/>
  <c r="E441" i="23"/>
  <c r="E440" i="23"/>
  <c r="I432" i="23"/>
  <c r="I433" i="23"/>
  <c r="E426" i="23"/>
  <c r="E428" i="23"/>
  <c r="G421" i="23"/>
  <c r="E421" i="23"/>
  <c r="J418" i="23"/>
  <c r="E406" i="23"/>
  <c r="I405" i="23"/>
  <c r="G384" i="23"/>
  <c r="E119" i="22"/>
  <c r="G383" i="23"/>
  <c r="G386" i="23"/>
  <c r="F346" i="23"/>
  <c r="F347" i="23"/>
  <c r="F348" i="23"/>
  <c r="F349" i="23"/>
  <c r="F350" i="23"/>
  <c r="H342" i="23"/>
  <c r="G622" i="23"/>
  <c r="H621" i="23"/>
  <c r="H620" i="23"/>
  <c r="F620" i="23"/>
  <c r="H613" i="23"/>
  <c r="J612" i="23"/>
  <c r="J608" i="23"/>
  <c r="H608" i="23"/>
  <c r="F608" i="23"/>
  <c r="D608" i="23"/>
  <c r="D607" i="23"/>
  <c r="G606" i="23"/>
  <c r="J605" i="23"/>
  <c r="H584" i="23"/>
  <c r="H583" i="23"/>
  <c r="F581" i="23"/>
  <c r="E576" i="23"/>
  <c r="G570" i="23"/>
  <c r="J569" i="23"/>
  <c r="H568" i="23"/>
  <c r="F567" i="23"/>
  <c r="H562" i="23"/>
  <c r="G560" i="23"/>
  <c r="J535" i="23"/>
  <c r="J532" i="23"/>
  <c r="I441" i="23"/>
  <c r="I443" i="23"/>
  <c r="G404" i="23"/>
  <c r="G406" i="23"/>
  <c r="G376" i="23"/>
  <c r="G379" i="23"/>
  <c r="E376" i="23"/>
  <c r="E379" i="23"/>
  <c r="F372" i="23"/>
  <c r="F370" i="23"/>
  <c r="F371" i="23"/>
  <c r="D370" i="23"/>
  <c r="D372" i="23"/>
  <c r="D371" i="23"/>
  <c r="I362" i="23"/>
  <c r="I364" i="23"/>
  <c r="G362" i="23"/>
  <c r="G364" i="23"/>
  <c r="H354" i="23"/>
  <c r="H357" i="23"/>
  <c r="H355" i="23"/>
  <c r="H356" i="23"/>
  <c r="H358" i="23"/>
  <c r="F354" i="23"/>
  <c r="F357" i="23"/>
  <c r="F355" i="23"/>
  <c r="F356" i="23"/>
  <c r="F358" i="23"/>
  <c r="D339" i="23"/>
  <c r="D340" i="23"/>
  <c r="D342" i="23"/>
  <c r="K324" i="23"/>
  <c r="K310" i="23"/>
  <c r="K302" i="23"/>
  <c r="K294" i="23"/>
  <c r="K286" i="23"/>
  <c r="K270" i="23"/>
  <c r="J215" i="23"/>
  <c r="J216" i="23"/>
  <c r="D150" i="23"/>
  <c r="D151" i="23"/>
  <c r="I146" i="23"/>
  <c r="G146" i="23"/>
  <c r="I144" i="23"/>
  <c r="G144" i="23"/>
  <c r="I138" i="23"/>
  <c r="G138" i="23"/>
  <c r="I136" i="23"/>
  <c r="G136" i="23"/>
  <c r="K133" i="23"/>
  <c r="J54" i="23"/>
  <c r="J55" i="23"/>
  <c r="H54" i="23"/>
  <c r="H58" i="23"/>
  <c r="H55" i="23"/>
  <c r="G369" i="23"/>
  <c r="G371" i="23"/>
  <c r="G372" i="23"/>
  <c r="K361" i="23"/>
  <c r="E354" i="23"/>
  <c r="E357" i="23"/>
  <c r="K353" i="23"/>
  <c r="D341" i="23"/>
  <c r="I339" i="23"/>
  <c r="I340" i="23"/>
  <c r="I342" i="23"/>
  <c r="I334" i="23"/>
  <c r="G334" i="23"/>
  <c r="K331" i="23"/>
  <c r="F327" i="23"/>
  <c r="D327" i="23"/>
  <c r="D325" i="23"/>
  <c r="I320" i="23"/>
  <c r="G320" i="23"/>
  <c r="K317" i="23"/>
  <c r="F313" i="23"/>
  <c r="D313" i="23"/>
  <c r="D311" i="23"/>
  <c r="F307" i="23"/>
  <c r="D307" i="23"/>
  <c r="F305" i="23"/>
  <c r="D305" i="23"/>
  <c r="D303" i="23"/>
  <c r="F299" i="23"/>
  <c r="D299" i="23"/>
  <c r="F297" i="23"/>
  <c r="D297" i="23"/>
  <c r="D295" i="23"/>
  <c r="H287" i="23"/>
  <c r="H288" i="23"/>
  <c r="H289" i="23"/>
  <c r="H290" i="23"/>
  <c r="H291" i="23"/>
  <c r="F287" i="23"/>
  <c r="F288" i="23"/>
  <c r="F289" i="23"/>
  <c r="F290" i="23"/>
  <c r="F291" i="23"/>
  <c r="G279" i="23"/>
  <c r="G280" i="23"/>
  <c r="G281" i="23"/>
  <c r="G282" i="23"/>
  <c r="G283" i="23"/>
  <c r="E279" i="23"/>
  <c r="E280" i="23"/>
  <c r="E281" i="23"/>
  <c r="E282" i="23"/>
  <c r="E283" i="23"/>
  <c r="J275" i="23"/>
  <c r="E274" i="23"/>
  <c r="J273" i="23"/>
  <c r="E272" i="23"/>
  <c r="F271" i="23"/>
  <c r="F272" i="23"/>
  <c r="F273" i="23"/>
  <c r="F274" i="23"/>
  <c r="F275" i="23"/>
  <c r="J247" i="23"/>
  <c r="J250" i="23"/>
  <c r="E247" i="23"/>
  <c r="E248" i="23"/>
  <c r="E249" i="23"/>
  <c r="E251" i="23"/>
  <c r="G216" i="23"/>
  <c r="E150" i="23"/>
  <c r="E153" i="23"/>
  <c r="E154" i="23"/>
  <c r="D126" i="23"/>
  <c r="D127" i="23"/>
  <c r="D129" i="23"/>
  <c r="J111" i="23"/>
  <c r="J112" i="23"/>
  <c r="J114" i="23"/>
  <c r="G112" i="23"/>
  <c r="G113" i="23"/>
  <c r="E112" i="23"/>
  <c r="E113" i="23"/>
  <c r="I102" i="23"/>
  <c r="I104" i="23"/>
  <c r="I105" i="23"/>
  <c r="G105" i="23"/>
  <c r="G106" i="23"/>
  <c r="D94" i="23"/>
  <c r="D95" i="23"/>
  <c r="D97" i="23"/>
  <c r="F86" i="23"/>
  <c r="F87" i="23"/>
  <c r="F89" i="23"/>
  <c r="F218" i="23"/>
  <c r="I78" i="23"/>
  <c r="I79" i="23"/>
  <c r="I80" i="23"/>
  <c r="I81" i="23"/>
  <c r="I82" i="23"/>
  <c r="F70" i="23"/>
  <c r="F71" i="23"/>
  <c r="F73" i="23"/>
  <c r="J57" i="23"/>
  <c r="I47" i="23"/>
  <c r="I49" i="23"/>
  <c r="I48" i="23"/>
  <c r="E23" i="23"/>
  <c r="E26" i="23"/>
  <c r="K6" i="23"/>
  <c r="I118" i="23"/>
  <c r="I119" i="23"/>
  <c r="I120" i="23"/>
  <c r="I121" i="23"/>
  <c r="I122" i="23"/>
  <c r="F102" i="23"/>
  <c r="F103" i="23"/>
  <c r="I86" i="23"/>
  <c r="I88" i="23"/>
  <c r="I90" i="23"/>
  <c r="E78" i="23"/>
  <c r="E79" i="23"/>
  <c r="E80" i="23"/>
  <c r="E81" i="23"/>
  <c r="E82" i="23"/>
  <c r="I70" i="23"/>
  <c r="I72" i="23"/>
  <c r="I74" i="23"/>
  <c r="D62" i="23"/>
  <c r="D63" i="23"/>
  <c r="D65" i="23"/>
  <c r="I54" i="23"/>
  <c r="I56" i="23"/>
  <c r="I57" i="23"/>
  <c r="H39" i="23"/>
  <c r="I39" i="23"/>
  <c r="I41" i="23"/>
  <c r="D30" i="23"/>
  <c r="B33" i="22"/>
  <c r="D31" i="23"/>
  <c r="D32" i="23"/>
  <c r="D33" i="23"/>
  <c r="D34" i="23"/>
  <c r="E25" i="23"/>
  <c r="E24" i="23"/>
  <c r="J23" i="23"/>
  <c r="J26" i="23"/>
  <c r="D11" i="23"/>
  <c r="D10" i="23"/>
  <c r="D9" i="23"/>
  <c r="K9" i="23"/>
  <c r="D8" i="23"/>
  <c r="D7" i="23"/>
  <c r="B107" i="22"/>
  <c r="K3354" i="23"/>
  <c r="K3336" i="23"/>
  <c r="K3318" i="23"/>
  <c r="K3300" i="23"/>
  <c r="K3264" i="23"/>
  <c r="I3184" i="23"/>
  <c r="I3185" i="23"/>
  <c r="F3175" i="23"/>
  <c r="F3176" i="23"/>
  <c r="I3157" i="23"/>
  <c r="I3159" i="23"/>
  <c r="I3161" i="23"/>
  <c r="G3161" i="23"/>
  <c r="I3148" i="23"/>
  <c r="I3149" i="23"/>
  <c r="I3151" i="23"/>
  <c r="I3152" i="23"/>
  <c r="I3153" i="23"/>
  <c r="F3148" i="23"/>
  <c r="F3150" i="23"/>
  <c r="D3148" i="23"/>
  <c r="D3150" i="23"/>
  <c r="F3139" i="23"/>
  <c r="F3140" i="23"/>
  <c r="F3142" i="23"/>
  <c r="F3144" i="23"/>
  <c r="F3130" i="23"/>
  <c r="F3131" i="23"/>
  <c r="F3133" i="23"/>
  <c r="F3121" i="23"/>
  <c r="F3122" i="23"/>
  <c r="F3124" i="23"/>
  <c r="J3112" i="23"/>
  <c r="J3114" i="23"/>
  <c r="J3116" i="23"/>
  <c r="I3103" i="23"/>
  <c r="I3105" i="23"/>
  <c r="I3107" i="23"/>
  <c r="G3103" i="23"/>
  <c r="G3105" i="23"/>
  <c r="G3107" i="23"/>
  <c r="I3094" i="23"/>
  <c r="I3095" i="23"/>
  <c r="I3097" i="23"/>
  <c r="I3099" i="23"/>
  <c r="F3094" i="23"/>
  <c r="F3096" i="23"/>
  <c r="F3098" i="23"/>
  <c r="D3094" i="23"/>
  <c r="K3094" i="23"/>
  <c r="D3096" i="23"/>
  <c r="D3098" i="23"/>
  <c r="F3085" i="23"/>
  <c r="F3086" i="23"/>
  <c r="F3088" i="23"/>
  <c r="F3090" i="23"/>
  <c r="J3076" i="23"/>
  <c r="J3078" i="23"/>
  <c r="J3080" i="23"/>
  <c r="I3067" i="23"/>
  <c r="I3069" i="23"/>
  <c r="I3071" i="23"/>
  <c r="G3067" i="23"/>
  <c r="G3069" i="23"/>
  <c r="G3071" i="23"/>
  <c r="I3058" i="23"/>
  <c r="I3059" i="23"/>
  <c r="I3061" i="23"/>
  <c r="I3063" i="23"/>
  <c r="F3058" i="23"/>
  <c r="F3060" i="23"/>
  <c r="F3062" i="23"/>
  <c r="D3058" i="23"/>
  <c r="D3060" i="23"/>
  <c r="D3062" i="23"/>
  <c r="F3049" i="23"/>
  <c r="F3050" i="23"/>
  <c r="F3052" i="23"/>
  <c r="F3054" i="23"/>
  <c r="I3040" i="23"/>
  <c r="I3041" i="23"/>
  <c r="I3043" i="23"/>
  <c r="I3045" i="23"/>
  <c r="F3040" i="23"/>
  <c r="F3042" i="23"/>
  <c r="F3044" i="23"/>
  <c r="D3040" i="23"/>
  <c r="D3042" i="23"/>
  <c r="D3044" i="23"/>
  <c r="K2993" i="23"/>
  <c r="K2944" i="23"/>
  <c r="K2937" i="23"/>
  <c r="H2846" i="23"/>
  <c r="H2848" i="23"/>
  <c r="H2850" i="23"/>
  <c r="F2846" i="23"/>
  <c r="F2848" i="23"/>
  <c r="F2850" i="23"/>
  <c r="K2845" i="23"/>
  <c r="D2846" i="23"/>
  <c r="D2848" i="23"/>
  <c r="D2850" i="23"/>
  <c r="K2850" i="23"/>
  <c r="I2837" i="23"/>
  <c r="I2840" i="23"/>
  <c r="I2839" i="23"/>
  <c r="I2819" i="23"/>
  <c r="I2821" i="23"/>
  <c r="I2823" i="23"/>
  <c r="I2795" i="23"/>
  <c r="I2797" i="23"/>
  <c r="I2799" i="23"/>
  <c r="I2776" i="23"/>
  <c r="I2778" i="23"/>
  <c r="I2780" i="23"/>
  <c r="I2758" i="23"/>
  <c r="I2760" i="23"/>
  <c r="I2762" i="23"/>
  <c r="H2750" i="23"/>
  <c r="H2752" i="23"/>
  <c r="F2750" i="23"/>
  <c r="F2752" i="23"/>
  <c r="K2749" i="23"/>
  <c r="D2750" i="23"/>
  <c r="D2752" i="23"/>
  <c r="I2743" i="23"/>
  <c r="I2745" i="23"/>
  <c r="H2736" i="23"/>
  <c r="H2738" i="23"/>
  <c r="F2736" i="23"/>
  <c r="F2738" i="23"/>
  <c r="K2735" i="23"/>
  <c r="D2736" i="23"/>
  <c r="D2738" i="23"/>
  <c r="I2729" i="23"/>
  <c r="I2731" i="23"/>
  <c r="H2722" i="23"/>
  <c r="H2724" i="23"/>
  <c r="F2722" i="23"/>
  <c r="F2724" i="23"/>
  <c r="K2721" i="23"/>
  <c r="D2722" i="23"/>
  <c r="D2724" i="23"/>
  <c r="I2715" i="23"/>
  <c r="I2717" i="23"/>
  <c r="J2710" i="23"/>
  <c r="J2709" i="23"/>
  <c r="J2711" i="23"/>
  <c r="G2708" i="23"/>
  <c r="G2710" i="23"/>
  <c r="G2709" i="23"/>
  <c r="E2709" i="23"/>
  <c r="E2711" i="23"/>
  <c r="K2711" i="23"/>
  <c r="E2708" i="23"/>
  <c r="J2701" i="23"/>
  <c r="J2703" i="23"/>
  <c r="H2701" i="23"/>
  <c r="H2703" i="23"/>
  <c r="I2661" i="23"/>
  <c r="I2659" i="23"/>
  <c r="J2652" i="23"/>
  <c r="J2653" i="23"/>
  <c r="J2654" i="23"/>
  <c r="D2652" i="23"/>
  <c r="D2655" i="23"/>
  <c r="D2654" i="23"/>
  <c r="K3345" i="23"/>
  <c r="K3327" i="23"/>
  <c r="K3309" i="23"/>
  <c r="K3291" i="23"/>
  <c r="I3166" i="23"/>
  <c r="I3167" i="23"/>
  <c r="I3162" i="23"/>
  <c r="G3162" i="23"/>
  <c r="I3158" i="23"/>
  <c r="G3158" i="23"/>
  <c r="F3157" i="23"/>
  <c r="K3157" i="23"/>
  <c r="F3158" i="23"/>
  <c r="F3160" i="23"/>
  <c r="F3162" i="23"/>
  <c r="J3148" i="23"/>
  <c r="J3150" i="23"/>
  <c r="I3139" i="23"/>
  <c r="I3141" i="23"/>
  <c r="I3143" i="23"/>
  <c r="G3139" i="23"/>
  <c r="G3141" i="23"/>
  <c r="G3143" i="23"/>
  <c r="I3130" i="23"/>
  <c r="I3132" i="23"/>
  <c r="G3130" i="23"/>
  <c r="G3132" i="23"/>
  <c r="I3121" i="23"/>
  <c r="I3123" i="23"/>
  <c r="G3121" i="23"/>
  <c r="G3123" i="23"/>
  <c r="I3112" i="23"/>
  <c r="I3113" i="23"/>
  <c r="I3115" i="23"/>
  <c r="I3117" i="23"/>
  <c r="F3112" i="23"/>
  <c r="F3114" i="23"/>
  <c r="F3116" i="23"/>
  <c r="D3112" i="23"/>
  <c r="D3114" i="23"/>
  <c r="D3116" i="23"/>
  <c r="I3108" i="23"/>
  <c r="G3108" i="23"/>
  <c r="I3104" i="23"/>
  <c r="G3104" i="23"/>
  <c r="F3103" i="23"/>
  <c r="F3104" i="23"/>
  <c r="F3106" i="23"/>
  <c r="F3108" i="23"/>
  <c r="J3094" i="23"/>
  <c r="J3096" i="23"/>
  <c r="J3098" i="23"/>
  <c r="I3085" i="23"/>
  <c r="I3087" i="23"/>
  <c r="I3089" i="23"/>
  <c r="G3085" i="23"/>
  <c r="G3087" i="23"/>
  <c r="G3089" i="23"/>
  <c r="I3076" i="23"/>
  <c r="I3077" i="23"/>
  <c r="I3079" i="23"/>
  <c r="I3081" i="23"/>
  <c r="F3076" i="23"/>
  <c r="F3078" i="23"/>
  <c r="F3080" i="23"/>
  <c r="D3076" i="23"/>
  <c r="D3080" i="23"/>
  <c r="I3072" i="23"/>
  <c r="G3072" i="23"/>
  <c r="I3068" i="23"/>
  <c r="G3068" i="23"/>
  <c r="F3067" i="23"/>
  <c r="F3068" i="23"/>
  <c r="F3070" i="23"/>
  <c r="F3072" i="23"/>
  <c r="J3058" i="23"/>
  <c r="J3060" i="23"/>
  <c r="J3062" i="23"/>
  <c r="I3049" i="23"/>
  <c r="I3051" i="23"/>
  <c r="I3053" i="23"/>
  <c r="G3049" i="23"/>
  <c r="G3051" i="23"/>
  <c r="G3053" i="23"/>
  <c r="F3045" i="23"/>
  <c r="D3045" i="23"/>
  <c r="F3043" i="23"/>
  <c r="D3043" i="23"/>
  <c r="F3041" i="23"/>
  <c r="D3041" i="23"/>
  <c r="I3008" i="23"/>
  <c r="I3006" i="23"/>
  <c r="K3003" i="23"/>
  <c r="H2998" i="23"/>
  <c r="F2998" i="23"/>
  <c r="D2998" i="23"/>
  <c r="H2996" i="23"/>
  <c r="F2996" i="23"/>
  <c r="D2996" i="23"/>
  <c r="D2994" i="23"/>
  <c r="I2988" i="23"/>
  <c r="I2986" i="23"/>
  <c r="K2983" i="23"/>
  <c r="H2978" i="23"/>
  <c r="F2978" i="23"/>
  <c r="D2978" i="23"/>
  <c r="H2976" i="23"/>
  <c r="F2976" i="23"/>
  <c r="D2976" i="23"/>
  <c r="D2974" i="23"/>
  <c r="I2968" i="23"/>
  <c r="I2966" i="23"/>
  <c r="H2947" i="23"/>
  <c r="H2950" i="23"/>
  <c r="F2947" i="23"/>
  <c r="F2950" i="23"/>
  <c r="D2947" i="23"/>
  <c r="D2950" i="23"/>
  <c r="D2945" i="23"/>
  <c r="H2940" i="23"/>
  <c r="F2940" i="23"/>
  <c r="D2940" i="23"/>
  <c r="D2938" i="23"/>
  <c r="K2938" i="23"/>
  <c r="I2924" i="23"/>
  <c r="I2926" i="23"/>
  <c r="H2917" i="23"/>
  <c r="H2919" i="23"/>
  <c r="F2917" i="23"/>
  <c r="F2919" i="23"/>
  <c r="K2916" i="23"/>
  <c r="D2917" i="23"/>
  <c r="D2919" i="23"/>
  <c r="I2911" i="23"/>
  <c r="I2913" i="23"/>
  <c r="H2904" i="23"/>
  <c r="H2906" i="23"/>
  <c r="F2904" i="23"/>
  <c r="F2906" i="23"/>
  <c r="K2903" i="23"/>
  <c r="D2904" i="23"/>
  <c r="D2906" i="23"/>
  <c r="I2897" i="23"/>
  <c r="I2899" i="23"/>
  <c r="H2891" i="23"/>
  <c r="H2893" i="23"/>
  <c r="F2891" i="23"/>
  <c r="F2893" i="23"/>
  <c r="K2890" i="23"/>
  <c r="D2891" i="23"/>
  <c r="D2893" i="23"/>
  <c r="I2884" i="23"/>
  <c r="I2886" i="23"/>
  <c r="H2877" i="23"/>
  <c r="H2879" i="23"/>
  <c r="F2877" i="23"/>
  <c r="F2879" i="23"/>
  <c r="K2876" i="23"/>
  <c r="D2877" i="23"/>
  <c r="D2879" i="23"/>
  <c r="K2879" i="23"/>
  <c r="I2870" i="23"/>
  <c r="I2872" i="23"/>
  <c r="H2863" i="23"/>
  <c r="H2865" i="23"/>
  <c r="F2863" i="23"/>
  <c r="F2865" i="23"/>
  <c r="K2862" i="23"/>
  <c r="D2863" i="23"/>
  <c r="D2865" i="23"/>
  <c r="I2855" i="23"/>
  <c r="I2857" i="23"/>
  <c r="H2851" i="23"/>
  <c r="F2851" i="23"/>
  <c r="D2851" i="23"/>
  <c r="H2847" i="23"/>
  <c r="H2849" i="23"/>
  <c r="F2847" i="23"/>
  <c r="F2849" i="23"/>
  <c r="D2847" i="23"/>
  <c r="D2849" i="23"/>
  <c r="I2838" i="23"/>
  <c r="I2841" i="23"/>
  <c r="H2828" i="23"/>
  <c r="H2830" i="23"/>
  <c r="H2832" i="23"/>
  <c r="F2828" i="23"/>
  <c r="F2830" i="23"/>
  <c r="F2832" i="23"/>
  <c r="K2827" i="23"/>
  <c r="D2828" i="23"/>
  <c r="D2830" i="23"/>
  <c r="K2830" i="23"/>
  <c r="D2832" i="23"/>
  <c r="I2824" i="23"/>
  <c r="I2820" i="23"/>
  <c r="I2811" i="23"/>
  <c r="I2813" i="23"/>
  <c r="I2815" i="23"/>
  <c r="H2804" i="23"/>
  <c r="H2806" i="23"/>
  <c r="F2804" i="23"/>
  <c r="F2806" i="23"/>
  <c r="K2803" i="23"/>
  <c r="D2804" i="23"/>
  <c r="D2806" i="23"/>
  <c r="I2800" i="23"/>
  <c r="I2796" i="23"/>
  <c r="H2785" i="23"/>
  <c r="H2787" i="23"/>
  <c r="H2789" i="23"/>
  <c r="F2785" i="23"/>
  <c r="F2787" i="23"/>
  <c r="F2789" i="23"/>
  <c r="K2784" i="23"/>
  <c r="D2785" i="23"/>
  <c r="D2787" i="23"/>
  <c r="D2789" i="23"/>
  <c r="I2781" i="23"/>
  <c r="I2777" i="23"/>
  <c r="H2767" i="23"/>
  <c r="H2769" i="23"/>
  <c r="H2771" i="23"/>
  <c r="F2767" i="23"/>
  <c r="F2769" i="23"/>
  <c r="F2771" i="23"/>
  <c r="K2766" i="23"/>
  <c r="D2767" i="23"/>
  <c r="D2769" i="23"/>
  <c r="D2771" i="23"/>
  <c r="I2763" i="23"/>
  <c r="I2759" i="23"/>
  <c r="H2751" i="23"/>
  <c r="F2751" i="23"/>
  <c r="D2751" i="23"/>
  <c r="I2744" i="23"/>
  <c r="H2737" i="23"/>
  <c r="F2737" i="23"/>
  <c r="D2737" i="23"/>
  <c r="I2730" i="23"/>
  <c r="H2723" i="23"/>
  <c r="F2723" i="23"/>
  <c r="D2723" i="23"/>
  <c r="I2716" i="23"/>
  <c r="J2708" i="23"/>
  <c r="G2673" i="23"/>
  <c r="G2675" i="23"/>
  <c r="G2676" i="23"/>
  <c r="J3042" i="23"/>
  <c r="J3044" i="23"/>
  <c r="J3125" i="23"/>
  <c r="J3131" i="23"/>
  <c r="J3133" i="23"/>
  <c r="J3134" i="23"/>
  <c r="J3169" i="23"/>
  <c r="J3170" i="23"/>
  <c r="J3177" i="23"/>
  <c r="J3180" i="23"/>
  <c r="J3187" i="23"/>
  <c r="J3188" i="23"/>
  <c r="J3193" i="23"/>
  <c r="J3196" i="23"/>
  <c r="J3197" i="23"/>
  <c r="J3202" i="23"/>
  <c r="J3205" i="23"/>
  <c r="J3206" i="23"/>
  <c r="J3211" i="23"/>
  <c r="J3214" i="23"/>
  <c r="J3215" i="23"/>
  <c r="J3220" i="23"/>
  <c r="J3223" i="23"/>
  <c r="J3224" i="23"/>
  <c r="J3229" i="23"/>
  <c r="J3232" i="23"/>
  <c r="J3233" i="23"/>
  <c r="J3238" i="23"/>
  <c r="J3241" i="23"/>
  <c r="J3242" i="23"/>
  <c r="J3247" i="23"/>
  <c r="J3250" i="23"/>
  <c r="J3252" i="23"/>
  <c r="J3257" i="23"/>
  <c r="J3259" i="23"/>
  <c r="J3261" i="23"/>
  <c r="J3266" i="23"/>
  <c r="J3268" i="23"/>
  <c r="J3270" i="23"/>
  <c r="J3275" i="23"/>
  <c r="J3277" i="23"/>
  <c r="J3279" i="23"/>
  <c r="J3284" i="23"/>
  <c r="J3286" i="23"/>
  <c r="J3288" i="23"/>
  <c r="J3293" i="23"/>
  <c r="J3295" i="23"/>
  <c r="J3297" i="23"/>
  <c r="J3302" i="23"/>
  <c r="J3304" i="23"/>
  <c r="J3306" i="23"/>
  <c r="J3311" i="23"/>
  <c r="J3313" i="23"/>
  <c r="J3315" i="23"/>
  <c r="J3320" i="23"/>
  <c r="J3322" i="23"/>
  <c r="J3324" i="23"/>
  <c r="J3329" i="23"/>
  <c r="J3331" i="23"/>
  <c r="J3333" i="23"/>
  <c r="J3338" i="23"/>
  <c r="J3340" i="23"/>
  <c r="J3342" i="23"/>
  <c r="J3347" i="23"/>
  <c r="J3349" i="23"/>
  <c r="J3351" i="23"/>
  <c r="J3356" i="23"/>
  <c r="J3358" i="23"/>
  <c r="J3360" i="23"/>
  <c r="H3168" i="23"/>
  <c r="H3169" i="23"/>
  <c r="H3179" i="23"/>
  <c r="H3180" i="23"/>
  <c r="H3186" i="23"/>
  <c r="H3187" i="23"/>
  <c r="H3195" i="23"/>
  <c r="H3196" i="23"/>
  <c r="H3204" i="23"/>
  <c r="H3205" i="23"/>
  <c r="H3213" i="23"/>
  <c r="H3214" i="23"/>
  <c r="H3222" i="23"/>
  <c r="H3223" i="23"/>
  <c r="H3231" i="23"/>
  <c r="H3232" i="23"/>
  <c r="H3240" i="23"/>
  <c r="H3241" i="23"/>
  <c r="H3249" i="23"/>
  <c r="H3250" i="23"/>
  <c r="H3252" i="23"/>
  <c r="H3257" i="23"/>
  <c r="H3259" i="23"/>
  <c r="H3261" i="23"/>
  <c r="H3266" i="23"/>
  <c r="H3268" i="23"/>
  <c r="H3270" i="23"/>
  <c r="H3275" i="23"/>
  <c r="H3277" i="23"/>
  <c r="H3279" i="23"/>
  <c r="H3284" i="23"/>
  <c r="H3286" i="23"/>
  <c r="H3288" i="23"/>
  <c r="H3293" i="23"/>
  <c r="H3295" i="23"/>
  <c r="H3297" i="23"/>
  <c r="H3302" i="23"/>
  <c r="H3304" i="23"/>
  <c r="H3306" i="23"/>
  <c r="H3311" i="23"/>
  <c r="H3313" i="23"/>
  <c r="H3315" i="23"/>
  <c r="H3320" i="23"/>
  <c r="H3322" i="23"/>
  <c r="H3324" i="23"/>
  <c r="H3329" i="23"/>
  <c r="H3331" i="23"/>
  <c r="H3333" i="23"/>
  <c r="H3338" i="23"/>
  <c r="H3340" i="23"/>
  <c r="H3342" i="23"/>
  <c r="H3347" i="23"/>
  <c r="H3349" i="23"/>
  <c r="H3351" i="23"/>
  <c r="H3356" i="23"/>
  <c r="H3358" i="23"/>
  <c r="H3360" i="23"/>
  <c r="F3125" i="23"/>
  <c r="F3126" i="23"/>
  <c r="F3134" i="23"/>
  <c r="F3135" i="23"/>
  <c r="F3170" i="23"/>
  <c r="F3171" i="23"/>
  <c r="F3177" i="23"/>
  <c r="F3178" i="23"/>
  <c r="F3188" i="23"/>
  <c r="F3189" i="23"/>
  <c r="F3193" i="23"/>
  <c r="F3194" i="23"/>
  <c r="F3197" i="23"/>
  <c r="F3198" i="23"/>
  <c r="F3202" i="23"/>
  <c r="F3203" i="23"/>
  <c r="F3206" i="23"/>
  <c r="F3207" i="23"/>
  <c r="F3211" i="23"/>
  <c r="F3212" i="23"/>
  <c r="F3215" i="23"/>
  <c r="F3216" i="23"/>
  <c r="F3220" i="23"/>
  <c r="F3221" i="23"/>
  <c r="F3224" i="23"/>
  <c r="F3225" i="23"/>
  <c r="F3229" i="23"/>
  <c r="F3230" i="23"/>
  <c r="F3233" i="23"/>
  <c r="F3234" i="23"/>
  <c r="F3238" i="23"/>
  <c r="F3239" i="23"/>
  <c r="F3242" i="23"/>
  <c r="F3243" i="23"/>
  <c r="F3247" i="23"/>
  <c r="F3248" i="23"/>
  <c r="F3251" i="23"/>
  <c r="F3256" i="23"/>
  <c r="F3258" i="23"/>
  <c r="F3260" i="23"/>
  <c r="F3265" i="23"/>
  <c r="F3267" i="23"/>
  <c r="F3269" i="23"/>
  <c r="F3274" i="23"/>
  <c r="F3276" i="23"/>
  <c r="F3278" i="23"/>
  <c r="F3283" i="23"/>
  <c r="F3285" i="23"/>
  <c r="F3287" i="23"/>
  <c r="F3292" i="23"/>
  <c r="F3294" i="23"/>
  <c r="F3296" i="23"/>
  <c r="F3301" i="23"/>
  <c r="F3303" i="23"/>
  <c r="F3305" i="23"/>
  <c r="F3310" i="23"/>
  <c r="F3312" i="23"/>
  <c r="F3314" i="23"/>
  <c r="F3319" i="23"/>
  <c r="F3321" i="23"/>
  <c r="F3323" i="23"/>
  <c r="F3328" i="23"/>
  <c r="F3330" i="23"/>
  <c r="F3332" i="23"/>
  <c r="F3337" i="23"/>
  <c r="F3339" i="23"/>
  <c r="F3341" i="23"/>
  <c r="F3346" i="23"/>
  <c r="F3348" i="23"/>
  <c r="F3350" i="23"/>
  <c r="F3355" i="23"/>
  <c r="F3357" i="23"/>
  <c r="F3359" i="23"/>
  <c r="K2633" i="23"/>
  <c r="D3152" i="23"/>
  <c r="D3153" i="23"/>
  <c r="D3168" i="23"/>
  <c r="K3168" i="23"/>
  <c r="D3169" i="23"/>
  <c r="D3179" i="23"/>
  <c r="D3180" i="23"/>
  <c r="D3186" i="23"/>
  <c r="D3187" i="23"/>
  <c r="D3195" i="23"/>
  <c r="D3196" i="23"/>
  <c r="D3204" i="23"/>
  <c r="D3205" i="23"/>
  <c r="D3213" i="23"/>
  <c r="D3214" i="23"/>
  <c r="D3222" i="23"/>
  <c r="D3223" i="23"/>
  <c r="D3231" i="23"/>
  <c r="D3232" i="23"/>
  <c r="D3240" i="23"/>
  <c r="D3241" i="23"/>
  <c r="D3249" i="23"/>
  <c r="D3250" i="23"/>
  <c r="D3252" i="23"/>
  <c r="D3257" i="23"/>
  <c r="D3259" i="23"/>
  <c r="D3261" i="23"/>
  <c r="D3266" i="23"/>
  <c r="D3268" i="23"/>
  <c r="D3270" i="23"/>
  <c r="D3275" i="23"/>
  <c r="D3277" i="23"/>
  <c r="D3279" i="23"/>
  <c r="D3284" i="23"/>
  <c r="D3286" i="23"/>
  <c r="D3288" i="23"/>
  <c r="D3293" i="23"/>
  <c r="D3295" i="23"/>
  <c r="D3297" i="23"/>
  <c r="D3302" i="23"/>
  <c r="K3302" i="23"/>
  <c r="D3304" i="23"/>
  <c r="D3306" i="23"/>
  <c r="D3311" i="23"/>
  <c r="D3313" i="23"/>
  <c r="D3315" i="23"/>
  <c r="D3320" i="23"/>
  <c r="D3322" i="23"/>
  <c r="D3324" i="23"/>
  <c r="D3329" i="23"/>
  <c r="D3331" i="23"/>
  <c r="D3333" i="23"/>
  <c r="D3338" i="23"/>
  <c r="D3340" i="23"/>
  <c r="D3342" i="23"/>
  <c r="D3347" i="23"/>
  <c r="D3349" i="23"/>
  <c r="D3351" i="23"/>
  <c r="D3356" i="23"/>
  <c r="D3358" i="23"/>
  <c r="D3360" i="23"/>
  <c r="I2626" i="23"/>
  <c r="I2627" i="23"/>
  <c r="I2628" i="23"/>
  <c r="I2630" i="23"/>
  <c r="G2616" i="23"/>
  <c r="G2619" i="23"/>
  <c r="I2597" i="23"/>
  <c r="I2600" i="23"/>
  <c r="F2598" i="23"/>
  <c r="F2599" i="23"/>
  <c r="F2602" i="23"/>
  <c r="F2588" i="23"/>
  <c r="F2591" i="23"/>
  <c r="D2540" i="23"/>
  <c r="D2541" i="23"/>
  <c r="F2535" i="23"/>
  <c r="F2536" i="23"/>
  <c r="I2530" i="23"/>
  <c r="I2531" i="23"/>
  <c r="D2500" i="23"/>
  <c r="D2501" i="23"/>
  <c r="F2495" i="23"/>
  <c r="K2495" i="23"/>
  <c r="F2496" i="23"/>
  <c r="I2490" i="23"/>
  <c r="I2491" i="23"/>
  <c r="K2328" i="23"/>
  <c r="K2314" i="23"/>
  <c r="K2300" i="23"/>
  <c r="K2286" i="23"/>
  <c r="F2248" i="23"/>
  <c r="F2247" i="23"/>
  <c r="G2224" i="23"/>
  <c r="G2227" i="23"/>
  <c r="D2217" i="23"/>
  <c r="K2217" i="23"/>
  <c r="D2220" i="23"/>
  <c r="K2202" i="23"/>
  <c r="H2182" i="23"/>
  <c r="H2183" i="23"/>
  <c r="H2162" i="23"/>
  <c r="H2165" i="23"/>
  <c r="D2162" i="23"/>
  <c r="D2165" i="23"/>
  <c r="E2155" i="23"/>
  <c r="E2157" i="23"/>
  <c r="K2131" i="23"/>
  <c r="K2115" i="23"/>
  <c r="K2093" i="23"/>
  <c r="K2078" i="23"/>
  <c r="K2064" i="23"/>
  <c r="K2056" i="23"/>
  <c r="K2030" i="23"/>
  <c r="K2016" i="23"/>
  <c r="K2002" i="23"/>
  <c r="K1994" i="23"/>
  <c r="K1980" i="23"/>
  <c r="K1966" i="23"/>
  <c r="K1958" i="23"/>
  <c r="K1944" i="23"/>
  <c r="K1930" i="23"/>
  <c r="K1916" i="23"/>
  <c r="K1902" i="23"/>
  <c r="K1887" i="23"/>
  <c r="K1873" i="23"/>
  <c r="K1865" i="23"/>
  <c r="K1851" i="23"/>
  <c r="H1845" i="23"/>
  <c r="H1846" i="23"/>
  <c r="J1821" i="23"/>
  <c r="J1822" i="23"/>
  <c r="J1826" i="23"/>
  <c r="F1821" i="23"/>
  <c r="F1822" i="23"/>
  <c r="F1824" i="23"/>
  <c r="J1813" i="23"/>
  <c r="J1814" i="23"/>
  <c r="F1813" i="23"/>
  <c r="F1814" i="23"/>
  <c r="F1816" i="23"/>
  <c r="J1797" i="23"/>
  <c r="J1801" i="23"/>
  <c r="D1797" i="23"/>
  <c r="D1800" i="23"/>
  <c r="D1801" i="23"/>
  <c r="J1788" i="23"/>
  <c r="J1789" i="23"/>
  <c r="J1792" i="23"/>
  <c r="J1793" i="23"/>
  <c r="K1787" i="23"/>
  <c r="G1789" i="23"/>
  <c r="G1790" i="23"/>
  <c r="G1793" i="23"/>
  <c r="D1782" i="23"/>
  <c r="D1784" i="23"/>
  <c r="G1771" i="23"/>
  <c r="G1772" i="23"/>
  <c r="G1773" i="23"/>
  <c r="G1775" i="23"/>
  <c r="E1766" i="23"/>
  <c r="K1766" i="23"/>
  <c r="E1764" i="23"/>
  <c r="J1747" i="23"/>
  <c r="J1750" i="23"/>
  <c r="H1747" i="23"/>
  <c r="H1750" i="23"/>
  <c r="H1751" i="23"/>
  <c r="E1748" i="23"/>
  <c r="E1749" i="23"/>
  <c r="E1752" i="23"/>
  <c r="I1732" i="23"/>
  <c r="I1736" i="23"/>
  <c r="G1732" i="23"/>
  <c r="G1734" i="23"/>
  <c r="G1736" i="23"/>
  <c r="J1724" i="23"/>
  <c r="J1726" i="23"/>
  <c r="J1717" i="23"/>
  <c r="J1720" i="23"/>
  <c r="J1718" i="23"/>
  <c r="H1717" i="23"/>
  <c r="H1720" i="23"/>
  <c r="H1718" i="23"/>
  <c r="E1718" i="23"/>
  <c r="E1719" i="23"/>
  <c r="E1717" i="23"/>
  <c r="E1720" i="23"/>
  <c r="E1710" i="23"/>
  <c r="E1712" i="23"/>
  <c r="F1703" i="23"/>
  <c r="F1704" i="23"/>
  <c r="F1695" i="23"/>
  <c r="F1696" i="23"/>
  <c r="F1687" i="23"/>
  <c r="F1688" i="23"/>
  <c r="J1680" i="23"/>
  <c r="J1682" i="23"/>
  <c r="F1671" i="23"/>
  <c r="F1672" i="23"/>
  <c r="F1676" i="23"/>
  <c r="F1663" i="23"/>
  <c r="F1664" i="23"/>
  <c r="F1649" i="23"/>
  <c r="F1650" i="23"/>
  <c r="F1651" i="23"/>
  <c r="F1652" i="23"/>
  <c r="K1648" i="23"/>
  <c r="F1635" i="23"/>
  <c r="F1634" i="23"/>
  <c r="K1634" i="23"/>
  <c r="F1636" i="23"/>
  <c r="J1611" i="23"/>
  <c r="J1612" i="23"/>
  <c r="J1614" i="23"/>
  <c r="K2910" i="23"/>
  <c r="K2896" i="23"/>
  <c r="K2883" i="23"/>
  <c r="K2869" i="23"/>
  <c r="K2854" i="23"/>
  <c r="K2836" i="23"/>
  <c r="K2818" i="23"/>
  <c r="K2810" i="23"/>
  <c r="K2794" i="23"/>
  <c r="K2775" i="23"/>
  <c r="K2757" i="23"/>
  <c r="K2742" i="23"/>
  <c r="K2728" i="23"/>
  <c r="K2714" i="23"/>
  <c r="K2642" i="23"/>
  <c r="J2638" i="23"/>
  <c r="H2638" i="23"/>
  <c r="F2638" i="23"/>
  <c r="D2638" i="23"/>
  <c r="J2636" i="23"/>
  <c r="H2636" i="23"/>
  <c r="F2636" i="23"/>
  <c r="D2636" i="23"/>
  <c r="J2634" i="23"/>
  <c r="H2634" i="23"/>
  <c r="F2634" i="23"/>
  <c r="D2634" i="23"/>
  <c r="I2629" i="23"/>
  <c r="I2611" i="23"/>
  <c r="G2611" i="23"/>
  <c r="G2608" i="23"/>
  <c r="D2606" i="23"/>
  <c r="D2607" i="23"/>
  <c r="D2609" i="23"/>
  <c r="D2611" i="23"/>
  <c r="F2600" i="23"/>
  <c r="I2598" i="23"/>
  <c r="F2597" i="23"/>
  <c r="J2597" i="23"/>
  <c r="J2598" i="23"/>
  <c r="J2601" i="23"/>
  <c r="J2602" i="23"/>
  <c r="F2593" i="23"/>
  <c r="I2588" i="23"/>
  <c r="I2589" i="23"/>
  <c r="I2592" i="23"/>
  <c r="I2593" i="23"/>
  <c r="G2589" i="23"/>
  <c r="G2590" i="23"/>
  <c r="G2593" i="23"/>
  <c r="G2579" i="23"/>
  <c r="G2582" i="23"/>
  <c r="G2566" i="23"/>
  <c r="D2560" i="23"/>
  <c r="D2561" i="23"/>
  <c r="J2555" i="23"/>
  <c r="F2555" i="23"/>
  <c r="F2556" i="23"/>
  <c r="I2550" i="23"/>
  <c r="I2551" i="23"/>
  <c r="I2536" i="23"/>
  <c r="G2526" i="23"/>
  <c r="D2520" i="23"/>
  <c r="K2520" i="23"/>
  <c r="D2521" i="23"/>
  <c r="J2515" i="23"/>
  <c r="F2515" i="23"/>
  <c r="F2516" i="23"/>
  <c r="I2510" i="23"/>
  <c r="I2511" i="23"/>
  <c r="I2496" i="23"/>
  <c r="G2486" i="23"/>
  <c r="H2336" i="23"/>
  <c r="H2337" i="23"/>
  <c r="H2338" i="23"/>
  <c r="H2339" i="23"/>
  <c r="F2336" i="23"/>
  <c r="F2337" i="23"/>
  <c r="F2338" i="23"/>
  <c r="F2339" i="23"/>
  <c r="D2336" i="23"/>
  <c r="D2337" i="23"/>
  <c r="D2338" i="23"/>
  <c r="D2339" i="23"/>
  <c r="H2331" i="23"/>
  <c r="F2331" i="23"/>
  <c r="D2331" i="23"/>
  <c r="D2329" i="23"/>
  <c r="I2324" i="23"/>
  <c r="K2321" i="23"/>
  <c r="H2317" i="23"/>
  <c r="F2317" i="23"/>
  <c r="D2317" i="23"/>
  <c r="K2317" i="23"/>
  <c r="D2315" i="23"/>
  <c r="I2310" i="23"/>
  <c r="K2307" i="23"/>
  <c r="H2303" i="23"/>
  <c r="F2303" i="23"/>
  <c r="D2303" i="23"/>
  <c r="D2301" i="23"/>
  <c r="I2296" i="23"/>
  <c r="K2293" i="23"/>
  <c r="H2289" i="23"/>
  <c r="F2289" i="23"/>
  <c r="K2289" i="23"/>
  <c r="D2289" i="23"/>
  <c r="D2287" i="23"/>
  <c r="J2280" i="23"/>
  <c r="J2281" i="23"/>
  <c r="J2283" i="23"/>
  <c r="J2273" i="23"/>
  <c r="I2273" i="23"/>
  <c r="I2276" i="23"/>
  <c r="J2266" i="23"/>
  <c r="E2255" i="23"/>
  <c r="K2255" i="23"/>
  <c r="E2254" i="23"/>
  <c r="E2253" i="23"/>
  <c r="F2246" i="23"/>
  <c r="F2245" i="23"/>
  <c r="E2245" i="23"/>
  <c r="E2248" i="23"/>
  <c r="H2232" i="23"/>
  <c r="I2232" i="23"/>
  <c r="I2234" i="23"/>
  <c r="J2220" i="23"/>
  <c r="F2220" i="23"/>
  <c r="K2209" i="23"/>
  <c r="J2205" i="23"/>
  <c r="H2205" i="23"/>
  <c r="F2205" i="23"/>
  <c r="D2205" i="23"/>
  <c r="D2203" i="23"/>
  <c r="K2195" i="23"/>
  <c r="H2185" i="23"/>
  <c r="F2183" i="23"/>
  <c r="G2183" i="23"/>
  <c r="G2182" i="23"/>
  <c r="G2185" i="23"/>
  <c r="H2167" i="23"/>
  <c r="D2167" i="23"/>
  <c r="H2163" i="23"/>
  <c r="D2163" i="23"/>
  <c r="H2142" i="23"/>
  <c r="H2143" i="23"/>
  <c r="H2147" i="23"/>
  <c r="H2136" i="23"/>
  <c r="F2136" i="23"/>
  <c r="D2136" i="23"/>
  <c r="K2136" i="23"/>
  <c r="H2134" i="23"/>
  <c r="F2134" i="23"/>
  <c r="D2134" i="23"/>
  <c r="D2132" i="23"/>
  <c r="I2127" i="23"/>
  <c r="K2124" i="23"/>
  <c r="H2120" i="23"/>
  <c r="F2120" i="23"/>
  <c r="D2120" i="23"/>
  <c r="H2118" i="23"/>
  <c r="F2118" i="23"/>
  <c r="D2118" i="23"/>
  <c r="K2118" i="23"/>
  <c r="D2116" i="23"/>
  <c r="I2111" i="23"/>
  <c r="K2108" i="23"/>
  <c r="I2105" i="23"/>
  <c r="I2103" i="23"/>
  <c r="K2100" i="23"/>
  <c r="H2096" i="23"/>
  <c r="F2096" i="23"/>
  <c r="D2096" i="23"/>
  <c r="D2094" i="23"/>
  <c r="I2088" i="23"/>
  <c r="K2085" i="23"/>
  <c r="H2081" i="23"/>
  <c r="F2081" i="23"/>
  <c r="D2081" i="23"/>
  <c r="D2079" i="23"/>
  <c r="I2074" i="23"/>
  <c r="K2071" i="23"/>
  <c r="H2067" i="23"/>
  <c r="F2067" i="23"/>
  <c r="D2067" i="23"/>
  <c r="D2065" i="23"/>
  <c r="H2059" i="23"/>
  <c r="F2059" i="23"/>
  <c r="D2059" i="23"/>
  <c r="D2057" i="23"/>
  <c r="D2061" i="23"/>
  <c r="I2052" i="23"/>
  <c r="I2050" i="23"/>
  <c r="K2047" i="23"/>
  <c r="I2044" i="23"/>
  <c r="I2042" i="23"/>
  <c r="K2039" i="23"/>
  <c r="H2035" i="23"/>
  <c r="F2035" i="23"/>
  <c r="D2035" i="23"/>
  <c r="H2033" i="23"/>
  <c r="F2033" i="23"/>
  <c r="D2033" i="23"/>
  <c r="D2031" i="23"/>
  <c r="D2036" i="23"/>
  <c r="I2026" i="23"/>
  <c r="K2023" i="23"/>
  <c r="H2019" i="23"/>
  <c r="F2019" i="23"/>
  <c r="D2019" i="23"/>
  <c r="D2017" i="23"/>
  <c r="I2012" i="23"/>
  <c r="K2009" i="23"/>
  <c r="H2005" i="23"/>
  <c r="F2005" i="23"/>
  <c r="D2005" i="23"/>
  <c r="D2003" i="23"/>
  <c r="H1999" i="23"/>
  <c r="F1999" i="23"/>
  <c r="D1999" i="23"/>
  <c r="H1997" i="23"/>
  <c r="F1997" i="23"/>
  <c r="D1997" i="23"/>
  <c r="D1995" i="23"/>
  <c r="I1990" i="23"/>
  <c r="K1987" i="23"/>
  <c r="H1983" i="23"/>
  <c r="F1983" i="23"/>
  <c r="D1983" i="23"/>
  <c r="D1981" i="23"/>
  <c r="I1976" i="23"/>
  <c r="K1973" i="23"/>
  <c r="H1969" i="23"/>
  <c r="F1969" i="23"/>
  <c r="D1969" i="23"/>
  <c r="D1967" i="23"/>
  <c r="H1963" i="23"/>
  <c r="F1963" i="23"/>
  <c r="D1963" i="23"/>
  <c r="K1963" i="23"/>
  <c r="H1961" i="23"/>
  <c r="F1961" i="23"/>
  <c r="D1961" i="23"/>
  <c r="D1959" i="23"/>
  <c r="I1954" i="23"/>
  <c r="K1951" i="23"/>
  <c r="H1947" i="23"/>
  <c r="F1947" i="23"/>
  <c r="D1947" i="23"/>
  <c r="D1945" i="23"/>
  <c r="I1940" i="23"/>
  <c r="K1937" i="23"/>
  <c r="H1933" i="23"/>
  <c r="F1933" i="23"/>
  <c r="D1933" i="23"/>
  <c r="D1931" i="23"/>
  <c r="I1926" i="23"/>
  <c r="K1923" i="23"/>
  <c r="H1919" i="23"/>
  <c r="F1919" i="23"/>
  <c r="D1919" i="23"/>
  <c r="K1919" i="23"/>
  <c r="D1917" i="23"/>
  <c r="I1912" i="23"/>
  <c r="K1909" i="23"/>
  <c r="H1905" i="23"/>
  <c r="F1905" i="23"/>
  <c r="D1905" i="23"/>
  <c r="D1903" i="23"/>
  <c r="I1898" i="23"/>
  <c r="K1895" i="23"/>
  <c r="H1890" i="23"/>
  <c r="F1890" i="23"/>
  <c r="D1890" i="23"/>
  <c r="D1888" i="23"/>
  <c r="I1883" i="23"/>
  <c r="K1880" i="23"/>
  <c r="H1876" i="23"/>
  <c r="F1876" i="23"/>
  <c r="D1876" i="23"/>
  <c r="K1876" i="23"/>
  <c r="D1874" i="23"/>
  <c r="H1870" i="23"/>
  <c r="F1870" i="23"/>
  <c r="D1870" i="23"/>
  <c r="H1868" i="23"/>
  <c r="F1868" i="23"/>
  <c r="D1868" i="23"/>
  <c r="D1866" i="23"/>
  <c r="I1861" i="23"/>
  <c r="K1858" i="23"/>
  <c r="H1854" i="23"/>
  <c r="F1854" i="23"/>
  <c r="D1854" i="23"/>
  <c r="K1854" i="23"/>
  <c r="D1852" i="23"/>
  <c r="J1838" i="23"/>
  <c r="J1839" i="23"/>
  <c r="K1837" i="23"/>
  <c r="G1839" i="23"/>
  <c r="G1840" i="23"/>
  <c r="G1834" i="23"/>
  <c r="H1831" i="23"/>
  <c r="H1832" i="23"/>
  <c r="J1825" i="23"/>
  <c r="J1824" i="23"/>
  <c r="J1823" i="23"/>
  <c r="I1821" i="23"/>
  <c r="I1824" i="23"/>
  <c r="J1817" i="23"/>
  <c r="J1816" i="23"/>
  <c r="J1815" i="23"/>
  <c r="I1813" i="23"/>
  <c r="I1816" i="23"/>
  <c r="D1802" i="23"/>
  <c r="J1800" i="23"/>
  <c r="F1800" i="23"/>
  <c r="D1793" i="23"/>
  <c r="J1790" i="23"/>
  <c r="D1789" i="23"/>
  <c r="D1783" i="23"/>
  <c r="I1780" i="23"/>
  <c r="I1782" i="23"/>
  <c r="I1784" i="23"/>
  <c r="G1781" i="23"/>
  <c r="G1783" i="23"/>
  <c r="G1776" i="23"/>
  <c r="I1771" i="23"/>
  <c r="I1772" i="23"/>
  <c r="I1774" i="23"/>
  <c r="I1776" i="23"/>
  <c r="E1774" i="23"/>
  <c r="E1776" i="23"/>
  <c r="J1752" i="23"/>
  <c r="H1752" i="23"/>
  <c r="E1751" i="23"/>
  <c r="E1750" i="23"/>
  <c r="J1748" i="23"/>
  <c r="H1748" i="23"/>
  <c r="E1747" i="23"/>
  <c r="D1747" i="23"/>
  <c r="D1750" i="23"/>
  <c r="E1740" i="23"/>
  <c r="E1742" i="23"/>
  <c r="H1719" i="23"/>
  <c r="G1711" i="23"/>
  <c r="E1711" i="23"/>
  <c r="J1621" i="23"/>
  <c r="J1618" i="23"/>
  <c r="J1619" i="23"/>
  <c r="J1620" i="23"/>
  <c r="F1581" i="23"/>
  <c r="F1583" i="23"/>
  <c r="F1585" i="23"/>
  <c r="D1581" i="23"/>
  <c r="D1583" i="23"/>
  <c r="D1585" i="23"/>
  <c r="I1572" i="23"/>
  <c r="I1574" i="23"/>
  <c r="I1576" i="23"/>
  <c r="G1572" i="23"/>
  <c r="G1574" i="23"/>
  <c r="G1576" i="23"/>
  <c r="E1565" i="23"/>
  <c r="E1567" i="23"/>
  <c r="J1558" i="23"/>
  <c r="J1560" i="23"/>
  <c r="H1558" i="23"/>
  <c r="H1560" i="23"/>
  <c r="E1558" i="23"/>
  <c r="E1559" i="23"/>
  <c r="E1560" i="23"/>
  <c r="E1561" i="23"/>
  <c r="J1551" i="23"/>
  <c r="J1553" i="23"/>
  <c r="F1544" i="23"/>
  <c r="F1545" i="23"/>
  <c r="F1547" i="23"/>
  <c r="D1545" i="23"/>
  <c r="D1547" i="23"/>
  <c r="H1537" i="23"/>
  <c r="H1538" i="23"/>
  <c r="H1539" i="23"/>
  <c r="H1540" i="23"/>
  <c r="E1529" i="23"/>
  <c r="E1531" i="23"/>
  <c r="E1533" i="23"/>
  <c r="J1520" i="23"/>
  <c r="J1524" i="23"/>
  <c r="J1522" i="23"/>
  <c r="H1520" i="23"/>
  <c r="H1522" i="23"/>
  <c r="E1513" i="23"/>
  <c r="E1515" i="23"/>
  <c r="F1499" i="23"/>
  <c r="K1499" i="23"/>
  <c r="F1500" i="23"/>
  <c r="F1502" i="23"/>
  <c r="J1450" i="23"/>
  <c r="H121" i="22"/>
  <c r="J1451" i="23"/>
  <c r="F1443" i="23"/>
  <c r="F1444" i="23"/>
  <c r="F1446" i="23"/>
  <c r="I1422" i="23"/>
  <c r="I1425" i="23"/>
  <c r="D1422" i="23"/>
  <c r="D1423" i="23"/>
  <c r="H1408" i="23"/>
  <c r="H1409" i="23"/>
  <c r="I1402" i="23"/>
  <c r="I1401" i="23"/>
  <c r="I1404" i="23"/>
  <c r="J1395" i="23"/>
  <c r="J1396" i="23"/>
  <c r="E1380" i="23"/>
  <c r="E1381" i="23"/>
  <c r="E1374" i="23"/>
  <c r="E1373" i="23"/>
  <c r="E1376" i="23"/>
  <c r="I1366" i="23"/>
  <c r="I1369" i="23"/>
  <c r="D1366" i="23"/>
  <c r="D1367" i="23"/>
  <c r="I1357" i="23"/>
  <c r="I1360" i="23"/>
  <c r="D1357" i="23"/>
  <c r="D1358" i="23"/>
  <c r="D1361" i="23"/>
  <c r="H1342" i="23"/>
  <c r="H1343" i="23"/>
  <c r="I1336" i="23"/>
  <c r="I1335" i="23"/>
  <c r="I1338" i="23"/>
  <c r="J1328" i="23"/>
  <c r="J1329" i="23"/>
  <c r="G1305" i="23"/>
  <c r="G1306" i="23"/>
  <c r="D1297" i="23"/>
  <c r="K1297" i="23"/>
  <c r="D1298" i="23"/>
  <c r="D1299" i="23"/>
  <c r="D1300" i="23"/>
  <c r="F1282" i="23"/>
  <c r="F1285" i="23"/>
  <c r="D1253" i="23"/>
  <c r="D1255" i="23"/>
  <c r="E1246" i="23"/>
  <c r="E1248" i="23"/>
  <c r="G1208" i="23"/>
  <c r="G1210" i="23"/>
  <c r="J1194" i="23"/>
  <c r="J1196" i="23"/>
  <c r="F1194" i="23"/>
  <c r="F1196" i="23"/>
  <c r="G1121" i="23"/>
  <c r="G1122" i="23"/>
  <c r="G1123" i="23"/>
  <c r="G1124" i="23"/>
  <c r="G1126" i="23"/>
  <c r="I1113" i="23"/>
  <c r="I1114" i="23"/>
  <c r="I1115" i="23"/>
  <c r="I1116" i="23"/>
  <c r="G1112" i="23"/>
  <c r="G1114" i="23"/>
  <c r="G1115" i="23"/>
  <c r="G1117" i="23"/>
  <c r="G1094" i="23"/>
  <c r="G1096" i="23"/>
  <c r="G1098" i="23"/>
  <c r="J1085" i="23"/>
  <c r="J1087" i="23"/>
  <c r="J1089" i="23"/>
  <c r="H1085" i="23"/>
  <c r="H1087" i="23"/>
  <c r="H1089" i="23"/>
  <c r="F1085" i="23"/>
  <c r="F1087" i="23"/>
  <c r="F1089" i="23"/>
  <c r="D1085" i="23"/>
  <c r="D1087" i="23"/>
  <c r="D1089" i="23"/>
  <c r="G1078" i="23"/>
  <c r="G1080" i="23"/>
  <c r="J1071" i="23"/>
  <c r="J1073" i="23"/>
  <c r="H1071" i="23"/>
  <c r="H1073" i="23"/>
  <c r="F1071" i="23"/>
  <c r="F1073" i="23"/>
  <c r="D1071" i="23"/>
  <c r="K1071" i="23"/>
  <c r="D1073" i="23"/>
  <c r="G1064" i="23"/>
  <c r="G1066" i="23"/>
  <c r="E159" i="22"/>
  <c r="J1057" i="23"/>
  <c r="J1059" i="23"/>
  <c r="H161" i="22"/>
  <c r="H1057" i="23"/>
  <c r="H1059" i="23"/>
  <c r="F161" i="22"/>
  <c r="F1057" i="23"/>
  <c r="F1059" i="23"/>
  <c r="D161" i="22"/>
  <c r="D1057" i="23"/>
  <c r="D1059" i="23"/>
  <c r="G1050" i="23"/>
  <c r="G1052" i="23"/>
  <c r="G1039" i="23"/>
  <c r="G1036" i="23"/>
  <c r="G1037" i="23"/>
  <c r="H1015" i="23"/>
  <c r="H1016" i="23"/>
  <c r="H1018" i="23"/>
  <c r="D1015" i="23"/>
  <c r="D1018" i="23"/>
  <c r="J1011" i="23"/>
  <c r="J1009" i="23"/>
  <c r="H1008" i="23"/>
  <c r="F3" i="22"/>
  <c r="F20" i="24"/>
  <c r="H1011" i="23"/>
  <c r="I992" i="23"/>
  <c r="I994" i="23"/>
  <c r="I986" i="23"/>
  <c r="I988" i="23"/>
  <c r="G986" i="23"/>
  <c r="G988" i="23"/>
  <c r="I942" i="23"/>
  <c r="I944" i="23"/>
  <c r="I946" i="23"/>
  <c r="G942" i="23"/>
  <c r="G944" i="23"/>
  <c r="G946" i="23"/>
  <c r="E942" i="23"/>
  <c r="E944" i="23"/>
  <c r="E946" i="23"/>
  <c r="F921" i="23"/>
  <c r="F923" i="23"/>
  <c r="K920" i="23"/>
  <c r="F907" i="23"/>
  <c r="F909" i="23"/>
  <c r="K906" i="23"/>
  <c r="K892" i="23"/>
  <c r="J889" i="23"/>
  <c r="J886" i="23"/>
  <c r="H878" i="23"/>
  <c r="H879" i="23"/>
  <c r="H880" i="23"/>
  <c r="H881" i="23"/>
  <c r="H882" i="23"/>
  <c r="G855" i="23"/>
  <c r="G858" i="23"/>
  <c r="J847" i="23"/>
  <c r="J850" i="23"/>
  <c r="F839" i="23"/>
  <c r="F840" i="23"/>
  <c r="J822" i="23"/>
  <c r="J825" i="23"/>
  <c r="H823" i="23"/>
  <c r="H824" i="23"/>
  <c r="H826" i="23"/>
  <c r="D781" i="23"/>
  <c r="D782" i="23"/>
  <c r="D784" i="23"/>
  <c r="J696" i="23"/>
  <c r="J694" i="23"/>
  <c r="J695" i="23"/>
  <c r="J693" i="23"/>
  <c r="H695" i="23"/>
  <c r="H694" i="23"/>
  <c r="J633" i="23"/>
  <c r="J635" i="23"/>
  <c r="J636" i="23"/>
  <c r="H635" i="23"/>
  <c r="H633" i="23"/>
  <c r="H634" i="23"/>
  <c r="F633" i="23"/>
  <c r="F634" i="23"/>
  <c r="F635" i="23"/>
  <c r="D635" i="23"/>
  <c r="K635" i="23"/>
  <c r="D633" i="23"/>
  <c r="F627" i="23"/>
  <c r="F628" i="23"/>
  <c r="F629" i="23"/>
  <c r="F626" i="23"/>
  <c r="K625" i="23"/>
  <c r="D626" i="23"/>
  <c r="J613" i="23"/>
  <c r="J615" i="23"/>
  <c r="H533" i="23"/>
  <c r="H535" i="23"/>
  <c r="H532" i="23"/>
  <c r="H511" i="23"/>
  <c r="H513" i="23"/>
  <c r="F512" i="23"/>
  <c r="F514" i="23"/>
  <c r="H498" i="23"/>
  <c r="H500" i="23"/>
  <c r="H497" i="23"/>
  <c r="H499" i="23"/>
  <c r="D499" i="23"/>
  <c r="D497" i="23"/>
  <c r="D498" i="23"/>
  <c r="E477" i="23"/>
  <c r="E479" i="23"/>
  <c r="E476" i="23"/>
  <c r="E455" i="23"/>
  <c r="E454" i="23"/>
  <c r="E457" i="23"/>
  <c r="J433" i="23"/>
  <c r="J435" i="23"/>
  <c r="H433" i="23"/>
  <c r="H435" i="23"/>
  <c r="I376" i="23"/>
  <c r="I377" i="23"/>
  <c r="I378" i="23"/>
  <c r="I379" i="23"/>
  <c r="I370" i="23"/>
  <c r="I371" i="23"/>
  <c r="I372" i="23"/>
  <c r="J271" i="23"/>
  <c r="J272" i="23"/>
  <c r="J274" i="23"/>
  <c r="G272" i="23"/>
  <c r="G274" i="23"/>
  <c r="G273" i="23"/>
  <c r="G275" i="23"/>
  <c r="E271" i="23"/>
  <c r="E273" i="23"/>
  <c r="E275" i="23"/>
  <c r="H215" i="23"/>
  <c r="H216" i="23"/>
  <c r="H1740" i="23"/>
  <c r="H1741" i="23"/>
  <c r="H1742" i="23"/>
  <c r="E1732" i="23"/>
  <c r="E1734" i="23"/>
  <c r="E1736" i="23"/>
  <c r="I1724" i="23"/>
  <c r="I1725" i="23"/>
  <c r="I1727" i="23"/>
  <c r="D1717" i="23"/>
  <c r="D1720" i="23"/>
  <c r="H1710" i="23"/>
  <c r="H1711" i="23"/>
  <c r="H1712" i="23"/>
  <c r="H1713" i="23"/>
  <c r="I1680" i="23"/>
  <c r="I1681" i="23"/>
  <c r="I1683" i="23"/>
  <c r="J1635" i="23"/>
  <c r="J1633" i="23"/>
  <c r="J1634" i="23"/>
  <c r="J1636" i="23"/>
  <c r="E1633" i="23"/>
  <c r="E1635" i="23"/>
  <c r="E1637" i="23"/>
  <c r="J1627" i="23"/>
  <c r="J1626" i="23"/>
  <c r="F1621" i="23"/>
  <c r="F1618" i="23"/>
  <c r="I1611" i="23"/>
  <c r="I1614" i="23"/>
  <c r="F1612" i="23"/>
  <c r="F1613" i="23"/>
  <c r="F1584" i="23"/>
  <c r="D1584" i="23"/>
  <c r="J1581" i="23"/>
  <c r="J1583" i="23"/>
  <c r="J1585" i="23"/>
  <c r="F1572" i="23"/>
  <c r="F1573" i="23"/>
  <c r="F1575" i="23"/>
  <c r="F1577" i="23"/>
  <c r="D1573" i="23"/>
  <c r="D1575" i="23"/>
  <c r="D1577" i="23"/>
  <c r="G1566" i="23"/>
  <c r="E1566" i="23"/>
  <c r="H1565" i="23"/>
  <c r="H1566" i="23"/>
  <c r="H1567" i="23"/>
  <c r="H1568" i="23"/>
  <c r="I1551" i="23"/>
  <c r="I1552" i="23"/>
  <c r="I1554" i="23"/>
  <c r="F1551" i="23"/>
  <c r="F1553" i="23"/>
  <c r="D1551" i="23"/>
  <c r="D1553" i="23"/>
  <c r="I1544" i="23"/>
  <c r="I1546" i="23"/>
  <c r="G1544" i="23"/>
  <c r="G1546" i="23"/>
  <c r="E1537" i="23"/>
  <c r="E1539" i="23"/>
  <c r="G1530" i="23"/>
  <c r="E1530" i="23"/>
  <c r="H1529" i="23"/>
  <c r="H1530" i="23"/>
  <c r="H1531" i="23"/>
  <c r="H1532" i="23"/>
  <c r="H1533" i="23"/>
  <c r="G1514" i="23"/>
  <c r="E1514" i="23"/>
  <c r="H1513" i="23"/>
  <c r="H1514" i="23"/>
  <c r="H1515" i="23"/>
  <c r="H1516" i="23"/>
  <c r="H1502" i="23"/>
  <c r="H1501" i="23"/>
  <c r="I1500" i="23"/>
  <c r="I1501" i="23"/>
  <c r="I1502" i="23"/>
  <c r="F1478" i="23"/>
  <c r="F1481" i="23"/>
  <c r="E1458" i="23"/>
  <c r="E1460" i="23"/>
  <c r="J1453" i="23"/>
  <c r="I1450" i="23"/>
  <c r="I1453" i="23"/>
  <c r="F1452" i="23"/>
  <c r="F1453" i="23"/>
  <c r="D1450" i="23"/>
  <c r="D1453" i="23"/>
  <c r="I1443" i="23"/>
  <c r="I1445" i="23"/>
  <c r="I1423" i="23"/>
  <c r="J1423" i="23"/>
  <c r="J1424" i="23"/>
  <c r="D1418" i="23"/>
  <c r="F1410" i="23"/>
  <c r="E1408" i="23"/>
  <c r="E1409" i="23"/>
  <c r="F1402" i="23"/>
  <c r="E1402" i="23"/>
  <c r="K1402" i="23"/>
  <c r="E1401" i="23"/>
  <c r="E1404" i="23"/>
  <c r="J1397" i="23"/>
  <c r="J1394" i="23"/>
  <c r="I1394" i="23"/>
  <c r="I1397" i="23"/>
  <c r="D1394" i="23"/>
  <c r="D1395" i="23"/>
  <c r="K1386" i="23"/>
  <c r="H1380" i="23"/>
  <c r="H1381" i="23"/>
  <c r="I1374" i="23"/>
  <c r="I1373" i="23"/>
  <c r="I1376" i="23"/>
  <c r="I1367" i="23"/>
  <c r="J1367" i="23"/>
  <c r="J1368" i="23"/>
  <c r="I1358" i="23"/>
  <c r="J1358" i="23"/>
  <c r="J1359" i="23"/>
  <c r="J1361" i="23"/>
  <c r="D1353" i="23"/>
  <c r="F1344" i="23"/>
  <c r="E1342" i="23"/>
  <c r="E1343" i="23"/>
  <c r="F1336" i="23"/>
  <c r="E1336" i="23"/>
  <c r="E1335" i="23"/>
  <c r="E1338" i="23"/>
  <c r="J1330" i="23"/>
  <c r="J1327" i="23"/>
  <c r="I1327" i="23"/>
  <c r="I1330" i="23"/>
  <c r="D1327" i="23"/>
  <c r="D1328" i="23"/>
  <c r="I1321" i="23"/>
  <c r="I1323" i="23"/>
  <c r="I1312" i="23"/>
  <c r="I1314" i="23"/>
  <c r="H1290" i="23"/>
  <c r="H1291" i="23"/>
  <c r="H1293" i="23"/>
  <c r="F1283" i="23"/>
  <c r="E1270" i="23"/>
  <c r="H1255" i="23"/>
  <c r="F1255" i="23"/>
  <c r="I1252" i="23"/>
  <c r="I1255" i="23"/>
  <c r="E1247" i="23"/>
  <c r="H1207" i="23"/>
  <c r="H1208" i="23"/>
  <c r="H1209" i="23"/>
  <c r="H1196" i="23"/>
  <c r="J1179" i="23"/>
  <c r="J1181" i="23"/>
  <c r="H1179" i="23"/>
  <c r="F171" i="22"/>
  <c r="H1181" i="23"/>
  <c r="E1124" i="23"/>
  <c r="I1123" i="23"/>
  <c r="I1121" i="23"/>
  <c r="G1113" i="23"/>
  <c r="I1112" i="23"/>
  <c r="I1099" i="23"/>
  <c r="G1099" i="23"/>
  <c r="E1099" i="23"/>
  <c r="I1098" i="23"/>
  <c r="E1096" i="23"/>
  <c r="I1095" i="23"/>
  <c r="G1095" i="23"/>
  <c r="E1080" i="23"/>
  <c r="I1079" i="23"/>
  <c r="G1079" i="23"/>
  <c r="E1066" i="23"/>
  <c r="C159" i="22"/>
  <c r="I1065" i="23"/>
  <c r="G1065" i="23"/>
  <c r="E1052" i="23"/>
  <c r="I1051" i="23"/>
  <c r="G1051" i="23"/>
  <c r="G1044" i="23"/>
  <c r="G1045" i="23"/>
  <c r="J1031" i="23"/>
  <c r="J1029" i="23"/>
  <c r="I1029" i="23"/>
  <c r="F1018" i="23"/>
  <c r="D1016" i="23"/>
  <c r="J1008" i="23"/>
  <c r="I1004" i="23"/>
  <c r="H1000" i="23"/>
  <c r="H1004" i="23"/>
  <c r="I996" i="23"/>
  <c r="G996" i="23"/>
  <c r="E996" i="23"/>
  <c r="I993" i="23"/>
  <c r="G993" i="23"/>
  <c r="E993" i="23"/>
  <c r="G992" i="23"/>
  <c r="E992" i="23"/>
  <c r="J993" i="23"/>
  <c r="J996" i="23"/>
  <c r="F985" i="23"/>
  <c r="F987" i="23"/>
  <c r="I978" i="23"/>
  <c r="I980" i="23"/>
  <c r="G978" i="23"/>
  <c r="G980" i="23"/>
  <c r="E978" i="23"/>
  <c r="E980" i="23"/>
  <c r="J971" i="23"/>
  <c r="H135" i="22"/>
  <c r="J973" i="23"/>
  <c r="H971" i="23"/>
  <c r="F135" i="22"/>
  <c r="H973" i="23"/>
  <c r="F971" i="23"/>
  <c r="F973" i="23"/>
  <c r="K973" i="23"/>
  <c r="D971" i="23"/>
  <c r="D973" i="23"/>
  <c r="G964" i="23"/>
  <c r="G966" i="23"/>
  <c r="E964" i="23"/>
  <c r="E966" i="23"/>
  <c r="J957" i="23"/>
  <c r="J959" i="23"/>
  <c r="H957" i="23"/>
  <c r="H959" i="23"/>
  <c r="F957" i="23"/>
  <c r="F959" i="23"/>
  <c r="D957" i="23"/>
  <c r="D959" i="23"/>
  <c r="I950" i="23"/>
  <c r="G131" i="22"/>
  <c r="I952" i="23"/>
  <c r="G950" i="23"/>
  <c r="G952" i="23"/>
  <c r="E950" i="23"/>
  <c r="C131" i="22"/>
  <c r="E952" i="23"/>
  <c r="I943" i="23"/>
  <c r="G943" i="23"/>
  <c r="E943" i="23"/>
  <c r="D930" i="23"/>
  <c r="D931" i="23"/>
  <c r="D916" i="23"/>
  <c r="D917" i="23"/>
  <c r="H895" i="23"/>
  <c r="F895" i="23"/>
  <c r="D895" i="23"/>
  <c r="D893" i="23"/>
  <c r="G886" i="23"/>
  <c r="E63" i="22"/>
  <c r="G887" i="23"/>
  <c r="G889" i="23"/>
  <c r="F879" i="23"/>
  <c r="D153" i="22"/>
  <c r="F881" i="23"/>
  <c r="D879" i="23"/>
  <c r="D881" i="23"/>
  <c r="F855" i="23"/>
  <c r="F856" i="23"/>
  <c r="D847" i="23"/>
  <c r="D848" i="23"/>
  <c r="F842" i="23"/>
  <c r="G839" i="23"/>
  <c r="G842" i="23"/>
  <c r="G843" i="23"/>
  <c r="E11" i="22"/>
  <c r="E4" i="24"/>
  <c r="F832" i="23"/>
  <c r="F831" i="23"/>
  <c r="J826" i="23"/>
  <c r="H825" i="23"/>
  <c r="G822" i="23"/>
  <c r="G825" i="23"/>
  <c r="G827" i="23"/>
  <c r="J813" i="23"/>
  <c r="J815" i="23"/>
  <c r="J817" i="23"/>
  <c r="H813" i="23"/>
  <c r="H815" i="23"/>
  <c r="H817" i="23"/>
  <c r="E813" i="23"/>
  <c r="E814" i="23"/>
  <c r="E815" i="23"/>
  <c r="E816" i="23"/>
  <c r="E817" i="23"/>
  <c r="E818" i="23"/>
  <c r="J805" i="23"/>
  <c r="J807" i="23"/>
  <c r="J809" i="23"/>
  <c r="H805" i="23"/>
  <c r="H807" i="23"/>
  <c r="H809" i="23"/>
  <c r="E805" i="23"/>
  <c r="E806" i="23"/>
  <c r="E807" i="23"/>
  <c r="E808" i="23"/>
  <c r="E809" i="23"/>
  <c r="I798" i="23"/>
  <c r="I800" i="23"/>
  <c r="I801" i="23"/>
  <c r="E798" i="23"/>
  <c r="E800" i="23"/>
  <c r="G782" i="23"/>
  <c r="G784" i="23"/>
  <c r="E783" i="23"/>
  <c r="E785" i="23"/>
  <c r="I776" i="23"/>
  <c r="I774" i="23"/>
  <c r="H759" i="23"/>
  <c r="H757" i="23"/>
  <c r="H760" i="23"/>
  <c r="F742" i="23"/>
  <c r="F743" i="23"/>
  <c r="D742" i="23"/>
  <c r="D743" i="23"/>
  <c r="D745" i="23"/>
  <c r="I735" i="23"/>
  <c r="I737" i="23"/>
  <c r="G735" i="23"/>
  <c r="G737" i="23"/>
  <c r="E728" i="23"/>
  <c r="E730" i="23"/>
  <c r="E731" i="23"/>
  <c r="K731" i="23"/>
  <c r="E729" i="23"/>
  <c r="H672" i="23"/>
  <c r="H668" i="23"/>
  <c r="H669" i="23"/>
  <c r="H670" i="23"/>
  <c r="D634" i="23"/>
  <c r="H605" i="23"/>
  <c r="H607" i="23"/>
  <c r="F606" i="23"/>
  <c r="F605" i="23"/>
  <c r="G597" i="23"/>
  <c r="G600" i="23"/>
  <c r="J590" i="23"/>
  <c r="J592" i="23"/>
  <c r="H590" i="23"/>
  <c r="H592" i="23"/>
  <c r="H589" i="23"/>
  <c r="H591" i="23"/>
  <c r="D590" i="23"/>
  <c r="D591" i="23"/>
  <c r="J582" i="23"/>
  <c r="J585" i="23"/>
  <c r="J574" i="23"/>
  <c r="J575" i="23"/>
  <c r="J576" i="23"/>
  <c r="K573" i="23"/>
  <c r="G575" i="23"/>
  <c r="G576" i="23"/>
  <c r="D577" i="23"/>
  <c r="D575" i="23"/>
  <c r="D567" i="23"/>
  <c r="D568" i="23"/>
  <c r="F553" i="23"/>
  <c r="F556" i="23"/>
  <c r="D554" i="23"/>
  <c r="D553" i="23"/>
  <c r="D556" i="23"/>
  <c r="K556" i="23"/>
  <c r="I546" i="23"/>
  <c r="I549" i="23"/>
  <c r="I547" i="23"/>
  <c r="E548" i="23"/>
  <c r="E549" i="23"/>
  <c r="K549" i="23"/>
  <c r="D539" i="23"/>
  <c r="D540" i="23"/>
  <c r="D542" i="23"/>
  <c r="G525" i="23"/>
  <c r="G527" i="23"/>
  <c r="G526" i="23"/>
  <c r="E525" i="23"/>
  <c r="E526" i="23"/>
  <c r="J519" i="23"/>
  <c r="J518" i="23"/>
  <c r="F519" i="23"/>
  <c r="F518" i="23"/>
  <c r="F520" i="23"/>
  <c r="H514" i="23"/>
  <c r="J483" i="23"/>
  <c r="J484" i="23"/>
  <c r="J485" i="23"/>
  <c r="J486" i="23"/>
  <c r="G463" i="23"/>
  <c r="G462" i="23"/>
  <c r="K461" i="23"/>
  <c r="G458" i="23"/>
  <c r="G455" i="23"/>
  <c r="G454" i="23"/>
  <c r="G457" i="23"/>
  <c r="I287" i="23"/>
  <c r="I289" i="23"/>
  <c r="I291" i="23"/>
  <c r="G287" i="23"/>
  <c r="G288" i="23"/>
  <c r="G289" i="23"/>
  <c r="G290" i="23"/>
  <c r="G291" i="23"/>
  <c r="D288" i="23"/>
  <c r="D290" i="23"/>
  <c r="G742" i="23"/>
  <c r="G743" i="23"/>
  <c r="G744" i="23"/>
  <c r="G745" i="23"/>
  <c r="K734" i="23"/>
  <c r="D728" i="23"/>
  <c r="D729" i="23"/>
  <c r="E721" i="23"/>
  <c r="E722" i="23"/>
  <c r="I670" i="23"/>
  <c r="I671" i="23"/>
  <c r="I672" i="23"/>
  <c r="G670" i="23"/>
  <c r="G671" i="23"/>
  <c r="D671" i="23"/>
  <c r="D672" i="23"/>
  <c r="J662" i="23"/>
  <c r="J664" i="23"/>
  <c r="G662" i="23"/>
  <c r="G664" i="23"/>
  <c r="K660" i="23"/>
  <c r="E663" i="23"/>
  <c r="J655" i="23"/>
  <c r="J656" i="23"/>
  <c r="J657" i="23"/>
  <c r="H655" i="23"/>
  <c r="H656" i="23"/>
  <c r="H657" i="23"/>
  <c r="F655" i="23"/>
  <c r="F656" i="23"/>
  <c r="F657" i="23"/>
  <c r="K653" i="23"/>
  <c r="D655" i="23"/>
  <c r="D656" i="23"/>
  <c r="D657" i="23"/>
  <c r="J640" i="23"/>
  <c r="J643" i="23"/>
  <c r="I633" i="23"/>
  <c r="I634" i="23"/>
  <c r="I636" i="23"/>
  <c r="E633" i="23"/>
  <c r="E636" i="23"/>
  <c r="G605" i="23"/>
  <c r="G608" i="23"/>
  <c r="E605" i="23"/>
  <c r="E606" i="23"/>
  <c r="H597" i="23"/>
  <c r="H598" i="23"/>
  <c r="H599" i="23"/>
  <c r="H601" i="23"/>
  <c r="I590" i="23"/>
  <c r="I589" i="23"/>
  <c r="I591" i="23"/>
  <c r="G589" i="23"/>
  <c r="G591" i="23"/>
  <c r="G556" i="23"/>
  <c r="G554" i="23"/>
  <c r="G555" i="23"/>
  <c r="J547" i="23"/>
  <c r="J548" i="23"/>
  <c r="F546" i="23"/>
  <c r="F547" i="23"/>
  <c r="D546" i="23"/>
  <c r="D548" i="23"/>
  <c r="K548" i="23"/>
  <c r="I519" i="23"/>
  <c r="I521" i="23"/>
  <c r="G511" i="23"/>
  <c r="G512" i="23"/>
  <c r="G514" i="23"/>
  <c r="H506" i="23"/>
  <c r="H507" i="23"/>
  <c r="F505" i="23"/>
  <c r="F504" i="23"/>
  <c r="F476" i="23"/>
  <c r="F478" i="23"/>
  <c r="D479" i="23"/>
  <c r="D477" i="23"/>
  <c r="K477" i="23"/>
  <c r="H462" i="23"/>
  <c r="H464" i="23"/>
  <c r="K464" i="23"/>
  <c r="I404" i="23"/>
  <c r="I407" i="23"/>
  <c r="F405" i="23"/>
  <c r="F407" i="23"/>
  <c r="D390" i="23"/>
  <c r="D391" i="23"/>
  <c r="D392" i="23"/>
  <c r="B55" i="22"/>
  <c r="D393" i="23"/>
  <c r="J354" i="23"/>
  <c r="J357" i="23"/>
  <c r="J356" i="23"/>
  <c r="J358" i="23"/>
  <c r="D354" i="23"/>
  <c r="D357" i="23"/>
  <c r="D355" i="23"/>
  <c r="D356" i="23"/>
  <c r="K356" i="23"/>
  <c r="D358" i="23"/>
  <c r="H340" i="23"/>
  <c r="H339" i="23"/>
  <c r="H332" i="23"/>
  <c r="H333" i="23"/>
  <c r="H334" i="23"/>
  <c r="H335" i="23"/>
  <c r="I318" i="23"/>
  <c r="I319" i="23"/>
  <c r="I321" i="23"/>
  <c r="F318" i="23"/>
  <c r="F320" i="23"/>
  <c r="D318" i="23"/>
  <c r="D320" i="23"/>
  <c r="I311" i="23"/>
  <c r="I313" i="23"/>
  <c r="G311" i="23"/>
  <c r="G313" i="23"/>
  <c r="J303" i="23"/>
  <c r="J305" i="23"/>
  <c r="J307" i="23"/>
  <c r="H303" i="23"/>
  <c r="H305" i="23"/>
  <c r="H307" i="23"/>
  <c r="E303" i="23"/>
  <c r="K303" i="23"/>
  <c r="E304" i="23"/>
  <c r="E305" i="23"/>
  <c r="E306" i="23"/>
  <c r="E307" i="23"/>
  <c r="I295" i="23"/>
  <c r="I297" i="23"/>
  <c r="I299" i="23"/>
  <c r="G295" i="23"/>
  <c r="G297" i="23"/>
  <c r="G299" i="23"/>
  <c r="F279" i="23"/>
  <c r="F280" i="23"/>
  <c r="F281" i="23"/>
  <c r="F282" i="23"/>
  <c r="F283" i="23"/>
  <c r="D279" i="23"/>
  <c r="D281" i="23"/>
  <c r="D283" i="23"/>
  <c r="E152" i="23"/>
  <c r="E151" i="23"/>
  <c r="J142" i="23"/>
  <c r="J144" i="23"/>
  <c r="J134" i="23"/>
  <c r="J136" i="23"/>
  <c r="J138" i="23"/>
  <c r="D78" i="23"/>
  <c r="B49" i="22"/>
  <c r="D81" i="23"/>
  <c r="H38" i="23"/>
  <c r="H41" i="23"/>
  <c r="I30" i="23"/>
  <c r="I32" i="23"/>
  <c r="I34" i="23"/>
  <c r="G30" i="23"/>
  <c r="G32" i="23"/>
  <c r="G34" i="23"/>
  <c r="H23" i="23"/>
  <c r="H24" i="23"/>
  <c r="F23" i="23"/>
  <c r="F24" i="23"/>
  <c r="F26" i="23"/>
  <c r="D25" i="23"/>
  <c r="D26" i="23"/>
  <c r="D24" i="23"/>
  <c r="F15" i="23"/>
  <c r="F17" i="23"/>
  <c r="F19" i="23"/>
  <c r="K14" i="23"/>
  <c r="D15" i="23"/>
  <c r="D17" i="23"/>
  <c r="D19" i="23"/>
  <c r="G432" i="23"/>
  <c r="G433" i="23"/>
  <c r="G435" i="23"/>
  <c r="H425" i="23"/>
  <c r="H426" i="23"/>
  <c r="F418" i="23"/>
  <c r="F419" i="23"/>
  <c r="F421" i="23"/>
  <c r="J405" i="23"/>
  <c r="J407" i="23"/>
  <c r="E405" i="23"/>
  <c r="E404" i="23"/>
  <c r="D384" i="23"/>
  <c r="D386" i="23"/>
  <c r="H377" i="23"/>
  <c r="H379" i="23"/>
  <c r="E362" i="23"/>
  <c r="E364" i="23"/>
  <c r="J346" i="23"/>
  <c r="J348" i="23"/>
  <c r="J350" i="23"/>
  <c r="E332" i="23"/>
  <c r="E334" i="23"/>
  <c r="J325" i="23"/>
  <c r="J327" i="23"/>
  <c r="H325" i="23"/>
  <c r="H327" i="23"/>
  <c r="E325" i="23"/>
  <c r="E326" i="23"/>
  <c r="E327" i="23"/>
  <c r="K327" i="23"/>
  <c r="E328" i="23"/>
  <c r="J318" i="23"/>
  <c r="J320" i="23"/>
  <c r="F311" i="23"/>
  <c r="F312" i="23"/>
  <c r="F314" i="23"/>
  <c r="D312" i="23"/>
  <c r="D314" i="23"/>
  <c r="F295" i="23"/>
  <c r="F296" i="23"/>
  <c r="F298" i="23"/>
  <c r="D296" i="23"/>
  <c r="K296" i="23"/>
  <c r="D298" i="23"/>
  <c r="I248" i="23"/>
  <c r="I251" i="23"/>
  <c r="G250" i="23"/>
  <c r="G247" i="23"/>
  <c r="G249" i="23"/>
  <c r="G103" i="23"/>
  <c r="G104" i="23"/>
  <c r="F94" i="23"/>
  <c r="F97" i="23"/>
  <c r="J217" i="23"/>
  <c r="J218" i="23"/>
  <c r="H217" i="23"/>
  <c r="H218" i="23"/>
  <c r="H63" i="23"/>
  <c r="H65" i="23"/>
  <c r="F46" i="23"/>
  <c r="F47" i="23"/>
  <c r="F49" i="23"/>
  <c r="D46" i="23"/>
  <c r="D47" i="23"/>
  <c r="D49" i="23"/>
  <c r="H25" i="23"/>
  <c r="I142" i="23"/>
  <c r="I143" i="23"/>
  <c r="I145" i="23"/>
  <c r="F142" i="23"/>
  <c r="F144" i="23"/>
  <c r="D142" i="23"/>
  <c r="D144" i="23"/>
  <c r="D146" i="23"/>
  <c r="I134" i="23"/>
  <c r="I135" i="23"/>
  <c r="I137" i="23"/>
  <c r="F134" i="23"/>
  <c r="F136" i="23"/>
  <c r="F138" i="23"/>
  <c r="D134" i="23"/>
  <c r="D136" i="23"/>
  <c r="K136" i="23"/>
  <c r="D138" i="23"/>
  <c r="G127" i="23"/>
  <c r="G129" i="23"/>
  <c r="F118" i="23"/>
  <c r="F120" i="23"/>
  <c r="F122" i="23"/>
  <c r="D102" i="23"/>
  <c r="D103" i="23"/>
  <c r="K103" i="23"/>
  <c r="I94" i="23"/>
  <c r="I95" i="23"/>
  <c r="I98" i="23"/>
  <c r="G95" i="23"/>
  <c r="G96" i="23"/>
  <c r="H78" i="23"/>
  <c r="H79" i="23"/>
  <c r="H81" i="23"/>
  <c r="I63" i="23"/>
  <c r="I64" i="23"/>
  <c r="I65" i="23"/>
  <c r="G46" i="23"/>
  <c r="G47" i="23"/>
  <c r="G49" i="23"/>
  <c r="G23" i="23"/>
  <c r="G26" i="23"/>
  <c r="I7" i="23"/>
  <c r="G107" i="22"/>
  <c r="I9" i="23"/>
  <c r="I11" i="23"/>
  <c r="H2252" i="23"/>
  <c r="H2253" i="23"/>
  <c r="H2255" i="23"/>
  <c r="J2210" i="23"/>
  <c r="J2212" i="23"/>
  <c r="H2210" i="23"/>
  <c r="H2212" i="23"/>
  <c r="F2210" i="23"/>
  <c r="F2212" i="23"/>
  <c r="D2210" i="23"/>
  <c r="D2212" i="23"/>
  <c r="F2203" i="23"/>
  <c r="F2204" i="23"/>
  <c r="F2206" i="23"/>
  <c r="D2204" i="23"/>
  <c r="K2204" i="23"/>
  <c r="D2206" i="23"/>
  <c r="I2196" i="23"/>
  <c r="I2198" i="23"/>
  <c r="G2196" i="23"/>
  <c r="G2198" i="23"/>
  <c r="E2196" i="23"/>
  <c r="E2198" i="23"/>
  <c r="D2182" i="23"/>
  <c r="D2185" i="23"/>
  <c r="J2145" i="23"/>
  <c r="J2142" i="23"/>
  <c r="J2146" i="23"/>
  <c r="F2143" i="23"/>
  <c r="K2143" i="23"/>
  <c r="F2144" i="23"/>
  <c r="I2133" i="23"/>
  <c r="I2134" i="23"/>
  <c r="I2137" i="23"/>
  <c r="J2126" i="23"/>
  <c r="J2127" i="23"/>
  <c r="I2117" i="23"/>
  <c r="I2118" i="23"/>
  <c r="I2121" i="23"/>
  <c r="J2110" i="23"/>
  <c r="J2111" i="23"/>
  <c r="J2102" i="23"/>
  <c r="J2103" i="23"/>
  <c r="F2094" i="23"/>
  <c r="F2095" i="23"/>
  <c r="H2088" i="23"/>
  <c r="H2089" i="23"/>
  <c r="F2088" i="23"/>
  <c r="F2089" i="23"/>
  <c r="D2088" i="23"/>
  <c r="K2088" i="23"/>
  <c r="D2089" i="23"/>
  <c r="H2079" i="23"/>
  <c r="H2082" i="23"/>
  <c r="E2080" i="23"/>
  <c r="E2081" i="23"/>
  <c r="I2072" i="23"/>
  <c r="I2075" i="23"/>
  <c r="G2074" i="23"/>
  <c r="G2075" i="23"/>
  <c r="E2074" i="23"/>
  <c r="E2075" i="23"/>
  <c r="J2066" i="23"/>
  <c r="J2067" i="23"/>
  <c r="G2067" i="23"/>
  <c r="G2068" i="23"/>
  <c r="I2058" i="23"/>
  <c r="I2059" i="23"/>
  <c r="E2058" i="23"/>
  <c r="E2059" i="23"/>
  <c r="H2050" i="23"/>
  <c r="H2051" i="23"/>
  <c r="F2050" i="23"/>
  <c r="F2051" i="23"/>
  <c r="D2050" i="23"/>
  <c r="D2051" i="23"/>
  <c r="H2042" i="23"/>
  <c r="H2043" i="23"/>
  <c r="F2042" i="23"/>
  <c r="F2043" i="23"/>
  <c r="D2042" i="23"/>
  <c r="D2043" i="23"/>
  <c r="I2034" i="23"/>
  <c r="I2035" i="23"/>
  <c r="E2034" i="23"/>
  <c r="E2035" i="23"/>
  <c r="I2024" i="23"/>
  <c r="I2027" i="23"/>
  <c r="G2026" i="23"/>
  <c r="G2027" i="23"/>
  <c r="E2026" i="23"/>
  <c r="E2027" i="23"/>
  <c r="J2018" i="23"/>
  <c r="J2019" i="23"/>
  <c r="G2019" i="23"/>
  <c r="G2020" i="23"/>
  <c r="I2004" i="23"/>
  <c r="I2005" i="23"/>
  <c r="F1995" i="23"/>
  <c r="K1995" i="23"/>
  <c r="F1996" i="23"/>
  <c r="H1990" i="23"/>
  <c r="H1991" i="23"/>
  <c r="F1990" i="23"/>
  <c r="F1991" i="23"/>
  <c r="D1990" i="23"/>
  <c r="D1991" i="23"/>
  <c r="K1991" i="23"/>
  <c r="H1981" i="23"/>
  <c r="H1984" i="23"/>
  <c r="E1982" i="23"/>
  <c r="E1983" i="23"/>
  <c r="I1974" i="23"/>
  <c r="I1977" i="23"/>
  <c r="G1976" i="23"/>
  <c r="G1977" i="23"/>
  <c r="E1976" i="23"/>
  <c r="E1977" i="23"/>
  <c r="J1968" i="23"/>
  <c r="J1969" i="23"/>
  <c r="G1969" i="23"/>
  <c r="G1970" i="23"/>
  <c r="I1960" i="23"/>
  <c r="I1961" i="23"/>
  <c r="J1953" i="23"/>
  <c r="J1954" i="23"/>
  <c r="F1945" i="23"/>
  <c r="F1946" i="23"/>
  <c r="H1940" i="23"/>
  <c r="H1941" i="23"/>
  <c r="F1940" i="23"/>
  <c r="F1941" i="23"/>
  <c r="K1941" i="23"/>
  <c r="D1940" i="23"/>
  <c r="D1941" i="23"/>
  <c r="H1931" i="23"/>
  <c r="H1934" i="23"/>
  <c r="E1932" i="23"/>
  <c r="E1933" i="23"/>
  <c r="I1924" i="23"/>
  <c r="I1927" i="23"/>
  <c r="G1926" i="23"/>
  <c r="G1927" i="23"/>
  <c r="D3185" i="23"/>
  <c r="J3176" i="23"/>
  <c r="D3167" i="23"/>
  <c r="J3162" i="23"/>
  <c r="J3161" i="23"/>
  <c r="J3158" i="23"/>
  <c r="H3153" i="23"/>
  <c r="H3152" i="23"/>
  <c r="H3151" i="23"/>
  <c r="E3150" i="23"/>
  <c r="I3144" i="23"/>
  <c r="G3144" i="23"/>
  <c r="D3144" i="23"/>
  <c r="E3142" i="23"/>
  <c r="D3140" i="23"/>
  <c r="I3133" i="23"/>
  <c r="G3133" i="23"/>
  <c r="D3133" i="23"/>
  <c r="D3131" i="23"/>
  <c r="E3124" i="23"/>
  <c r="D3122" i="23"/>
  <c r="J3108" i="23"/>
  <c r="J3107" i="23"/>
  <c r="J3104" i="23"/>
  <c r="H3099" i="23"/>
  <c r="E3098" i="23"/>
  <c r="H3097" i="23"/>
  <c r="E3096" i="23"/>
  <c r="I3090" i="23"/>
  <c r="G3090" i="23"/>
  <c r="D3090" i="23"/>
  <c r="E3088" i="23"/>
  <c r="D3086" i="23"/>
  <c r="J3072" i="23"/>
  <c r="J3071" i="23"/>
  <c r="J3068" i="23"/>
  <c r="H3063" i="23"/>
  <c r="E3062" i="23"/>
  <c r="H3061" i="23"/>
  <c r="E3060" i="23"/>
  <c r="I3054" i="23"/>
  <c r="G3054" i="23"/>
  <c r="D3054" i="23"/>
  <c r="E3052" i="23"/>
  <c r="D3050" i="23"/>
  <c r="G3045" i="23"/>
  <c r="H3044" i="23"/>
  <c r="G3043" i="23"/>
  <c r="G3041" i="23"/>
  <c r="D3032" i="23"/>
  <c r="J3027" i="23"/>
  <c r="F3027" i="23"/>
  <c r="H3026" i="23"/>
  <c r="H3007" i="23"/>
  <c r="F3007" i="23"/>
  <c r="D3007" i="23"/>
  <c r="J2999" i="23"/>
  <c r="F2999" i="23"/>
  <c r="D2999" i="23"/>
  <c r="G2997" i="23"/>
  <c r="J2996" i="23"/>
  <c r="F2995" i="23"/>
  <c r="J2989" i="23"/>
  <c r="I2987" i="23"/>
  <c r="G2987" i="23"/>
  <c r="E2987" i="23"/>
  <c r="J2986" i="23"/>
  <c r="I2979" i="23"/>
  <c r="E2979" i="23"/>
  <c r="H2977" i="23"/>
  <c r="I2976" i="23"/>
  <c r="E2976" i="23"/>
  <c r="H2967" i="23"/>
  <c r="F2967" i="23"/>
  <c r="D2967" i="23"/>
  <c r="J2947" i="23"/>
  <c r="J2950" i="23"/>
  <c r="H2946" i="23"/>
  <c r="J2940" i="23"/>
  <c r="F2939" i="23"/>
  <c r="I2933" i="23"/>
  <c r="G2933" i="23"/>
  <c r="E2933" i="23"/>
  <c r="J2926" i="23"/>
  <c r="H2925" i="23"/>
  <c r="F2925" i="23"/>
  <c r="D2925" i="23"/>
  <c r="I2919" i="23"/>
  <c r="E2919" i="23"/>
  <c r="G2918" i="23"/>
  <c r="J2913" i="23"/>
  <c r="H2912" i="23"/>
  <c r="F2912" i="23"/>
  <c r="D2912" i="23"/>
  <c r="K2912" i="23"/>
  <c r="I2906" i="23"/>
  <c r="E2906" i="23"/>
  <c r="G2905" i="23"/>
  <c r="J2899" i="23"/>
  <c r="H2898" i="23"/>
  <c r="F2898" i="23"/>
  <c r="D2898" i="23"/>
  <c r="K2898" i="23"/>
  <c r="I2893" i="23"/>
  <c r="E2893" i="23"/>
  <c r="G2892" i="23"/>
  <c r="J2886" i="23"/>
  <c r="H2885" i="23"/>
  <c r="F2885" i="23"/>
  <c r="D2885" i="23"/>
  <c r="I2879" i="23"/>
  <c r="E2879" i="23"/>
  <c r="G2878" i="23"/>
  <c r="J2872" i="23"/>
  <c r="H2871" i="23"/>
  <c r="F2871" i="23"/>
  <c r="D2871" i="23"/>
  <c r="I2865" i="23"/>
  <c r="E2865" i="23"/>
  <c r="G2864" i="23"/>
  <c r="J2857" i="23"/>
  <c r="H2856" i="23"/>
  <c r="F2856" i="23"/>
  <c r="D2856" i="23"/>
  <c r="G2851" i="23"/>
  <c r="G2850" i="23"/>
  <c r="G2847" i="23"/>
  <c r="H2839" i="23"/>
  <c r="F2839" i="23"/>
  <c r="D2839" i="23"/>
  <c r="F2838" i="23"/>
  <c r="F2841" i="23"/>
  <c r="D2838" i="23"/>
  <c r="D2841" i="23"/>
  <c r="J2833" i="23"/>
  <c r="H2833" i="23"/>
  <c r="F2833" i="23"/>
  <c r="D2833" i="23"/>
  <c r="J2830" i="23"/>
  <c r="J2824" i="23"/>
  <c r="J2823" i="23"/>
  <c r="H2822" i="23"/>
  <c r="F2822" i="23"/>
  <c r="D2822" i="23"/>
  <c r="H2821" i="23"/>
  <c r="F2821" i="23"/>
  <c r="D2821" i="23"/>
  <c r="H2820" i="23"/>
  <c r="F2820" i="23"/>
  <c r="D2820" i="23"/>
  <c r="G2815" i="23"/>
  <c r="E2815" i="23"/>
  <c r="G2812" i="23"/>
  <c r="E2812" i="23"/>
  <c r="J2806" i="23"/>
  <c r="J2800" i="23"/>
  <c r="J2799" i="23"/>
  <c r="H2798" i="23"/>
  <c r="F2798" i="23"/>
  <c r="D2798" i="23"/>
  <c r="H2797" i="23"/>
  <c r="F2797" i="23"/>
  <c r="D2797" i="23"/>
  <c r="H2796" i="23"/>
  <c r="F2796" i="23"/>
  <c r="D2796" i="23"/>
  <c r="J2790" i="23"/>
  <c r="H2790" i="23"/>
  <c r="F2790" i="23"/>
  <c r="D2790" i="23"/>
  <c r="J2787" i="23"/>
  <c r="J2781" i="23"/>
  <c r="J2780" i="23"/>
  <c r="H2779" i="23"/>
  <c r="F2779" i="23"/>
  <c r="D2779" i="23"/>
  <c r="H2778" i="23"/>
  <c r="F2778" i="23"/>
  <c r="D2778" i="23"/>
  <c r="H2777" i="23"/>
  <c r="F2777" i="23"/>
  <c r="D2777" i="23"/>
  <c r="J2772" i="23"/>
  <c r="H2772" i="23"/>
  <c r="F2772" i="23"/>
  <c r="D2772" i="23"/>
  <c r="J2769" i="23"/>
  <c r="J2763" i="23"/>
  <c r="J2762" i="23"/>
  <c r="H2761" i="23"/>
  <c r="F2761" i="23"/>
  <c r="D2761" i="23"/>
  <c r="H2760" i="23"/>
  <c r="F2760" i="23"/>
  <c r="D2760" i="23"/>
  <c r="H2759" i="23"/>
  <c r="F2759" i="23"/>
  <c r="D2759" i="23"/>
  <c r="H2746" i="23"/>
  <c r="F2746" i="23"/>
  <c r="D2746" i="23"/>
  <c r="H2745" i="23"/>
  <c r="F2745" i="23"/>
  <c r="D2745" i="23"/>
  <c r="H2744" i="23"/>
  <c r="F2744" i="23"/>
  <c r="D2744" i="23"/>
  <c r="H2732" i="23"/>
  <c r="F2732" i="23"/>
  <c r="D2732" i="23"/>
  <c r="H2731" i="23"/>
  <c r="F2731" i="23"/>
  <c r="D2731" i="23"/>
  <c r="H2730" i="23"/>
  <c r="F2730" i="23"/>
  <c r="D2730" i="23"/>
  <c r="H2718" i="23"/>
  <c r="F2718" i="23"/>
  <c r="D2718" i="23"/>
  <c r="H2717" i="23"/>
  <c r="F2717" i="23"/>
  <c r="D2717" i="23"/>
  <c r="H2716" i="23"/>
  <c r="F2716" i="23"/>
  <c r="D2716" i="23"/>
  <c r="D2676" i="23"/>
  <c r="E2662" i="23"/>
  <c r="J2647" i="23"/>
  <c r="H2647" i="23"/>
  <c r="F2647" i="23"/>
  <c r="D2647" i="23"/>
  <c r="J2645" i="23"/>
  <c r="H2645" i="23"/>
  <c r="F2645" i="23"/>
  <c r="D2645" i="23"/>
  <c r="G2638" i="23"/>
  <c r="G2636" i="23"/>
  <c r="G2610" i="23"/>
  <c r="G2609" i="23"/>
  <c r="D2602" i="23"/>
  <c r="D2601" i="23"/>
  <c r="K2601" i="23"/>
  <c r="D2600" i="23"/>
  <c r="D2599" i="23"/>
  <c r="G2592" i="23"/>
  <c r="D2584" i="23"/>
  <c r="J2582" i="23"/>
  <c r="D2581" i="23"/>
  <c r="D2575" i="23"/>
  <c r="D2573" i="23"/>
  <c r="D2571" i="23"/>
  <c r="G2551" i="23"/>
  <c r="E2546" i="23"/>
  <c r="G2541" i="23"/>
  <c r="K2541" i="23"/>
  <c r="H2531" i="23"/>
  <c r="I2526" i="23"/>
  <c r="E2526" i="23"/>
  <c r="G2521" i="23"/>
  <c r="H2511" i="23"/>
  <c r="G2491" i="23"/>
  <c r="H2332" i="23"/>
  <c r="I2331" i="23"/>
  <c r="E2331" i="23"/>
  <c r="I2325" i="23"/>
  <c r="G2325" i="23"/>
  <c r="E2325" i="23"/>
  <c r="J2324" i="23"/>
  <c r="G2318" i="23"/>
  <c r="J2317" i="23"/>
  <c r="F2316" i="23"/>
  <c r="H2311" i="23"/>
  <c r="F2311" i="23"/>
  <c r="D2311" i="23"/>
  <c r="H2304" i="23"/>
  <c r="I2303" i="23"/>
  <c r="E2303" i="23"/>
  <c r="I2297" i="23"/>
  <c r="G2297" i="23"/>
  <c r="E2297" i="23"/>
  <c r="J2296" i="23"/>
  <c r="G2290" i="23"/>
  <c r="J2289" i="23"/>
  <c r="F2288" i="23"/>
  <c r="G2280" i="23"/>
  <c r="F2273" i="23"/>
  <c r="F2266" i="23"/>
  <c r="F2269" i="23"/>
  <c r="I2252" i="23"/>
  <c r="I2254" i="23"/>
  <c r="J2203" i="23"/>
  <c r="J2204" i="23"/>
  <c r="J2206" i="23"/>
  <c r="G2203" i="23"/>
  <c r="G2205" i="23"/>
  <c r="I2197" i="23"/>
  <c r="G2197" i="23"/>
  <c r="E2197" i="23"/>
  <c r="G2167" i="23"/>
  <c r="J2144" i="23"/>
  <c r="F2142" i="23"/>
  <c r="I2136" i="23"/>
  <c r="I2135" i="23"/>
  <c r="H2132" i="23"/>
  <c r="H2135" i="23"/>
  <c r="E2133" i="23"/>
  <c r="E2134" i="23"/>
  <c r="E2137" i="23"/>
  <c r="K2137" i="23"/>
  <c r="J2128" i="23"/>
  <c r="I2125" i="23"/>
  <c r="I2128" i="23"/>
  <c r="G2127" i="23"/>
  <c r="G2128" i="23"/>
  <c r="E2127" i="23"/>
  <c r="E2128" i="23"/>
  <c r="I2120" i="23"/>
  <c r="I2119" i="23"/>
  <c r="H2116" i="23"/>
  <c r="H2119" i="23"/>
  <c r="E2117" i="23"/>
  <c r="E2118" i="23"/>
  <c r="E2121" i="23"/>
  <c r="J2112" i="23"/>
  <c r="I2109" i="23"/>
  <c r="I2112" i="23"/>
  <c r="G2111" i="23"/>
  <c r="G2112" i="23"/>
  <c r="E2111" i="23"/>
  <c r="E2112" i="23"/>
  <c r="J2105" i="23"/>
  <c r="J2104" i="23"/>
  <c r="I2101" i="23"/>
  <c r="I2104" i="23"/>
  <c r="G2103" i="23"/>
  <c r="G2104" i="23"/>
  <c r="E2103" i="23"/>
  <c r="E2104" i="23"/>
  <c r="J2095" i="23"/>
  <c r="J2096" i="23"/>
  <c r="G2096" i="23"/>
  <c r="G2097" i="23"/>
  <c r="E2082" i="23"/>
  <c r="E2079" i="23"/>
  <c r="I2080" i="23"/>
  <c r="I2081" i="23"/>
  <c r="I2073" i="23"/>
  <c r="G2073" i="23"/>
  <c r="E2073" i="23"/>
  <c r="G2072" i="23"/>
  <c r="E2072" i="23"/>
  <c r="J2073" i="23"/>
  <c r="J2074" i="23"/>
  <c r="F2065" i="23"/>
  <c r="F2066" i="23"/>
  <c r="I2057" i="23"/>
  <c r="I2061" i="23"/>
  <c r="G2057" i="23"/>
  <c r="G2061" i="23"/>
  <c r="G2058" i="23"/>
  <c r="I2033" i="23"/>
  <c r="I2031" i="23"/>
  <c r="I2036" i="23"/>
  <c r="G2031" i="23"/>
  <c r="G2036" i="23"/>
  <c r="G2033" i="23"/>
  <c r="G2034" i="23"/>
  <c r="I2025" i="23"/>
  <c r="G2025" i="23"/>
  <c r="E2025" i="23"/>
  <c r="G2024" i="23"/>
  <c r="E2024" i="23"/>
  <c r="J2025" i="23"/>
  <c r="J2026" i="23"/>
  <c r="F2017" i="23"/>
  <c r="F2018" i="23"/>
  <c r="H2012" i="23"/>
  <c r="H2013" i="23"/>
  <c r="F2012" i="23"/>
  <c r="F2013" i="23"/>
  <c r="D2012" i="23"/>
  <c r="D2013" i="23"/>
  <c r="K2013" i="23"/>
  <c r="I2006" i="23"/>
  <c r="H2003" i="23"/>
  <c r="H2006" i="23"/>
  <c r="E2004" i="23"/>
  <c r="E2005" i="23"/>
  <c r="J1996" i="23"/>
  <c r="J1997" i="23"/>
  <c r="G1997" i="23"/>
  <c r="G1998" i="23"/>
  <c r="E1984" i="23"/>
  <c r="E1981" i="23"/>
  <c r="I1982" i="23"/>
  <c r="I1983" i="23"/>
  <c r="I1975" i="23"/>
  <c r="G1975" i="23"/>
  <c r="E1975" i="23"/>
  <c r="G1974" i="23"/>
  <c r="E1974" i="23"/>
  <c r="J1975" i="23"/>
  <c r="J1976" i="23"/>
  <c r="F1967" i="23"/>
  <c r="F1968" i="23"/>
  <c r="I1963" i="23"/>
  <c r="I1962" i="23"/>
  <c r="H1959" i="23"/>
  <c r="H1962" i="23"/>
  <c r="E1960" i="23"/>
  <c r="E1961" i="23"/>
  <c r="J1955" i="23"/>
  <c r="I1952" i="23"/>
  <c r="I1955" i="23"/>
  <c r="G1954" i="23"/>
  <c r="G1955" i="23"/>
  <c r="E1954" i="23"/>
  <c r="E1955" i="23"/>
  <c r="J1946" i="23"/>
  <c r="J1947" i="23"/>
  <c r="G1947" i="23"/>
  <c r="G1948" i="23"/>
  <c r="I1932" i="23"/>
  <c r="I1933" i="23"/>
  <c r="J1925" i="23"/>
  <c r="J1926" i="23"/>
  <c r="E1079" i="23"/>
  <c r="E1081" i="23"/>
  <c r="G1057" i="23"/>
  <c r="G1059" i="23"/>
  <c r="E161" i="22"/>
  <c r="D1029" i="23"/>
  <c r="D1030" i="23"/>
  <c r="E1927" i="23"/>
  <c r="G1920" i="23"/>
  <c r="J1919" i="23"/>
  <c r="F1918" i="23"/>
  <c r="H1913" i="23"/>
  <c r="F1913" i="23"/>
  <c r="D1913" i="23"/>
  <c r="H1906" i="23"/>
  <c r="I1905" i="23"/>
  <c r="E1905" i="23"/>
  <c r="I1899" i="23"/>
  <c r="G1899" i="23"/>
  <c r="E1899" i="23"/>
  <c r="J1898" i="23"/>
  <c r="G1891" i="23"/>
  <c r="J1890" i="23"/>
  <c r="F1889" i="23"/>
  <c r="H1884" i="23"/>
  <c r="F1884" i="23"/>
  <c r="D1884" i="23"/>
  <c r="H1877" i="23"/>
  <c r="I1876" i="23"/>
  <c r="E1876" i="23"/>
  <c r="G1869" i="23"/>
  <c r="J1868" i="23"/>
  <c r="F1867" i="23"/>
  <c r="H1862" i="23"/>
  <c r="F1862" i="23"/>
  <c r="D1862" i="23"/>
  <c r="H1855" i="23"/>
  <c r="I1854" i="23"/>
  <c r="E1854" i="23"/>
  <c r="D1848" i="23"/>
  <c r="I1841" i="23"/>
  <c r="G1841" i="23"/>
  <c r="I1840" i="23"/>
  <c r="I1826" i="23"/>
  <c r="H1793" i="23"/>
  <c r="E1793" i="23"/>
  <c r="H1792" i="23"/>
  <c r="F1792" i="23"/>
  <c r="H1791" i="23"/>
  <c r="F1791" i="23"/>
  <c r="F1790" i="23"/>
  <c r="H1789" i="23"/>
  <c r="E1789" i="23"/>
  <c r="G1784" i="23"/>
  <c r="I1752" i="23"/>
  <c r="F1752" i="23"/>
  <c r="I1750" i="23"/>
  <c r="F1750" i="23"/>
  <c r="F1748" i="23"/>
  <c r="J1743" i="23"/>
  <c r="J1741" i="23"/>
  <c r="H1727" i="23"/>
  <c r="E1726" i="23"/>
  <c r="F1718" i="23"/>
  <c r="G1713" i="23"/>
  <c r="J1704" i="23"/>
  <c r="J1696" i="23"/>
  <c r="J1688" i="23"/>
  <c r="H1683" i="23"/>
  <c r="E1682" i="23"/>
  <c r="I1676" i="23"/>
  <c r="J1672" i="23"/>
  <c r="J1664" i="23"/>
  <c r="I1658" i="23"/>
  <c r="I1656" i="23"/>
  <c r="H1649" i="23"/>
  <c r="K1649" i="23"/>
  <c r="I1645" i="23"/>
  <c r="I1643" i="23"/>
  <c r="H1637" i="23"/>
  <c r="D1636" i="23"/>
  <c r="D1628" i="23"/>
  <c r="F1614" i="23"/>
  <c r="H1586" i="23"/>
  <c r="E1586" i="23"/>
  <c r="H1585" i="23"/>
  <c r="E1584" i="23"/>
  <c r="E1583" i="23"/>
  <c r="H1582" i="23"/>
  <c r="J1576" i="23"/>
  <c r="J1574" i="23"/>
  <c r="G1568" i="23"/>
  <c r="H1554" i="23"/>
  <c r="E1553" i="23"/>
  <c r="J1546" i="23"/>
  <c r="G1540" i="23"/>
  <c r="G1532" i="23"/>
  <c r="G1516" i="23"/>
  <c r="I1479" i="23"/>
  <c r="E1453" i="23"/>
  <c r="G1451" i="23"/>
  <c r="F1425" i="23"/>
  <c r="E1423" i="23"/>
  <c r="H1404" i="23"/>
  <c r="F1404" i="23"/>
  <c r="H1403" i="23"/>
  <c r="J1401" i="23"/>
  <c r="H21" i="22"/>
  <c r="H9" i="24"/>
  <c r="G1401" i="23"/>
  <c r="E1397" i="23"/>
  <c r="E1395" i="23"/>
  <c r="I1389" i="23"/>
  <c r="E1389" i="23"/>
  <c r="I1388" i="23"/>
  <c r="E1388" i="23"/>
  <c r="I1387" i="23"/>
  <c r="E1387" i="23"/>
  <c r="I1383" i="23"/>
  <c r="J1382" i="23"/>
  <c r="F1381" i="23"/>
  <c r="F1380" i="23"/>
  <c r="J1376" i="23"/>
  <c r="G1376" i="23"/>
  <c r="J1374" i="23"/>
  <c r="F1374" i="23"/>
  <c r="J1373" i="23"/>
  <c r="G1373" i="23"/>
  <c r="J1369" i="23"/>
  <c r="F1361" i="23"/>
  <c r="F1360" i="23"/>
  <c r="K1360" i="23"/>
  <c r="E1358" i="23"/>
  <c r="H1338" i="23"/>
  <c r="F1338" i="23"/>
  <c r="H1337" i="23"/>
  <c r="J1335" i="23"/>
  <c r="G1335" i="23"/>
  <c r="E1330" i="23"/>
  <c r="E1328" i="23"/>
  <c r="D1308" i="23"/>
  <c r="D1307" i="23"/>
  <c r="H1306" i="23"/>
  <c r="H1300" i="23"/>
  <c r="D1285" i="23"/>
  <c r="K1285" i="23"/>
  <c r="D1283" i="23"/>
  <c r="H1278" i="23"/>
  <c r="I1225" i="23"/>
  <c r="D1225" i="23"/>
  <c r="E1218" i="23"/>
  <c r="F1209" i="23"/>
  <c r="J1208" i="23"/>
  <c r="F1207" i="23"/>
  <c r="G1181" i="23"/>
  <c r="D1175" i="23"/>
  <c r="I1125" i="23"/>
  <c r="I1124" i="23"/>
  <c r="I1122" i="23"/>
  <c r="J1115" i="23"/>
  <c r="D1114" i="23"/>
  <c r="I1108" i="23"/>
  <c r="D1099" i="23"/>
  <c r="J1097" i="23"/>
  <c r="E1078" i="23"/>
  <c r="I1067" i="23"/>
  <c r="D1065" i="23"/>
  <c r="J1065" i="23"/>
  <c r="J1067" i="23"/>
  <c r="E1059" i="23"/>
  <c r="C161" i="22"/>
  <c r="I1058" i="23"/>
  <c r="G1058" i="23"/>
  <c r="E1051" i="23"/>
  <c r="E1053" i="23"/>
  <c r="J1022" i="23"/>
  <c r="J1025" i="23"/>
  <c r="G535" i="23"/>
  <c r="D535" i="23"/>
  <c r="D534" i="23"/>
  <c r="H518" i="23"/>
  <c r="G500" i="23"/>
  <c r="J476" i="23"/>
  <c r="J478" i="23"/>
  <c r="J479" i="23"/>
  <c r="H476" i="23"/>
  <c r="H477" i="23"/>
  <c r="J471" i="23"/>
  <c r="I469" i="23"/>
  <c r="I472" i="23"/>
  <c r="E462" i="23"/>
  <c r="F462" i="23"/>
  <c r="F463" i="23"/>
  <c r="E432" i="23"/>
  <c r="E433" i="23"/>
  <c r="E434" i="23"/>
  <c r="E435" i="23"/>
  <c r="E425" i="23"/>
  <c r="E427" i="23"/>
  <c r="H412" i="23"/>
  <c r="J383" i="23"/>
  <c r="J384" i="23"/>
  <c r="E377" i="23"/>
  <c r="D379" i="23"/>
  <c r="D377" i="23"/>
  <c r="H346" i="23"/>
  <c r="H347" i="23"/>
  <c r="H350" i="23"/>
  <c r="G339" i="23"/>
  <c r="G340" i="23"/>
  <c r="E341" i="23"/>
  <c r="E340" i="23"/>
  <c r="I332" i="23"/>
  <c r="I335" i="23"/>
  <c r="F334" i="23"/>
  <c r="F335" i="23"/>
  <c r="D332" i="23"/>
  <c r="D335" i="23"/>
  <c r="I325" i="23"/>
  <c r="I327" i="23"/>
  <c r="J280" i="23"/>
  <c r="J281" i="23"/>
  <c r="H135" i="23"/>
  <c r="H137" i="23"/>
  <c r="H134" i="23"/>
  <c r="H136" i="23"/>
  <c r="H138" i="23"/>
  <c r="I127" i="23"/>
  <c r="I128" i="23"/>
  <c r="I130" i="23"/>
  <c r="E126" i="23"/>
  <c r="E127" i="23"/>
  <c r="E130" i="23"/>
  <c r="E129" i="23"/>
  <c r="J103" i="23"/>
  <c r="J105" i="23"/>
  <c r="G97" i="23"/>
  <c r="G98" i="23"/>
  <c r="G90" i="23"/>
  <c r="G71" i="23"/>
  <c r="G72" i="23"/>
  <c r="J46" i="23"/>
  <c r="J49" i="23"/>
  <c r="H46" i="23"/>
  <c r="H47" i="23"/>
  <c r="E1001" i="23"/>
  <c r="F993" i="23"/>
  <c r="E988" i="23"/>
  <c r="E987" i="23"/>
  <c r="E986" i="23"/>
  <c r="H936" i="23"/>
  <c r="J931" i="23"/>
  <c r="G931" i="23"/>
  <c r="H930" i="23"/>
  <c r="I923" i="23"/>
  <c r="G923" i="23"/>
  <c r="J909" i="23"/>
  <c r="H909" i="23"/>
  <c r="H896" i="23"/>
  <c r="I895" i="23"/>
  <c r="E895" i="23"/>
  <c r="C133" i="22"/>
  <c r="F882" i="23"/>
  <c r="D882" i="23"/>
  <c r="I881" i="23"/>
  <c r="F880" i="23"/>
  <c r="D880" i="23"/>
  <c r="I879" i="23"/>
  <c r="F848" i="23"/>
  <c r="J842" i="23"/>
  <c r="J834" i="23"/>
  <c r="J832" i="23"/>
  <c r="E827" i="23"/>
  <c r="D818" i="23"/>
  <c r="D816" i="23"/>
  <c r="D814" i="23"/>
  <c r="I809" i="23"/>
  <c r="F808" i="23"/>
  <c r="I807" i="23"/>
  <c r="F806" i="23"/>
  <c r="H800" i="23"/>
  <c r="H798" i="23"/>
  <c r="I777" i="23"/>
  <c r="E777" i="23"/>
  <c r="J776" i="23"/>
  <c r="D768" i="23"/>
  <c r="D766" i="23"/>
  <c r="J743" i="23"/>
  <c r="E737" i="23"/>
  <c r="D723" i="23"/>
  <c r="J717" i="23"/>
  <c r="G717" i="23"/>
  <c r="E77" i="22"/>
  <c r="J715" i="23"/>
  <c r="G715" i="23"/>
  <c r="I696" i="23"/>
  <c r="E696" i="23"/>
  <c r="D694" i="23"/>
  <c r="D693" i="23"/>
  <c r="I689" i="23"/>
  <c r="G689" i="23"/>
  <c r="I688" i="23"/>
  <c r="I687" i="23"/>
  <c r="G687" i="23"/>
  <c r="H685" i="23"/>
  <c r="D685" i="23"/>
  <c r="B39" i="22"/>
  <c r="E684" i="23"/>
  <c r="I680" i="23"/>
  <c r="I679" i="23"/>
  <c r="G679" i="23"/>
  <c r="H677" i="23"/>
  <c r="D677" i="23"/>
  <c r="E676" i="23"/>
  <c r="D664" i="23"/>
  <c r="D663" i="23"/>
  <c r="I657" i="23"/>
  <c r="E657" i="23"/>
  <c r="G656" i="23"/>
  <c r="I655" i="23"/>
  <c r="E655" i="23"/>
  <c r="I650" i="23"/>
  <c r="E650" i="23"/>
  <c r="H643" i="23"/>
  <c r="D643" i="23"/>
  <c r="G642" i="23"/>
  <c r="I641" i="23"/>
  <c r="F641" i="23"/>
  <c r="J629" i="23"/>
  <c r="H629" i="23"/>
  <c r="J628" i="23"/>
  <c r="H628" i="23"/>
  <c r="J627" i="23"/>
  <c r="H627" i="23"/>
  <c r="J622" i="23"/>
  <c r="H622" i="23"/>
  <c r="D621" i="23"/>
  <c r="G620" i="23"/>
  <c r="D620" i="23"/>
  <c r="D619" i="23"/>
  <c r="E615" i="23"/>
  <c r="H614" i="23"/>
  <c r="F614" i="23"/>
  <c r="D614" i="23"/>
  <c r="G613" i="23"/>
  <c r="E612" i="23"/>
  <c r="D599" i="23"/>
  <c r="E593" i="23"/>
  <c r="K593" i="23"/>
  <c r="E591" i="23"/>
  <c r="D583" i="23"/>
  <c r="H577" i="23"/>
  <c r="F577" i="23"/>
  <c r="F576" i="23"/>
  <c r="H575" i="23"/>
  <c r="E575" i="23"/>
  <c r="E568" i="23"/>
  <c r="I561" i="23"/>
  <c r="I560" i="23"/>
  <c r="E512" i="23"/>
  <c r="E492" i="23"/>
  <c r="E493" i="23"/>
  <c r="G477" i="23"/>
  <c r="G476" i="23"/>
  <c r="G479" i="23"/>
  <c r="I448" i="23"/>
  <c r="I450" i="23"/>
  <c r="H390" i="23"/>
  <c r="H392" i="23"/>
  <c r="J363" i="23"/>
  <c r="J364" i="23"/>
  <c r="H362" i="23"/>
  <c r="H363" i="23"/>
  <c r="F363" i="23"/>
  <c r="F364" i="23"/>
  <c r="D362" i="23"/>
  <c r="D363" i="23"/>
  <c r="H348" i="23"/>
  <c r="D348" i="23"/>
  <c r="D349" i="23"/>
  <c r="G341" i="23"/>
  <c r="J340" i="23"/>
  <c r="J342" i="23"/>
  <c r="F339" i="23"/>
  <c r="F342" i="23"/>
  <c r="I333" i="23"/>
  <c r="F333" i="23"/>
  <c r="J332" i="23"/>
  <c r="J333" i="23"/>
  <c r="F325" i="23"/>
  <c r="F326" i="23"/>
  <c r="F328" i="23"/>
  <c r="D137" i="22"/>
  <c r="E312" i="23"/>
  <c r="E314" i="23"/>
  <c r="E296" i="23"/>
  <c r="E298" i="23"/>
  <c r="I274" i="23"/>
  <c r="D272" i="23"/>
  <c r="D273" i="23"/>
  <c r="D274" i="23"/>
  <c r="D275" i="23"/>
  <c r="K262" i="23"/>
  <c r="K254" i="23"/>
  <c r="I247" i="23"/>
  <c r="I249" i="23"/>
  <c r="J223" i="23"/>
  <c r="J225" i="23"/>
  <c r="J227" i="23"/>
  <c r="H223" i="23"/>
  <c r="H225" i="23"/>
  <c r="H227" i="23"/>
  <c r="F223" i="23"/>
  <c r="F225" i="23"/>
  <c r="F227" i="23"/>
  <c r="K222" i="23"/>
  <c r="D223" i="23"/>
  <c r="D225" i="23"/>
  <c r="D227" i="23"/>
  <c r="I152" i="23"/>
  <c r="I153" i="23"/>
  <c r="I151" i="23"/>
  <c r="G151" i="23"/>
  <c r="G153" i="23"/>
  <c r="H143" i="23"/>
  <c r="H145" i="23"/>
  <c r="H146" i="23"/>
  <c r="H142" i="23"/>
  <c r="H144" i="23"/>
  <c r="I129" i="23"/>
  <c r="I87" i="23"/>
  <c r="I218" i="23"/>
  <c r="G217" i="23"/>
  <c r="G218" i="23"/>
  <c r="G87" i="23"/>
  <c r="G88" i="23"/>
  <c r="J78" i="23"/>
  <c r="H49" i="22"/>
  <c r="J79" i="23"/>
  <c r="J81" i="23"/>
  <c r="G74" i="23"/>
  <c r="I73" i="23"/>
  <c r="G73" i="23"/>
  <c r="J38" i="23"/>
  <c r="J39" i="23"/>
  <c r="J41" i="23"/>
  <c r="F38" i="23"/>
  <c r="F39" i="23"/>
  <c r="F41" i="23"/>
  <c r="J30" i="23"/>
  <c r="J32" i="23"/>
  <c r="J34" i="23"/>
  <c r="F30" i="23"/>
  <c r="F32" i="23"/>
  <c r="F34" i="23"/>
  <c r="K34" i="23"/>
  <c r="H150" i="23"/>
  <c r="H151" i="23"/>
  <c r="E134" i="23"/>
  <c r="E136" i="23"/>
  <c r="E138" i="23"/>
  <c r="H126" i="23"/>
  <c r="H129" i="23"/>
  <c r="F217" i="23"/>
  <c r="F219" i="23"/>
  <c r="D87" i="23"/>
  <c r="D89" i="23"/>
  <c r="D70" i="23"/>
  <c r="D71" i="23"/>
  <c r="D73" i="23"/>
  <c r="J63" i="23"/>
  <c r="J65" i="23"/>
  <c r="D41" i="23"/>
  <c r="I42" i="23"/>
  <c r="I38" i="23"/>
  <c r="I40" i="23"/>
  <c r="H34" i="23"/>
  <c r="H32" i="23"/>
  <c r="J15" i="23"/>
  <c r="J17" i="23"/>
  <c r="J19" i="23"/>
  <c r="H15" i="23"/>
  <c r="H17" i="23"/>
  <c r="K17" i="23"/>
  <c r="H19" i="23"/>
  <c r="K2474" i="23"/>
  <c r="K2464" i="23"/>
  <c r="K2454" i="23"/>
  <c r="K2444" i="23"/>
  <c r="K2434" i="23"/>
  <c r="K2424" i="23"/>
  <c r="K2414" i="23"/>
  <c r="K2404" i="23"/>
  <c r="K2394" i="23"/>
  <c r="K2379" i="23"/>
  <c r="K2365" i="23"/>
  <c r="J3185" i="23"/>
  <c r="G3185" i="23"/>
  <c r="E3185" i="23"/>
  <c r="G3176" i="23"/>
  <c r="D3176" i="23"/>
  <c r="J3167" i="23"/>
  <c r="G3167" i="23"/>
  <c r="E3167" i="23"/>
  <c r="D3162" i="23"/>
  <c r="E3161" i="23"/>
  <c r="D3160" i="23"/>
  <c r="E3159" i="23"/>
  <c r="G3152" i="23"/>
  <c r="D3151" i="23"/>
  <c r="J3144" i="23"/>
  <c r="E3144" i="23"/>
  <c r="J3142" i="23"/>
  <c r="D3142" i="23"/>
  <c r="E3139" i="23"/>
  <c r="H3133" i="23"/>
  <c r="E3132" i="23"/>
  <c r="J3124" i="23"/>
  <c r="D3124" i="23"/>
  <c r="E3121" i="23"/>
  <c r="D3108" i="23"/>
  <c r="E3107" i="23"/>
  <c r="D3106" i="23"/>
  <c r="E3105" i="23"/>
  <c r="D3099" i="23"/>
  <c r="D3097" i="23"/>
  <c r="J3090" i="23"/>
  <c r="E3090" i="23"/>
  <c r="J3088" i="23"/>
  <c r="D3088" i="23"/>
  <c r="E3085" i="23"/>
  <c r="D3072" i="23"/>
  <c r="K3072" i="23"/>
  <c r="E3071" i="23"/>
  <c r="D3070" i="23"/>
  <c r="E3069" i="23"/>
  <c r="D3063" i="23"/>
  <c r="D3061" i="23"/>
  <c r="J3054" i="23"/>
  <c r="E3054" i="23"/>
  <c r="J3052" i="23"/>
  <c r="D3052" i="23"/>
  <c r="K3052" i="23"/>
  <c r="E3049" i="23"/>
  <c r="E3045" i="23"/>
  <c r="E3043" i="23"/>
  <c r="E3041" i="23"/>
  <c r="H3025" i="23"/>
  <c r="H3024" i="23"/>
  <c r="H3022" i="23"/>
  <c r="G3009" i="23"/>
  <c r="G3008" i="23"/>
  <c r="G3007" i="23"/>
  <c r="G3005" i="23"/>
  <c r="H2999" i="23"/>
  <c r="I2998" i="23"/>
  <c r="I2997" i="23"/>
  <c r="F2997" i="23"/>
  <c r="H2995" i="23"/>
  <c r="F2989" i="23"/>
  <c r="F2988" i="23"/>
  <c r="I2985" i="23"/>
  <c r="E2985" i="23"/>
  <c r="J2984" i="23"/>
  <c r="E2984" i="23"/>
  <c r="J2978" i="23"/>
  <c r="J2977" i="23"/>
  <c r="J2976" i="23"/>
  <c r="I2974" i="23"/>
  <c r="J2969" i="23"/>
  <c r="H2969" i="23"/>
  <c r="D2969" i="23"/>
  <c r="H2968" i="23"/>
  <c r="D2968" i="23"/>
  <c r="I2967" i="23"/>
  <c r="H2965" i="23"/>
  <c r="D2965" i="23"/>
  <c r="H2964" i="23"/>
  <c r="D2964" i="23"/>
  <c r="J2938" i="23"/>
  <c r="H2934" i="23"/>
  <c r="D2934" i="23"/>
  <c r="G2932" i="23"/>
  <c r="J2927" i="23"/>
  <c r="F2927" i="23"/>
  <c r="G2926" i="23"/>
  <c r="I2920" i="23"/>
  <c r="E2920" i="23"/>
  <c r="J2919" i="23"/>
  <c r="J2918" i="23"/>
  <c r="E2917" i="23"/>
  <c r="E2914" i="23"/>
  <c r="H2913" i="23"/>
  <c r="D2913" i="23"/>
  <c r="H2907" i="23"/>
  <c r="D2907" i="23"/>
  <c r="G2906" i="23"/>
  <c r="J2900" i="23"/>
  <c r="F2900" i="23"/>
  <c r="G2899" i="23"/>
  <c r="I2894" i="23"/>
  <c r="E2894" i="23"/>
  <c r="J2893" i="23"/>
  <c r="J2892" i="23"/>
  <c r="E2891" i="23"/>
  <c r="E2887" i="23"/>
  <c r="H2886" i="23"/>
  <c r="D2886" i="23"/>
  <c r="H2880" i="23"/>
  <c r="D2880" i="23"/>
  <c r="G2879" i="23"/>
  <c r="J2873" i="23"/>
  <c r="F2873" i="23"/>
  <c r="G2872" i="23"/>
  <c r="I2866" i="23"/>
  <c r="E2866" i="23"/>
  <c r="J2865" i="23"/>
  <c r="J2864" i="23"/>
  <c r="E2863" i="23"/>
  <c r="E2858" i="23"/>
  <c r="H2857" i="23"/>
  <c r="D2857" i="23"/>
  <c r="E2851" i="23"/>
  <c r="I2850" i="23"/>
  <c r="H2831" i="23"/>
  <c r="D2831" i="23"/>
  <c r="I2829" i="23"/>
  <c r="E2829" i="23"/>
  <c r="F2824" i="23"/>
  <c r="G2823" i="23"/>
  <c r="G2821" i="23"/>
  <c r="J2820" i="23"/>
  <c r="G2814" i="23"/>
  <c r="G2813" i="23"/>
  <c r="H2807" i="23"/>
  <c r="D2807" i="23"/>
  <c r="I2805" i="23"/>
  <c r="E2805" i="23"/>
  <c r="K2805" i="23"/>
  <c r="F2800" i="23"/>
  <c r="G2799" i="23"/>
  <c r="G2797" i="23"/>
  <c r="J2796" i="23"/>
  <c r="H2788" i="23"/>
  <c r="D2788" i="23"/>
  <c r="I2786" i="23"/>
  <c r="E2786" i="23"/>
  <c r="F2781" i="23"/>
  <c r="G2780" i="23"/>
  <c r="G2778" i="23"/>
  <c r="J2777" i="23"/>
  <c r="H2770" i="23"/>
  <c r="D2770" i="23"/>
  <c r="I2768" i="23"/>
  <c r="E2768" i="23"/>
  <c r="F2763" i="23"/>
  <c r="G2762" i="23"/>
  <c r="G2760" i="23"/>
  <c r="J2759" i="23"/>
  <c r="G2753" i="23"/>
  <c r="J2752" i="23"/>
  <c r="G2752" i="23"/>
  <c r="J2751" i="23"/>
  <c r="G2751" i="23"/>
  <c r="J2750" i="23"/>
  <c r="E2745" i="23"/>
  <c r="I2739" i="23"/>
  <c r="E2739" i="23"/>
  <c r="I2738" i="23"/>
  <c r="E2738" i="23"/>
  <c r="I2737" i="23"/>
  <c r="E2737" i="23"/>
  <c r="G2731" i="23"/>
  <c r="J2730" i="23"/>
  <c r="G2725" i="23"/>
  <c r="J2724" i="23"/>
  <c r="G2724" i="23"/>
  <c r="J2723" i="23"/>
  <c r="G2723" i="23"/>
  <c r="J2722" i="23"/>
  <c r="E2717" i="23"/>
  <c r="G2662" i="23"/>
  <c r="J2661" i="23"/>
  <c r="D2660" i="23"/>
  <c r="D2659" i="23"/>
  <c r="I2648" i="23"/>
  <c r="E2648" i="23"/>
  <c r="I2647" i="23"/>
  <c r="E2647" i="23"/>
  <c r="I2646" i="23"/>
  <c r="E2646" i="23"/>
  <c r="I2645" i="23"/>
  <c r="E2645" i="23"/>
  <c r="I2644" i="23"/>
  <c r="E2644" i="23"/>
  <c r="J2639" i="23"/>
  <c r="H2639" i="23"/>
  <c r="E2638" i="23"/>
  <c r="G2637" i="23"/>
  <c r="E2637" i="23"/>
  <c r="J2611" i="23"/>
  <c r="H2609" i="23"/>
  <c r="G2606" i="23"/>
  <c r="J2593" i="23"/>
  <c r="I2590" i="23"/>
  <c r="J2575" i="23"/>
  <c r="H2575" i="23"/>
  <c r="I2566" i="23"/>
  <c r="E2566" i="23"/>
  <c r="G2561" i="23"/>
  <c r="H2551" i="23"/>
  <c r="I2546" i="23"/>
  <c r="I2540" i="23"/>
  <c r="G2531" i="23"/>
  <c r="J2526" i="23"/>
  <c r="I2520" i="23"/>
  <c r="G2511" i="23"/>
  <c r="E2506" i="23"/>
  <c r="G2501" i="23"/>
  <c r="H2491" i="23"/>
  <c r="J2476" i="23"/>
  <c r="H2476" i="23"/>
  <c r="F2476" i="23"/>
  <c r="D2476" i="23"/>
  <c r="D2475" i="23"/>
  <c r="K2475" i="23"/>
  <c r="K2469" i="23"/>
  <c r="D2465" i="23"/>
  <c r="K2459" i="23"/>
  <c r="D2455" i="23"/>
  <c r="K2449" i="23"/>
  <c r="D2445" i="23"/>
  <c r="K2439" i="23"/>
  <c r="D2435" i="23"/>
  <c r="K2429" i="23"/>
  <c r="D2425" i="23"/>
  <c r="K2419" i="23"/>
  <c r="D2415" i="23"/>
  <c r="K2409" i="23"/>
  <c r="D2405" i="23"/>
  <c r="K2399" i="23"/>
  <c r="D2395" i="23"/>
  <c r="K2395" i="23"/>
  <c r="K2386" i="23"/>
  <c r="J2382" i="23"/>
  <c r="H2382" i="23"/>
  <c r="F2382" i="23"/>
  <c r="D2382" i="23"/>
  <c r="D2380" i="23"/>
  <c r="K2372" i="23"/>
  <c r="J2368" i="23"/>
  <c r="H2368" i="23"/>
  <c r="F2368" i="23"/>
  <c r="D2368" i="23"/>
  <c r="D2366" i="23"/>
  <c r="K1349" i="23"/>
  <c r="J1343" i="23"/>
  <c r="J1345" i="23"/>
  <c r="F1345" i="23"/>
  <c r="F1342" i="23"/>
  <c r="F1343" i="23"/>
  <c r="F1337" i="23"/>
  <c r="F1335" i="23"/>
  <c r="D1336" i="23"/>
  <c r="D1338" i="23"/>
  <c r="F1327" i="23"/>
  <c r="F1328" i="23"/>
  <c r="F1329" i="23"/>
  <c r="F1305" i="23"/>
  <c r="F1308" i="23"/>
  <c r="G1246" i="23"/>
  <c r="G1248" i="23"/>
  <c r="K1248" i="23"/>
  <c r="I1222" i="23"/>
  <c r="I1224" i="23"/>
  <c r="E1216" i="23"/>
  <c r="E1215" i="23"/>
  <c r="G1179" i="23"/>
  <c r="G1182" i="23"/>
  <c r="E1179" i="23"/>
  <c r="E1182" i="23"/>
  <c r="D1112" i="23"/>
  <c r="D1113" i="23"/>
  <c r="D1115" i="23"/>
  <c r="I1094" i="23"/>
  <c r="I1097" i="23"/>
  <c r="I1085" i="23"/>
  <c r="I1086" i="23"/>
  <c r="I1087" i="23"/>
  <c r="I1088" i="23"/>
  <c r="I1089" i="23"/>
  <c r="I1090" i="23"/>
  <c r="E1065" i="23"/>
  <c r="E1064" i="23"/>
  <c r="E1067" i="23"/>
  <c r="J1058" i="23"/>
  <c r="H159" i="22"/>
  <c r="J1060" i="23"/>
  <c r="H1051" i="23"/>
  <c r="H1053" i="23"/>
  <c r="F1051" i="23"/>
  <c r="F1053" i="23"/>
  <c r="D1039" i="23"/>
  <c r="K1039" i="23"/>
  <c r="D1037" i="23"/>
  <c r="K1037" i="23"/>
  <c r="J2332" i="23"/>
  <c r="J2331" i="23"/>
  <c r="I2329" i="23"/>
  <c r="H2324" i="23"/>
  <c r="D2324" i="23"/>
  <c r="H2323" i="23"/>
  <c r="D2323" i="23"/>
  <c r="J2318" i="23"/>
  <c r="J2315" i="23"/>
  <c r="G2311" i="23"/>
  <c r="G2309" i="23"/>
  <c r="F2304" i="23"/>
  <c r="G2303" i="23"/>
  <c r="F2302" i="23"/>
  <c r="I2295" i="23"/>
  <c r="E2295" i="23"/>
  <c r="J2294" i="23"/>
  <c r="E2294" i="23"/>
  <c r="I2290" i="23"/>
  <c r="F2290" i="23"/>
  <c r="H2288" i="23"/>
  <c r="G2282" i="23"/>
  <c r="D2268" i="23"/>
  <c r="G2261" i="23"/>
  <c r="G2259" i="23"/>
  <c r="G2220" i="23"/>
  <c r="I2206" i="23"/>
  <c r="I2205" i="23"/>
  <c r="I2204" i="23"/>
  <c r="H2199" i="23"/>
  <c r="D2199" i="23"/>
  <c r="H2198" i="23"/>
  <c r="D2198" i="23"/>
  <c r="H2197" i="23"/>
  <c r="D2197" i="23"/>
  <c r="E2176" i="23"/>
  <c r="G2163" i="23"/>
  <c r="G2137" i="23"/>
  <c r="D2137" i="23"/>
  <c r="G2136" i="23"/>
  <c r="F2135" i="23"/>
  <c r="G2134" i="23"/>
  <c r="F2133" i="23"/>
  <c r="G2126" i="23"/>
  <c r="E2126" i="23"/>
  <c r="J2120" i="23"/>
  <c r="E2120" i="23"/>
  <c r="E2119" i="23"/>
  <c r="J2118" i="23"/>
  <c r="F2112" i="23"/>
  <c r="H2111" i="23"/>
  <c r="D2111" i="23"/>
  <c r="K2111" i="23"/>
  <c r="H2110" i="23"/>
  <c r="F2110" i="23"/>
  <c r="D2110" i="23"/>
  <c r="K2110" i="23"/>
  <c r="H2105" i="23"/>
  <c r="F2105" i="23"/>
  <c r="D2105" i="23"/>
  <c r="F2104" i="23"/>
  <c r="H2103" i="23"/>
  <c r="D2103" i="23"/>
  <c r="H2102" i="23"/>
  <c r="F2102" i="23"/>
  <c r="D2102" i="23"/>
  <c r="H2097" i="23"/>
  <c r="I2096" i="23"/>
  <c r="I2089" i="23"/>
  <c r="I2082" i="23"/>
  <c r="F2082" i="23"/>
  <c r="D2068" i="23"/>
  <c r="E2067" i="23"/>
  <c r="E2066" i="23"/>
  <c r="H2060" i="23"/>
  <c r="F2060" i="23"/>
  <c r="D2060" i="23"/>
  <c r="H2058" i="23"/>
  <c r="J2053" i="23"/>
  <c r="I2051" i="23"/>
  <c r="I2043" i="23"/>
  <c r="G2035" i="23"/>
  <c r="E2033" i="23"/>
  <c r="H2027" i="23"/>
  <c r="D2027" i="23"/>
  <c r="H2025" i="23"/>
  <c r="D2025" i="23"/>
  <c r="H2020" i="23"/>
  <c r="I2019" i="23"/>
  <c r="I2013" i="23"/>
  <c r="E2006" i="23"/>
  <c r="J2005" i="23"/>
  <c r="E1999" i="23"/>
  <c r="D1998" i="23"/>
  <c r="E1997" i="23"/>
  <c r="E1996" i="23"/>
  <c r="J1984" i="23"/>
  <c r="H1977" i="23"/>
  <c r="D1977" i="23"/>
  <c r="H1975" i="23"/>
  <c r="D1975" i="23"/>
  <c r="K1975" i="23"/>
  <c r="H1970" i="23"/>
  <c r="I1969" i="23"/>
  <c r="G1963" i="23"/>
  <c r="F1962" i="23"/>
  <c r="G1961" i="23"/>
  <c r="F1960" i="23"/>
  <c r="G1953" i="23"/>
  <c r="E1953" i="23"/>
  <c r="D1948" i="23"/>
  <c r="E1947" i="23"/>
  <c r="E1946" i="23"/>
  <c r="J1934" i="23"/>
  <c r="E1934" i="23"/>
  <c r="J1933" i="23"/>
  <c r="G1925" i="23"/>
  <c r="J1920" i="23"/>
  <c r="J1917" i="23"/>
  <c r="G1913" i="23"/>
  <c r="G1911" i="23"/>
  <c r="F1906" i="23"/>
  <c r="G1905" i="23"/>
  <c r="K1905" i="23"/>
  <c r="F1904" i="23"/>
  <c r="I1897" i="23"/>
  <c r="E1897" i="23"/>
  <c r="J1896" i="23"/>
  <c r="E1896" i="23"/>
  <c r="I1891" i="23"/>
  <c r="F1891" i="23"/>
  <c r="H1889" i="23"/>
  <c r="I1884" i="23"/>
  <c r="H1882" i="23"/>
  <c r="D1882" i="23"/>
  <c r="H1881" i="23"/>
  <c r="D1881" i="23"/>
  <c r="K1881" i="23"/>
  <c r="J1877" i="23"/>
  <c r="J1876" i="23"/>
  <c r="I1874" i="23"/>
  <c r="J1870" i="23"/>
  <c r="J1869" i="23"/>
  <c r="J1866" i="23"/>
  <c r="G1862" i="23"/>
  <c r="G1860" i="23"/>
  <c r="F1855" i="23"/>
  <c r="G1854" i="23"/>
  <c r="F1853" i="23"/>
  <c r="G1848" i="23"/>
  <c r="E1841" i="23"/>
  <c r="I1839" i="23"/>
  <c r="F1839" i="23"/>
  <c r="D1839" i="23"/>
  <c r="J1834" i="23"/>
  <c r="D1834" i="23"/>
  <c r="E1826" i="23"/>
  <c r="F1793" i="23"/>
  <c r="G1792" i="23"/>
  <c r="G1780" i="23"/>
  <c r="J1765" i="23"/>
  <c r="D1752" i="23"/>
  <c r="I1743" i="23"/>
  <c r="J1742" i="23"/>
  <c r="K1742" i="23"/>
  <c r="E1727" i="23"/>
  <c r="E1725" i="23"/>
  <c r="I1713" i="23"/>
  <c r="J1711" i="23"/>
  <c r="H1706" i="23"/>
  <c r="E1706" i="23"/>
  <c r="G1704" i="23"/>
  <c r="D1704" i="23"/>
  <c r="J1698" i="23"/>
  <c r="E1691" i="23"/>
  <c r="H1690" i="23"/>
  <c r="E1690" i="23"/>
  <c r="G1688" i="23"/>
  <c r="D1688" i="23"/>
  <c r="D1683" i="23"/>
  <c r="G1676" i="23"/>
  <c r="D1676" i="23"/>
  <c r="E1675" i="23"/>
  <c r="H1674" i="23"/>
  <c r="E1674" i="23"/>
  <c r="G1672" i="23"/>
  <c r="D1672" i="23"/>
  <c r="J1666" i="23"/>
  <c r="I1657" i="23"/>
  <c r="J1651" i="23"/>
  <c r="H1635" i="23"/>
  <c r="H1621" i="23"/>
  <c r="K1621" i="23"/>
  <c r="H1618" i="23"/>
  <c r="D1614" i="23"/>
  <c r="D1613" i="23"/>
  <c r="J1586" i="23"/>
  <c r="H1583" i="23"/>
  <c r="E1577" i="23"/>
  <c r="E1576" i="23"/>
  <c r="E1573" i="23"/>
  <c r="I1568" i="23"/>
  <c r="F1567" i="23"/>
  <c r="J1566" i="23"/>
  <c r="E1554" i="23"/>
  <c r="E1552" i="23"/>
  <c r="E1545" i="23"/>
  <c r="I1540" i="23"/>
  <c r="J1538" i="23"/>
  <c r="E1538" i="23"/>
  <c r="D1531" i="23"/>
  <c r="G1522" i="23"/>
  <c r="I1516" i="23"/>
  <c r="F1515" i="23"/>
  <c r="K1515" i="23"/>
  <c r="J1514" i="23"/>
  <c r="H1467" i="23"/>
  <c r="E1466" i="23"/>
  <c r="K1466" i="23"/>
  <c r="G1460" i="23"/>
  <c r="H1459" i="23"/>
  <c r="H1458" i="23"/>
  <c r="G1453" i="23"/>
  <c r="H1439" i="23"/>
  <c r="E1438" i="23"/>
  <c r="J1431" i="23"/>
  <c r="F1431" i="23"/>
  <c r="F1418" i="23"/>
  <c r="F1417" i="23"/>
  <c r="F1416" i="23"/>
  <c r="J1411" i="23"/>
  <c r="F1409" i="23"/>
  <c r="F1408" i="23"/>
  <c r="D1404" i="23"/>
  <c r="F1401" i="23"/>
  <c r="F1396" i="23"/>
  <c r="F1395" i="23"/>
  <c r="F1389" i="23"/>
  <c r="F1388" i="23"/>
  <c r="I1381" i="23"/>
  <c r="D1374" i="23"/>
  <c r="F1369" i="23"/>
  <c r="F1368" i="23"/>
  <c r="E1367" i="23"/>
  <c r="E1360" i="23"/>
  <c r="F1357" i="23"/>
  <c r="J1344" i="23"/>
  <c r="J1342" i="23"/>
  <c r="F1330" i="23"/>
  <c r="F1307" i="23"/>
  <c r="F1306" i="23"/>
  <c r="D1278" i="23"/>
  <c r="J1253" i="23"/>
  <c r="J1255" i="23"/>
  <c r="F1233" i="23"/>
  <c r="K1233" i="23"/>
  <c r="G1232" i="23"/>
  <c r="G1230" i="23"/>
  <c r="J1223" i="23"/>
  <c r="J1225" i="23"/>
  <c r="E1217" i="23"/>
  <c r="H1215" i="23"/>
  <c r="H1216" i="23"/>
  <c r="D1207" i="23"/>
  <c r="D1208" i="23"/>
  <c r="D1209" i="23"/>
  <c r="D1210" i="23"/>
  <c r="H1200" i="23"/>
  <c r="F173" i="22"/>
  <c r="H1203" i="23"/>
  <c r="D1196" i="23"/>
  <c r="H1126" i="23"/>
  <c r="D1123" i="23"/>
  <c r="D1124" i="23"/>
  <c r="D1116" i="23"/>
  <c r="K1116" i="23"/>
  <c r="I1103" i="23"/>
  <c r="G179" i="22"/>
  <c r="I1105" i="23"/>
  <c r="G21" i="22"/>
  <c r="J1095" i="23"/>
  <c r="J1099" i="23"/>
  <c r="F1090" i="23"/>
  <c r="D1090" i="23"/>
  <c r="F1088" i="23"/>
  <c r="D1088" i="23"/>
  <c r="J1051" i="23"/>
  <c r="I1050" i="23"/>
  <c r="I1052" i="23"/>
  <c r="J1043" i="23"/>
  <c r="J1045" i="23"/>
  <c r="J669" i="23"/>
  <c r="J671" i="23"/>
  <c r="J661" i="23"/>
  <c r="J663" i="23"/>
  <c r="I648" i="23"/>
  <c r="I647" i="23"/>
  <c r="F649" i="23"/>
  <c r="F650" i="23"/>
  <c r="G626" i="23"/>
  <c r="G627" i="23"/>
  <c r="G628" i="23"/>
  <c r="G629" i="23"/>
  <c r="J600" i="23"/>
  <c r="J597" i="23"/>
  <c r="F600" i="23"/>
  <c r="D177" i="22"/>
  <c r="F598" i="23"/>
  <c r="F599" i="23"/>
  <c r="D597" i="23"/>
  <c r="D600" i="23"/>
  <c r="D601" i="23"/>
  <c r="D569" i="23"/>
  <c r="D570" i="23"/>
  <c r="H556" i="23"/>
  <c r="H549" i="23"/>
  <c r="H546" i="23"/>
  <c r="J1024" i="23"/>
  <c r="D996" i="23"/>
  <c r="K996" i="23"/>
  <c r="D994" i="23"/>
  <c r="J988" i="23"/>
  <c r="F988" i="23"/>
  <c r="J987" i="23"/>
  <c r="H987" i="23"/>
  <c r="J986" i="23"/>
  <c r="D985" i="23"/>
  <c r="B89" i="22"/>
  <c r="B24" i="24"/>
  <c r="D929" i="23"/>
  <c r="H924" i="23"/>
  <c r="H923" i="23"/>
  <c r="H922" i="23"/>
  <c r="I910" i="23"/>
  <c r="I909" i="23"/>
  <c r="I908" i="23"/>
  <c r="J896" i="23"/>
  <c r="J895" i="23"/>
  <c r="I893" i="23"/>
  <c r="G879" i="23"/>
  <c r="E47" i="22"/>
  <c r="H874" i="23"/>
  <c r="D874" i="23"/>
  <c r="H873" i="23"/>
  <c r="D873" i="23"/>
  <c r="H872" i="23"/>
  <c r="D872" i="23"/>
  <c r="H871" i="23"/>
  <c r="D871" i="23"/>
  <c r="J858" i="23"/>
  <c r="D842" i="23"/>
  <c r="D840" i="23"/>
  <c r="J835" i="23"/>
  <c r="H11" i="22"/>
  <c r="H4" i="24"/>
  <c r="J833" i="23"/>
  <c r="I818" i="23"/>
  <c r="G818" i="23"/>
  <c r="I817" i="23"/>
  <c r="F816" i="23"/>
  <c r="G815" i="23"/>
  <c r="I814" i="23"/>
  <c r="H808" i="23"/>
  <c r="D808" i="23"/>
  <c r="B67" i="22"/>
  <c r="D806" i="23"/>
  <c r="I793" i="23"/>
  <c r="I792" i="23"/>
  <c r="E792" i="23"/>
  <c r="H776" i="23"/>
  <c r="D776" i="23"/>
  <c r="H775" i="23"/>
  <c r="D775" i="23"/>
  <c r="H774" i="23"/>
  <c r="D774" i="23"/>
  <c r="D761" i="23"/>
  <c r="D759" i="23"/>
  <c r="J745" i="23"/>
  <c r="D738" i="23"/>
  <c r="I731" i="23"/>
  <c r="G729" i="23"/>
  <c r="J724" i="23"/>
  <c r="D724" i="23"/>
  <c r="J721" i="23"/>
  <c r="H717" i="23"/>
  <c r="H715" i="23"/>
  <c r="F696" i="23"/>
  <c r="E694" i="23"/>
  <c r="H689" i="23"/>
  <c r="E688" i="23"/>
  <c r="E687" i="23"/>
  <c r="G685" i="23"/>
  <c r="E680" i="23"/>
  <c r="K680" i="23"/>
  <c r="E679" i="23"/>
  <c r="G677" i="23"/>
  <c r="J672" i="23"/>
  <c r="J668" i="23"/>
  <c r="F669" i="23"/>
  <c r="F670" i="23"/>
  <c r="F671" i="23"/>
  <c r="D669" i="23"/>
  <c r="D668" i="23"/>
  <c r="E664" i="23"/>
  <c r="E661" i="23"/>
  <c r="G654" i="23"/>
  <c r="G657" i="23"/>
  <c r="F648" i="23"/>
  <c r="E648" i="23"/>
  <c r="E647" i="23"/>
  <c r="E628" i="23"/>
  <c r="J598" i="23"/>
  <c r="F597" i="23"/>
  <c r="F589" i="23"/>
  <c r="F591" i="23"/>
  <c r="I303" i="23"/>
  <c r="I305" i="23"/>
  <c r="I307" i="23"/>
  <c r="J295" i="23"/>
  <c r="J296" i="23"/>
  <c r="J299" i="23"/>
  <c r="H296" i="23"/>
  <c r="H297" i="23"/>
  <c r="E521" i="23"/>
  <c r="E520" i="23"/>
  <c r="I505" i="23"/>
  <c r="H493" i="23"/>
  <c r="J492" i="23"/>
  <c r="I479" i="23"/>
  <c r="I476" i="23"/>
  <c r="J469" i="23"/>
  <c r="J465" i="23"/>
  <c r="J464" i="23"/>
  <c r="I462" i="23"/>
  <c r="H450" i="23"/>
  <c r="H448" i="23"/>
  <c r="I447" i="23"/>
  <c r="D433" i="23"/>
  <c r="H421" i="23"/>
  <c r="H420" i="23"/>
  <c r="G414" i="23"/>
  <c r="F412" i="23"/>
  <c r="H405" i="23"/>
  <c r="E400" i="23"/>
  <c r="G365" i="23"/>
  <c r="D350" i="23"/>
  <c r="K350" i="23"/>
  <c r="E335" i="23"/>
  <c r="F303" i="23"/>
  <c r="F304" i="23"/>
  <c r="F306" i="23"/>
  <c r="F137" i="23"/>
  <c r="D137" i="23"/>
  <c r="I114" i="23"/>
  <c r="H113" i="23"/>
  <c r="I106" i="23"/>
  <c r="J89" i="23"/>
  <c r="G82" i="23"/>
  <c r="F81" i="23"/>
  <c r="K81" i="23"/>
  <c r="J73" i="23"/>
  <c r="G66" i="23"/>
  <c r="I275" i="23"/>
  <c r="I271" i="23"/>
  <c r="J267" i="23"/>
  <c r="H267" i="23"/>
  <c r="F267" i="23"/>
  <c r="D267" i="23"/>
  <c r="J265" i="23"/>
  <c r="H265" i="23"/>
  <c r="F265" i="23"/>
  <c r="D265" i="23"/>
  <c r="J259" i="23"/>
  <c r="H259" i="23"/>
  <c r="F259" i="23"/>
  <c r="D259" i="23"/>
  <c r="K259" i="23"/>
  <c r="J257" i="23"/>
  <c r="H257" i="23"/>
  <c r="F257" i="23"/>
  <c r="D257" i="23"/>
  <c r="G227" i="23"/>
  <c r="G225" i="23"/>
  <c r="K2358" i="23"/>
  <c r="K2343" i="23"/>
  <c r="G2336" i="23"/>
  <c r="G2337" i="23"/>
  <c r="G2338" i="23"/>
  <c r="G2339" i="23"/>
  <c r="F2324" i="23"/>
  <c r="F2325" i="23"/>
  <c r="F2315" i="23"/>
  <c r="F2318" i="23"/>
  <c r="J2308" i="23"/>
  <c r="J2309" i="23"/>
  <c r="J2311" i="23"/>
  <c r="H2310" i="23"/>
  <c r="H2309" i="23"/>
  <c r="F2310" i="23"/>
  <c r="F2308" i="23"/>
  <c r="I2287" i="23"/>
  <c r="I2288" i="23"/>
  <c r="I2289" i="23"/>
  <c r="G2289" i="23"/>
  <c r="G2287" i="23"/>
  <c r="G2260" i="23"/>
  <c r="G2262" i="23"/>
  <c r="D2218" i="23"/>
  <c r="D2219" i="23"/>
  <c r="G2210" i="23"/>
  <c r="G2212" i="23"/>
  <c r="J2117" i="23"/>
  <c r="J2119" i="23"/>
  <c r="G2117" i="23"/>
  <c r="G2118" i="23"/>
  <c r="G2121" i="23"/>
  <c r="F2101" i="23"/>
  <c r="F2103" i="23"/>
  <c r="G2094" i="23"/>
  <c r="G2095" i="23"/>
  <c r="E2096" i="23"/>
  <c r="K2096" i="23"/>
  <c r="E2097" i="23"/>
  <c r="J2087" i="23"/>
  <c r="J2086" i="23"/>
  <c r="J2088" i="23"/>
  <c r="J2089" i="23"/>
  <c r="E2089" i="23"/>
  <c r="E2086" i="23"/>
  <c r="E2087" i="23"/>
  <c r="J2080" i="23"/>
  <c r="J2081" i="23"/>
  <c r="H2048" i="23"/>
  <c r="H2049" i="23"/>
  <c r="H2052" i="23"/>
  <c r="H2053" i="23"/>
  <c r="J2041" i="23"/>
  <c r="J2040" i="23"/>
  <c r="J2042" i="23"/>
  <c r="J2043" i="23"/>
  <c r="J2044" i="23"/>
  <c r="E2043" i="23"/>
  <c r="E2040" i="23"/>
  <c r="E2041" i="23"/>
  <c r="E2044" i="23"/>
  <c r="F2031" i="23"/>
  <c r="F2036" i="23"/>
  <c r="F2034" i="23"/>
  <c r="D2024" i="23"/>
  <c r="D2026" i="23"/>
  <c r="H2017" i="23"/>
  <c r="H2018" i="23"/>
  <c r="G2012" i="23"/>
  <c r="G2013" i="23"/>
  <c r="D2010" i="23"/>
  <c r="D2011" i="23"/>
  <c r="I1988" i="23"/>
  <c r="I1991" i="23"/>
  <c r="D1974" i="23"/>
  <c r="D1976" i="23"/>
  <c r="H1967" i="23"/>
  <c r="H1968" i="23"/>
  <c r="D1962" i="23"/>
  <c r="D1960" i="23"/>
  <c r="I1938" i="23"/>
  <c r="I1941" i="23"/>
  <c r="F1931" i="23"/>
  <c r="F1932" i="23"/>
  <c r="H1924" i="23"/>
  <c r="H1926" i="23"/>
  <c r="H1927" i="23"/>
  <c r="D1912" i="23"/>
  <c r="D1911" i="23"/>
  <c r="J1903" i="23"/>
  <c r="J1904" i="23"/>
  <c r="J1906" i="23"/>
  <c r="E1888" i="23"/>
  <c r="E1890" i="23"/>
  <c r="G1881" i="23"/>
  <c r="G1882" i="23"/>
  <c r="E1884" i="23"/>
  <c r="E1881" i="23"/>
  <c r="E1882" i="23"/>
  <c r="E1883" i="23"/>
  <c r="H1874" i="23"/>
  <c r="H1875" i="23"/>
  <c r="I1866" i="23"/>
  <c r="I1867" i="23"/>
  <c r="I1868" i="23"/>
  <c r="I1869" i="23"/>
  <c r="G1868" i="23"/>
  <c r="G1867" i="23"/>
  <c r="G1870" i="23"/>
  <c r="E1869" i="23"/>
  <c r="E1866" i="23"/>
  <c r="G1859" i="23"/>
  <c r="G1861" i="23"/>
  <c r="E1838" i="23"/>
  <c r="E1839" i="23"/>
  <c r="F3185" i="23"/>
  <c r="I3176" i="23"/>
  <c r="E3176" i="23"/>
  <c r="H3160" i="23"/>
  <c r="G3153" i="23"/>
  <c r="H3150" i="23"/>
  <c r="G3149" i="23"/>
  <c r="J3143" i="23"/>
  <c r="E3143" i="23"/>
  <c r="J3141" i="23"/>
  <c r="J3140" i="23"/>
  <c r="E3140" i="23"/>
  <c r="E3133" i="23"/>
  <c r="G3124" i="23"/>
  <c r="H3123" i="23"/>
  <c r="H3122" i="23"/>
  <c r="H3117" i="23"/>
  <c r="E3116" i="23"/>
  <c r="K3116" i="23"/>
  <c r="H3115" i="23"/>
  <c r="E3114" i="23"/>
  <c r="H3106" i="23"/>
  <c r="G3099" i="23"/>
  <c r="H3096" i="23"/>
  <c r="G3095" i="23"/>
  <c r="J3089" i="23"/>
  <c r="E3089" i="23"/>
  <c r="J3087" i="23"/>
  <c r="J3086" i="23"/>
  <c r="E3086" i="23"/>
  <c r="E3070" i="23"/>
  <c r="J3063" i="23"/>
  <c r="F3063" i="23"/>
  <c r="E3061" i="23"/>
  <c r="H3054" i="23"/>
  <c r="H3053" i="23"/>
  <c r="G3052" i="23"/>
  <c r="H3051" i="23"/>
  <c r="H3050" i="23"/>
  <c r="E3042" i="23"/>
  <c r="J3026" i="23"/>
  <c r="J3025" i="23"/>
  <c r="F3024" i="23"/>
  <c r="J3023" i="23"/>
  <c r="E3014" i="23"/>
  <c r="E3009" i="23"/>
  <c r="D3008" i="23"/>
  <c r="E3006" i="23"/>
  <c r="D3005" i="23"/>
  <c r="I2999" i="23"/>
  <c r="G2998" i="23"/>
  <c r="J2997" i="23"/>
  <c r="I2996" i="23"/>
  <c r="I2995" i="23"/>
  <c r="G2994" i="23"/>
  <c r="H2989" i="23"/>
  <c r="E2989" i="23"/>
  <c r="G2988" i="23"/>
  <c r="G2985" i="23"/>
  <c r="G2984" i="23"/>
  <c r="F2979" i="23"/>
  <c r="E2978" i="23"/>
  <c r="G2977" i="23"/>
  <c r="E2977" i="23"/>
  <c r="G2976" i="23"/>
  <c r="E2974" i="23"/>
  <c r="F2969" i="23"/>
  <c r="F2968" i="23"/>
  <c r="E2966" i="23"/>
  <c r="G2965" i="23"/>
  <c r="E2965" i="23"/>
  <c r="K2965" i="23"/>
  <c r="E2964" i="23"/>
  <c r="J2946" i="23"/>
  <c r="J2949" i="23"/>
  <c r="I2940" i="23"/>
  <c r="I2939" i="23"/>
  <c r="G2939" i="23"/>
  <c r="F2934" i="23"/>
  <c r="E2932" i="23"/>
  <c r="D2927" i="23"/>
  <c r="D2926" i="23"/>
  <c r="J2924" i="23"/>
  <c r="G2920" i="23"/>
  <c r="H2914" i="23"/>
  <c r="J2911" i="23"/>
  <c r="F2907" i="23"/>
  <c r="D2900" i="23"/>
  <c r="D2899" i="23"/>
  <c r="J2897" i="23"/>
  <c r="G2894" i="23"/>
  <c r="H2887" i="23"/>
  <c r="J2884" i="23"/>
  <c r="F2880" i="23"/>
  <c r="D2873" i="23"/>
  <c r="D2872" i="23"/>
  <c r="J2870" i="23"/>
  <c r="G2866" i="23"/>
  <c r="H2858" i="23"/>
  <c r="J2855" i="23"/>
  <c r="D2842" i="23"/>
  <c r="E2839" i="23"/>
  <c r="I2833" i="23"/>
  <c r="I2832" i="23"/>
  <c r="I2831" i="23"/>
  <c r="I2830" i="23"/>
  <c r="J2828" i="23"/>
  <c r="D2824" i="23"/>
  <c r="K2824" i="23"/>
  <c r="D2823" i="23"/>
  <c r="J2821" i="23"/>
  <c r="J2819" i="23"/>
  <c r="J2815" i="23"/>
  <c r="J2814" i="23"/>
  <c r="H2814" i="23"/>
  <c r="H2812" i="23"/>
  <c r="H2811" i="23"/>
  <c r="I2807" i="23"/>
  <c r="I2806" i="23"/>
  <c r="J2804" i="23"/>
  <c r="D2800" i="23"/>
  <c r="D2799" i="23"/>
  <c r="J2797" i="23"/>
  <c r="J2795" i="23"/>
  <c r="I2790" i="23"/>
  <c r="I2789" i="23"/>
  <c r="I2788" i="23"/>
  <c r="I2787" i="23"/>
  <c r="J2785" i="23"/>
  <c r="D2781" i="23"/>
  <c r="D2780" i="23"/>
  <c r="J2778" i="23"/>
  <c r="J2776" i="23"/>
  <c r="I2772" i="23"/>
  <c r="I2771" i="23"/>
  <c r="I2770" i="23"/>
  <c r="I2769" i="23"/>
  <c r="J2767" i="23"/>
  <c r="D2763" i="23"/>
  <c r="D2762" i="23"/>
  <c r="J2760" i="23"/>
  <c r="J2758" i="23"/>
  <c r="E2746" i="23"/>
  <c r="G2745" i="23"/>
  <c r="J2743" i="23"/>
  <c r="G2739" i="23"/>
  <c r="G2738" i="23"/>
  <c r="G2737" i="23"/>
  <c r="H2711" i="23"/>
  <c r="I2709" i="23"/>
  <c r="D2704" i="23"/>
  <c r="G2703" i="23"/>
  <c r="D2674" i="23"/>
  <c r="D2673" i="23"/>
  <c r="K2673" i="23"/>
  <c r="J2662" i="23"/>
  <c r="J2659" i="23"/>
  <c r="I2655" i="23"/>
  <c r="J2648" i="23"/>
  <c r="J2646" i="23"/>
  <c r="J2644" i="23"/>
  <c r="E2639" i="23"/>
  <c r="F2637" i="23"/>
  <c r="F2616" i="23"/>
  <c r="H2591" i="23"/>
  <c r="G2588" i="23"/>
  <c r="I2580" i="23"/>
  <c r="G2575" i="23"/>
  <c r="J2573" i="23"/>
  <c r="G2572" i="23"/>
  <c r="J2566" i="23"/>
  <c r="I2560" i="23"/>
  <c r="F2526" i="23"/>
  <c r="H2521" i="23"/>
  <c r="G2506" i="23"/>
  <c r="J2466" i="23"/>
  <c r="F2466" i="23"/>
  <c r="I2456" i="23"/>
  <c r="E2456" i="23"/>
  <c r="J2446" i="23"/>
  <c r="F2446" i="23"/>
  <c r="I2436" i="23"/>
  <c r="E2436" i="23"/>
  <c r="J2426" i="23"/>
  <c r="F2426" i="23"/>
  <c r="I2416" i="23"/>
  <c r="E2416" i="23"/>
  <c r="J2406" i="23"/>
  <c r="F2406" i="23"/>
  <c r="I2396" i="23"/>
  <c r="E2396" i="23"/>
  <c r="J2389" i="23"/>
  <c r="H2389" i="23"/>
  <c r="F2389" i="23"/>
  <c r="D2389" i="23"/>
  <c r="J2383" i="23"/>
  <c r="F2383" i="23"/>
  <c r="D2383" i="23"/>
  <c r="G2382" i="23"/>
  <c r="J2381" i="23"/>
  <c r="F2381" i="23"/>
  <c r="I2375" i="23"/>
  <c r="G2375" i="23"/>
  <c r="E2375" i="23"/>
  <c r="I2369" i="23"/>
  <c r="E2369" i="23"/>
  <c r="I2368" i="23"/>
  <c r="E2368" i="23"/>
  <c r="I2367" i="23"/>
  <c r="E2367" i="23"/>
  <c r="J2361" i="23"/>
  <c r="H2361" i="23"/>
  <c r="F2361" i="23"/>
  <c r="D2361" i="23"/>
  <c r="D2359" i="23"/>
  <c r="K2350" i="23"/>
  <c r="J2346" i="23"/>
  <c r="H2346" i="23"/>
  <c r="F2346" i="23"/>
  <c r="D2346" i="23"/>
  <c r="D2344" i="23"/>
  <c r="E2339" i="23"/>
  <c r="K2339" i="23"/>
  <c r="I2338" i="23"/>
  <c r="F2332" i="23"/>
  <c r="G2330" i="23"/>
  <c r="G2331" i="23"/>
  <c r="G2332" i="23"/>
  <c r="E2330" i="23"/>
  <c r="E2329" i="23"/>
  <c r="E2332" i="23"/>
  <c r="D2325" i="23"/>
  <c r="K2325" i="23"/>
  <c r="F2322" i="23"/>
  <c r="E2324" i="23"/>
  <c r="E2322" i="23"/>
  <c r="E2323" i="23"/>
  <c r="H2318" i="23"/>
  <c r="I2315" i="23"/>
  <c r="I2316" i="23"/>
  <c r="I2317" i="23"/>
  <c r="I2318" i="23"/>
  <c r="G2317" i="23"/>
  <c r="G2316" i="23"/>
  <c r="E2318" i="23"/>
  <c r="E2315" i="23"/>
  <c r="J2310" i="23"/>
  <c r="H2308" i="23"/>
  <c r="G2308" i="23"/>
  <c r="G2310" i="23"/>
  <c r="J2295" i="23"/>
  <c r="J2297" i="23"/>
  <c r="G2288" i="23"/>
  <c r="J2288" i="23"/>
  <c r="J2290" i="23"/>
  <c r="D2280" i="23"/>
  <c r="D2282" i="23"/>
  <c r="J2274" i="23"/>
  <c r="K2274" i="23"/>
  <c r="J2275" i="23"/>
  <c r="E2212" i="23"/>
  <c r="I2211" i="23"/>
  <c r="G2211" i="23"/>
  <c r="H2173" i="23"/>
  <c r="J2147" i="23"/>
  <c r="D2135" i="23"/>
  <c r="D2133" i="23"/>
  <c r="G2120" i="23"/>
  <c r="J2116" i="23"/>
  <c r="G2116" i="23"/>
  <c r="F2116" i="23"/>
  <c r="F2119" i="23"/>
  <c r="E2109" i="23"/>
  <c r="D2109" i="23"/>
  <c r="D2112" i="23"/>
  <c r="G2102" i="23"/>
  <c r="G2105" i="23"/>
  <c r="E2095" i="23"/>
  <c r="E2088" i="23"/>
  <c r="I2086" i="23"/>
  <c r="I2087" i="23"/>
  <c r="J2060" i="23"/>
  <c r="J2057" i="23"/>
  <c r="J2061" i="23"/>
  <c r="F2057" i="23"/>
  <c r="F2061" i="23"/>
  <c r="F2058" i="23"/>
  <c r="G2050" i="23"/>
  <c r="G2051" i="23"/>
  <c r="D2048" i="23"/>
  <c r="D2049" i="23"/>
  <c r="D2052" i="23"/>
  <c r="D2053" i="23"/>
  <c r="E2042" i="23"/>
  <c r="I2040" i="23"/>
  <c r="I2041" i="23"/>
  <c r="F2032" i="23"/>
  <c r="J2031" i="23"/>
  <c r="J2036" i="23"/>
  <c r="J2033" i="23"/>
  <c r="J2034" i="23"/>
  <c r="E2032" i="23"/>
  <c r="E2031" i="23"/>
  <c r="J2017" i="23"/>
  <c r="I2018" i="23"/>
  <c r="I2017" i="23"/>
  <c r="H2010" i="23"/>
  <c r="H2011" i="23"/>
  <c r="J2004" i="23"/>
  <c r="J2006" i="23"/>
  <c r="J1995" i="23"/>
  <c r="J1999" i="23"/>
  <c r="G1995" i="23"/>
  <c r="G1999" i="23"/>
  <c r="I1989" i="23"/>
  <c r="G1989" i="23"/>
  <c r="E1989" i="23"/>
  <c r="G1988" i="23"/>
  <c r="E1988" i="23"/>
  <c r="J1967" i="23"/>
  <c r="I1968" i="23"/>
  <c r="I1967" i="23"/>
  <c r="F1953" i="23"/>
  <c r="F1952" i="23"/>
  <c r="I1939" i="23"/>
  <c r="G1939" i="23"/>
  <c r="E1939" i="23"/>
  <c r="G1938" i="23"/>
  <c r="E1938" i="23"/>
  <c r="F1934" i="23"/>
  <c r="G1931" i="23"/>
  <c r="G1934" i="23"/>
  <c r="H1925" i="23"/>
  <c r="D1910" i="23"/>
  <c r="E1910" i="23"/>
  <c r="E1912" i="23"/>
  <c r="H1904" i="23"/>
  <c r="G1903" i="23"/>
  <c r="G1904" i="23"/>
  <c r="G1906" i="23"/>
  <c r="E1904" i="23"/>
  <c r="E1903" i="23"/>
  <c r="F1897" i="23"/>
  <c r="H1896" i="23"/>
  <c r="G1898" i="23"/>
  <c r="G1896" i="23"/>
  <c r="G1897" i="23"/>
  <c r="E1891" i="23"/>
  <c r="E1889" i="23"/>
  <c r="D1889" i="23"/>
  <c r="D1891" i="23"/>
  <c r="K1891" i="23"/>
  <c r="G1884" i="23"/>
  <c r="G1883" i="23"/>
  <c r="J1874" i="23"/>
  <c r="I1875" i="23"/>
  <c r="I1877" i="23"/>
  <c r="E1870" i="23"/>
  <c r="G1866" i="23"/>
  <c r="F1866" i="23"/>
  <c r="F1869" i="23"/>
  <c r="J1859" i="23"/>
  <c r="J1860" i="23"/>
  <c r="J1862" i="23"/>
  <c r="H1861" i="23"/>
  <c r="H1860" i="23"/>
  <c r="F1861" i="23"/>
  <c r="F1859" i="23"/>
  <c r="D1855" i="23"/>
  <c r="F1838" i="23"/>
  <c r="F1840" i="23"/>
  <c r="D1833" i="23"/>
  <c r="H1802" i="23"/>
  <c r="F1801" i="23"/>
  <c r="H1798" i="23"/>
  <c r="I1798" i="23"/>
  <c r="I1802" i="23"/>
  <c r="G1797" i="23"/>
  <c r="G1800" i="23"/>
  <c r="K1150" i="23"/>
  <c r="K1136" i="23"/>
  <c r="E1086" i="23"/>
  <c r="E1087" i="23"/>
  <c r="E1088" i="23"/>
  <c r="E1089" i="23"/>
  <c r="E1090" i="23"/>
  <c r="I1064" i="23"/>
  <c r="I1066" i="23"/>
  <c r="I1057" i="23"/>
  <c r="I1059" i="23"/>
  <c r="G161" i="22"/>
  <c r="G1043" i="23"/>
  <c r="G1046" i="23"/>
  <c r="E1044" i="23"/>
  <c r="E1045" i="23"/>
  <c r="E1743" i="23"/>
  <c r="G1741" i="23"/>
  <c r="D1741" i="23"/>
  <c r="F1713" i="23"/>
  <c r="E1705" i="23"/>
  <c r="D1698" i="23"/>
  <c r="E1697" i="23"/>
  <c r="E1689" i="23"/>
  <c r="H1682" i="23"/>
  <c r="K1682" i="23"/>
  <c r="G1681" i="23"/>
  <c r="E1673" i="23"/>
  <c r="D1666" i="23"/>
  <c r="E1665" i="23"/>
  <c r="H1659" i="23"/>
  <c r="I1644" i="23"/>
  <c r="F1620" i="23"/>
  <c r="K1620" i="23"/>
  <c r="F1586" i="23"/>
  <c r="E1581" i="23"/>
  <c r="H1577" i="23"/>
  <c r="H1576" i="23"/>
  <c r="H1575" i="23"/>
  <c r="H1574" i="23"/>
  <c r="H1573" i="23"/>
  <c r="H1547" i="23"/>
  <c r="H1546" i="23"/>
  <c r="H1545" i="23"/>
  <c r="G1538" i="23"/>
  <c r="I1525" i="23"/>
  <c r="G1525" i="23"/>
  <c r="E1525" i="23"/>
  <c r="E1522" i="23"/>
  <c r="I1521" i="23"/>
  <c r="G1521" i="23"/>
  <c r="J1515" i="23"/>
  <c r="I1514" i="23"/>
  <c r="I1509" i="23"/>
  <c r="G1507" i="23"/>
  <c r="H1500" i="23"/>
  <c r="J1495" i="23"/>
  <c r="H1486" i="23"/>
  <c r="D1467" i="23"/>
  <c r="J1460" i="23"/>
  <c r="H1460" i="23"/>
  <c r="D1439" i="23"/>
  <c r="J1432" i="23"/>
  <c r="H1432" i="23"/>
  <c r="J1430" i="23"/>
  <c r="E1425" i="23"/>
  <c r="F1422" i="23"/>
  <c r="K1422" i="23"/>
  <c r="J1417" i="23"/>
  <c r="H1417" i="23"/>
  <c r="E1417" i="23"/>
  <c r="G1404" i="23"/>
  <c r="H1401" i="23"/>
  <c r="J1390" i="23"/>
  <c r="J1389" i="23"/>
  <c r="J1383" i="23"/>
  <c r="F1382" i="23"/>
  <c r="H1376" i="23"/>
  <c r="H1375" i="23"/>
  <c r="F1367" i="23"/>
  <c r="F1358" i="23"/>
  <c r="K1358" i="23"/>
  <c r="I1345" i="23"/>
  <c r="I1343" i="23"/>
  <c r="G1338" i="23"/>
  <c r="H1335" i="23"/>
  <c r="D1322" i="23"/>
  <c r="G1315" i="23"/>
  <c r="F1313" i="23"/>
  <c r="G1308" i="23"/>
  <c r="I1306" i="23"/>
  <c r="D1305" i="23"/>
  <c r="F1298" i="23"/>
  <c r="H1285" i="23"/>
  <c r="J1270" i="23"/>
  <c r="G1270" i="23"/>
  <c r="G1260" i="23"/>
  <c r="H1246" i="23"/>
  <c r="I1189" i="23"/>
  <c r="D1189" i="23"/>
  <c r="D1188" i="23"/>
  <c r="I1187" i="23"/>
  <c r="D1186" i="23"/>
  <c r="H1182" i="23"/>
  <c r="D1172" i="23"/>
  <c r="F1153" i="23"/>
  <c r="D1153" i="23"/>
  <c r="D1151" i="23"/>
  <c r="I1146" i="23"/>
  <c r="G1146" i="23"/>
  <c r="K1143" i="23"/>
  <c r="F1139" i="23"/>
  <c r="D1139" i="23"/>
  <c r="K1139" i="23"/>
  <c r="D1137" i="23"/>
  <c r="I1132" i="23"/>
  <c r="G1132" i="23"/>
  <c r="K1129" i="23"/>
  <c r="J1125" i="23"/>
  <c r="D1122" i="23"/>
  <c r="K1122" i="23"/>
  <c r="D1125" i="23"/>
  <c r="F1067" i="23"/>
  <c r="E1046" i="23"/>
  <c r="F1036" i="23"/>
  <c r="F1039" i="23"/>
  <c r="E398" i="23"/>
  <c r="E397" i="23"/>
  <c r="F362" i="23"/>
  <c r="F365" i="23"/>
  <c r="G332" i="23"/>
  <c r="G335" i="23"/>
  <c r="E137" i="22"/>
  <c r="D333" i="23"/>
  <c r="D334" i="23"/>
  <c r="H319" i="23"/>
  <c r="H321" i="23"/>
  <c r="G312" i="23"/>
  <c r="G314" i="23"/>
  <c r="I280" i="23"/>
  <c r="I279" i="23"/>
  <c r="I282" i="23"/>
  <c r="I283" i="23"/>
  <c r="F263" i="23"/>
  <c r="F264" i="23"/>
  <c r="F266" i="23"/>
  <c r="J255" i="23"/>
  <c r="J256" i="23"/>
  <c r="J258" i="23"/>
  <c r="G255" i="23"/>
  <c r="G257" i="23"/>
  <c r="G259" i="23"/>
  <c r="J980" i="23"/>
  <c r="J979" i="23"/>
  <c r="J978" i="23"/>
  <c r="H89" i="22"/>
  <c r="H24" i="24"/>
  <c r="G973" i="23"/>
  <c r="J966" i="23"/>
  <c r="J965" i="23"/>
  <c r="H119" i="22"/>
  <c r="J964" i="23"/>
  <c r="G959" i="23"/>
  <c r="J952" i="23"/>
  <c r="J951" i="23"/>
  <c r="H129" i="22"/>
  <c r="J950" i="23"/>
  <c r="J917" i="23"/>
  <c r="J910" i="23"/>
  <c r="J908" i="23"/>
  <c r="I896" i="23"/>
  <c r="H894" i="23"/>
  <c r="G881" i="23"/>
  <c r="F850" i="23"/>
  <c r="G847" i="23"/>
  <c r="E151" i="22"/>
  <c r="J840" i="23"/>
  <c r="D826" i="23"/>
  <c r="D823" i="23"/>
  <c r="J818" i="23"/>
  <c r="I815" i="23"/>
  <c r="I808" i="23"/>
  <c r="I806" i="23"/>
  <c r="I791" i="23"/>
  <c r="I789" i="23"/>
  <c r="H777" i="23"/>
  <c r="I775" i="23"/>
  <c r="J774" i="23"/>
  <c r="J773" i="23"/>
  <c r="E767" i="23"/>
  <c r="E765" i="23"/>
  <c r="K765" i="23"/>
  <c r="H738" i="23"/>
  <c r="H729" i="23"/>
  <c r="I722" i="23"/>
  <c r="D717" i="23"/>
  <c r="K717" i="23"/>
  <c r="F695" i="23"/>
  <c r="D689" i="23"/>
  <c r="K689" i="23"/>
  <c r="I685" i="23"/>
  <c r="G668" i="23"/>
  <c r="G663" i="23"/>
  <c r="D662" i="23"/>
  <c r="I656" i="23"/>
  <c r="H650" i="23"/>
  <c r="I622" i="23"/>
  <c r="F621" i="23"/>
  <c r="E620" i="23"/>
  <c r="H615" i="23"/>
  <c r="G614" i="23"/>
  <c r="I613" i="23"/>
  <c r="D612" i="23"/>
  <c r="K612" i="23"/>
  <c r="I608" i="23"/>
  <c r="D584" i="23"/>
  <c r="B177" i="22"/>
  <c r="I570" i="23"/>
  <c r="I568" i="23"/>
  <c r="E561" i="23"/>
  <c r="E518" i="23"/>
  <c r="F486" i="23"/>
  <c r="F485" i="23"/>
  <c r="D469" i="23"/>
  <c r="H454" i="23"/>
  <c r="G428" i="23"/>
  <c r="G413" i="23"/>
  <c r="G411" i="23"/>
  <c r="E399" i="23"/>
  <c r="K399" i="23"/>
  <c r="H397" i="23"/>
  <c r="H398" i="23"/>
  <c r="G354" i="23"/>
  <c r="G357" i="23"/>
  <c r="G355" i="23"/>
  <c r="G356" i="23"/>
  <c r="G358" i="23"/>
  <c r="G333" i="23"/>
  <c r="H320" i="23"/>
  <c r="H318" i="23"/>
  <c r="E318" i="23"/>
  <c r="E320" i="23"/>
  <c r="H311" i="23"/>
  <c r="H312" i="23"/>
  <c r="H313" i="23"/>
  <c r="I273" i="23"/>
  <c r="J263" i="23"/>
  <c r="J264" i="23"/>
  <c r="J266" i="23"/>
  <c r="G263" i="23"/>
  <c r="G265" i="23"/>
  <c r="G267" i="23"/>
  <c r="G256" i="23"/>
  <c r="F255" i="23"/>
  <c r="F256" i="23"/>
  <c r="F258" i="23"/>
  <c r="G248" i="23"/>
  <c r="G251" i="23"/>
  <c r="K238" i="23"/>
  <c r="K230" i="23"/>
  <c r="J191" i="23"/>
  <c r="J192" i="23"/>
  <c r="J193" i="23"/>
  <c r="J194" i="23"/>
  <c r="H191" i="23"/>
  <c r="H192" i="23"/>
  <c r="H193" i="23"/>
  <c r="F191" i="23"/>
  <c r="F192" i="23"/>
  <c r="D185" i="22"/>
  <c r="K190" i="23"/>
  <c r="K182" i="23"/>
  <c r="K174" i="23"/>
  <c r="K166" i="23"/>
  <c r="K157" i="23"/>
  <c r="I227" i="23"/>
  <c r="I224" i="23"/>
  <c r="E211" i="23"/>
  <c r="E210" i="23"/>
  <c r="E209" i="23"/>
  <c r="E208" i="23"/>
  <c r="I203" i="23"/>
  <c r="I202" i="23"/>
  <c r="I201" i="23"/>
  <c r="H199" i="23"/>
  <c r="H200" i="23"/>
  <c r="H201" i="23"/>
  <c r="F199" i="23"/>
  <c r="F200" i="23"/>
  <c r="F201" i="23"/>
  <c r="K198" i="23"/>
  <c r="F193" i="23"/>
  <c r="D193" i="23"/>
  <c r="D192" i="23"/>
  <c r="D191" i="23"/>
  <c r="J187" i="23"/>
  <c r="H187" i="23"/>
  <c r="F187" i="23"/>
  <c r="D187" i="23"/>
  <c r="K187" i="23"/>
  <c r="J185" i="23"/>
  <c r="H185" i="23"/>
  <c r="F185" i="23"/>
  <c r="D185" i="23"/>
  <c r="D183" i="23"/>
  <c r="J179" i="23"/>
  <c r="H179" i="23"/>
  <c r="F179" i="23"/>
  <c r="D179" i="23"/>
  <c r="J177" i="23"/>
  <c r="H177" i="23"/>
  <c r="F177" i="23"/>
  <c r="D177" i="23"/>
  <c r="D175" i="23"/>
  <c r="K175" i="23"/>
  <c r="J171" i="23"/>
  <c r="H171" i="23"/>
  <c r="F171" i="23"/>
  <c r="D171" i="23"/>
  <c r="J169" i="23"/>
  <c r="H169" i="23"/>
  <c r="F169" i="23"/>
  <c r="K169" i="23"/>
  <c r="D169" i="23"/>
  <c r="D167" i="23"/>
  <c r="J162" i="23"/>
  <c r="H162" i="23"/>
  <c r="F162" i="23"/>
  <c r="D162" i="23"/>
  <c r="J160" i="23"/>
  <c r="H160" i="23"/>
  <c r="F160" i="23"/>
  <c r="D160" i="23"/>
  <c r="D158" i="23"/>
  <c r="J137" i="23"/>
  <c r="G134" i="23"/>
  <c r="G135" i="23"/>
  <c r="G137" i="23"/>
  <c r="E119" i="23"/>
  <c r="E118" i="23"/>
  <c r="G17" i="23"/>
  <c r="G114" i="23"/>
  <c r="F113" i="23"/>
  <c r="G111" i="23"/>
  <c r="G86" i="23"/>
  <c r="I46" i="23"/>
  <c r="K46" i="23"/>
  <c r="H33" i="23"/>
  <c r="H31" i="23"/>
  <c r="F145" i="22"/>
  <c r="J3160" i="23"/>
  <c r="H3141" i="23"/>
  <c r="K3141" i="23"/>
  <c r="E3122" i="23"/>
  <c r="D3117" i="23"/>
  <c r="D3115" i="23"/>
  <c r="H3108" i="23"/>
  <c r="H3107" i="23"/>
  <c r="F3099" i="23"/>
  <c r="E3097" i="23"/>
  <c r="I3088" i="23"/>
  <c r="H3072" i="23"/>
  <c r="H3071" i="23"/>
  <c r="E3063" i="23"/>
  <c r="F3061" i="23"/>
  <c r="G3059" i="23"/>
  <c r="H3058" i="23"/>
  <c r="F3026" i="23"/>
  <c r="F3025" i="23"/>
  <c r="G3024" i="23"/>
  <c r="F3023" i="23"/>
  <c r="J3009" i="23"/>
  <c r="H3009" i="23"/>
  <c r="H3008" i="23"/>
  <c r="I3007" i="23"/>
  <c r="J3006" i="23"/>
  <c r="H3005" i="23"/>
  <c r="H3004" i="23"/>
  <c r="I2947" i="23"/>
  <c r="I2950" i="23"/>
  <c r="G2947" i="23"/>
  <c r="G2950" i="23"/>
  <c r="I2946" i="23"/>
  <c r="I2949" i="23"/>
  <c r="G2946" i="23"/>
  <c r="G2949" i="23"/>
  <c r="H2939" i="23"/>
  <c r="G2938" i="23"/>
  <c r="I2934" i="23"/>
  <c r="E2934" i="23"/>
  <c r="F2933" i="23"/>
  <c r="I2932" i="23"/>
  <c r="F2932" i="23"/>
  <c r="D2931" i="23"/>
  <c r="G2927" i="23"/>
  <c r="H2926" i="23"/>
  <c r="G2925" i="23"/>
  <c r="H2920" i="23"/>
  <c r="E2900" i="23"/>
  <c r="F2887" i="23"/>
  <c r="G2886" i="23"/>
  <c r="E2886" i="23"/>
  <c r="G2885" i="23"/>
  <c r="J2880" i="23"/>
  <c r="G2880" i="23"/>
  <c r="J2879" i="23"/>
  <c r="E2877" i="23"/>
  <c r="G2873" i="23"/>
  <c r="H2872" i="23"/>
  <c r="G2871" i="23"/>
  <c r="H2866" i="23"/>
  <c r="I2856" i="23"/>
  <c r="G2839" i="23"/>
  <c r="G2833" i="23"/>
  <c r="G2831" i="23"/>
  <c r="E2831" i="23"/>
  <c r="E2830" i="23"/>
  <c r="H2824" i="23"/>
  <c r="G2820" i="23"/>
  <c r="I2814" i="23"/>
  <c r="J2812" i="23"/>
  <c r="G2807" i="23"/>
  <c r="F3167" i="23"/>
  <c r="E2999" i="23"/>
  <c r="E2998" i="23"/>
  <c r="E2997" i="23"/>
  <c r="E2996" i="23"/>
  <c r="E2995" i="23"/>
  <c r="I2989" i="23"/>
  <c r="H2988" i="23"/>
  <c r="H2986" i="23"/>
  <c r="H2985" i="23"/>
  <c r="F2984" i="23"/>
  <c r="J2770" i="23"/>
  <c r="E2762" i="23"/>
  <c r="E2760" i="23"/>
  <c r="J2745" i="23"/>
  <c r="J2737" i="23"/>
  <c r="K2737" i="23"/>
  <c r="G2732" i="23"/>
  <c r="J2731" i="23"/>
  <c r="G2730" i="23"/>
  <c r="J2729" i="23"/>
  <c r="I2710" i="23"/>
  <c r="H2708" i="23"/>
  <c r="I2703" i="23"/>
  <c r="I2674" i="23"/>
  <c r="E2661" i="23"/>
  <c r="G2659" i="23"/>
  <c r="F2648" i="23"/>
  <c r="G2647" i="23"/>
  <c r="G2646" i="23"/>
  <c r="D2646" i="23"/>
  <c r="F2644" i="23"/>
  <c r="D2637" i="23"/>
  <c r="G2630" i="23"/>
  <c r="G2629" i="23"/>
  <c r="F2628" i="23"/>
  <c r="I2621" i="23"/>
  <c r="K2621" i="23"/>
  <c r="I2609" i="23"/>
  <c r="F2566" i="23"/>
  <c r="H2561" i="23"/>
  <c r="I2500" i="23"/>
  <c r="I2486" i="23"/>
  <c r="E2486" i="23"/>
  <c r="I2476" i="23"/>
  <c r="J2471" i="23"/>
  <c r="F2471" i="23"/>
  <c r="H2466" i="23"/>
  <c r="G2461" i="23"/>
  <c r="J2456" i="23"/>
  <c r="J2451" i="23"/>
  <c r="F2451" i="23"/>
  <c r="H2446" i="23"/>
  <c r="G2441" i="23"/>
  <c r="J2436" i="23"/>
  <c r="J2431" i="23"/>
  <c r="F2431" i="23"/>
  <c r="H2426" i="23"/>
  <c r="G2421" i="23"/>
  <c r="J2416" i="23"/>
  <c r="J2411" i="23"/>
  <c r="F2411" i="23"/>
  <c r="H2406" i="23"/>
  <c r="G2401" i="23"/>
  <c r="J2396" i="23"/>
  <c r="J2390" i="23"/>
  <c r="F2390" i="23"/>
  <c r="G2389" i="23"/>
  <c r="J2388" i="23"/>
  <c r="F2388" i="23"/>
  <c r="H2383" i="23"/>
  <c r="H2381" i="23"/>
  <c r="I2376" i="23"/>
  <c r="E2376" i="23"/>
  <c r="J2375" i="23"/>
  <c r="F2375" i="23"/>
  <c r="F2369" i="23"/>
  <c r="G2368" i="23"/>
  <c r="F2367" i="23"/>
  <c r="I2362" i="23"/>
  <c r="E2362" i="23"/>
  <c r="I2361" i="23"/>
  <c r="E2361" i="23"/>
  <c r="I2360" i="23"/>
  <c r="E2360" i="23"/>
  <c r="J2353" i="23"/>
  <c r="H2353" i="23"/>
  <c r="F2353" i="23"/>
  <c r="K2353" i="23"/>
  <c r="D2353" i="23"/>
  <c r="J2347" i="23"/>
  <c r="F2347" i="23"/>
  <c r="D2347" i="23"/>
  <c r="G2346" i="23"/>
  <c r="J2345" i="23"/>
  <c r="F2345" i="23"/>
  <c r="F2330" i="23"/>
  <c r="H2325" i="23"/>
  <c r="G2323" i="23"/>
  <c r="J2322" i="23"/>
  <c r="H2316" i="23"/>
  <c r="I2304" i="23"/>
  <c r="E2304" i="23"/>
  <c r="J2303" i="23"/>
  <c r="H2302" i="23"/>
  <c r="E2301" i="23"/>
  <c r="D2297" i="23"/>
  <c r="D2296" i="23"/>
  <c r="D2295" i="23"/>
  <c r="D2273" i="23"/>
  <c r="F2267" i="23"/>
  <c r="F2260" i="23"/>
  <c r="J2213" i="23"/>
  <c r="E2206" i="23"/>
  <c r="J2198" i="23"/>
  <c r="J2197" i="23"/>
  <c r="J2196" i="23"/>
  <c r="H2137" i="23"/>
  <c r="G2135" i="23"/>
  <c r="D2126" i="23"/>
  <c r="D2121" i="23"/>
  <c r="H2112" i="23"/>
  <c r="I2097" i="23"/>
  <c r="F2087" i="23"/>
  <c r="H2075" i="23"/>
  <c r="D2075" i="23"/>
  <c r="H2073" i="23"/>
  <c r="D2073" i="23"/>
  <c r="J2068" i="23"/>
  <c r="E2068" i="23"/>
  <c r="F2053" i="23"/>
  <c r="K2053" i="23"/>
  <c r="E2050" i="23"/>
  <c r="E2049" i="23"/>
  <c r="E2048" i="23"/>
  <c r="F2041" i="23"/>
  <c r="H2032" i="23"/>
  <c r="F2027" i="23"/>
  <c r="F2025" i="23"/>
  <c r="F2024" i="23"/>
  <c r="D2020" i="23"/>
  <c r="E2012" i="23"/>
  <c r="E2011" i="23"/>
  <c r="E2010" i="23"/>
  <c r="H1998" i="23"/>
  <c r="E1998" i="23"/>
  <c r="F1977" i="23"/>
  <c r="F1975" i="23"/>
  <c r="F1974" i="23"/>
  <c r="D1970" i="23"/>
  <c r="G1962" i="23"/>
  <c r="J1948" i="23"/>
  <c r="E1948" i="23"/>
  <c r="D1934" i="23"/>
  <c r="F1926" i="23"/>
  <c r="F1925" i="23"/>
  <c r="D1925" i="23"/>
  <c r="D1924" i="23"/>
  <c r="I1920" i="23"/>
  <c r="F1920" i="23"/>
  <c r="I1919" i="23"/>
  <c r="I1918" i="23"/>
  <c r="G1918" i="23"/>
  <c r="E1917" i="23"/>
  <c r="J1913" i="23"/>
  <c r="G1912" i="23"/>
  <c r="I1911" i="23"/>
  <c r="F1911" i="23"/>
  <c r="F1910" i="23"/>
  <c r="D1906" i="23"/>
  <c r="H1891" i="23"/>
  <c r="I1889" i="23"/>
  <c r="J1888" i="23"/>
  <c r="J1884" i="23"/>
  <c r="I1882" i="23"/>
  <c r="J1881" i="23"/>
  <c r="G1877" i="23"/>
  <c r="E1877" i="23"/>
  <c r="F1875" i="23"/>
  <c r="E1874" i="23"/>
  <c r="D1869" i="23"/>
  <c r="K1869" i="23"/>
  <c r="I1862" i="23"/>
  <c r="I1860" i="23"/>
  <c r="D1859" i="23"/>
  <c r="J1855" i="23"/>
  <c r="G1855" i="23"/>
  <c r="J1854" i="23"/>
  <c r="H1853" i="23"/>
  <c r="E1852" i="23"/>
  <c r="H1840" i="23"/>
  <c r="H1838" i="23"/>
  <c r="G1718" i="23"/>
  <c r="K1718" i="23"/>
  <c r="I1696" i="23"/>
  <c r="J1690" i="23"/>
  <c r="I1688" i="23"/>
  <c r="E1688" i="23"/>
  <c r="I1664" i="23"/>
  <c r="J1650" i="23"/>
  <c r="K1650" i="23"/>
  <c r="H1627" i="23"/>
  <c r="J1582" i="23"/>
  <c r="F1451" i="23"/>
  <c r="E1439" i="23"/>
  <c r="K1439" i="23"/>
  <c r="J1418" i="23"/>
  <c r="E1418" i="23"/>
  <c r="G1417" i="23"/>
  <c r="F1376" i="23"/>
  <c r="F1373" i="23"/>
  <c r="K1373" i="23"/>
  <c r="J1360" i="23"/>
  <c r="H1308" i="23"/>
  <c r="I1305" i="23"/>
  <c r="I1270" i="23"/>
  <c r="J1086" i="23"/>
  <c r="J1088" i="23"/>
  <c r="J1090" i="23"/>
  <c r="H1086" i="23"/>
  <c r="H1088" i="23"/>
  <c r="H1090" i="23"/>
  <c r="I1071" i="23"/>
  <c r="I1072" i="23"/>
  <c r="G163" i="22"/>
  <c r="G1071" i="23"/>
  <c r="G1073" i="23"/>
  <c r="G1072" i="23"/>
  <c r="E1072" i="23"/>
  <c r="E1073" i="23"/>
  <c r="H985" i="23"/>
  <c r="H986" i="23"/>
  <c r="H988" i="23"/>
  <c r="G965" i="23"/>
  <c r="G967" i="23"/>
  <c r="E965" i="23"/>
  <c r="E967" i="23"/>
  <c r="K967" i="23"/>
  <c r="G957" i="23"/>
  <c r="G960" i="23"/>
  <c r="E957" i="23"/>
  <c r="E960" i="23"/>
  <c r="F870" i="23"/>
  <c r="F871" i="23"/>
  <c r="F872" i="23"/>
  <c r="F873" i="23"/>
  <c r="F874" i="23"/>
  <c r="E769" i="23"/>
  <c r="E766" i="23"/>
  <c r="E735" i="23"/>
  <c r="E736" i="23"/>
  <c r="E738" i="23"/>
  <c r="G728" i="23"/>
  <c r="G731" i="23"/>
  <c r="K706" i="23"/>
  <c r="D707" i="23"/>
  <c r="D709" i="23"/>
  <c r="I700" i="23"/>
  <c r="I702" i="23"/>
  <c r="G700" i="23"/>
  <c r="G702" i="23"/>
  <c r="E700" i="23"/>
  <c r="C5" i="22"/>
  <c r="C22" i="24"/>
  <c r="E702" i="23"/>
  <c r="I664" i="23"/>
  <c r="I661" i="23"/>
  <c r="I663" i="23"/>
  <c r="H1790" i="23"/>
  <c r="F1789" i="23"/>
  <c r="G1788" i="23"/>
  <c r="I1741" i="23"/>
  <c r="K1741" i="23"/>
  <c r="J1706" i="23"/>
  <c r="I1577" i="23"/>
  <c r="J1575" i="23"/>
  <c r="I1573" i="23"/>
  <c r="G1554" i="23"/>
  <c r="G1552" i="23"/>
  <c r="H1551" i="23"/>
  <c r="F1540" i="23"/>
  <c r="H1525" i="23"/>
  <c r="J1523" i="23"/>
  <c r="F1523" i="23"/>
  <c r="F1521" i="23"/>
  <c r="G1509" i="23"/>
  <c r="I1506" i="23"/>
  <c r="J1457" i="23"/>
  <c r="J1186" i="23"/>
  <c r="H3" i="22"/>
  <c r="H20" i="24"/>
  <c r="J1188" i="23"/>
  <c r="H1188" i="23"/>
  <c r="H1187" i="23"/>
  <c r="K1164" i="23"/>
  <c r="D1165" i="23"/>
  <c r="D1167" i="23"/>
  <c r="K1167" i="23"/>
  <c r="I1158" i="23"/>
  <c r="I1160" i="23"/>
  <c r="G1158" i="23"/>
  <c r="G1160" i="23"/>
  <c r="E1158" i="23"/>
  <c r="E1160" i="23"/>
  <c r="I1144" i="23"/>
  <c r="I1145" i="23"/>
  <c r="I1147" i="23"/>
  <c r="F1144" i="23"/>
  <c r="F1146" i="23"/>
  <c r="D1144" i="23"/>
  <c r="D1146" i="23"/>
  <c r="I1137" i="23"/>
  <c r="I1139" i="23"/>
  <c r="G1137" i="23"/>
  <c r="G1139" i="23"/>
  <c r="G1130" i="23"/>
  <c r="G1131" i="23"/>
  <c r="E1130" i="23"/>
  <c r="E1132" i="23"/>
  <c r="E1131" i="23"/>
  <c r="H1114" i="23"/>
  <c r="H1115" i="23"/>
  <c r="G1105" i="23"/>
  <c r="G1107" i="23"/>
  <c r="G1108" i="23"/>
  <c r="E1104" i="23"/>
  <c r="K1104" i="23"/>
  <c r="E1106" i="23"/>
  <c r="H1099" i="23"/>
  <c r="H1095" i="23"/>
  <c r="F71" i="22"/>
  <c r="H1097" i="23"/>
  <c r="H1079" i="23"/>
  <c r="H1081" i="23"/>
  <c r="F1079" i="23"/>
  <c r="D163" i="22"/>
  <c r="F1081" i="23"/>
  <c r="D1079" i="23"/>
  <c r="D1081" i="23"/>
  <c r="I1074" i="23"/>
  <c r="G1074" i="23"/>
  <c r="E1074" i="23"/>
  <c r="I1073" i="23"/>
  <c r="G979" i="23"/>
  <c r="G981" i="23"/>
  <c r="E979" i="23"/>
  <c r="E981" i="23"/>
  <c r="G971" i="23"/>
  <c r="E135" i="22"/>
  <c r="G974" i="23"/>
  <c r="E971" i="23"/>
  <c r="C135" i="22"/>
  <c r="E974" i="23"/>
  <c r="G951" i="23"/>
  <c r="G953" i="23"/>
  <c r="E951" i="23"/>
  <c r="E953" i="23"/>
  <c r="J921" i="23"/>
  <c r="J923" i="23"/>
  <c r="D900" i="23"/>
  <c r="D901" i="23"/>
  <c r="D902" i="23"/>
  <c r="D903" i="23"/>
  <c r="E878" i="23"/>
  <c r="E879" i="23"/>
  <c r="C47" i="22"/>
  <c r="E880" i="23"/>
  <c r="E881" i="23"/>
  <c r="E882" i="23"/>
  <c r="H827" i="23"/>
  <c r="H822" i="23"/>
  <c r="J816" i="23"/>
  <c r="J814" i="23"/>
  <c r="D708" i="23"/>
  <c r="I701" i="23"/>
  <c r="G701" i="23"/>
  <c r="E701" i="23"/>
  <c r="I626" i="23"/>
  <c r="I627" i="23"/>
  <c r="I628" i="23"/>
  <c r="E626" i="23"/>
  <c r="E629" i="23"/>
  <c r="C165" i="22"/>
  <c r="E627" i="23"/>
  <c r="E613" i="23"/>
  <c r="E614" i="23"/>
  <c r="H567" i="23"/>
  <c r="K567" i="23"/>
  <c r="H569" i="23"/>
  <c r="J540" i="23"/>
  <c r="J541" i="23"/>
  <c r="K541" i="23"/>
  <c r="G532" i="23"/>
  <c r="G534" i="23"/>
  <c r="J505" i="23"/>
  <c r="J504" i="23"/>
  <c r="K504" i="23"/>
  <c r="E483" i="23"/>
  <c r="E484" i="23"/>
  <c r="E486" i="23"/>
  <c r="D1174" i="23"/>
  <c r="D1173" i="23"/>
  <c r="K1157" i="23"/>
  <c r="J1151" i="23"/>
  <c r="J1153" i="23"/>
  <c r="J1154" i="23"/>
  <c r="H1151" i="23"/>
  <c r="H1153" i="23"/>
  <c r="H1154" i="23"/>
  <c r="E1151" i="23"/>
  <c r="E1152" i="23"/>
  <c r="E1153" i="23"/>
  <c r="J1144" i="23"/>
  <c r="J1146" i="23"/>
  <c r="F1137" i="23"/>
  <c r="F1138" i="23"/>
  <c r="F1140" i="23"/>
  <c r="D1138" i="23"/>
  <c r="D1140" i="23"/>
  <c r="H1130" i="23"/>
  <c r="H1131" i="23"/>
  <c r="H1132" i="23"/>
  <c r="H1133" i="23"/>
  <c r="G1085" i="23"/>
  <c r="G1087" i="23"/>
  <c r="G1089" i="23"/>
  <c r="K1089" i="23"/>
  <c r="I1078" i="23"/>
  <c r="I1081" i="23"/>
  <c r="E1029" i="23"/>
  <c r="E1030" i="23"/>
  <c r="H978" i="23"/>
  <c r="H980" i="23"/>
  <c r="H981" i="23"/>
  <c r="F981" i="23"/>
  <c r="F979" i="23"/>
  <c r="H964" i="23"/>
  <c r="H966" i="23"/>
  <c r="H967" i="23"/>
  <c r="F967" i="23"/>
  <c r="F965" i="23"/>
  <c r="H950" i="23"/>
  <c r="H952" i="23"/>
  <c r="H953" i="23"/>
  <c r="F953" i="23"/>
  <c r="F951" i="23"/>
  <c r="I921" i="23"/>
  <c r="I922" i="23"/>
  <c r="I924" i="23"/>
  <c r="E921" i="23"/>
  <c r="E923" i="23"/>
  <c r="K923" i="23"/>
  <c r="H907" i="23"/>
  <c r="H910" i="23"/>
  <c r="F187" i="22"/>
  <c r="H789" i="23"/>
  <c r="K789" i="23"/>
  <c r="H790" i="23"/>
  <c r="E782" i="23"/>
  <c r="E781" i="23"/>
  <c r="E784" i="23"/>
  <c r="K699" i="23"/>
  <c r="I678" i="23"/>
  <c r="I677" i="23"/>
  <c r="H648" i="23"/>
  <c r="H647" i="23"/>
  <c r="E619" i="23"/>
  <c r="E622" i="23"/>
  <c r="D613" i="23"/>
  <c r="D615" i="23"/>
  <c r="E590" i="23"/>
  <c r="J567" i="23"/>
  <c r="H17" i="22"/>
  <c r="J539" i="23"/>
  <c r="H9" i="22"/>
  <c r="H13" i="24"/>
  <c r="I539" i="23"/>
  <c r="I542" i="23"/>
  <c r="E539" i="23"/>
  <c r="E540" i="23"/>
  <c r="F533" i="23"/>
  <c r="F532" i="23"/>
  <c r="H525" i="23"/>
  <c r="D518" i="23"/>
  <c r="D520" i="23"/>
  <c r="B73" i="22"/>
  <c r="E505" i="23"/>
  <c r="I440" i="23"/>
  <c r="I439" i="23"/>
  <c r="I442" i="23"/>
  <c r="D507" i="23"/>
  <c r="D505" i="23"/>
  <c r="D506" i="23"/>
  <c r="E439" i="23"/>
  <c r="E442" i="23"/>
  <c r="E443" i="23"/>
  <c r="D418" i="23"/>
  <c r="D420" i="23"/>
  <c r="J379" i="23"/>
  <c r="J321" i="23"/>
  <c r="G318" i="23"/>
  <c r="G321" i="23"/>
  <c r="E311" i="23"/>
  <c r="J279" i="23"/>
  <c r="J283" i="23"/>
  <c r="E263" i="23"/>
  <c r="K263" i="23"/>
  <c r="E266" i="23"/>
  <c r="E267" i="23"/>
  <c r="E255" i="23"/>
  <c r="E257" i="23"/>
  <c r="I239" i="23"/>
  <c r="I241" i="23"/>
  <c r="I243" i="23"/>
  <c r="G239" i="23"/>
  <c r="G241" i="23"/>
  <c r="G243" i="23"/>
  <c r="E239" i="23"/>
  <c r="E241" i="23"/>
  <c r="E243" i="23"/>
  <c r="G226" i="23"/>
  <c r="H224" i="23"/>
  <c r="H226" i="23"/>
  <c r="F226" i="23"/>
  <c r="F224" i="23"/>
  <c r="H207" i="23"/>
  <c r="H208" i="23"/>
  <c r="H209" i="23"/>
  <c r="H210" i="23"/>
  <c r="H211" i="23"/>
  <c r="F207" i="23"/>
  <c r="F208" i="23"/>
  <c r="F209" i="23"/>
  <c r="F210" i="23"/>
  <c r="F211" i="23"/>
  <c r="I200" i="23"/>
  <c r="J200" i="23"/>
  <c r="J201" i="23"/>
  <c r="J202" i="23"/>
  <c r="J203" i="23"/>
  <c r="E183" i="23"/>
  <c r="E184" i="23"/>
  <c r="E185" i="23"/>
  <c r="E186" i="23"/>
  <c r="E187" i="23"/>
  <c r="E179" i="23"/>
  <c r="E178" i="23"/>
  <c r="E177" i="23"/>
  <c r="E176" i="23"/>
  <c r="C147" i="22"/>
  <c r="E137" i="23"/>
  <c r="E135" i="23"/>
  <c r="G79" i="23"/>
  <c r="G78" i="23"/>
  <c r="G81" i="23"/>
  <c r="G80" i="23"/>
  <c r="G63" i="23"/>
  <c r="G62" i="23"/>
  <c r="G65" i="23"/>
  <c r="G55" i="23"/>
  <c r="G57" i="23"/>
  <c r="G58" i="23"/>
  <c r="K58" i="23"/>
  <c r="E54" i="23"/>
  <c r="E57" i="23"/>
  <c r="J33" i="23"/>
  <c r="J31" i="23"/>
  <c r="H145" i="22"/>
  <c r="F33" i="23"/>
  <c r="F31" i="23"/>
  <c r="J16" i="23"/>
  <c r="J18" i="23"/>
  <c r="H16" i="23"/>
  <c r="H18" i="23"/>
  <c r="D263" i="23"/>
  <c r="D264" i="23"/>
  <c r="D255" i="23"/>
  <c r="D256" i="23"/>
  <c r="D258" i="23"/>
  <c r="J249" i="23"/>
  <c r="J251" i="23"/>
  <c r="I231" i="23"/>
  <c r="I233" i="23"/>
  <c r="I235" i="23"/>
  <c r="G231" i="23"/>
  <c r="G233" i="23"/>
  <c r="G235" i="23"/>
  <c r="E231" i="23"/>
  <c r="E233" i="23"/>
  <c r="C139" i="22"/>
  <c r="E235" i="23"/>
  <c r="D216" i="23"/>
  <c r="D215" i="23"/>
  <c r="K206" i="23"/>
  <c r="G199" i="23"/>
  <c r="G200" i="23"/>
  <c r="G202" i="23"/>
  <c r="G203" i="23"/>
  <c r="E201" i="23"/>
  <c r="E202" i="23"/>
  <c r="E203" i="23"/>
  <c r="I183" i="23"/>
  <c r="G149" i="22"/>
  <c r="I184" i="23"/>
  <c r="I185" i="23"/>
  <c r="I186" i="23"/>
  <c r="I187" i="23"/>
  <c r="J175" i="23"/>
  <c r="J176" i="23"/>
  <c r="H147" i="22"/>
  <c r="J178" i="23"/>
  <c r="H175" i="23"/>
  <c r="H176" i="23"/>
  <c r="F147" i="22"/>
  <c r="H178" i="23"/>
  <c r="J167" i="23"/>
  <c r="J168" i="23"/>
  <c r="J170" i="23"/>
  <c r="G167" i="23"/>
  <c r="G169" i="23"/>
  <c r="G171" i="23"/>
  <c r="E158" i="23"/>
  <c r="E159" i="23"/>
  <c r="E160" i="23"/>
  <c r="E161" i="23"/>
  <c r="E162" i="23"/>
  <c r="I111" i="23"/>
  <c r="I112" i="23"/>
  <c r="I113" i="23"/>
  <c r="I8" i="23"/>
  <c r="I10" i="23"/>
  <c r="F167" i="23"/>
  <c r="F168" i="23"/>
  <c r="F170" i="23"/>
  <c r="D168" i="23"/>
  <c r="D170" i="23"/>
  <c r="I158" i="23"/>
  <c r="I159" i="23"/>
  <c r="I160" i="23"/>
  <c r="I161" i="23"/>
  <c r="I162" i="23"/>
  <c r="F119" i="23"/>
  <c r="F121" i="23"/>
  <c r="J110" i="23"/>
  <c r="J113" i="23"/>
  <c r="H110" i="23"/>
  <c r="H111" i="23"/>
  <c r="H114" i="23"/>
  <c r="F112" i="23"/>
  <c r="F110" i="23"/>
  <c r="D91" i="22"/>
  <c r="D110" i="25"/>
  <c r="F78" i="23"/>
  <c r="F79" i="23"/>
  <c r="F62" i="23"/>
  <c r="D81" i="22"/>
  <c r="F63" i="23"/>
  <c r="F65" i="23"/>
  <c r="K65" i="23"/>
  <c r="D54" i="23"/>
  <c r="D55" i="23"/>
  <c r="I31" i="23"/>
  <c r="I33" i="23"/>
  <c r="G15" i="23"/>
  <c r="G18" i="23"/>
  <c r="E15" i="23"/>
  <c r="E18" i="23"/>
  <c r="E19" i="23"/>
  <c r="E3151" i="23"/>
  <c r="H3144" i="23"/>
  <c r="I3142" i="23"/>
  <c r="G3142" i="23"/>
  <c r="J3117" i="23"/>
  <c r="F3117" i="23"/>
  <c r="E3115" i="23"/>
  <c r="H3104" i="23"/>
  <c r="K3104" i="23"/>
  <c r="H3103" i="23"/>
  <c r="E3099" i="23"/>
  <c r="F3097" i="23"/>
  <c r="E3095" i="23"/>
  <c r="H3090" i="23"/>
  <c r="H3088" i="23"/>
  <c r="H3087" i="23"/>
  <c r="H3081" i="23"/>
  <c r="E3080" i="23"/>
  <c r="H3079" i="23"/>
  <c r="E3078" i="23"/>
  <c r="D3068" i="23"/>
  <c r="E3067" i="23"/>
  <c r="J3061" i="23"/>
  <c r="H3052" i="23"/>
  <c r="J3050" i="23"/>
  <c r="H3045" i="23"/>
  <c r="H3036" i="23"/>
  <c r="D3036" i="23"/>
  <c r="F3035" i="23"/>
  <c r="H3034" i="23"/>
  <c r="H3033" i="23"/>
  <c r="E3018" i="23"/>
  <c r="F3018" i="23"/>
  <c r="E2988" i="23"/>
  <c r="J2987" i="23"/>
  <c r="F2985" i="23"/>
  <c r="H2984" i="23"/>
  <c r="D2979" i="23"/>
  <c r="G2978" i="23"/>
  <c r="F2977" i="23"/>
  <c r="H2975" i="23"/>
  <c r="J2974" i="23"/>
  <c r="I2969" i="23"/>
  <c r="E2969" i="23"/>
  <c r="G2968" i="23"/>
  <c r="J2967" i="23"/>
  <c r="J2966" i="23"/>
  <c r="I2965" i="23"/>
  <c r="J2964" i="23"/>
  <c r="F2946" i="23"/>
  <c r="F2949" i="23"/>
  <c r="E2940" i="23"/>
  <c r="F2914" i="23"/>
  <c r="G2913" i="23"/>
  <c r="E2913" i="23"/>
  <c r="G2912" i="23"/>
  <c r="J2907" i="23"/>
  <c r="G2907" i="23"/>
  <c r="J2906" i="23"/>
  <c r="E2904" i="23"/>
  <c r="I2900" i="23"/>
  <c r="G2900" i="23"/>
  <c r="F2899" i="23"/>
  <c r="E2897" i="23"/>
  <c r="K2897" i="23"/>
  <c r="J2887" i="23"/>
  <c r="D2887" i="23"/>
  <c r="I2885" i="23"/>
  <c r="I2880" i="23"/>
  <c r="J2878" i="23"/>
  <c r="J2866" i="23"/>
  <c r="G2858" i="23"/>
  <c r="D2858" i="23"/>
  <c r="F2857" i="23"/>
  <c r="G2856" i="23"/>
  <c r="G2842" i="23"/>
  <c r="E2842" i="23"/>
  <c r="E2833" i="23"/>
  <c r="G2832" i="23"/>
  <c r="J2831" i="23"/>
  <c r="K2831" i="23"/>
  <c r="G2830" i="23"/>
  <c r="E2799" i="23"/>
  <c r="E2797" i="23"/>
  <c r="G2790" i="23"/>
  <c r="E2789" i="23"/>
  <c r="G2788" i="23"/>
  <c r="E2788" i="23"/>
  <c r="E2787" i="23"/>
  <c r="H2781" i="23"/>
  <c r="G2777" i="23"/>
  <c r="G2771" i="23"/>
  <c r="G2770" i="23"/>
  <c r="E2731" i="23"/>
  <c r="E2718" i="23"/>
  <c r="G2717" i="23"/>
  <c r="J2715" i="23"/>
  <c r="I2704" i="23"/>
  <c r="D2701" i="23"/>
  <c r="I2676" i="23"/>
  <c r="G2660" i="23"/>
  <c r="G2639" i="23"/>
  <c r="D2639" i="23"/>
  <c r="H2637" i="23"/>
  <c r="E2636" i="23"/>
  <c r="G2635" i="23"/>
  <c r="H2611" i="23"/>
  <c r="H2593" i="23"/>
  <c r="G2546" i="23"/>
  <c r="H2541" i="23"/>
  <c r="H2501" i="23"/>
  <c r="F2486" i="23"/>
  <c r="D2480" i="23"/>
  <c r="K2480" i="23"/>
  <c r="G2476" i="23"/>
  <c r="I2461" i="23"/>
  <c r="G2430" i="23"/>
  <c r="G2431" i="23"/>
  <c r="F2815" i="23"/>
  <c r="E2814" i="23"/>
  <c r="E2813" i="23"/>
  <c r="J2807" i="23"/>
  <c r="H2416" i="23"/>
  <c r="I2401" i="23"/>
  <c r="G2396" i="23"/>
  <c r="D2390" i="23"/>
  <c r="E2389" i="23"/>
  <c r="E2383" i="23"/>
  <c r="J2376" i="23"/>
  <c r="D2376" i="23"/>
  <c r="J2373" i="23"/>
  <c r="J2369" i="23"/>
  <c r="G2369" i="23"/>
  <c r="J2367" i="23"/>
  <c r="G2367" i="23"/>
  <c r="F2362" i="23"/>
  <c r="G2361" i="23"/>
  <c r="F2360" i="23"/>
  <c r="I2354" i="23"/>
  <c r="E2354" i="23"/>
  <c r="I2353" i="23"/>
  <c r="E2353" i="23"/>
  <c r="I2352" i="23"/>
  <c r="E2352" i="23"/>
  <c r="D2332" i="23"/>
  <c r="J2325" i="23"/>
  <c r="D2318" i="23"/>
  <c r="I2311" i="23"/>
  <c r="D2309" i="23"/>
  <c r="D2308" i="23"/>
  <c r="J2304" i="23"/>
  <c r="D2304" i="23"/>
  <c r="G2302" i="23"/>
  <c r="E2290" i="23"/>
  <c r="I2213" i="23"/>
  <c r="H2204" i="23"/>
  <c r="E2203" i="23"/>
  <c r="F2198" i="23"/>
  <c r="F2196" i="23"/>
  <c r="D2175" i="23"/>
  <c r="H2128" i="23"/>
  <c r="D2128" i="23"/>
  <c r="D2127" i="23"/>
  <c r="F2126" i="23"/>
  <c r="G2089" i="23"/>
  <c r="G2087" i="23"/>
  <c r="F2080" i="23"/>
  <c r="G2079" i="23"/>
  <c r="D2074" i="23"/>
  <c r="J2059" i="23"/>
  <c r="I2053" i="23"/>
  <c r="G2052" i="23"/>
  <c r="J2051" i="23"/>
  <c r="I2049" i="23"/>
  <c r="F2049" i="23"/>
  <c r="H2026" i="23"/>
  <c r="J2013" i="23"/>
  <c r="I2011" i="23"/>
  <c r="G1991" i="23"/>
  <c r="J1988" i="23"/>
  <c r="J1983" i="23"/>
  <c r="J1982" i="23"/>
  <c r="F1982" i="23"/>
  <c r="J1977" i="23"/>
  <c r="J1962" i="23"/>
  <c r="J1911" i="23"/>
  <c r="H1898" i="23"/>
  <c r="H1897" i="23"/>
  <c r="J1891" i="23"/>
  <c r="E1855" i="23"/>
  <c r="G1853" i="23"/>
  <c r="H1584" i="23"/>
  <c r="J1577" i="23"/>
  <c r="J1573" i="23"/>
  <c r="J1547" i="23"/>
  <c r="K1547" i="23"/>
  <c r="I1545" i="23"/>
  <c r="F1525" i="23"/>
  <c r="H1521" i="23"/>
  <c r="E1520" i="23"/>
  <c r="E1524" i="23"/>
  <c r="F1516" i="23"/>
  <c r="D1514" i="23"/>
  <c r="D1513" i="23"/>
  <c r="I1507" i="23"/>
  <c r="J1408" i="23"/>
  <c r="I1408" i="23"/>
  <c r="I1409" i="23"/>
  <c r="I1995" i="23"/>
  <c r="H1948" i="23"/>
  <c r="I1947" i="23"/>
  <c r="H1946" i="23"/>
  <c r="G1941" i="23"/>
  <c r="J1938" i="23"/>
  <c r="F1927" i="23"/>
  <c r="E1925" i="23"/>
  <c r="E1924" i="23"/>
  <c r="D1832" i="23"/>
  <c r="K1832" i="23"/>
  <c r="G1743" i="23"/>
  <c r="G1727" i="23"/>
  <c r="G1725" i="23"/>
  <c r="H1724" i="23"/>
  <c r="F1720" i="23"/>
  <c r="I1704" i="23"/>
  <c r="E1683" i="23"/>
  <c r="J1676" i="23"/>
  <c r="E1676" i="23"/>
  <c r="J1674" i="23"/>
  <c r="I1672" i="23"/>
  <c r="E1672" i="23"/>
  <c r="J1467" i="23"/>
  <c r="J1459" i="23"/>
  <c r="H1431" i="23"/>
  <c r="H1429" i="23"/>
  <c r="F1423" i="23"/>
  <c r="H1418" i="23"/>
  <c r="I1417" i="23"/>
  <c r="F1415" i="23"/>
  <c r="J1403" i="23"/>
  <c r="J1404" i="23"/>
  <c r="F1394" i="23"/>
  <c r="F1397" i="23"/>
  <c r="E1369" i="23"/>
  <c r="G1313" i="23"/>
  <c r="F1312" i="23"/>
  <c r="I1307" i="23"/>
  <c r="J1182" i="23"/>
  <c r="J1160" i="23"/>
  <c r="F1160" i="23"/>
  <c r="H1159" i="23"/>
  <c r="D1159" i="23"/>
  <c r="H1147" i="23"/>
  <c r="E1146" i="23"/>
  <c r="J1139" i="23"/>
  <c r="D1132" i="23"/>
  <c r="E1126" i="23"/>
  <c r="E1125" i="23"/>
  <c r="K1125" i="23"/>
  <c r="E1121" i="23"/>
  <c r="F1099" i="23"/>
  <c r="D1095" i="23"/>
  <c r="G1090" i="23"/>
  <c r="J1074" i="23"/>
  <c r="F1074" i="23"/>
  <c r="E1060" i="23"/>
  <c r="E1057" i="23"/>
  <c r="C157" i="22"/>
  <c r="I1025" i="23"/>
  <c r="D1023" i="23"/>
  <c r="K1023" i="23"/>
  <c r="G1022" i="23"/>
  <c r="G1001" i="23"/>
  <c r="J994" i="23"/>
  <c r="H931" i="23"/>
  <c r="H928" i="23"/>
  <c r="G850" i="23"/>
  <c r="G849" i="23"/>
  <c r="H960" i="23"/>
  <c r="H917" i="23"/>
  <c r="F917" i="23"/>
  <c r="G908" i="23"/>
  <c r="J902" i="23"/>
  <c r="F902" i="23"/>
  <c r="F896" i="23"/>
  <c r="E893" i="23"/>
  <c r="J880" i="23"/>
  <c r="I834" i="23"/>
  <c r="F818" i="23"/>
  <c r="G816" i="23"/>
  <c r="F814" i="23"/>
  <c r="G807" i="23"/>
  <c r="F777" i="23"/>
  <c r="D87" i="22"/>
  <c r="F776" i="23"/>
  <c r="E775" i="23"/>
  <c r="E774" i="23"/>
  <c r="D760" i="23"/>
  <c r="K760" i="23"/>
  <c r="D757" i="23"/>
  <c r="I745" i="23"/>
  <c r="I743" i="23"/>
  <c r="D736" i="23"/>
  <c r="H687" i="23"/>
  <c r="F672" i="23"/>
  <c r="F668" i="23"/>
  <c r="E656" i="23"/>
  <c r="F643" i="23"/>
  <c r="K643" i="23"/>
  <c r="D641" i="23"/>
  <c r="I640" i="23"/>
  <c r="I642" i="23"/>
  <c r="I643" i="23"/>
  <c r="G641" i="23"/>
  <c r="G640" i="23"/>
  <c r="I615" i="23"/>
  <c r="I614" i="23"/>
  <c r="H574" i="23"/>
  <c r="H576" i="23"/>
  <c r="F574" i="23"/>
  <c r="F575" i="23"/>
  <c r="D647" i="23"/>
  <c r="D648" i="23"/>
  <c r="D649" i="23"/>
  <c r="K649" i="23"/>
  <c r="D650" i="23"/>
  <c r="H640" i="23"/>
  <c r="F25" i="22"/>
  <c r="F23" i="24"/>
  <c r="V13" i="24"/>
  <c r="D222" i="26"/>
  <c r="H641" i="23"/>
  <c r="G577" i="23"/>
  <c r="G574" i="23"/>
  <c r="D226" i="23"/>
  <c r="D224" i="23"/>
  <c r="I216" i="23"/>
  <c r="I215" i="23"/>
  <c r="G103" i="22"/>
  <c r="E577" i="23"/>
  <c r="G521" i="23"/>
  <c r="F472" i="23"/>
  <c r="K472" i="23"/>
  <c r="H440" i="23"/>
  <c r="F433" i="23"/>
  <c r="F384" i="23"/>
  <c r="J347" i="23"/>
  <c r="D321" i="23"/>
  <c r="I298" i="23"/>
  <c r="D280" i="23"/>
  <c r="I266" i="23"/>
  <c r="G266" i="23"/>
  <c r="K266" i="23"/>
  <c r="I265" i="23"/>
  <c r="H243" i="23"/>
  <c r="D243" i="23"/>
  <c r="J241" i="23"/>
  <c r="F241" i="23"/>
  <c r="D139" i="22"/>
  <c r="H240" i="23"/>
  <c r="D240" i="23"/>
  <c r="J235" i="23"/>
  <c r="F235" i="23"/>
  <c r="G223" i="23"/>
  <c r="G224" i="23"/>
  <c r="I17" i="23"/>
  <c r="G193" i="23"/>
  <c r="J186" i="23"/>
  <c r="G186" i="23"/>
  <c r="D186" i="23"/>
  <c r="J184" i="23"/>
  <c r="I179" i="23"/>
  <c r="I178" i="23"/>
  <c r="F178" i="23"/>
  <c r="I177" i="23"/>
  <c r="I176" i="23"/>
  <c r="F176" i="23"/>
  <c r="D147" i="22"/>
  <c r="E171" i="23"/>
  <c r="E170" i="23"/>
  <c r="E169" i="23"/>
  <c r="E168" i="23"/>
  <c r="J161" i="23"/>
  <c r="G161" i="23"/>
  <c r="D161" i="23"/>
  <c r="J159" i="23"/>
  <c r="F146" i="23"/>
  <c r="G145" i="23"/>
  <c r="G143" i="23"/>
  <c r="E114" i="23"/>
  <c r="D112" i="23"/>
  <c r="D110" i="23"/>
  <c r="J97" i="23"/>
  <c r="F57" i="23"/>
  <c r="F55" i="23"/>
  <c r="D109" i="22"/>
  <c r="H3158" i="23"/>
  <c r="H3157" i="23"/>
  <c r="H3142" i="23"/>
  <c r="I3124" i="23"/>
  <c r="J3123" i="23"/>
  <c r="E3117" i="23"/>
  <c r="F3115" i="23"/>
  <c r="G3113" i="23"/>
  <c r="H3112" i="23"/>
  <c r="G3088" i="23"/>
  <c r="E3081" i="23"/>
  <c r="E3079" i="23"/>
  <c r="E3077" i="23"/>
  <c r="G3063" i="23"/>
  <c r="G3061" i="23"/>
  <c r="E3059" i="23"/>
  <c r="E3050" i="23"/>
  <c r="J2968" i="23"/>
  <c r="G2967" i="23"/>
  <c r="F2965" i="23"/>
  <c r="G2934" i="23"/>
  <c r="J2932" i="23"/>
  <c r="D2932" i="23"/>
  <c r="J2920" i="23"/>
  <c r="H2894" i="23"/>
  <c r="F2886" i="23"/>
  <c r="E2880" i="23"/>
  <c r="K2880" i="23"/>
  <c r="H2873" i="23"/>
  <c r="F2872" i="23"/>
  <c r="I2871" i="23"/>
  <c r="F2842" i="23"/>
  <c r="E2824" i="23"/>
  <c r="E2821" i="23"/>
  <c r="E2807" i="23"/>
  <c r="K2807" i="23"/>
  <c r="E2806" i="23"/>
  <c r="J2789" i="23"/>
  <c r="J2788" i="23"/>
  <c r="G2787" i="23"/>
  <c r="G2781" i="23"/>
  <c r="H2780" i="23"/>
  <c r="E2772" i="23"/>
  <c r="E2771" i="23"/>
  <c r="E2770" i="23"/>
  <c r="E2769" i="23"/>
  <c r="K2769" i="23"/>
  <c r="G2718" i="23"/>
  <c r="G2715" i="23"/>
  <c r="D2703" i="23"/>
  <c r="D2662" i="23"/>
  <c r="G2628" i="23"/>
  <c r="F2626" i="23"/>
  <c r="G2625" i="23"/>
  <c r="I2575" i="23"/>
  <c r="G2573" i="23"/>
  <c r="G2570" i="23"/>
  <c r="K2570" i="23"/>
  <c r="G2383" i="23"/>
  <c r="E2381" i="23"/>
  <c r="E2380" i="23"/>
  <c r="I2374" i="23"/>
  <c r="D2369" i="23"/>
  <c r="K2369" i="23"/>
  <c r="J2362" i="23"/>
  <c r="G2362" i="23"/>
  <c r="J2360" i="23"/>
  <c r="G2360" i="23"/>
  <c r="F2354" i="23"/>
  <c r="G2353" i="23"/>
  <c r="F2352" i="23"/>
  <c r="H2330" i="23"/>
  <c r="E2309" i="23"/>
  <c r="F2297" i="23"/>
  <c r="F2295" i="23"/>
  <c r="G2294" i="23"/>
  <c r="E2288" i="23"/>
  <c r="E2287" i="23"/>
  <c r="E2213" i="23"/>
  <c r="D2211" i="23"/>
  <c r="E2177" i="23"/>
  <c r="F2128" i="23"/>
  <c r="H2126" i="23"/>
  <c r="F2125" i="23"/>
  <c r="H2095" i="23"/>
  <c r="J2012" i="23"/>
  <c r="G2003" i="23"/>
  <c r="G2006" i="23"/>
  <c r="E2466" i="23"/>
  <c r="G2456" i="23"/>
  <c r="I2430" i="23"/>
  <c r="E2421" i="23"/>
  <c r="H2411" i="23"/>
  <c r="D2411" i="23"/>
  <c r="K2411" i="23"/>
  <c r="E2410" i="23"/>
  <c r="G2406" i="23"/>
  <c r="I2405" i="23"/>
  <c r="D2401" i="23"/>
  <c r="H2396" i="23"/>
  <c r="H2074" i="23"/>
  <c r="I2068" i="23"/>
  <c r="I2067" i="23"/>
  <c r="H2066" i="23"/>
  <c r="F2003" i="23"/>
  <c r="F2004" i="23"/>
  <c r="D2004" i="23"/>
  <c r="K2004" i="23"/>
  <c r="D2006" i="23"/>
  <c r="K2006" i="23"/>
  <c r="I1999" i="23"/>
  <c r="H1996" i="23"/>
  <c r="E1990" i="23"/>
  <c r="G1984" i="23"/>
  <c r="H1976" i="23"/>
  <c r="E1969" i="23"/>
  <c r="E1968" i="23"/>
  <c r="J1963" i="23"/>
  <c r="J1960" i="23"/>
  <c r="J1959" i="23"/>
  <c r="H1954" i="23"/>
  <c r="H1953" i="23"/>
  <c r="I1903" i="23"/>
  <c r="J1853" i="23"/>
  <c r="H1736" i="23"/>
  <c r="D1736" i="23"/>
  <c r="J1732" i="23"/>
  <c r="J1734" i="23"/>
  <c r="H1732" i="23"/>
  <c r="H1734" i="23"/>
  <c r="F1732" i="23"/>
  <c r="F1734" i="23"/>
  <c r="D1732" i="23"/>
  <c r="D1734" i="23"/>
  <c r="I1711" i="23"/>
  <c r="E1940" i="23"/>
  <c r="H1920" i="23"/>
  <c r="E1919" i="23"/>
  <c r="E1918" i="23"/>
  <c r="F1877" i="23"/>
  <c r="G1875" i="23"/>
  <c r="D1845" i="23"/>
  <c r="H1826" i="23"/>
  <c r="D1821" i="23"/>
  <c r="D1813" i="23"/>
  <c r="D1799" i="23"/>
  <c r="I1793" i="23"/>
  <c r="E1791" i="23"/>
  <c r="I1789" i="23"/>
  <c r="K1789" i="23"/>
  <c r="G1748" i="23"/>
  <c r="H1695" i="23"/>
  <c r="H1689" i="23"/>
  <c r="H1688" i="23"/>
  <c r="H1691" i="23"/>
  <c r="H1675" i="23"/>
  <c r="H1672" i="23"/>
  <c r="D627" i="23"/>
  <c r="D628" i="23"/>
  <c r="J621" i="23"/>
  <c r="J620" i="23"/>
  <c r="H491" i="23"/>
  <c r="H490" i="23"/>
  <c r="J470" i="23"/>
  <c r="J472" i="23"/>
  <c r="F464" i="23"/>
  <c r="F465" i="23"/>
  <c r="J393" i="23"/>
  <c r="J390" i="23"/>
  <c r="J391" i="23"/>
  <c r="J392" i="23"/>
  <c r="H391" i="23"/>
  <c r="H393" i="23"/>
  <c r="I365" i="23"/>
  <c r="I363" i="23"/>
  <c r="I354" i="23"/>
  <c r="G101" i="22"/>
  <c r="I355" i="23"/>
  <c r="I358" i="23"/>
  <c r="D247" i="23"/>
  <c r="D248" i="23"/>
  <c r="D250" i="23"/>
  <c r="D251" i="23"/>
  <c r="J240" i="23"/>
  <c r="J239" i="23"/>
  <c r="J242" i="23"/>
  <c r="J243" i="23"/>
  <c r="J234" i="23"/>
  <c r="J231" i="23"/>
  <c r="J232" i="23"/>
  <c r="J233" i="23"/>
  <c r="F215" i="23"/>
  <c r="F216" i="23"/>
  <c r="H202" i="23"/>
  <c r="H203" i="23"/>
  <c r="I192" i="23"/>
  <c r="I193" i="23"/>
  <c r="I194" i="23"/>
  <c r="I195" i="23"/>
  <c r="E111" i="23"/>
  <c r="K111" i="23"/>
  <c r="E110" i="23"/>
  <c r="H105" i="23"/>
  <c r="H103" i="23"/>
  <c r="E1575" i="23"/>
  <c r="J1567" i="23"/>
  <c r="I1566" i="23"/>
  <c r="F1561" i="23"/>
  <c r="I1560" i="23"/>
  <c r="F1559" i="23"/>
  <c r="E1546" i="23"/>
  <c r="D1540" i="23"/>
  <c r="J1533" i="23"/>
  <c r="D1533" i="23"/>
  <c r="I1532" i="23"/>
  <c r="D1532" i="23"/>
  <c r="I1530" i="23"/>
  <c r="D1529" i="23"/>
  <c r="J1525" i="23"/>
  <c r="F1513" i="23"/>
  <c r="E1486" i="23"/>
  <c r="G1467" i="23"/>
  <c r="E1467" i="23"/>
  <c r="G1465" i="23"/>
  <c r="H1464" i="23"/>
  <c r="F23" i="22"/>
  <c r="I1460" i="23"/>
  <c r="J1338" i="23"/>
  <c r="H1225" i="23"/>
  <c r="I1182" i="23"/>
  <c r="E1181" i="23"/>
  <c r="D1168" i="23"/>
  <c r="J1161" i="23"/>
  <c r="F1161" i="23"/>
  <c r="J1158" i="23"/>
  <c r="I1153" i="23"/>
  <c r="F1152" i="23"/>
  <c r="D1147" i="23"/>
  <c r="J1140" i="23"/>
  <c r="H1140" i="23"/>
  <c r="J1133" i="23"/>
  <c r="J1132" i="23"/>
  <c r="F1131" i="23"/>
  <c r="E1123" i="23"/>
  <c r="K1123" i="23"/>
  <c r="J1106" i="23"/>
  <c r="E1098" i="23"/>
  <c r="F1095" i="23"/>
  <c r="D1053" i="23"/>
  <c r="H1023" i="23"/>
  <c r="H994" i="23"/>
  <c r="H993" i="23"/>
  <c r="D992" i="23"/>
  <c r="K992" i="23"/>
  <c r="D981" i="23"/>
  <c r="D980" i="23"/>
  <c r="D979" i="23"/>
  <c r="H974" i="23"/>
  <c r="I967" i="23"/>
  <c r="I960" i="23"/>
  <c r="I953" i="23"/>
  <c r="G917" i="23"/>
  <c r="G915" i="23"/>
  <c r="H914" i="23"/>
  <c r="E910" i="23"/>
  <c r="D908" i="23"/>
  <c r="J903" i="23"/>
  <c r="J901" i="23"/>
  <c r="J881" i="23"/>
  <c r="J874" i="23"/>
  <c r="J872" i="23"/>
  <c r="D827" i="23"/>
  <c r="H818" i="23"/>
  <c r="I782" i="23"/>
  <c r="J777" i="23"/>
  <c r="I744" i="23"/>
  <c r="J619" i="23"/>
  <c r="G492" i="23"/>
  <c r="G493" i="23"/>
  <c r="F479" i="23"/>
  <c r="F470" i="23"/>
  <c r="D119" i="22"/>
  <c r="I434" i="23"/>
  <c r="I435" i="23"/>
  <c r="J414" i="23"/>
  <c r="G407" i="23"/>
  <c r="E370" i="23"/>
  <c r="E369" i="23"/>
  <c r="J362" i="23"/>
  <c r="J365" i="23"/>
  <c r="H295" i="23"/>
  <c r="H299" i="23"/>
  <c r="D249" i="23"/>
  <c r="H167" i="23"/>
  <c r="H168" i="23"/>
  <c r="I62" i="23"/>
  <c r="I66" i="23"/>
  <c r="G40" i="23"/>
  <c r="G42" i="23"/>
  <c r="F240" i="23"/>
  <c r="F242" i="23"/>
  <c r="I223" i="23"/>
  <c r="I225" i="23"/>
  <c r="I226" i="23"/>
  <c r="E223" i="23"/>
  <c r="E227" i="23"/>
  <c r="G207" i="23"/>
  <c r="G208" i="23"/>
  <c r="G209" i="23"/>
  <c r="G210" i="23"/>
  <c r="G211" i="23"/>
  <c r="E192" i="23"/>
  <c r="E191" i="23"/>
  <c r="E194" i="23"/>
  <c r="E195" i="23"/>
  <c r="G175" i="23"/>
  <c r="G176" i="23"/>
  <c r="E147" i="22"/>
  <c r="G179" i="23"/>
  <c r="I168" i="23"/>
  <c r="I170" i="23"/>
  <c r="I154" i="23"/>
  <c r="I150" i="23"/>
  <c r="F111" i="23"/>
  <c r="F114" i="23"/>
  <c r="G50" i="23"/>
  <c r="G41" i="23"/>
  <c r="I16" i="23"/>
  <c r="I15" i="23"/>
  <c r="I18" i="23"/>
  <c r="G27" i="4"/>
  <c r="I27" i="4"/>
  <c r="K27" i="4"/>
  <c r="G50" i="4"/>
  <c r="G41" i="4"/>
  <c r="G75" i="4"/>
  <c r="G35" i="4"/>
  <c r="I43" i="4"/>
  <c r="K43" i="4"/>
  <c r="I26" i="4"/>
  <c r="K26" i="4"/>
  <c r="G58" i="4"/>
  <c r="Q58" i="4"/>
  <c r="L58" i="4"/>
  <c r="G44" i="4"/>
  <c r="Q44" i="4"/>
  <c r="L44" i="4"/>
  <c r="H3130" i="23"/>
  <c r="H3113" i="23"/>
  <c r="E3051" i="23"/>
  <c r="E2796" i="23"/>
  <c r="H2646" i="23"/>
  <c r="H2644" i="23"/>
  <c r="H2648" i="23"/>
  <c r="D1658" i="23"/>
  <c r="D1656" i="23"/>
  <c r="D1657" i="23"/>
  <c r="G841" i="23"/>
  <c r="G840" i="23"/>
  <c r="E2694" i="23"/>
  <c r="E2696" i="23"/>
  <c r="E2210" i="23"/>
  <c r="E2211" i="23"/>
  <c r="H2041" i="23"/>
  <c r="H2044" i="23"/>
  <c r="H2040" i="23"/>
  <c r="G1430" i="23"/>
  <c r="G1432" i="23"/>
  <c r="H1168" i="23"/>
  <c r="H1166" i="23"/>
  <c r="G232" i="23"/>
  <c r="G234" i="23"/>
  <c r="G192" i="23"/>
  <c r="G191" i="23"/>
  <c r="E149" i="22"/>
  <c r="H97" i="23"/>
  <c r="H95" i="23"/>
  <c r="F16" i="23"/>
  <c r="F18" i="23"/>
  <c r="K18" i="23"/>
  <c r="H3162" i="23"/>
  <c r="H3124" i="23"/>
  <c r="G3112" i="23"/>
  <c r="D3104" i="23"/>
  <c r="F3081" i="23"/>
  <c r="F2913" i="23"/>
  <c r="K2913" i="23"/>
  <c r="E2872" i="23"/>
  <c r="G2822" i="23"/>
  <c r="E2798" i="23"/>
  <c r="D2681" i="23"/>
  <c r="D2680" i="23"/>
  <c r="D2683" i="23"/>
  <c r="G2654" i="23"/>
  <c r="G2652" i="23"/>
  <c r="E2445" i="23"/>
  <c r="E2446" i="23"/>
  <c r="G1960" i="23"/>
  <c r="G1959" i="23"/>
  <c r="G1436" i="23"/>
  <c r="G1437" i="23"/>
  <c r="G1439" i="23"/>
  <c r="H1138" i="23"/>
  <c r="H1139" i="23"/>
  <c r="D1072" i="23"/>
  <c r="B163" i="22"/>
  <c r="D1074" i="23"/>
  <c r="H749" i="23"/>
  <c r="H751" i="23"/>
  <c r="H753" i="23"/>
  <c r="E2716" i="23"/>
  <c r="E2715" i="23"/>
  <c r="D2119" i="23"/>
  <c r="D2117" i="23"/>
  <c r="G1683" i="23"/>
  <c r="G1680" i="23"/>
  <c r="D1612" i="23"/>
  <c r="K1612" i="23"/>
  <c r="D1611" i="23"/>
  <c r="H3116" i="23"/>
  <c r="G3097" i="23"/>
  <c r="G2989" i="23"/>
  <c r="E2695" i="23"/>
  <c r="H2400" i="23"/>
  <c r="H2401" i="23"/>
  <c r="H2189" i="23"/>
  <c r="H2190" i="23"/>
  <c r="E1437" i="23"/>
  <c r="E1436" i="23"/>
  <c r="E1168" i="23"/>
  <c r="E1165" i="23"/>
  <c r="E1166" i="23"/>
  <c r="E1167" i="23"/>
  <c r="F928" i="23"/>
  <c r="F931" i="23"/>
  <c r="E896" i="23"/>
  <c r="K896" i="23"/>
  <c r="E894" i="23"/>
  <c r="G400" i="23"/>
  <c r="E173" i="22"/>
  <c r="G398" i="23"/>
  <c r="E183" i="22"/>
  <c r="D3158" i="23"/>
  <c r="F2812" i="23"/>
  <c r="G2758" i="23"/>
  <c r="G2759" i="23"/>
  <c r="G2761" i="23"/>
  <c r="G2345" i="23"/>
  <c r="D2080" i="23"/>
  <c r="D2082" i="23"/>
  <c r="G1890" i="23"/>
  <c r="G1888" i="23"/>
  <c r="G1889" i="23"/>
  <c r="D1586" i="23"/>
  <c r="D1582" i="23"/>
  <c r="D721" i="23"/>
  <c r="K721" i="23"/>
  <c r="D722" i="23"/>
  <c r="K722" i="23"/>
  <c r="H702" i="23"/>
  <c r="H700" i="23"/>
  <c r="H701" i="23"/>
  <c r="H703" i="23"/>
  <c r="E319" i="23"/>
  <c r="D239" i="23"/>
  <c r="D242" i="23"/>
  <c r="H3185" i="23"/>
  <c r="H3132" i="23"/>
  <c r="H3094" i="23"/>
  <c r="F3077" i="23"/>
  <c r="F3036" i="23"/>
  <c r="G2865" i="23"/>
  <c r="G2857" i="23"/>
  <c r="F2688" i="23"/>
  <c r="F2689" i="23"/>
  <c r="G2666" i="23"/>
  <c r="G2669" i="23"/>
  <c r="G2667" i="23"/>
  <c r="G2351" i="23"/>
  <c r="G2352" i="23"/>
  <c r="H2206" i="23"/>
  <c r="H2203" i="23"/>
  <c r="F2197" i="23"/>
  <c r="F2199" i="23"/>
  <c r="F2117" i="23"/>
  <c r="G1523" i="23"/>
  <c r="G1520" i="23"/>
  <c r="E1147" i="23"/>
  <c r="H750" i="23"/>
  <c r="K3273" i="23"/>
  <c r="K3255" i="23"/>
  <c r="K3237" i="23"/>
  <c r="H3041" i="23"/>
  <c r="E2856" i="23"/>
  <c r="F1625" i="23"/>
  <c r="F1629" i="23"/>
  <c r="F1626" i="23"/>
  <c r="H863" i="23"/>
  <c r="H862" i="23"/>
  <c r="H865" i="23"/>
  <c r="H864" i="23"/>
  <c r="H752" i="23"/>
  <c r="D199" i="23"/>
  <c r="B103" i="22"/>
  <c r="D202" i="23"/>
  <c r="D203" i="23"/>
  <c r="F2918" i="23"/>
  <c r="H2702" i="23"/>
  <c r="H2704" i="23"/>
  <c r="E2697" i="23"/>
  <c r="G2668" i="23"/>
  <c r="H2374" i="23"/>
  <c r="H2375" i="23"/>
  <c r="E1696" i="23"/>
  <c r="E1695" i="23"/>
  <c r="E1698" i="23"/>
  <c r="F1597" i="23"/>
  <c r="F1599" i="23"/>
  <c r="F1598" i="23"/>
  <c r="K1589" i="23"/>
  <c r="D1591" i="23"/>
  <c r="D1593" i="23"/>
  <c r="D1592" i="23"/>
  <c r="D1590" i="23"/>
  <c r="D1487" i="23"/>
  <c r="K1487" i="23"/>
  <c r="D1488" i="23"/>
  <c r="G177" i="23"/>
  <c r="G178" i="23"/>
  <c r="D2811" i="23"/>
  <c r="G2772" i="23"/>
  <c r="E2450" i="23"/>
  <c r="G1352" i="23"/>
  <c r="G1350" i="23"/>
  <c r="G1353" i="23"/>
  <c r="G1351" i="23"/>
  <c r="E1145" i="23"/>
  <c r="D200" i="23"/>
  <c r="E2926" i="23"/>
  <c r="E2828" i="23"/>
  <c r="G2410" i="23"/>
  <c r="G2411" i="23"/>
  <c r="E1605" i="23"/>
  <c r="E1606" i="23"/>
  <c r="H3042" i="23"/>
  <c r="G2785" i="23"/>
  <c r="G2682" i="23"/>
  <c r="G2680" i="23"/>
  <c r="G2683" i="23"/>
  <c r="G2681" i="23"/>
  <c r="E1868" i="23"/>
  <c r="E1867" i="23"/>
  <c r="F1537" i="23"/>
  <c r="F1538" i="23"/>
  <c r="G1186" i="23"/>
  <c r="G1189" i="23"/>
  <c r="H742" i="23"/>
  <c r="H743" i="23"/>
  <c r="K743" i="23"/>
  <c r="H745" i="23"/>
  <c r="D287" i="23"/>
  <c r="D289" i="23"/>
  <c r="D291" i="23"/>
  <c r="E2750" i="23"/>
  <c r="D2598" i="23"/>
  <c r="H2455" i="23"/>
  <c r="G2451" i="23"/>
  <c r="H2441" i="23"/>
  <c r="H2430" i="23"/>
  <c r="H1989" i="23"/>
  <c r="G1982" i="23"/>
  <c r="F1883" i="23"/>
  <c r="D1875" i="23"/>
  <c r="K1875" i="23"/>
  <c r="H1731" i="23"/>
  <c r="H1733" i="23"/>
  <c r="F1681" i="23"/>
  <c r="F1552" i="23"/>
  <c r="G1159" i="23"/>
  <c r="H915" i="23"/>
  <c r="D896" i="23"/>
  <c r="H235" i="23"/>
  <c r="G184" i="23"/>
  <c r="E185" i="22"/>
  <c r="G31" i="23"/>
  <c r="G2746" i="23"/>
  <c r="K2686" i="23"/>
  <c r="E2668" i="23"/>
  <c r="G2627" i="23"/>
  <c r="H2127" i="23"/>
  <c r="E2105" i="23"/>
  <c r="G2081" i="23"/>
  <c r="F1848" i="23"/>
  <c r="G1809" i="23"/>
  <c r="E2744" i="23"/>
  <c r="G2696" i="23"/>
  <c r="G2694" i="23"/>
  <c r="E2690" i="23"/>
  <c r="E2406" i="23"/>
  <c r="E2400" i="23"/>
  <c r="H2295" i="23"/>
  <c r="E2225" i="23"/>
  <c r="F2213" i="23"/>
  <c r="D2087" i="23"/>
  <c r="E1911" i="23"/>
  <c r="H1867" i="23"/>
  <c r="D1758" i="23"/>
  <c r="G1600" i="23"/>
  <c r="F1592" i="23"/>
  <c r="E1590" i="23"/>
  <c r="F736" i="23"/>
  <c r="D715" i="23"/>
  <c r="K715" i="23"/>
  <c r="E560" i="23"/>
  <c r="G450" i="23"/>
  <c r="E372" i="23"/>
  <c r="F234" i="23"/>
  <c r="G187" i="23"/>
  <c r="F145" i="23"/>
  <c r="F2696" i="23"/>
  <c r="D2690" i="23"/>
  <c r="G2571" i="23"/>
  <c r="F2455" i="23"/>
  <c r="E2310" i="23"/>
  <c r="K2310" i="23"/>
  <c r="G2109" i="23"/>
  <c r="H1839" i="23"/>
  <c r="F1725" i="23"/>
  <c r="H1628" i="23"/>
  <c r="E1592" i="23"/>
  <c r="H1553" i="23"/>
  <c r="G936" i="23"/>
  <c r="K936" i="23"/>
  <c r="G924" i="23"/>
  <c r="H816" i="23"/>
  <c r="D773" i="23"/>
  <c r="F750" i="23"/>
  <c r="K748" i="23"/>
  <c r="H195" i="23"/>
  <c r="E2687" i="23"/>
  <c r="K2665" i="23"/>
  <c r="D2530" i="23"/>
  <c r="D2360" i="23"/>
  <c r="G2206" i="23"/>
  <c r="G1968" i="23"/>
  <c r="D1952" i="23"/>
  <c r="G1919" i="23"/>
  <c r="H1671" i="23"/>
  <c r="D1552" i="23"/>
  <c r="E1459" i="23"/>
  <c r="K1459" i="23"/>
  <c r="E1353" i="23"/>
  <c r="E1313" i="23"/>
  <c r="E1097" i="23"/>
  <c r="D942" i="23"/>
  <c r="B19" i="22"/>
  <c r="B8" i="24"/>
  <c r="N6" i="24"/>
  <c r="D11" i="26"/>
  <c r="G863" i="23"/>
  <c r="D365" i="23"/>
  <c r="H233" i="23"/>
  <c r="G185" i="23"/>
  <c r="K185" i="23"/>
  <c r="H87" i="23"/>
  <c r="G16" i="23"/>
  <c r="E2763" i="23"/>
  <c r="K2763" i="23"/>
  <c r="G2702" i="23"/>
  <c r="D2696" i="23"/>
  <c r="D2687" i="23"/>
  <c r="D2491" i="23"/>
  <c r="K2491" i="23"/>
  <c r="H2460" i="23"/>
  <c r="G2387" i="23"/>
  <c r="D2354" i="23"/>
  <c r="E2338" i="23"/>
  <c r="E2311" i="23"/>
  <c r="G1418" i="23"/>
  <c r="K1418" i="23"/>
  <c r="G1153" i="23"/>
  <c r="E1139" i="23"/>
  <c r="D1108" i="23"/>
  <c r="D988" i="23"/>
  <c r="K988" i="23"/>
  <c r="G709" i="23"/>
  <c r="H232" i="23"/>
  <c r="D16" i="23"/>
  <c r="H2689" i="23"/>
  <c r="F2460" i="23"/>
  <c r="H2436" i="23"/>
  <c r="F2396" i="23"/>
  <c r="G2018" i="23"/>
  <c r="D1756" i="23"/>
  <c r="E1350" i="23"/>
  <c r="G1144" i="23"/>
  <c r="G865" i="23"/>
  <c r="D858" i="23"/>
  <c r="E773" i="23"/>
  <c r="G753" i="23"/>
  <c r="G751" i="23"/>
  <c r="F709" i="23"/>
  <c r="H710" i="23"/>
  <c r="F392" i="23"/>
  <c r="F232" i="23"/>
  <c r="E2752" i="23"/>
  <c r="G2689" i="23"/>
  <c r="H2682" i="23"/>
  <c r="H2666" i="23"/>
  <c r="E2653" i="23"/>
  <c r="K2653" i="23"/>
  <c r="F2639" i="23"/>
  <c r="F2436" i="23"/>
  <c r="H2121" i="23"/>
  <c r="E2018" i="23"/>
  <c r="H1681" i="23"/>
  <c r="G1599" i="23"/>
  <c r="H1591" i="23"/>
  <c r="H1416" i="23"/>
  <c r="H1352" i="23"/>
  <c r="F1132" i="23"/>
  <c r="F908" i="23"/>
  <c r="F753" i="23"/>
  <c r="D414" i="23"/>
  <c r="D178" i="23"/>
  <c r="G162" i="23"/>
  <c r="E2476" i="23"/>
  <c r="H2344" i="23"/>
  <c r="H2297" i="23"/>
  <c r="F2132" i="23"/>
  <c r="D2032" i="23"/>
  <c r="G1946" i="23"/>
  <c r="G1807" i="23"/>
  <c r="E1773" i="23"/>
  <c r="G1760" i="23"/>
  <c r="F1208" i="23"/>
  <c r="F751" i="23"/>
  <c r="F231" i="23"/>
  <c r="D2666" i="23"/>
  <c r="F2583" i="23"/>
  <c r="K2583" i="23"/>
  <c r="E2017" i="23"/>
  <c r="F1807" i="23"/>
  <c r="E1771" i="23"/>
  <c r="E1772" i="23"/>
  <c r="G1218" i="23"/>
  <c r="E1137" i="23"/>
  <c r="D945" i="23"/>
  <c r="F738" i="23"/>
  <c r="G708" i="23"/>
  <c r="E43" i="22"/>
  <c r="F159" i="23"/>
  <c r="G92" i="4"/>
  <c r="F492" i="23"/>
  <c r="F490" i="23"/>
  <c r="K490" i="23"/>
  <c r="K489" i="23"/>
  <c r="F493" i="23"/>
  <c r="F491" i="23"/>
  <c r="G773" i="23"/>
  <c r="K772" i="23"/>
  <c r="G775" i="23"/>
  <c r="G777" i="23"/>
  <c r="E87" i="22"/>
  <c r="G776" i="23"/>
  <c r="E85" i="22"/>
  <c r="G774" i="23"/>
  <c r="K3156" i="23"/>
  <c r="G3157" i="23"/>
  <c r="G3159" i="23"/>
  <c r="G3160" i="23"/>
  <c r="G3035" i="23"/>
  <c r="G3032" i="23"/>
  <c r="K3030" i="23"/>
  <c r="G3034" i="23"/>
  <c r="G3036" i="23"/>
  <c r="F2259" i="23"/>
  <c r="K2258" i="23"/>
  <c r="F2262" i="23"/>
  <c r="K2262" i="23"/>
  <c r="D3077" i="23"/>
  <c r="D3081" i="23"/>
  <c r="D3079" i="23"/>
  <c r="K3075" i="23"/>
  <c r="D3078" i="23"/>
  <c r="F2931" i="23"/>
  <c r="K2930" i="23"/>
  <c r="G2924" i="23"/>
  <c r="K2923" i="23"/>
  <c r="G2974" i="23"/>
  <c r="G2975" i="23"/>
  <c r="G2979" i="23"/>
  <c r="K2973" i="23"/>
  <c r="E2967" i="23"/>
  <c r="E2968" i="23"/>
  <c r="K2963" i="23"/>
  <c r="E3162" i="23"/>
  <c r="E2912" i="23"/>
  <c r="F2866" i="23"/>
  <c r="F2864" i="23"/>
  <c r="K2864" i="23"/>
  <c r="F2855" i="23"/>
  <c r="F2858" i="23"/>
  <c r="E2681" i="23"/>
  <c r="E2680" i="23"/>
  <c r="E2683" i="23"/>
  <c r="G2471" i="23"/>
  <c r="G2470" i="23"/>
  <c r="F2376" i="23"/>
  <c r="F2373" i="23"/>
  <c r="F2374" i="23"/>
  <c r="D2173" i="23"/>
  <c r="D2172" i="23"/>
  <c r="K2172" i="23"/>
  <c r="H3175" i="23"/>
  <c r="E3160" i="23"/>
  <c r="H3089" i="23"/>
  <c r="H3085" i="23"/>
  <c r="E3024" i="23"/>
  <c r="E3025" i="23"/>
  <c r="F2975" i="23"/>
  <c r="F2974" i="23"/>
  <c r="F2924" i="23"/>
  <c r="F2926" i="23"/>
  <c r="G2304" i="23"/>
  <c r="G2301" i="23"/>
  <c r="E3158" i="23"/>
  <c r="H2994" i="23"/>
  <c r="H2997" i="23"/>
  <c r="H2899" i="23"/>
  <c r="H2900" i="23"/>
  <c r="H2897" i="23"/>
  <c r="E2430" i="23"/>
  <c r="E2431" i="23"/>
  <c r="K2431" i="23"/>
  <c r="E3040" i="23"/>
  <c r="E3044" i="23"/>
  <c r="D3033" i="23"/>
  <c r="K3033" i="23"/>
  <c r="D3034" i="23"/>
  <c r="D3031" i="23"/>
  <c r="F3004" i="23"/>
  <c r="F3009" i="23"/>
  <c r="F3006" i="23"/>
  <c r="E3103" i="23"/>
  <c r="E3104" i="23"/>
  <c r="G3006" i="23"/>
  <c r="E3008" i="23"/>
  <c r="E3004" i="23"/>
  <c r="E3005" i="23"/>
  <c r="E3007" i="23"/>
  <c r="E2898" i="23"/>
  <c r="E2899" i="23"/>
  <c r="F2892" i="23"/>
  <c r="F2894" i="23"/>
  <c r="H2823" i="23"/>
  <c r="K2823" i="23"/>
  <c r="H2819" i="23"/>
  <c r="E2779" i="23"/>
  <c r="E2780" i="23"/>
  <c r="E2781" i="23"/>
  <c r="E2776" i="23"/>
  <c r="K2776" i="23"/>
  <c r="E2778" i="23"/>
  <c r="H3134" i="23"/>
  <c r="H2635" i="23"/>
  <c r="H2239" i="23"/>
  <c r="H2238" i="23"/>
  <c r="D3035" i="23"/>
  <c r="K3035" i="23"/>
  <c r="D2977" i="23"/>
  <c r="E2939" i="23"/>
  <c r="D2918" i="23"/>
  <c r="D2920" i="23"/>
  <c r="E2777" i="23"/>
  <c r="H3078" i="23"/>
  <c r="H3077" i="23"/>
  <c r="K3077" i="23"/>
  <c r="H3059" i="23"/>
  <c r="H3060" i="23"/>
  <c r="E2905" i="23"/>
  <c r="E2907" i="23"/>
  <c r="E2724" i="23"/>
  <c r="E2725" i="23"/>
  <c r="E2722" i="23"/>
  <c r="G2415" i="23"/>
  <c r="G2416" i="23"/>
  <c r="H3167" i="23"/>
  <c r="H3098" i="23"/>
  <c r="H3086" i="23"/>
  <c r="G3081" i="23"/>
  <c r="G3077" i="23"/>
  <c r="G3076" i="23"/>
  <c r="H3069" i="23"/>
  <c r="H3068" i="23"/>
  <c r="H3070" i="23"/>
  <c r="D2997" i="23"/>
  <c r="K2997" i="23"/>
  <c r="G2914" i="23"/>
  <c r="E2723" i="23"/>
  <c r="E2682" i="23"/>
  <c r="H2367" i="23"/>
  <c r="H2369" i="23"/>
  <c r="H2366" i="23"/>
  <c r="D3004" i="23"/>
  <c r="G2898" i="23"/>
  <c r="H2763" i="23"/>
  <c r="H2762" i="23"/>
  <c r="H2758" i="23"/>
  <c r="E2153" i="23"/>
  <c r="E2154" i="23"/>
  <c r="H3080" i="23"/>
  <c r="G2966" i="23"/>
  <c r="G2969" i="23"/>
  <c r="G2964" i="23"/>
  <c r="H2933" i="23"/>
  <c r="H2931" i="23"/>
  <c r="H2932" i="23"/>
  <c r="H2241" i="23"/>
  <c r="D2986" i="23"/>
  <c r="D2866" i="23"/>
  <c r="G2763" i="23"/>
  <c r="F2690" i="23"/>
  <c r="F2687" i="23"/>
  <c r="H2628" i="23"/>
  <c r="H2360" i="23"/>
  <c r="F2294" i="23"/>
  <c r="G2086" i="23"/>
  <c r="G1167" i="23"/>
  <c r="G1165" i="23"/>
  <c r="G1168" i="23"/>
  <c r="G1166" i="23"/>
  <c r="H3027" i="23"/>
  <c r="G2995" i="23"/>
  <c r="D2984" i="23"/>
  <c r="D2911" i="23"/>
  <c r="H2842" i="23"/>
  <c r="G2789" i="23"/>
  <c r="H2710" i="23"/>
  <c r="H2688" i="23"/>
  <c r="H2683" i="23"/>
  <c r="K2679" i="23"/>
  <c r="F2667" i="23"/>
  <c r="G2648" i="23"/>
  <c r="H2643" i="23"/>
  <c r="H2471" i="23"/>
  <c r="E2441" i="23"/>
  <c r="H2373" i="23"/>
  <c r="H1806" i="23"/>
  <c r="H1808" i="23"/>
  <c r="F2823" i="23"/>
  <c r="F2762" i="23"/>
  <c r="D2695" i="23"/>
  <c r="G2688" i="23"/>
  <c r="E2667" i="23"/>
  <c r="D2451" i="23"/>
  <c r="F2401" i="23"/>
  <c r="E2390" i="23"/>
  <c r="H2351" i="23"/>
  <c r="G2347" i="23"/>
  <c r="E2337" i="23"/>
  <c r="F2241" i="23"/>
  <c r="F2238" i="23"/>
  <c r="H2231" i="23"/>
  <c r="E2135" i="23"/>
  <c r="E2136" i="23"/>
  <c r="H2087" i="23"/>
  <c r="K2087" i="23"/>
  <c r="H2086" i="23"/>
  <c r="H2068" i="23"/>
  <c r="H2065" i="23"/>
  <c r="G2049" i="23"/>
  <c r="K2049" i="23"/>
  <c r="G2048" i="23"/>
  <c r="G2005" i="23"/>
  <c r="G1874" i="23"/>
  <c r="G1876" i="23"/>
  <c r="H3043" i="23"/>
  <c r="E2947" i="23"/>
  <c r="E2950" i="23"/>
  <c r="H2924" i="23"/>
  <c r="E2823" i="23"/>
  <c r="E2800" i="23"/>
  <c r="G2744" i="23"/>
  <c r="E2732" i="23"/>
  <c r="F2683" i="23"/>
  <c r="F2680" i="23"/>
  <c r="G2643" i="23"/>
  <c r="D2471" i="23"/>
  <c r="E2471" i="23"/>
  <c r="G2465" i="23"/>
  <c r="G2445" i="23"/>
  <c r="G2435" i="23"/>
  <c r="F2111" i="23"/>
  <c r="F2109" i="23"/>
  <c r="G2066" i="23"/>
  <c r="K2066" i="23"/>
  <c r="G2065" i="23"/>
  <c r="F2048" i="23"/>
  <c r="F2052" i="23"/>
  <c r="D2667" i="23"/>
  <c r="F2646" i="23"/>
  <c r="G2354" i="23"/>
  <c r="G2040" i="23"/>
  <c r="G2041" i="23"/>
  <c r="G2042" i="23"/>
  <c r="G2044" i="23"/>
  <c r="E1859" i="23"/>
  <c r="E1860" i="23"/>
  <c r="E1861" i="23"/>
  <c r="H1807" i="23"/>
  <c r="F964" i="23"/>
  <c r="F966" i="23"/>
  <c r="H2838" i="23"/>
  <c r="H2841" i="23"/>
  <c r="E2822" i="23"/>
  <c r="G2804" i="23"/>
  <c r="K2804" i="23"/>
  <c r="E2761" i="23"/>
  <c r="E2759" i="23"/>
  <c r="K2693" i="23"/>
  <c r="G2645" i="23"/>
  <c r="H2376" i="23"/>
  <c r="H2359" i="23"/>
  <c r="K2359" i="23"/>
  <c r="G2324" i="23"/>
  <c r="G2296" i="23"/>
  <c r="F2072" i="23"/>
  <c r="F2073" i="23"/>
  <c r="F2074" i="23"/>
  <c r="F2040" i="23"/>
  <c r="E1703" i="23"/>
  <c r="E1704" i="23"/>
  <c r="H1955" i="23"/>
  <c r="H1952" i="23"/>
  <c r="D1846" i="23"/>
  <c r="K1846" i="23"/>
  <c r="D1847" i="23"/>
  <c r="E1210" i="23"/>
  <c r="F888" i="23"/>
  <c r="F886" i="23"/>
  <c r="K886" i="23"/>
  <c r="E2857" i="23"/>
  <c r="G2798" i="23"/>
  <c r="D2550" i="23"/>
  <c r="K2550" i="23"/>
  <c r="D2510" i="23"/>
  <c r="F2505" i="23"/>
  <c r="D2388" i="23"/>
  <c r="E2388" i="23"/>
  <c r="E2231" i="23"/>
  <c r="K2231" i="23"/>
  <c r="H2213" i="23"/>
  <c r="H2104" i="23"/>
  <c r="D1897" i="23"/>
  <c r="K1897" i="23"/>
  <c r="D1898" i="23"/>
  <c r="D1899" i="23"/>
  <c r="H1809" i="23"/>
  <c r="G895" i="23"/>
  <c r="E133" i="22"/>
  <c r="G894" i="23"/>
  <c r="G896" i="23"/>
  <c r="G893" i="23"/>
  <c r="G636" i="23"/>
  <c r="G633" i="23"/>
  <c r="H1938" i="23"/>
  <c r="H1939" i="23"/>
  <c r="D1696" i="23"/>
  <c r="D1695" i="23"/>
  <c r="F1605" i="23"/>
  <c r="F1604" i="23"/>
  <c r="F1607" i="23"/>
  <c r="E1582" i="23"/>
  <c r="E1585" i="23"/>
  <c r="H326" i="23"/>
  <c r="H328" i="23"/>
  <c r="F319" i="23"/>
  <c r="F321" i="23"/>
  <c r="G2999" i="23"/>
  <c r="G2806" i="23"/>
  <c r="H2690" i="23"/>
  <c r="F2669" i="23"/>
  <c r="F2630" i="23"/>
  <c r="D2352" i="23"/>
  <c r="D2095" i="23"/>
  <c r="K2095" i="23"/>
  <c r="D2097" i="23"/>
  <c r="D1566" i="23"/>
  <c r="D1567" i="23"/>
  <c r="D1568" i="23"/>
  <c r="D2697" i="23"/>
  <c r="G2690" i="23"/>
  <c r="E2669" i="23"/>
  <c r="F2075" i="23"/>
  <c r="H2034" i="23"/>
  <c r="E708" i="23"/>
  <c r="E710" i="23"/>
  <c r="C77" i="22"/>
  <c r="E707" i="23"/>
  <c r="C13" i="22"/>
  <c r="C6" i="24"/>
  <c r="E709" i="23"/>
  <c r="G2133" i="23"/>
  <c r="F1896" i="23"/>
  <c r="E1759" i="23"/>
  <c r="E1756" i="23"/>
  <c r="G1752" i="23"/>
  <c r="D1674" i="23"/>
  <c r="G1558" i="23"/>
  <c r="H1165" i="23"/>
  <c r="H1167" i="23"/>
  <c r="F974" i="23"/>
  <c r="F972" i="23"/>
  <c r="F944" i="23"/>
  <c r="F942" i="23"/>
  <c r="F945" i="23"/>
  <c r="K945" i="23"/>
  <c r="G736" i="23"/>
  <c r="G738" i="23"/>
  <c r="E224" i="23"/>
  <c r="E226" i="23"/>
  <c r="D1703" i="23"/>
  <c r="K1703" i="23"/>
  <c r="K1596" i="23"/>
  <c r="E1544" i="23"/>
  <c r="C43" i="22"/>
  <c r="E1547" i="23"/>
  <c r="E1521" i="23"/>
  <c r="H1465" i="23"/>
  <c r="H1389" i="23"/>
  <c r="H1390" i="23"/>
  <c r="H1388" i="23"/>
  <c r="F1165" i="23"/>
  <c r="F1167" i="23"/>
  <c r="F774" i="23"/>
  <c r="F773" i="23"/>
  <c r="G498" i="23"/>
  <c r="G497" i="23"/>
  <c r="D194" i="23"/>
  <c r="D195" i="23"/>
  <c r="G1291" i="23"/>
  <c r="K1291" i="23"/>
  <c r="G1292" i="23"/>
  <c r="H1158" i="23"/>
  <c r="H1161" i="23"/>
  <c r="K1161" i="23"/>
  <c r="D965" i="23"/>
  <c r="D966" i="23"/>
  <c r="F863" i="23"/>
  <c r="F866" i="23"/>
  <c r="F694" i="23"/>
  <c r="D347" i="23"/>
  <c r="D346" i="23"/>
  <c r="B101" i="22"/>
  <c r="E259" i="23"/>
  <c r="E256" i="23"/>
  <c r="D232" i="23"/>
  <c r="D233" i="23"/>
  <c r="F195" i="23"/>
  <c r="H1910" i="23"/>
  <c r="D1860" i="23"/>
  <c r="E1758" i="23"/>
  <c r="H1726" i="23"/>
  <c r="K1726" i="23"/>
  <c r="H1699" i="23"/>
  <c r="K1699" i="23"/>
  <c r="H1696" i="23"/>
  <c r="D1659" i="23"/>
  <c r="G1607" i="23"/>
  <c r="G1604" i="23"/>
  <c r="G1577" i="23"/>
  <c r="G1561" i="23"/>
  <c r="G1545" i="23"/>
  <c r="D1446" i="23"/>
  <c r="F1166" i="23"/>
  <c r="F960" i="23"/>
  <c r="F958" i="23"/>
  <c r="E922" i="23"/>
  <c r="E924" i="23"/>
  <c r="E862" i="23"/>
  <c r="K862" i="23"/>
  <c r="E865" i="23"/>
  <c r="D231" i="23"/>
  <c r="F1834" i="23"/>
  <c r="G1389" i="23"/>
  <c r="D1152" i="23"/>
  <c r="G987" i="23"/>
  <c r="G985" i="23"/>
  <c r="D972" i="23"/>
  <c r="F894" i="23"/>
  <c r="K861" i="23"/>
  <c r="G808" i="23"/>
  <c r="G805" i="23"/>
  <c r="E793" i="23"/>
  <c r="E790" i="23"/>
  <c r="F775" i="23"/>
  <c r="E225" i="23"/>
  <c r="K225" i="23"/>
  <c r="E2102" i="23"/>
  <c r="E2052" i="23"/>
  <c r="F1955" i="23"/>
  <c r="F1939" i="23"/>
  <c r="D1920" i="23"/>
  <c r="H1866" i="23"/>
  <c r="E1802" i="23"/>
  <c r="H1705" i="23"/>
  <c r="H1698" i="23"/>
  <c r="G1698" i="23"/>
  <c r="H1673" i="23"/>
  <c r="E1607" i="23"/>
  <c r="E1604" i="23"/>
  <c r="G1560" i="23"/>
  <c r="F1539" i="23"/>
  <c r="D1516" i="23"/>
  <c r="F1467" i="23"/>
  <c r="F1465" i="23"/>
  <c r="F1437" i="23"/>
  <c r="F1168" i="23"/>
  <c r="F1159" i="23"/>
  <c r="D1131" i="23"/>
  <c r="F994" i="23"/>
  <c r="F996" i="23"/>
  <c r="F992" i="23"/>
  <c r="D964" i="23"/>
  <c r="F924" i="23"/>
  <c r="D735" i="23"/>
  <c r="F702" i="23"/>
  <c r="F700" i="23"/>
  <c r="F703" i="23"/>
  <c r="D1607" i="23"/>
  <c r="D1604" i="23"/>
  <c r="H1600" i="23"/>
  <c r="H1597" i="23"/>
  <c r="G1388" i="23"/>
  <c r="F978" i="23"/>
  <c r="D89" i="22"/>
  <c r="D24" i="24"/>
  <c r="F980" i="23"/>
  <c r="D951" i="23"/>
  <c r="D952" i="23"/>
  <c r="G909" i="23"/>
  <c r="G907" i="23"/>
  <c r="G817" i="23"/>
  <c r="D210" i="23"/>
  <c r="D207" i="23"/>
  <c r="D211" i="23"/>
  <c r="D209" i="23"/>
  <c r="D143" i="23"/>
  <c r="D145" i="23"/>
  <c r="K145" i="23"/>
  <c r="D1939" i="23"/>
  <c r="F1899" i="23"/>
  <c r="G1808" i="23"/>
  <c r="E1760" i="23"/>
  <c r="F1568" i="23"/>
  <c r="H1387" i="23"/>
  <c r="H1160" i="23"/>
  <c r="E1161" i="23"/>
  <c r="E1159" i="23"/>
  <c r="D1130" i="23"/>
  <c r="F952" i="23"/>
  <c r="K952" i="23"/>
  <c r="G809" i="23"/>
  <c r="D1817" i="23"/>
  <c r="K1817" i="23"/>
  <c r="F1808" i="23"/>
  <c r="F1600" i="23"/>
  <c r="H1559" i="23"/>
  <c r="H1438" i="23"/>
  <c r="G1387" i="23"/>
  <c r="G1312" i="23"/>
  <c r="E123" i="22"/>
  <c r="F1260" i="23"/>
  <c r="D1158" i="23"/>
  <c r="D1161" i="23"/>
  <c r="H1137" i="23"/>
  <c r="D987" i="23"/>
  <c r="D958" i="23"/>
  <c r="F946" i="23"/>
  <c r="F864" i="23"/>
  <c r="F862" i="23"/>
  <c r="G856" i="23"/>
  <c r="D702" i="23"/>
  <c r="D700" i="23"/>
  <c r="D703" i="23"/>
  <c r="G304" i="23"/>
  <c r="G305" i="23"/>
  <c r="H264" i="23"/>
  <c r="H266" i="23"/>
  <c r="K1603" i="23"/>
  <c r="E1465" i="23"/>
  <c r="K1465" i="23"/>
  <c r="F1430" i="23"/>
  <c r="F1432" i="23"/>
  <c r="F1429" i="23"/>
  <c r="K1429" i="23"/>
  <c r="H1374" i="23"/>
  <c r="F1350" i="23"/>
  <c r="F1352" i="23"/>
  <c r="H1282" i="23"/>
  <c r="H1283" i="23"/>
  <c r="K1283" i="23"/>
  <c r="F1180" i="23"/>
  <c r="F1182" i="23"/>
  <c r="G1154" i="23"/>
  <c r="G1151" i="23"/>
  <c r="D950" i="23"/>
  <c r="H942" i="23"/>
  <c r="H945" i="23"/>
  <c r="H943" i="23"/>
  <c r="H946" i="23"/>
  <c r="G910" i="23"/>
  <c r="E866" i="23"/>
  <c r="E864" i="23"/>
  <c r="G813" i="23"/>
  <c r="G806" i="23"/>
  <c r="D234" i="23"/>
  <c r="D208" i="23"/>
  <c r="E2060" i="23"/>
  <c r="G1759" i="23"/>
  <c r="D1600" i="23"/>
  <c r="H1593" i="23"/>
  <c r="G1416" i="23"/>
  <c r="F1351" i="23"/>
  <c r="G1088" i="23"/>
  <c r="G1086" i="23"/>
  <c r="H992" i="23"/>
  <c r="F900" i="23"/>
  <c r="H241" i="23"/>
  <c r="H239" i="23"/>
  <c r="H184" i="23"/>
  <c r="H186" i="23"/>
  <c r="H183" i="23"/>
  <c r="F111" i="22"/>
  <c r="H1144" i="23"/>
  <c r="D866" i="23"/>
  <c r="B127" i="22"/>
  <c r="G325" i="23"/>
  <c r="K325" i="23"/>
  <c r="D304" i="23"/>
  <c r="E240" i="23"/>
  <c r="G195" i="23"/>
  <c r="E16" i="23"/>
  <c r="H484" i="23"/>
  <c r="G194" i="23"/>
  <c r="D113" i="23"/>
  <c r="E753" i="23"/>
  <c r="D201" i="23"/>
  <c r="H161" i="23"/>
  <c r="D114" i="23"/>
  <c r="H866" i="23"/>
  <c r="D753" i="23"/>
  <c r="F161" i="23"/>
  <c r="D946" i="23"/>
  <c r="F708" i="23"/>
  <c r="G39" i="23"/>
  <c r="D241" i="23"/>
  <c r="G56" i="23"/>
  <c r="Q27" i="4"/>
  <c r="L27" i="4"/>
  <c r="J3095" i="23"/>
  <c r="I3004" i="23"/>
  <c r="E2347" i="23"/>
  <c r="E2344" i="23"/>
  <c r="E2346" i="23"/>
  <c r="K2346" i="23"/>
  <c r="I2904" i="23"/>
  <c r="I2907" i="23"/>
  <c r="I2905" i="23"/>
  <c r="H2573" i="23"/>
  <c r="H2571" i="23"/>
  <c r="I3009" i="23"/>
  <c r="I2914" i="23"/>
  <c r="I2912" i="23"/>
  <c r="D2892" i="23"/>
  <c r="D2894" i="23"/>
  <c r="I2411" i="23"/>
  <c r="I2410" i="23"/>
  <c r="H2153" i="23"/>
  <c r="H2152" i="23"/>
  <c r="D3009" i="23"/>
  <c r="K3009" i="23"/>
  <c r="I2332" i="23"/>
  <c r="I2330" i="23"/>
  <c r="J1559" i="23"/>
  <c r="J1561" i="23"/>
  <c r="J3008" i="23"/>
  <c r="G2704" i="23"/>
  <c r="G2701" i="23"/>
  <c r="D2040" i="23"/>
  <c r="D2041" i="23"/>
  <c r="D2044" i="23"/>
  <c r="I2978" i="23"/>
  <c r="E2870" i="23"/>
  <c r="E2871" i="23"/>
  <c r="E2873" i="23"/>
  <c r="J2637" i="23"/>
  <c r="J2635" i="23"/>
  <c r="D2460" i="23"/>
  <c r="D2461" i="23"/>
  <c r="K2461" i="23"/>
  <c r="H3143" i="23"/>
  <c r="I2927" i="23"/>
  <c r="I2925" i="23"/>
  <c r="D2669" i="23"/>
  <c r="D2668" i="23"/>
  <c r="I2975" i="23"/>
  <c r="G2887" i="23"/>
  <c r="G2884" i="23"/>
  <c r="G2837" i="23"/>
  <c r="G2840" i="23"/>
  <c r="G2838" i="23"/>
  <c r="G2841" i="23"/>
  <c r="G2824" i="23"/>
  <c r="G2819" i="23"/>
  <c r="J2461" i="23"/>
  <c r="J2460" i="23"/>
  <c r="J3099" i="23"/>
  <c r="K2335" i="23"/>
  <c r="H2290" i="23"/>
  <c r="H2287" i="23"/>
  <c r="G2239" i="23"/>
  <c r="G2240" i="23"/>
  <c r="G2241" i="23"/>
  <c r="G2238" i="23"/>
  <c r="J2079" i="23"/>
  <c r="J2082" i="23"/>
  <c r="J2850" i="23"/>
  <c r="I2846" i="23"/>
  <c r="I2848" i="23"/>
  <c r="J2839" i="23"/>
  <c r="H2813" i="23"/>
  <c r="F2799" i="23"/>
  <c r="K2799" i="23"/>
  <c r="I2724" i="23"/>
  <c r="J2689" i="23"/>
  <c r="I2635" i="23"/>
  <c r="I2555" i="23"/>
  <c r="E2460" i="23"/>
  <c r="H2450" i="23"/>
  <c r="J2441" i="23"/>
  <c r="F2440" i="23"/>
  <c r="G2388" i="23"/>
  <c r="D2373" i="23"/>
  <c r="D2375" i="23"/>
  <c r="H2352" i="23"/>
  <c r="J2330" i="23"/>
  <c r="E2317" i="23"/>
  <c r="E2227" i="23"/>
  <c r="E2224" i="23"/>
  <c r="I2153" i="23"/>
  <c r="J2132" i="23"/>
  <c r="I2723" i="23"/>
  <c r="E1593" i="23"/>
  <c r="E1591" i="23"/>
  <c r="J2838" i="23"/>
  <c r="J2841" i="23"/>
  <c r="J2832" i="23"/>
  <c r="I2722" i="23"/>
  <c r="E2689" i="23"/>
  <c r="J2421" i="23"/>
  <c r="J2027" i="23"/>
  <c r="J2024" i="23"/>
  <c r="J1845" i="23"/>
  <c r="J1848" i="23"/>
  <c r="J2837" i="23"/>
  <c r="J2840" i="23"/>
  <c r="F2805" i="23"/>
  <c r="F2786" i="23"/>
  <c r="H2696" i="23"/>
  <c r="I2634" i="23"/>
  <c r="I2382" i="23"/>
  <c r="J2248" i="23"/>
  <c r="H2218" i="23"/>
  <c r="H1917" i="23"/>
  <c r="H1918" i="23"/>
  <c r="J1513" i="23"/>
  <c r="J1516" i="23"/>
  <c r="I1606" i="23"/>
  <c r="I1607" i="23"/>
  <c r="I1604" i="23"/>
  <c r="I1605" i="23"/>
  <c r="F1473" i="23"/>
  <c r="F1474" i="23"/>
  <c r="I2863" i="23"/>
  <c r="J2847" i="23"/>
  <c r="I2695" i="23"/>
  <c r="J2486" i="23"/>
  <c r="I2471" i="23"/>
  <c r="I2380" i="23"/>
  <c r="J2247" i="23"/>
  <c r="I2212" i="23"/>
  <c r="J1939" i="23"/>
  <c r="J1940" i="23"/>
  <c r="J1941" i="23"/>
  <c r="I2847" i="23"/>
  <c r="I2849" i="23"/>
  <c r="I2753" i="23"/>
  <c r="H2695" i="23"/>
  <c r="I2639" i="23"/>
  <c r="G2425" i="23"/>
  <c r="D2420" i="23"/>
  <c r="I2390" i="23"/>
  <c r="J2246" i="23"/>
  <c r="E2232" i="23"/>
  <c r="I2155" i="23"/>
  <c r="F1806" i="23"/>
  <c r="F1809" i="23"/>
  <c r="J2858" i="23"/>
  <c r="G2795" i="23"/>
  <c r="I2752" i="23"/>
  <c r="I2687" i="23"/>
  <c r="I2638" i="23"/>
  <c r="J2545" i="23"/>
  <c r="J2136" i="23"/>
  <c r="I2751" i="23"/>
  <c r="J2135" i="23"/>
  <c r="I2697" i="23"/>
  <c r="I2637" i="23"/>
  <c r="H2697" i="23"/>
  <c r="J2133" i="23"/>
  <c r="G2011" i="23"/>
  <c r="J1989" i="23"/>
  <c r="I1946" i="23"/>
  <c r="F1881" i="23"/>
  <c r="I1809" i="23"/>
  <c r="G1757" i="23"/>
  <c r="F1743" i="23"/>
  <c r="D1687" i="23"/>
  <c r="K1687" i="23"/>
  <c r="E1680" i="23"/>
  <c r="G1664" i="23"/>
  <c r="E1664" i="23"/>
  <c r="K1664" i="23"/>
  <c r="J1598" i="23"/>
  <c r="J1565" i="23"/>
  <c r="H55" i="22"/>
  <c r="G1445" i="23"/>
  <c r="J1387" i="23"/>
  <c r="H1350" i="23"/>
  <c r="I1208" i="23"/>
  <c r="E1138" i="23"/>
  <c r="H1058" i="23"/>
  <c r="H1060" i="23"/>
  <c r="J750" i="23"/>
  <c r="J753" i="23"/>
  <c r="J751" i="23"/>
  <c r="J752" i="23"/>
  <c r="I314" i="23"/>
  <c r="J1882" i="23"/>
  <c r="I1792" i="23"/>
  <c r="D1757" i="23"/>
  <c r="H1704" i="23"/>
  <c r="K1704" i="23"/>
  <c r="H1663" i="23"/>
  <c r="G1592" i="23"/>
  <c r="G1591" i="23"/>
  <c r="J1537" i="23"/>
  <c r="I1416" i="23"/>
  <c r="I1140" i="23"/>
  <c r="G921" i="23"/>
  <c r="E1809" i="23"/>
  <c r="I1151" i="23"/>
  <c r="I1152" i="23"/>
  <c r="G928" i="23"/>
  <c r="E19" i="22"/>
  <c r="E8" i="24"/>
  <c r="G929" i="23"/>
  <c r="G851" i="23"/>
  <c r="G848" i="23"/>
  <c r="I1945" i="23"/>
  <c r="I1913" i="23"/>
  <c r="F1593" i="23"/>
  <c r="I1537" i="23"/>
  <c r="F1532" i="23"/>
  <c r="G1446" i="23"/>
  <c r="I1353" i="23"/>
  <c r="I1180" i="23"/>
  <c r="I1181" i="23"/>
  <c r="I1179" i="23"/>
  <c r="G171" i="22"/>
  <c r="J862" i="23"/>
  <c r="J866" i="23"/>
  <c r="J864" i="23"/>
  <c r="I1998" i="23"/>
  <c r="I1808" i="23"/>
  <c r="J1766" i="23"/>
  <c r="J1600" i="23"/>
  <c r="J1131" i="23"/>
  <c r="J1130" i="23"/>
  <c r="F749" i="23"/>
  <c r="F752" i="23"/>
  <c r="J647" i="23"/>
  <c r="H25" i="22"/>
  <c r="H23" i="24"/>
  <c r="Z13" i="24"/>
  <c r="D326" i="26"/>
  <c r="I1997" i="23"/>
  <c r="I1934" i="23"/>
  <c r="H1911" i="23"/>
  <c r="E1808" i="23"/>
  <c r="J1590" i="23"/>
  <c r="J1530" i="23"/>
  <c r="G1415" i="23"/>
  <c r="J1352" i="23"/>
  <c r="H1145" i="23"/>
  <c r="I1131" i="23"/>
  <c r="I1130" i="23"/>
  <c r="J1081" i="23"/>
  <c r="K1081" i="23"/>
  <c r="E909" i="23"/>
  <c r="E907" i="23"/>
  <c r="E751" i="23"/>
  <c r="E752" i="23"/>
  <c r="E749" i="23"/>
  <c r="E750" i="23"/>
  <c r="J735" i="23"/>
  <c r="H5" i="22"/>
  <c r="H22" i="24"/>
  <c r="J736" i="23"/>
  <c r="J738" i="23"/>
  <c r="G296" i="23"/>
  <c r="G298" i="23"/>
  <c r="I1352" i="23"/>
  <c r="D1106" i="23"/>
  <c r="D1103" i="23"/>
  <c r="B179" i="22"/>
  <c r="H1072" i="23"/>
  <c r="F163" i="22"/>
  <c r="H1074" i="23"/>
  <c r="I823" i="23"/>
  <c r="I827" i="23"/>
  <c r="I738" i="23"/>
  <c r="I736" i="23"/>
  <c r="J707" i="23"/>
  <c r="H13" i="22"/>
  <c r="H6" i="24"/>
  <c r="J709" i="23"/>
  <c r="J710" i="23"/>
  <c r="D421" i="23"/>
  <c r="K421" i="23"/>
  <c r="D419" i="23"/>
  <c r="J335" i="23"/>
  <c r="J334" i="23"/>
  <c r="E264" i="23"/>
  <c r="E265" i="23"/>
  <c r="E2020" i="23"/>
  <c r="J1991" i="23"/>
  <c r="E1807" i="23"/>
  <c r="I1791" i="23"/>
  <c r="E1735" i="23"/>
  <c r="K1735" i="23"/>
  <c r="H1666" i="23"/>
  <c r="J1540" i="23"/>
  <c r="I1351" i="23"/>
  <c r="H1275" i="23"/>
  <c r="I981" i="23"/>
  <c r="I979" i="23"/>
  <c r="J870" i="23"/>
  <c r="J871" i="23"/>
  <c r="J873" i="23"/>
  <c r="I1790" i="23"/>
  <c r="F1147" i="23"/>
  <c r="F1145" i="23"/>
  <c r="I974" i="23"/>
  <c r="I972" i="23"/>
  <c r="G129" i="22"/>
  <c r="H1665" i="23"/>
  <c r="J1237" i="23"/>
  <c r="J291" i="23"/>
  <c r="J287" i="23"/>
  <c r="J288" i="23"/>
  <c r="J289" i="23"/>
  <c r="D1180" i="23"/>
  <c r="K1180" i="23"/>
  <c r="D1182" i="23"/>
  <c r="I1154" i="23"/>
  <c r="H903" i="23"/>
  <c r="H901" i="23"/>
  <c r="H902" i="23"/>
  <c r="I768" i="23"/>
  <c r="I769" i="23"/>
  <c r="K769" i="23"/>
  <c r="G1147" i="23"/>
  <c r="I1022" i="23"/>
  <c r="J943" i="23"/>
  <c r="G750" i="23"/>
  <c r="K750" i="23"/>
  <c r="J703" i="23"/>
  <c r="I575" i="23"/>
  <c r="H465" i="23"/>
  <c r="J439" i="23"/>
  <c r="J442" i="23"/>
  <c r="I419" i="23"/>
  <c r="I326" i="23"/>
  <c r="K326" i="23"/>
  <c r="J313" i="23"/>
  <c r="H117" i="22"/>
  <c r="I290" i="23"/>
  <c r="I232" i="23"/>
  <c r="J209" i="23"/>
  <c r="F183" i="23"/>
  <c r="K183" i="23"/>
  <c r="D111" i="22"/>
  <c r="G89" i="23"/>
  <c r="F903" i="23"/>
  <c r="G862" i="23"/>
  <c r="E37" i="22"/>
  <c r="G752" i="23"/>
  <c r="I749" i="23"/>
  <c r="H736" i="23"/>
  <c r="J701" i="23"/>
  <c r="F377" i="23"/>
  <c r="K377" i="23"/>
  <c r="H364" i="23"/>
  <c r="J311" i="23"/>
  <c r="I259" i="23"/>
  <c r="H231" i="23"/>
  <c r="K231" i="23"/>
  <c r="J208" i="23"/>
  <c r="J972" i="23"/>
  <c r="H708" i="23"/>
  <c r="F43" i="22"/>
  <c r="F484" i="23"/>
  <c r="F243" i="23"/>
  <c r="G306" i="23"/>
  <c r="J207" i="23"/>
  <c r="I171" i="23"/>
  <c r="J462" i="23"/>
  <c r="D863" i="23"/>
  <c r="J211" i="23"/>
  <c r="F3342" i="23"/>
  <c r="F3338" i="23"/>
  <c r="F3286" i="23"/>
  <c r="F3205" i="23"/>
  <c r="F3186" i="23"/>
  <c r="D2985" i="23"/>
  <c r="E2925" i="23"/>
  <c r="F2813" i="23"/>
  <c r="F2811" i="23"/>
  <c r="E2426" i="23"/>
  <c r="G2381" i="23"/>
  <c r="F1566" i="23"/>
  <c r="H1485" i="23"/>
  <c r="H1488" i="23"/>
  <c r="K1488" i="23"/>
  <c r="G1573" i="23"/>
  <c r="G1575" i="23"/>
  <c r="F707" i="23"/>
  <c r="F710" i="23"/>
  <c r="G170" i="23"/>
  <c r="G168" i="23"/>
  <c r="F3324" i="23"/>
  <c r="F3320" i="23"/>
  <c r="F3277" i="23"/>
  <c r="F3223" i="23"/>
  <c r="F3204" i="23"/>
  <c r="E2945" i="23"/>
  <c r="E2948" i="23"/>
  <c r="H2795" i="23"/>
  <c r="F2635" i="23"/>
  <c r="D2288" i="23"/>
  <c r="G2059" i="23"/>
  <c r="G2060" i="23"/>
  <c r="G864" i="23"/>
  <c r="E75" i="22"/>
  <c r="G866" i="23"/>
  <c r="E127" i="22"/>
  <c r="D1559" i="23"/>
  <c r="D1561" i="23"/>
  <c r="K1561" i="23"/>
  <c r="F3358" i="23"/>
  <c r="K3358" i="23"/>
  <c r="F3306" i="23"/>
  <c r="F3302" i="23"/>
  <c r="F3259" i="23"/>
  <c r="F3241" i="23"/>
  <c r="F3222" i="23"/>
  <c r="H3139" i="23"/>
  <c r="E3068" i="23"/>
  <c r="H2681" i="23"/>
  <c r="D2648" i="23"/>
  <c r="E1959" i="23"/>
  <c r="E1963" i="23"/>
  <c r="D856" i="23"/>
  <c r="D855" i="23"/>
  <c r="H73" i="23"/>
  <c r="H71" i="23"/>
  <c r="F3349" i="23"/>
  <c r="F3297" i="23"/>
  <c r="F3293" i="23"/>
  <c r="F3250" i="23"/>
  <c r="F3231" i="23"/>
  <c r="F3179" i="23"/>
  <c r="F3152" i="23"/>
  <c r="G2767" i="23"/>
  <c r="D2644" i="23"/>
  <c r="F2415" i="23"/>
  <c r="H2390" i="23"/>
  <c r="H2296" i="23"/>
  <c r="F1736" i="23"/>
  <c r="F1731" i="23"/>
  <c r="F1733" i="23"/>
  <c r="H1625" i="23"/>
  <c r="H1629" i="23"/>
  <c r="D1521" i="23"/>
  <c r="D1525" i="23"/>
  <c r="F3340" i="23"/>
  <c r="F3288" i="23"/>
  <c r="F3284" i="23"/>
  <c r="F3240" i="23"/>
  <c r="D2441" i="23"/>
  <c r="E2205" i="23"/>
  <c r="F1591" i="23"/>
  <c r="F1590" i="23"/>
  <c r="F3331" i="23"/>
  <c r="F3249" i="23"/>
  <c r="E2884" i="23"/>
  <c r="E2191" i="23"/>
  <c r="K2191" i="23"/>
  <c r="E2190" i="23"/>
  <c r="H1667" i="23"/>
  <c r="H1664" i="23"/>
  <c r="E1095" i="23"/>
  <c r="E1094" i="23"/>
  <c r="F3313" i="23"/>
  <c r="F3270" i="23"/>
  <c r="F3266" i="23"/>
  <c r="G307" i="23"/>
  <c r="G303" i="23"/>
  <c r="G2080" i="23"/>
  <c r="G2082" i="23"/>
  <c r="K2082" i="23"/>
  <c r="H709" i="23"/>
  <c r="H707" i="23"/>
  <c r="F3351" i="23"/>
  <c r="F3347" i="23"/>
  <c r="F3295" i="23"/>
  <c r="F3252" i="23"/>
  <c r="E958" i="23"/>
  <c r="E959" i="23"/>
  <c r="E295" i="23"/>
  <c r="K295" i="23"/>
  <c r="E299" i="23"/>
  <c r="K299" i="23"/>
  <c r="F1659" i="23"/>
  <c r="K1659" i="23"/>
  <c r="H1606" i="23"/>
  <c r="H1599" i="23"/>
  <c r="H1592" i="23"/>
  <c r="E542" i="23"/>
  <c r="K542" i="23"/>
  <c r="G240" i="23"/>
  <c r="D1599" i="23"/>
  <c r="G1444" i="23"/>
  <c r="G326" i="23"/>
  <c r="H158" i="23"/>
  <c r="K158" i="23"/>
  <c r="H1351" i="23"/>
  <c r="D1826" i="23"/>
  <c r="K1826" i="23"/>
  <c r="D1606" i="23"/>
  <c r="D1598" i="23"/>
  <c r="D1270" i="23"/>
  <c r="H676" i="23"/>
  <c r="F393" i="23"/>
  <c r="D1955" i="23"/>
  <c r="G327" i="23"/>
  <c r="E117" i="22"/>
  <c r="D1954" i="23"/>
  <c r="D1451" i="23"/>
  <c r="E1352" i="23"/>
  <c r="K1352" i="23"/>
  <c r="D752" i="23"/>
  <c r="H306" i="23"/>
  <c r="F141" i="22"/>
  <c r="D38" i="23"/>
  <c r="K38" i="23"/>
  <c r="D751" i="23"/>
  <c r="E1667" i="23"/>
  <c r="K1667" i="23"/>
  <c r="G66" i="4"/>
  <c r="Q66" i="4"/>
  <c r="L66" i="4"/>
  <c r="R66" i="4"/>
  <c r="M6" i="3"/>
  <c r="M85" i="3"/>
  <c r="J277" i="3"/>
  <c r="L277" i="3"/>
  <c r="R111" i="4"/>
  <c r="K79" i="34"/>
  <c r="K71" i="34"/>
  <c r="K107" i="34"/>
  <c r="K81" i="34"/>
  <c r="K58" i="34"/>
  <c r="K98" i="34"/>
  <c r="I66" i="4"/>
  <c r="K66" i="4"/>
  <c r="C63" i="22"/>
  <c r="F63" i="22"/>
  <c r="E2850" i="23"/>
  <c r="D749" i="23"/>
  <c r="D750" i="23"/>
  <c r="D2988" i="23"/>
  <c r="K2988" i="23"/>
  <c r="G2776" i="23"/>
  <c r="G1593" i="23"/>
  <c r="H1248" i="23"/>
  <c r="H1245" i="23"/>
  <c r="G1140" i="23"/>
  <c r="G1138" i="23"/>
  <c r="E2846" i="23"/>
  <c r="E2848" i="23"/>
  <c r="F2695" i="23"/>
  <c r="K2695" i="23"/>
  <c r="D1982" i="23"/>
  <c r="G1933" i="23"/>
  <c r="D2814" i="23"/>
  <c r="F2780" i="23"/>
  <c r="E1572" i="23"/>
  <c r="K1414" i="23"/>
  <c r="F3151" i="23"/>
  <c r="D2813" i="23"/>
  <c r="H3161" i="23"/>
  <c r="D2812" i="23"/>
  <c r="K2812" i="23"/>
  <c r="E1416" i="23"/>
  <c r="D1011" i="23"/>
  <c r="K1011" i="23"/>
  <c r="E3149" i="23"/>
  <c r="H2669" i="23"/>
  <c r="D1989" i="23"/>
  <c r="G1756" i="23"/>
  <c r="G2695" i="23"/>
  <c r="D2688" i="23"/>
  <c r="H1436" i="23"/>
  <c r="D1725" i="23"/>
  <c r="D922" i="23"/>
  <c r="E234" i="23"/>
  <c r="G160" i="23"/>
  <c r="G159" i="23"/>
  <c r="F202" i="23"/>
  <c r="F186" i="23"/>
  <c r="K33" i="34"/>
  <c r="Q57" i="4"/>
  <c r="K88" i="34"/>
  <c r="J273" i="3"/>
  <c r="L273" i="3"/>
  <c r="M273" i="3"/>
  <c r="J165" i="3"/>
  <c r="L165" i="3"/>
  <c r="J147" i="3"/>
  <c r="L147" i="3"/>
  <c r="J145" i="3"/>
  <c r="L145" i="3"/>
  <c r="M115" i="3"/>
  <c r="J115" i="3"/>
  <c r="L115" i="3"/>
  <c r="J112" i="3"/>
  <c r="L112" i="3"/>
  <c r="M112" i="3"/>
  <c r="M103" i="3"/>
  <c r="J103" i="3"/>
  <c r="L103" i="3"/>
  <c r="J82" i="3"/>
  <c r="L82" i="3"/>
  <c r="M63" i="3"/>
  <c r="J63" i="3"/>
  <c r="L63" i="3"/>
  <c r="M60" i="3"/>
  <c r="J60" i="3"/>
  <c r="L60" i="3"/>
  <c r="M74" i="3"/>
  <c r="J74" i="3"/>
  <c r="L74" i="3"/>
  <c r="J53" i="3"/>
  <c r="L53" i="3"/>
  <c r="M53" i="3"/>
  <c r="M39" i="3"/>
  <c r="J39" i="3"/>
  <c r="L39" i="3"/>
  <c r="M52" i="3"/>
  <c r="J52" i="3"/>
  <c r="L52" i="3"/>
  <c r="M31" i="3"/>
  <c r="J31" i="3"/>
  <c r="L31" i="3"/>
  <c r="J28" i="3"/>
  <c r="L28" i="3"/>
  <c r="M28" i="3"/>
  <c r="M22" i="3"/>
  <c r="J22" i="3"/>
  <c r="C4" i="29"/>
  <c r="M20" i="3"/>
  <c r="M169" i="3"/>
  <c r="J169" i="3"/>
  <c r="L169" i="3"/>
  <c r="M19" i="3"/>
  <c r="J19" i="3"/>
  <c r="C3" i="29"/>
  <c r="J260" i="3"/>
  <c r="L260" i="3"/>
  <c r="J275" i="3"/>
  <c r="L275" i="3"/>
  <c r="J55" i="3"/>
  <c r="L55" i="3"/>
  <c r="M41" i="3"/>
  <c r="M72" i="3"/>
  <c r="M62" i="3"/>
  <c r="J157" i="3"/>
  <c r="L157" i="3"/>
  <c r="M170" i="3"/>
  <c r="J323" i="3"/>
  <c r="L323" i="3"/>
  <c r="L86" i="34"/>
  <c r="J278" i="3"/>
  <c r="L278" i="3"/>
  <c r="M146" i="3"/>
  <c r="M148" i="3"/>
  <c r="H358" i="3"/>
  <c r="M245" i="3"/>
  <c r="M248" i="3"/>
  <c r="M204" i="3"/>
  <c r="J317" i="3"/>
  <c r="L317" i="3"/>
  <c r="L24" i="34"/>
  <c r="M151" i="3"/>
  <c r="M344" i="3"/>
  <c r="J14" i="3"/>
  <c r="L14" i="3"/>
  <c r="M32" i="3"/>
  <c r="M300" i="3"/>
  <c r="M133" i="3"/>
  <c r="J66" i="3"/>
  <c r="L66" i="3"/>
  <c r="J251" i="3"/>
  <c r="L251" i="3"/>
  <c r="J320" i="3"/>
  <c r="L320" i="3"/>
  <c r="J308" i="3"/>
  <c r="L308" i="3"/>
  <c r="J247" i="3"/>
  <c r="L247" i="3"/>
  <c r="M13" i="3"/>
  <c r="J143" i="3"/>
  <c r="L143" i="3"/>
  <c r="M242" i="3"/>
  <c r="M265" i="3"/>
  <c r="I43" i="34"/>
  <c r="K109" i="4"/>
  <c r="M269" i="3"/>
  <c r="J186" i="3"/>
  <c r="L186" i="3"/>
  <c r="L29" i="34"/>
  <c r="J312" i="3"/>
  <c r="L312" i="3"/>
  <c r="J176" i="3"/>
  <c r="L176" i="3"/>
  <c r="M301" i="3"/>
  <c r="J301" i="3"/>
  <c r="L301" i="3"/>
  <c r="M69" i="3"/>
  <c r="J298" i="3"/>
  <c r="L298" i="3"/>
  <c r="M9" i="3"/>
  <c r="M167" i="3"/>
  <c r="J215" i="3"/>
  <c r="L215" i="3"/>
  <c r="M40" i="3"/>
  <c r="J173" i="3"/>
  <c r="L173" i="3"/>
  <c r="J226" i="3"/>
  <c r="L226" i="3"/>
  <c r="J321" i="3"/>
  <c r="L321" i="3"/>
  <c r="J21" i="3"/>
  <c r="L21" i="3"/>
  <c r="R31" i="4"/>
  <c r="M120" i="3"/>
  <c r="J120" i="3"/>
  <c r="L120" i="3"/>
  <c r="J253" i="3"/>
  <c r="L253" i="3"/>
  <c r="M253" i="3"/>
  <c r="J144" i="3"/>
  <c r="L144" i="3"/>
  <c r="J83" i="3"/>
  <c r="L83" i="3"/>
  <c r="L22" i="3"/>
  <c r="M15" i="3"/>
  <c r="M250" i="3"/>
  <c r="J271" i="3"/>
  <c r="L271" i="3"/>
  <c r="J314" i="3"/>
  <c r="L314" i="3"/>
  <c r="J185" i="3"/>
  <c r="L185" i="3"/>
  <c r="M284" i="3"/>
  <c r="M106" i="3"/>
  <c r="M197" i="3"/>
  <c r="M270" i="3"/>
  <c r="J290" i="3"/>
  <c r="L290" i="3"/>
  <c r="J203" i="3"/>
  <c r="L203" i="3"/>
  <c r="J68" i="3"/>
  <c r="L68" i="3"/>
  <c r="J223" i="3"/>
  <c r="L223" i="3"/>
  <c r="L50" i="34"/>
  <c r="M104" i="3"/>
  <c r="J216" i="3"/>
  <c r="L216" i="3"/>
  <c r="L62" i="34"/>
  <c r="J89" i="4"/>
  <c r="J52" i="4"/>
  <c r="J65" i="3"/>
  <c r="L65" i="3"/>
  <c r="M65" i="3"/>
  <c r="J211" i="3"/>
  <c r="L211" i="3"/>
  <c r="M211" i="3"/>
  <c r="J208" i="3"/>
  <c r="L208" i="3"/>
  <c r="M208" i="3"/>
  <c r="J205" i="3"/>
  <c r="L205" i="3"/>
  <c r="M205" i="3"/>
  <c r="J202" i="3"/>
  <c r="L202" i="3"/>
  <c r="M202" i="3"/>
  <c r="J196" i="3"/>
  <c r="L196" i="3"/>
  <c r="M196" i="3"/>
  <c r="M303" i="3"/>
  <c r="J303" i="3"/>
  <c r="L303" i="3"/>
  <c r="L80" i="34"/>
  <c r="L20" i="3"/>
  <c r="J71" i="3"/>
  <c r="L71" i="3"/>
  <c r="J76" i="4"/>
  <c r="J81" i="4"/>
  <c r="M155" i="3"/>
  <c r="M295" i="3"/>
  <c r="J295" i="3"/>
  <c r="L295" i="3"/>
  <c r="M128" i="3"/>
  <c r="J128" i="3"/>
  <c r="L128" i="3"/>
  <c r="J75" i="3"/>
  <c r="L75" i="3"/>
  <c r="M75" i="3"/>
  <c r="J42" i="3"/>
  <c r="L42" i="3"/>
  <c r="M42" i="3"/>
  <c r="J118" i="3"/>
  <c r="L118" i="3"/>
  <c r="M118" i="3"/>
  <c r="M97" i="3"/>
  <c r="J97" i="3"/>
  <c r="L97" i="3"/>
  <c r="J119" i="3"/>
  <c r="L119" i="3"/>
  <c r="M119" i="3"/>
  <c r="M138" i="3"/>
  <c r="J138" i="3"/>
  <c r="L138" i="3"/>
  <c r="M122" i="3"/>
  <c r="J122" i="3"/>
  <c r="L122" i="3"/>
  <c r="M267" i="3"/>
  <c r="J136" i="3"/>
  <c r="L136" i="3"/>
  <c r="M280" i="3"/>
  <c r="J27" i="4"/>
  <c r="M78" i="3"/>
  <c r="J53" i="4"/>
  <c r="M217" i="3"/>
  <c r="M286" i="3"/>
  <c r="M172" i="3"/>
  <c r="J172" i="3"/>
  <c r="L172" i="3"/>
  <c r="J88" i="3"/>
  <c r="L88" i="3"/>
  <c r="M88" i="3"/>
  <c r="J302" i="3"/>
  <c r="L302" i="3"/>
  <c r="M302" i="3"/>
  <c r="J187" i="3"/>
  <c r="L187" i="3"/>
  <c r="M187" i="3"/>
  <c r="M84" i="3"/>
  <c r="J84" i="3"/>
  <c r="L84" i="3"/>
  <c r="M153" i="3"/>
  <c r="J153" i="3"/>
  <c r="L153" i="3"/>
  <c r="J190" i="3"/>
  <c r="L190" i="3"/>
  <c r="M190" i="3"/>
  <c r="J117" i="3"/>
  <c r="L117" i="3"/>
  <c r="M117" i="3"/>
  <c r="J99" i="3"/>
  <c r="L99" i="3"/>
  <c r="M99" i="3"/>
  <c r="M126" i="3"/>
  <c r="J126" i="3"/>
  <c r="L126" i="3"/>
  <c r="M287" i="3"/>
  <c r="J287" i="3"/>
  <c r="L287" i="3"/>
  <c r="M152" i="3"/>
  <c r="J152" i="3"/>
  <c r="L152" i="3"/>
  <c r="J137" i="3"/>
  <c r="L137" i="3"/>
  <c r="M137" i="3"/>
  <c r="M162" i="3"/>
  <c r="J162" i="3"/>
  <c r="L162" i="3"/>
  <c r="J73" i="3"/>
  <c r="L73" i="3"/>
  <c r="M73" i="3"/>
  <c r="M90" i="3"/>
  <c r="J90" i="3"/>
  <c r="L90" i="3"/>
  <c r="M195" i="3"/>
  <c r="J195" i="3"/>
  <c r="L195" i="3"/>
  <c r="M257" i="3"/>
  <c r="J257" i="3"/>
  <c r="L257" i="3"/>
  <c r="M327" i="3"/>
  <c r="J327" i="3"/>
  <c r="L327" i="3"/>
  <c r="J127" i="3"/>
  <c r="L127" i="3"/>
  <c r="M127" i="3"/>
  <c r="M38" i="3"/>
  <c r="J171" i="3"/>
  <c r="L171" i="3"/>
  <c r="J132" i="3"/>
  <c r="L132" i="3"/>
  <c r="M160" i="3"/>
  <c r="J91" i="4"/>
  <c r="J85" i="4"/>
  <c r="J69" i="4"/>
  <c r="M240" i="3"/>
  <c r="M343" i="3"/>
  <c r="J101" i="4"/>
  <c r="J68" i="4"/>
  <c r="J7" i="3"/>
  <c r="L7" i="3"/>
  <c r="J180" i="3"/>
  <c r="L180" i="3"/>
  <c r="M227" i="3"/>
  <c r="J77" i="4"/>
  <c r="I47" i="34"/>
  <c r="R72" i="4"/>
  <c r="K72" i="4"/>
  <c r="M268" i="3"/>
  <c r="J268" i="3"/>
  <c r="L268" i="3"/>
  <c r="M210" i="3"/>
  <c r="J210" i="3"/>
  <c r="L210" i="3"/>
  <c r="M198" i="3"/>
  <c r="J198" i="3"/>
  <c r="L198" i="3"/>
  <c r="M101" i="3"/>
  <c r="J101" i="3"/>
  <c r="L101" i="3"/>
  <c r="J70" i="3"/>
  <c r="L70" i="3"/>
  <c r="M70" i="3"/>
  <c r="M64" i="3"/>
  <c r="J64" i="3"/>
  <c r="L64" i="3"/>
  <c r="I46" i="34"/>
  <c r="L46" i="34"/>
  <c r="M252" i="3"/>
  <c r="J252" i="3"/>
  <c r="L252" i="3"/>
  <c r="M285" i="3"/>
  <c r="J285" i="3"/>
  <c r="L285" i="3"/>
  <c r="M168" i="3"/>
  <c r="J168" i="3"/>
  <c r="L168" i="3"/>
  <c r="M129" i="3"/>
  <c r="J129" i="3"/>
  <c r="L129" i="3"/>
  <c r="J95" i="3"/>
  <c r="M95" i="3"/>
  <c r="M47" i="3"/>
  <c r="J47" i="3"/>
  <c r="L47" i="3"/>
  <c r="J174" i="3"/>
  <c r="L174" i="3"/>
  <c r="M174" i="3"/>
  <c r="J121" i="3"/>
  <c r="L121" i="3"/>
  <c r="M121" i="3"/>
  <c r="M98" i="3"/>
  <c r="J98" i="3"/>
  <c r="L98" i="3"/>
  <c r="J87" i="3"/>
  <c r="L87" i="3"/>
  <c r="M87" i="3"/>
  <c r="M158" i="3"/>
  <c r="J158" i="3"/>
  <c r="L158" i="3"/>
  <c r="J10" i="3"/>
  <c r="L10" i="3"/>
  <c r="M10" i="3"/>
  <c r="M259" i="3"/>
  <c r="J259" i="3"/>
  <c r="L259" i="3"/>
  <c r="M159" i="3"/>
  <c r="J159" i="3"/>
  <c r="L159" i="3"/>
  <c r="M135" i="3"/>
  <c r="J135" i="3"/>
  <c r="L135" i="3"/>
  <c r="M264" i="3"/>
  <c r="J264" i="3"/>
  <c r="L264" i="3"/>
  <c r="J255" i="3"/>
  <c r="L255" i="3"/>
  <c r="M255" i="3"/>
  <c r="J206" i="3"/>
  <c r="L206" i="3"/>
  <c r="M206" i="3"/>
  <c r="M100" i="3"/>
  <c r="J100" i="3"/>
  <c r="L100" i="3"/>
  <c r="M307" i="3"/>
  <c r="J307" i="3"/>
  <c r="L307" i="3"/>
  <c r="J293" i="3"/>
  <c r="L293" i="3"/>
  <c r="M293" i="3"/>
  <c r="J258" i="3"/>
  <c r="L258" i="3"/>
  <c r="M258" i="3"/>
  <c r="M229" i="3"/>
  <c r="J229" i="3"/>
  <c r="L229" i="3"/>
  <c r="J134" i="3"/>
  <c r="L134" i="3"/>
  <c r="M134" i="3"/>
  <c r="M89" i="3"/>
  <c r="J89" i="3"/>
  <c r="L89" i="3"/>
  <c r="J239" i="3"/>
  <c r="L239" i="3"/>
  <c r="M239" i="3"/>
  <c r="M220" i="3"/>
  <c r="J220" i="3"/>
  <c r="L220" i="3"/>
  <c r="M188" i="3"/>
  <c r="J188" i="3"/>
  <c r="L188" i="3"/>
  <c r="J164" i="3"/>
  <c r="L164" i="3"/>
  <c r="M164" i="3"/>
  <c r="J154" i="3"/>
  <c r="L154" i="3"/>
  <c r="M154" i="3"/>
  <c r="M114" i="3"/>
  <c r="J114" i="3"/>
  <c r="L114" i="3"/>
  <c r="M33" i="3"/>
  <c r="J33" i="3"/>
  <c r="L33" i="3"/>
  <c r="M12" i="3"/>
  <c r="J12" i="3"/>
  <c r="L12" i="3"/>
  <c r="M5" i="3"/>
  <c r="J5" i="3"/>
  <c r="L5" i="3"/>
  <c r="M324" i="3"/>
  <c r="J324" i="3"/>
  <c r="L324" i="3"/>
  <c r="M318" i="3"/>
  <c r="J318" i="3"/>
  <c r="L318" i="3"/>
  <c r="J289" i="3"/>
  <c r="L289" i="3"/>
  <c r="M289" i="3"/>
  <c r="J241" i="3"/>
  <c r="L241" i="3"/>
  <c r="M241" i="3"/>
  <c r="M181" i="3"/>
  <c r="J181" i="3"/>
  <c r="L181" i="3"/>
  <c r="I96" i="34"/>
  <c r="L96" i="34"/>
  <c r="M244" i="3"/>
  <c r="J244" i="3"/>
  <c r="L244" i="3"/>
  <c r="J238" i="3"/>
  <c r="L238" i="3"/>
  <c r="M238" i="3"/>
  <c r="M184" i="3"/>
  <c r="J184" i="3"/>
  <c r="L184" i="3"/>
  <c r="M156" i="3"/>
  <c r="J156" i="3"/>
  <c r="L156" i="3"/>
  <c r="M130" i="3"/>
  <c r="J130" i="3"/>
  <c r="L130" i="3"/>
  <c r="J96" i="3"/>
  <c r="C16" i="29"/>
  <c r="M96" i="3"/>
  <c r="J23" i="3"/>
  <c r="L23" i="3"/>
  <c r="M23" i="3"/>
  <c r="C24" i="3"/>
  <c r="J8" i="3"/>
  <c r="M8" i="3"/>
  <c r="I56" i="34"/>
  <c r="L56" i="34"/>
  <c r="M335" i="3"/>
  <c r="J335" i="3"/>
  <c r="L335" i="3"/>
  <c r="M61" i="3"/>
  <c r="J61" i="3"/>
  <c r="L61" i="3"/>
  <c r="M209" i="3"/>
  <c r="J55" i="4"/>
  <c r="R55" i="4"/>
  <c r="J40" i="4"/>
  <c r="M111" i="3"/>
  <c r="J228" i="3"/>
  <c r="L228" i="3"/>
  <c r="J16" i="4"/>
  <c r="H67" i="34"/>
  <c r="I67" i="34"/>
  <c r="L37" i="34"/>
  <c r="J43" i="3"/>
  <c r="L43" i="3"/>
  <c r="M77" i="3"/>
  <c r="M175" i="3"/>
  <c r="M246" i="3"/>
  <c r="J325" i="3"/>
  <c r="L325" i="3"/>
  <c r="H75" i="34"/>
  <c r="I75" i="34"/>
  <c r="J98" i="4"/>
  <c r="J34" i="4"/>
  <c r="M161" i="3"/>
  <c r="M225" i="3"/>
  <c r="L57" i="34"/>
  <c r="H12" i="34"/>
  <c r="L12" i="34"/>
  <c r="J249" i="3"/>
  <c r="L249" i="3"/>
  <c r="M279" i="3"/>
  <c r="H30" i="34"/>
  <c r="H101" i="34"/>
  <c r="I101" i="34"/>
  <c r="M102" i="3"/>
  <c r="M336" i="3"/>
  <c r="J32" i="4"/>
  <c r="J22" i="4"/>
  <c r="J107" i="4"/>
  <c r="J73" i="4"/>
  <c r="J222" i="3"/>
  <c r="L222" i="3"/>
  <c r="M342" i="3"/>
  <c r="J11" i="3"/>
  <c r="L11" i="3"/>
  <c r="J37" i="3"/>
  <c r="L37" i="3"/>
  <c r="J105" i="3"/>
  <c r="L105" i="3"/>
  <c r="J49" i="3"/>
  <c r="L49" i="3"/>
  <c r="J54" i="4"/>
  <c r="C11" i="29"/>
  <c r="L27" i="3"/>
  <c r="H97" i="34"/>
  <c r="J102" i="4"/>
  <c r="I14" i="34"/>
  <c r="L14" i="34"/>
  <c r="I4" i="34"/>
  <c r="L4" i="34"/>
  <c r="M330" i="3"/>
  <c r="J330" i="3"/>
  <c r="L330" i="3"/>
  <c r="J319" i="3"/>
  <c r="L319" i="3"/>
  <c r="M319" i="3"/>
  <c r="J224" i="3"/>
  <c r="L224" i="3"/>
  <c r="M224" i="3"/>
  <c r="J221" i="3"/>
  <c r="L221" i="3"/>
  <c r="M221" i="3"/>
  <c r="I53" i="34"/>
  <c r="J45" i="3"/>
  <c r="L45" i="3"/>
  <c r="J266" i="3"/>
  <c r="L266" i="3"/>
  <c r="M291" i="3"/>
  <c r="I70" i="34"/>
  <c r="L70" i="34"/>
  <c r="J316" i="3"/>
  <c r="L316" i="3"/>
  <c r="M316" i="3"/>
  <c r="J310" i="3"/>
  <c r="L310" i="3"/>
  <c r="M310" i="3"/>
  <c r="J213" i="3"/>
  <c r="L213" i="3"/>
  <c r="M213" i="3"/>
  <c r="M113" i="3"/>
  <c r="J113" i="3"/>
  <c r="L113" i="3"/>
  <c r="M76" i="3"/>
  <c r="J76" i="3"/>
  <c r="L76" i="3"/>
  <c r="M48" i="3"/>
  <c r="J48" i="3"/>
  <c r="L48" i="3"/>
  <c r="I42" i="34"/>
  <c r="L42" i="34"/>
  <c r="J51" i="3"/>
  <c r="M116" i="3"/>
  <c r="J163" i="3"/>
  <c r="L163" i="3"/>
  <c r="J218" i="3"/>
  <c r="L218" i="3"/>
  <c r="J232" i="3"/>
  <c r="L232" i="3"/>
  <c r="H103" i="34"/>
  <c r="J108" i="4"/>
  <c r="I93" i="34"/>
  <c r="L93" i="34"/>
  <c r="R62" i="4"/>
  <c r="H22" i="34"/>
  <c r="J24" i="4"/>
  <c r="J341" i="3"/>
  <c r="L341" i="3"/>
  <c r="M341" i="3"/>
  <c r="M296" i="3"/>
  <c r="J296" i="3"/>
  <c r="L296" i="3"/>
  <c r="J201" i="3"/>
  <c r="L201" i="3"/>
  <c r="M201" i="3"/>
  <c r="J131" i="3"/>
  <c r="L131" i="3"/>
  <c r="M131" i="3"/>
  <c r="J91" i="3"/>
  <c r="L91" i="3"/>
  <c r="M91" i="3"/>
  <c r="L102" i="34"/>
  <c r="I20" i="34"/>
  <c r="I55" i="34"/>
  <c r="L55" i="34"/>
  <c r="M313" i="3"/>
  <c r="I28" i="34"/>
  <c r="L28" i="34"/>
  <c r="H11" i="34"/>
  <c r="J13" i="4"/>
  <c r="M338" i="3"/>
  <c r="J338" i="3"/>
  <c r="L338" i="3"/>
  <c r="J234" i="3"/>
  <c r="L234" i="3"/>
  <c r="M234" i="3"/>
  <c r="J29" i="3"/>
  <c r="M29" i="3"/>
  <c r="I45" i="34"/>
  <c r="L45" i="34"/>
  <c r="I84" i="34"/>
  <c r="L84" i="34"/>
  <c r="M166" i="3"/>
  <c r="M207" i="3"/>
  <c r="M243" i="3"/>
  <c r="M256" i="3"/>
  <c r="J256" i="3"/>
  <c r="L256" i="3"/>
  <c r="I92" i="34"/>
  <c r="L92" i="34"/>
  <c r="H85" i="34"/>
  <c r="J90" i="4"/>
  <c r="I79" i="34"/>
  <c r="L79" i="34"/>
  <c r="I64" i="34"/>
  <c r="L64" i="34"/>
  <c r="J254" i="3"/>
  <c r="M254" i="3"/>
  <c r="J212" i="3"/>
  <c r="L212" i="3"/>
  <c r="M212" i="3"/>
  <c r="M50" i="3"/>
  <c r="J50" i="3"/>
  <c r="L73" i="34"/>
  <c r="I63" i="34"/>
  <c r="L19" i="34"/>
  <c r="I32" i="34"/>
  <c r="L32" i="34"/>
  <c r="J54" i="3"/>
  <c r="L54" i="3"/>
  <c r="J107" i="3"/>
  <c r="L107" i="3"/>
  <c r="J299" i="3"/>
  <c r="L299" i="3"/>
  <c r="M322" i="3"/>
  <c r="M276" i="3"/>
  <c r="J276" i="3"/>
  <c r="L276" i="3"/>
  <c r="M329" i="3"/>
  <c r="J329" i="3"/>
  <c r="L329" i="3"/>
  <c r="J315" i="3"/>
  <c r="L315" i="3"/>
  <c r="M315" i="3"/>
  <c r="J309" i="3"/>
  <c r="L309" i="3"/>
  <c r="M309" i="3"/>
  <c r="J231" i="3"/>
  <c r="L231" i="3"/>
  <c r="M231" i="3"/>
  <c r="J182" i="3"/>
  <c r="L182" i="3"/>
  <c r="M182" i="3"/>
  <c r="J44" i="3"/>
  <c r="L44" i="3"/>
  <c r="M44" i="3"/>
  <c r="L36" i="34"/>
  <c r="I44" i="34"/>
  <c r="L44" i="34"/>
  <c r="L68" i="34"/>
  <c r="I68" i="34"/>
  <c r="J340" i="3"/>
  <c r="L340" i="3"/>
  <c r="M340" i="3"/>
  <c r="K110" i="4"/>
  <c r="R110" i="4"/>
  <c r="C12" i="29"/>
  <c r="H91" i="34"/>
  <c r="J96" i="4"/>
  <c r="I18" i="34"/>
  <c r="L18" i="34"/>
  <c r="J337" i="3"/>
  <c r="L337" i="3"/>
  <c r="M337" i="3"/>
  <c r="J326" i="3"/>
  <c r="L326" i="3"/>
  <c r="M326" i="3"/>
  <c r="M200" i="3"/>
  <c r="J200" i="3"/>
  <c r="L200" i="3"/>
  <c r="J189" i="3"/>
  <c r="L189" i="3"/>
  <c r="M189" i="3"/>
  <c r="I48" i="34"/>
  <c r="L48" i="34"/>
  <c r="J183" i="3"/>
  <c r="L183" i="3"/>
  <c r="M86" i="3"/>
  <c r="I72" i="34"/>
  <c r="L72" i="34"/>
  <c r="I26" i="34"/>
  <c r="L26" i="34"/>
  <c r="H17" i="34"/>
  <c r="J19" i="4"/>
  <c r="I8" i="34"/>
  <c r="L8" i="34"/>
  <c r="J331" i="3"/>
  <c r="L331" i="3"/>
  <c r="M331" i="3"/>
  <c r="J292" i="3"/>
  <c r="L292" i="3"/>
  <c r="M292" i="3"/>
  <c r="M233" i="3"/>
  <c r="J233" i="3"/>
  <c r="L233" i="3"/>
  <c r="J214" i="3"/>
  <c r="L214" i="3"/>
  <c r="M214" i="3"/>
  <c r="M46" i="3"/>
  <c r="J46" i="3"/>
  <c r="L46" i="3"/>
  <c r="L27" i="34"/>
  <c r="H38" i="34"/>
  <c r="J41" i="4"/>
  <c r="H49" i="34"/>
  <c r="J56" i="4"/>
  <c r="I54" i="34"/>
  <c r="L54" i="34"/>
  <c r="L19" i="3"/>
  <c r="J274" i="3"/>
  <c r="L274" i="3"/>
  <c r="C7" i="29"/>
  <c r="I82" i="34"/>
  <c r="L82" i="34"/>
  <c r="I25" i="34"/>
  <c r="L25" i="34"/>
  <c r="H16" i="34"/>
  <c r="J18" i="4"/>
  <c r="J328" i="3"/>
  <c r="L328" i="3"/>
  <c r="M328" i="3"/>
  <c r="J311" i="3"/>
  <c r="L311" i="3"/>
  <c r="M311" i="3"/>
  <c r="M219" i="3"/>
  <c r="J219" i="3"/>
  <c r="L219" i="3"/>
  <c r="J194" i="3"/>
  <c r="L194" i="3"/>
  <c r="L76" i="34"/>
  <c r="I39" i="34"/>
  <c r="L39" i="34"/>
  <c r="M27" i="3"/>
  <c r="H94" i="34"/>
  <c r="J99" i="4"/>
  <c r="I15" i="34"/>
  <c r="L15" i="34"/>
  <c r="H6" i="34"/>
  <c r="J6" i="4"/>
  <c r="J339" i="3"/>
  <c r="L339" i="3"/>
  <c r="M339" i="3"/>
  <c r="J297" i="3"/>
  <c r="L297" i="3"/>
  <c r="M297" i="3"/>
  <c r="M272" i="3"/>
  <c r="J272" i="3"/>
  <c r="L272" i="3"/>
  <c r="J230" i="3"/>
  <c r="L230" i="3"/>
  <c r="M230" i="3"/>
  <c r="J67" i="3"/>
  <c r="L67" i="3"/>
  <c r="M67" i="3"/>
  <c r="J45" i="4"/>
  <c r="H40" i="34"/>
  <c r="H51" i="34"/>
  <c r="J60" i="4"/>
  <c r="M288" i="3"/>
  <c r="I87" i="34"/>
  <c r="L87" i="34"/>
  <c r="I81" i="34"/>
  <c r="L81" i="34"/>
  <c r="I71" i="34"/>
  <c r="L71" i="34"/>
  <c r="H5" i="34"/>
  <c r="J5" i="4"/>
  <c r="J294" i="3"/>
  <c r="L294" i="3"/>
  <c r="M294" i="3"/>
  <c r="J199" i="3"/>
  <c r="L199" i="3"/>
  <c r="M199" i="3"/>
  <c r="M30" i="3"/>
  <c r="J30" i="3"/>
  <c r="I31" i="34"/>
  <c r="I41" i="34"/>
  <c r="L41" i="34"/>
  <c r="I52" i="34"/>
  <c r="L52" i="34"/>
  <c r="H10" i="34"/>
  <c r="H9" i="34"/>
  <c r="H65" i="34"/>
  <c r="H74" i="34"/>
  <c r="H83" i="34"/>
  <c r="H95" i="34"/>
  <c r="H21" i="34"/>
  <c r="H66" i="34"/>
  <c r="J84" i="4"/>
  <c r="J39" i="4"/>
  <c r="J17" i="4"/>
  <c r="J4" i="4"/>
  <c r="H13" i="34"/>
  <c r="H77" i="34"/>
  <c r="J92" i="4"/>
  <c r="J29" i="4"/>
  <c r="H23" i="34"/>
  <c r="H61" i="34"/>
  <c r="H69" i="34"/>
  <c r="H78" i="34"/>
  <c r="H104" i="34"/>
  <c r="J87" i="4"/>
  <c r="J75" i="4"/>
  <c r="J67" i="4"/>
  <c r="J28" i="4"/>
  <c r="J21" i="4"/>
  <c r="J8" i="4"/>
  <c r="H7" i="34"/>
  <c r="J86" i="4"/>
  <c r="J78" i="4"/>
  <c r="J20" i="4"/>
  <c r="J33" i="4"/>
  <c r="C148" i="3"/>
  <c r="L148" i="3"/>
  <c r="C358" i="3"/>
  <c r="K55" i="4"/>
  <c r="L67" i="34"/>
  <c r="L24" i="3"/>
  <c r="C350" i="3"/>
  <c r="C13" i="29"/>
  <c r="M16" i="3"/>
  <c r="H349" i="3"/>
  <c r="L101" i="34"/>
  <c r="L123" i="3"/>
  <c r="C356" i="3"/>
  <c r="C191" i="3"/>
  <c r="C92" i="3"/>
  <c r="L191" i="3"/>
  <c r="L360" i="3"/>
  <c r="C108" i="3"/>
  <c r="C346" i="3"/>
  <c r="R91" i="4"/>
  <c r="M177" i="3"/>
  <c r="H359" i="3"/>
  <c r="M24" i="3"/>
  <c r="H350" i="3"/>
  <c r="L304" i="3"/>
  <c r="C366" i="3"/>
  <c r="M57" i="3"/>
  <c r="H352" i="3"/>
  <c r="L177" i="3"/>
  <c r="L359" i="3"/>
  <c r="L281" i="3"/>
  <c r="C79" i="3"/>
  <c r="L79" i="3"/>
  <c r="C353" i="3"/>
  <c r="C16" i="3"/>
  <c r="M108" i="3"/>
  <c r="H355" i="3"/>
  <c r="C15" i="29"/>
  <c r="L96" i="3"/>
  <c r="M261" i="3"/>
  <c r="H362" i="3"/>
  <c r="M346" i="3"/>
  <c r="H365" i="3"/>
  <c r="L346" i="3"/>
  <c r="L365" i="3"/>
  <c r="L92" i="3"/>
  <c r="C354" i="3"/>
  <c r="L75" i="34"/>
  <c r="M281" i="3"/>
  <c r="H363" i="3"/>
  <c r="M79" i="3"/>
  <c r="H353" i="3"/>
  <c r="C177" i="3"/>
  <c r="C5" i="29"/>
  <c r="L8" i="3"/>
  <c r="L16" i="3"/>
  <c r="L140" i="3"/>
  <c r="L357" i="3"/>
  <c r="I12" i="34"/>
  <c r="I30" i="34"/>
  <c r="L30" i="34"/>
  <c r="L95" i="3"/>
  <c r="C14" i="29"/>
  <c r="I83" i="34"/>
  <c r="L83" i="34"/>
  <c r="I61" i="34"/>
  <c r="L61" i="34"/>
  <c r="I95" i="34"/>
  <c r="L95" i="34"/>
  <c r="M34" i="3"/>
  <c r="H351" i="3"/>
  <c r="C34" i="3"/>
  <c r="C18" i="29"/>
  <c r="L51" i="3"/>
  <c r="I7" i="34"/>
  <c r="L7" i="34"/>
  <c r="K29" i="4"/>
  <c r="R29" i="4"/>
  <c r="I74" i="34"/>
  <c r="L74" i="34"/>
  <c r="I16" i="34"/>
  <c r="L16" i="34"/>
  <c r="I17" i="34"/>
  <c r="L17" i="34"/>
  <c r="L91" i="34"/>
  <c r="I91" i="34"/>
  <c r="L254" i="3"/>
  <c r="L261" i="3"/>
  <c r="C19" i="29"/>
  <c r="L65" i="34"/>
  <c r="I65" i="34"/>
  <c r="C304" i="3"/>
  <c r="B16" i="1"/>
  <c r="M304" i="3"/>
  <c r="M332" i="3"/>
  <c r="H364" i="3"/>
  <c r="C332" i="3"/>
  <c r="L332" i="3"/>
  <c r="C140" i="3"/>
  <c r="M140" i="3"/>
  <c r="H357" i="3"/>
  <c r="K102" i="4"/>
  <c r="R102" i="4"/>
  <c r="C57" i="3"/>
  <c r="M235" i="3"/>
  <c r="H361" i="3"/>
  <c r="C235" i="3"/>
  <c r="I51" i="34"/>
  <c r="L51" i="34"/>
  <c r="C261" i="3"/>
  <c r="L97" i="34"/>
  <c r="I97" i="34"/>
  <c r="L13" i="34"/>
  <c r="I13" i="34"/>
  <c r="L235" i="3"/>
  <c r="I11" i="34"/>
  <c r="L11" i="34"/>
  <c r="I77" i="34"/>
  <c r="L77" i="34"/>
  <c r="I5" i="34"/>
  <c r="L5" i="34"/>
  <c r="I40" i="34"/>
  <c r="L40" i="34"/>
  <c r="L6" i="34"/>
  <c r="I6" i="34"/>
  <c r="L103" i="34"/>
  <c r="I103" i="34"/>
  <c r="C281" i="3"/>
  <c r="R56" i="4"/>
  <c r="I85" i="34"/>
  <c r="L85" i="34"/>
  <c r="M92" i="3"/>
  <c r="H354" i="3"/>
  <c r="L358" i="3"/>
  <c r="I9" i="34"/>
  <c r="L9" i="34"/>
  <c r="I49" i="34"/>
  <c r="L49" i="34"/>
  <c r="L50" i="3"/>
  <c r="C17" i="29"/>
  <c r="I22" i="34"/>
  <c r="L22" i="34"/>
  <c r="I10" i="34"/>
  <c r="L10" i="34"/>
  <c r="L78" i="34"/>
  <c r="I78" i="34"/>
  <c r="L66" i="34"/>
  <c r="I66" i="34"/>
  <c r="C9" i="29"/>
  <c r="L29" i="3"/>
  <c r="M123" i="3"/>
  <c r="H356" i="3"/>
  <c r="C123" i="3"/>
  <c r="M191" i="3"/>
  <c r="H360" i="3"/>
  <c r="I23" i="34"/>
  <c r="L23" i="34"/>
  <c r="R96" i="4"/>
  <c r="K96" i="4"/>
  <c r="I104" i="34"/>
  <c r="L104" i="34"/>
  <c r="I69" i="34"/>
  <c r="L69" i="34"/>
  <c r="L21" i="34"/>
  <c r="I21" i="34"/>
  <c r="L30" i="3"/>
  <c r="C8" i="29"/>
  <c r="L94" i="34"/>
  <c r="I94" i="34"/>
  <c r="I38" i="34"/>
  <c r="L38" i="34"/>
  <c r="L356" i="3"/>
  <c r="L350" i="3"/>
  <c r="C360" i="3"/>
  <c r="L353" i="3"/>
  <c r="L108" i="3"/>
  <c r="C355" i="3"/>
  <c r="C359" i="3"/>
  <c r="D366" i="3"/>
  <c r="L354" i="3"/>
  <c r="C365" i="3"/>
  <c r="D107" i="34"/>
  <c r="L57" i="3"/>
  <c r="L352" i="3"/>
  <c r="C357" i="3"/>
  <c r="L349" i="3"/>
  <c r="C349" i="3"/>
  <c r="H368" i="3"/>
  <c r="D33" i="34"/>
  <c r="L366" i="3"/>
  <c r="D58" i="34"/>
  <c r="L355" i="3"/>
  <c r="L34" i="3"/>
  <c r="L351" i="3"/>
  <c r="H366" i="3"/>
  <c r="D367" i="3"/>
  <c r="B10" i="1"/>
  <c r="B15" i="1"/>
  <c r="C361" i="3"/>
  <c r="L361" i="3"/>
  <c r="L362" i="3"/>
  <c r="C362" i="3"/>
  <c r="D88" i="34"/>
  <c r="L364" i="3"/>
  <c r="C364" i="3"/>
  <c r="D98" i="34"/>
  <c r="C352" i="3"/>
  <c r="C351" i="3"/>
  <c r="L368" i="3"/>
  <c r="N366" i="3"/>
  <c r="B13" i="1"/>
  <c r="B7" i="1"/>
  <c r="B8" i="1"/>
  <c r="J3105" i="23"/>
  <c r="J3081" i="23"/>
  <c r="J3070" i="23"/>
  <c r="J3004" i="23"/>
  <c r="E2838" i="23"/>
  <c r="E2841" i="23"/>
  <c r="J2717" i="23"/>
  <c r="J2683" i="23"/>
  <c r="F2682" i="23"/>
  <c r="I2669" i="23"/>
  <c r="I3025" i="23"/>
  <c r="J2979" i="23"/>
  <c r="F2770" i="23"/>
  <c r="H2421" i="23"/>
  <c r="I2389" i="23"/>
  <c r="I2388" i="23"/>
  <c r="J2352" i="23"/>
  <c r="J2354" i="23"/>
  <c r="I2344" i="23"/>
  <c r="I2346" i="23"/>
  <c r="I2309" i="23"/>
  <c r="J2302" i="23"/>
  <c r="I2248" i="23"/>
  <c r="I2233" i="23"/>
  <c r="I2226" i="23"/>
  <c r="D2104" i="23"/>
  <c r="K2104" i="23"/>
  <c r="J2097" i="23"/>
  <c r="J2010" i="23"/>
  <c r="F1984" i="23"/>
  <c r="I1852" i="23"/>
  <c r="J1809" i="23"/>
  <c r="J1807" i="23"/>
  <c r="I1775" i="23"/>
  <c r="J1736" i="23"/>
  <c r="E1663" i="23"/>
  <c r="K1663" i="23"/>
  <c r="F1656" i="23"/>
  <c r="K1656" i="23"/>
  <c r="E972" i="23"/>
  <c r="I959" i="23"/>
  <c r="D943" i="23"/>
  <c r="H935" i="23"/>
  <c r="J863" i="23"/>
  <c r="J865" i="23"/>
  <c r="D862" i="23"/>
  <c r="F735" i="23"/>
  <c r="D5" i="22"/>
  <c r="D22" i="24"/>
  <c r="H1607" i="23"/>
  <c r="G1606" i="23"/>
  <c r="J1593" i="23"/>
  <c r="I1522" i="23"/>
  <c r="I1446" i="23"/>
  <c r="J1444" i="23"/>
  <c r="J924" i="23"/>
  <c r="J893" i="23"/>
  <c r="J878" i="23"/>
  <c r="H47" i="22"/>
  <c r="H63" i="22"/>
  <c r="J882" i="23"/>
  <c r="I577" i="23"/>
  <c r="I576" i="23"/>
  <c r="J304" i="23"/>
  <c r="I256" i="23"/>
  <c r="I169" i="23"/>
  <c r="J3153" i="23"/>
  <c r="J3152" i="23"/>
  <c r="F3008" i="23"/>
  <c r="J2894" i="23"/>
  <c r="J2851" i="23"/>
  <c r="J2697" i="23"/>
  <c r="I2696" i="23"/>
  <c r="J2690" i="23"/>
  <c r="J2688" i="23"/>
  <c r="I2682" i="23"/>
  <c r="I2681" i="23"/>
  <c r="F2668" i="23"/>
  <c r="I2667" i="23"/>
  <c r="I2666" i="23"/>
  <c r="I2189" i="23"/>
  <c r="J2050" i="23"/>
  <c r="J1910" i="23"/>
  <c r="I1888" i="23"/>
  <c r="K1888" i="23"/>
  <c r="D1759" i="23"/>
  <c r="I1718" i="23"/>
  <c r="J1712" i="23"/>
  <c r="J1713" i="23"/>
  <c r="J1652" i="23"/>
  <c r="I1600" i="23"/>
  <c r="I1599" i="23"/>
  <c r="J1545" i="23"/>
  <c r="J1425" i="23"/>
  <c r="J1416" i="23"/>
  <c r="I1415" i="23"/>
  <c r="I1418" i="23"/>
  <c r="J1410" i="23"/>
  <c r="F1387" i="23"/>
  <c r="J1336" i="23"/>
  <c r="J1189" i="23"/>
  <c r="I2227" i="23"/>
  <c r="J1350" i="23"/>
  <c r="J1353" i="23"/>
  <c r="K1353" i="23"/>
  <c r="J1207" i="23"/>
  <c r="J1209" i="23"/>
  <c r="F1151" i="23"/>
  <c r="J960" i="23"/>
  <c r="I813" i="23"/>
  <c r="I816" i="23"/>
  <c r="I751" i="23"/>
  <c r="I752" i="23"/>
  <c r="J702" i="23"/>
  <c r="D456" i="23"/>
  <c r="K456" i="23"/>
  <c r="D328" i="23"/>
  <c r="D326" i="23"/>
  <c r="I264" i="23"/>
  <c r="I263" i="23"/>
  <c r="I255" i="23"/>
  <c r="I257" i="23"/>
  <c r="I258" i="23"/>
  <c r="I799" i="23"/>
  <c r="I797" i="23"/>
  <c r="E365" i="23"/>
  <c r="E363" i="23"/>
  <c r="J326" i="23"/>
  <c r="J328" i="23"/>
  <c r="K328" i="23"/>
  <c r="J87" i="23"/>
  <c r="J219" i="23"/>
  <c r="I89" i="23"/>
  <c r="I217" i="23"/>
  <c r="I219" i="23"/>
  <c r="I3052" i="23"/>
  <c r="J2934" i="23"/>
  <c r="K2934" i="23"/>
  <c r="J2696" i="23"/>
  <c r="I2689" i="23"/>
  <c r="J2681" i="23"/>
  <c r="G2374" i="23"/>
  <c r="J2338" i="23"/>
  <c r="J2052" i="23"/>
  <c r="E1970" i="23"/>
  <c r="J1808" i="23"/>
  <c r="I1781" i="23"/>
  <c r="I1760" i="23"/>
  <c r="I1757" i="23"/>
  <c r="I1759" i="23"/>
  <c r="J1167" i="23"/>
  <c r="J1168" i="23"/>
  <c r="F1658" i="23"/>
  <c r="I1598" i="23"/>
  <c r="D1538" i="23"/>
  <c r="F1533" i="23"/>
  <c r="J1531" i="23"/>
  <c r="I1523" i="23"/>
  <c r="J1173" i="23"/>
  <c r="J1165" i="23"/>
  <c r="I1165" i="23"/>
  <c r="I1166" i="23"/>
  <c r="I1167" i="23"/>
  <c r="J944" i="23"/>
  <c r="I866" i="23"/>
  <c r="I864" i="23"/>
  <c r="I709" i="23"/>
  <c r="F391" i="23"/>
  <c r="J298" i="23"/>
  <c r="H258" i="23"/>
  <c r="I242" i="23"/>
  <c r="J3053" i="23"/>
  <c r="G2800" i="23"/>
  <c r="J2771" i="23"/>
  <c r="J2738" i="23"/>
  <c r="F2010" i="23"/>
  <c r="I1984" i="23"/>
  <c r="J2667" i="23"/>
  <c r="J1606" i="23"/>
  <c r="J1599" i="23"/>
  <c r="J946" i="23"/>
  <c r="K3282" i="23"/>
  <c r="G1598" i="23"/>
  <c r="G1597" i="23"/>
  <c r="E3113" i="23"/>
  <c r="J3103" i="23"/>
  <c r="J2933" i="23"/>
  <c r="E2927" i="23"/>
  <c r="K2927" i="23"/>
  <c r="J2905" i="23"/>
  <c r="I2701" i="23"/>
  <c r="J2695" i="23"/>
  <c r="J2680" i="23"/>
  <c r="I2505" i="23"/>
  <c r="J2496" i="23"/>
  <c r="E2373" i="23"/>
  <c r="G2255" i="23"/>
  <c r="J2134" i="23"/>
  <c r="J2072" i="23"/>
  <c r="D1822" i="23"/>
  <c r="K1822" i="23"/>
  <c r="J1767" i="23"/>
  <c r="J1727" i="23"/>
  <c r="D915" i="23"/>
  <c r="D405" i="23"/>
  <c r="B183" i="22"/>
  <c r="B111" i="22"/>
  <c r="E3131" i="23"/>
  <c r="E3130" i="23"/>
  <c r="J3067" i="23"/>
  <c r="J3069" i="23"/>
  <c r="J3049" i="23"/>
  <c r="J3051" i="23"/>
  <c r="J3022" i="23"/>
  <c r="J3024" i="23"/>
  <c r="J2718" i="23"/>
  <c r="J2716" i="23"/>
  <c r="K2716" i="23"/>
  <c r="J3043" i="23"/>
  <c r="J3130" i="23"/>
  <c r="J3135" i="23"/>
  <c r="J3168" i="23"/>
  <c r="J3171" i="23"/>
  <c r="J3179" i="23"/>
  <c r="J3194" i="23"/>
  <c r="J3195" i="23"/>
  <c r="K3195" i="23"/>
  <c r="J3203" i="23"/>
  <c r="J3207" i="23"/>
  <c r="J3221" i="23"/>
  <c r="J3225" i="23"/>
  <c r="H2979" i="23"/>
  <c r="H3135" i="23"/>
  <c r="H3170" i="23"/>
  <c r="H3171" i="23"/>
  <c r="K3171" i="23"/>
  <c r="H3193" i="23"/>
  <c r="K3193" i="23"/>
  <c r="H3194" i="23"/>
  <c r="H3202" i="23"/>
  <c r="H3203" i="23"/>
  <c r="H3206" i="23"/>
  <c r="K3206" i="23"/>
  <c r="H3207" i="23"/>
  <c r="H3220" i="23"/>
  <c r="H3221" i="23"/>
  <c r="H3224" i="23"/>
  <c r="H3225" i="23"/>
  <c r="F3196" i="23"/>
  <c r="F3153" i="23"/>
  <c r="F3187" i="23"/>
  <c r="F3213" i="23"/>
  <c r="F3214" i="23"/>
  <c r="D2635" i="23"/>
  <c r="D3125" i="23"/>
  <c r="K3125" i="23"/>
  <c r="D3126" i="23"/>
  <c r="D3134" i="23"/>
  <c r="D3177" i="23"/>
  <c r="D3178" i="23"/>
  <c r="D3188" i="23"/>
  <c r="D3189" i="23"/>
  <c r="D3197" i="23"/>
  <c r="D3198" i="23"/>
  <c r="D3211" i="23"/>
  <c r="D3212" i="23"/>
  <c r="D3215" i="23"/>
  <c r="D3216" i="23"/>
  <c r="D3229" i="23"/>
  <c r="D3230" i="23"/>
  <c r="I1855" i="23"/>
  <c r="I1853" i="23"/>
  <c r="E1599" i="23"/>
  <c r="E1597" i="23"/>
  <c r="E1600" i="23"/>
  <c r="K1600" i="23"/>
  <c r="J1592" i="23"/>
  <c r="J1591" i="23"/>
  <c r="J1437" i="23"/>
  <c r="J1439" i="23"/>
  <c r="J3157" i="23"/>
  <c r="J3159" i="23"/>
  <c r="K3159" i="23"/>
  <c r="H3149" i="23"/>
  <c r="H3148" i="23"/>
  <c r="J3113" i="23"/>
  <c r="J3115" i="23"/>
  <c r="J2995" i="23"/>
  <c r="J2998" i="23"/>
  <c r="F2986" i="23"/>
  <c r="F2987" i="23"/>
  <c r="D2989" i="23"/>
  <c r="G2893" i="23"/>
  <c r="G2891" i="23"/>
  <c r="G2828" i="23"/>
  <c r="G2829" i="23"/>
  <c r="J2744" i="23"/>
  <c r="J2739" i="23"/>
  <c r="J2736" i="23"/>
  <c r="I2711" i="23"/>
  <c r="I2708" i="23"/>
  <c r="J2669" i="23"/>
  <c r="J2666" i="23"/>
  <c r="H2667" i="23"/>
  <c r="E2634" i="23"/>
  <c r="K2634" i="23"/>
  <c r="E2635" i="23"/>
  <c r="K2635" i="23"/>
  <c r="J2626" i="23"/>
  <c r="J2628" i="23"/>
  <c r="F2546" i="23"/>
  <c r="H2388" i="23"/>
  <c r="K2388" i="23"/>
  <c r="H2347" i="23"/>
  <c r="H2345" i="23"/>
  <c r="D2281" i="23"/>
  <c r="K2281" i="23"/>
  <c r="D2283" i="23"/>
  <c r="K2283" i="23"/>
  <c r="I2253" i="23"/>
  <c r="I2255" i="23"/>
  <c r="E2051" i="23"/>
  <c r="K2051" i="23"/>
  <c r="E2053" i="23"/>
  <c r="F1988" i="23"/>
  <c r="F1989" i="23"/>
  <c r="D1927" i="23"/>
  <c r="J1840" i="23"/>
  <c r="D1711" i="23"/>
  <c r="D1713" i="23"/>
  <c r="K1713" i="23"/>
  <c r="J1552" i="23"/>
  <c r="K1552" i="23"/>
  <c r="J1554" i="23"/>
  <c r="D1635" i="23"/>
  <c r="D1637" i="23"/>
  <c r="J1605" i="23"/>
  <c r="J1604" i="23"/>
  <c r="I1559" i="23"/>
  <c r="I1558" i="23"/>
  <c r="I1561" i="23"/>
  <c r="F1531" i="23"/>
  <c r="K1531" i="23"/>
  <c r="F1530" i="23"/>
  <c r="K1530" i="23"/>
  <c r="F1529" i="23"/>
  <c r="E199" i="23"/>
  <c r="E200" i="23"/>
  <c r="F1060" i="23"/>
  <c r="D1058" i="23"/>
  <c r="J1001" i="23"/>
  <c r="J942" i="23"/>
  <c r="D864" i="23"/>
  <c r="B75" i="22"/>
  <c r="J561" i="23"/>
  <c r="J563" i="23"/>
  <c r="I2683" i="23"/>
  <c r="J2668" i="23"/>
  <c r="G2376" i="23"/>
  <c r="J1607" i="23"/>
  <c r="E1598" i="23"/>
  <c r="I1593" i="23"/>
  <c r="J1532" i="23"/>
  <c r="H735" i="23"/>
  <c r="I863" i="23"/>
  <c r="I862" i="23"/>
  <c r="G37" i="22"/>
  <c r="I865" i="23"/>
  <c r="K865" i="23"/>
  <c r="J224" i="23"/>
  <c r="J226" i="23"/>
  <c r="H89" i="23"/>
  <c r="H219" i="23"/>
  <c r="C79" i="22"/>
  <c r="D79" i="22"/>
  <c r="E79" i="22"/>
  <c r="F107" i="22"/>
  <c r="D205" i="26"/>
  <c r="J2618" i="23"/>
  <c r="J2619" i="23"/>
  <c r="F2966" i="23"/>
  <c r="K2966" i="23"/>
  <c r="F2964" i="23"/>
  <c r="I2516" i="23"/>
  <c r="I2515" i="23"/>
  <c r="J2400" i="23"/>
  <c r="J2401" i="23"/>
  <c r="G3115" i="23"/>
  <c r="K3115" i="23"/>
  <c r="G3117" i="23"/>
  <c r="J2988" i="23"/>
  <c r="J2985" i="23"/>
  <c r="K2985" i="23"/>
  <c r="G2768" i="23"/>
  <c r="G2769" i="23"/>
  <c r="F2697" i="23"/>
  <c r="F2694" i="23"/>
  <c r="J3149" i="23"/>
  <c r="J3151" i="23"/>
  <c r="I2383" i="23"/>
  <c r="I2381" i="23"/>
  <c r="E2790" i="23"/>
  <c r="K2790" i="23"/>
  <c r="I1906" i="23"/>
  <c r="K1906" i="23"/>
  <c r="I306" i="23"/>
  <c r="I1807" i="23"/>
  <c r="D1537" i="23"/>
  <c r="I831" i="23"/>
  <c r="E2751" i="23"/>
  <c r="K2751" i="23"/>
  <c r="I2446" i="23"/>
  <c r="I2190" i="23"/>
  <c r="K2190" i="23"/>
  <c r="H1605" i="23"/>
  <c r="D2430" i="23"/>
  <c r="I2347" i="23"/>
  <c r="J2339" i="23"/>
  <c r="F1223" i="23"/>
  <c r="I728" i="23"/>
  <c r="J3079" i="23"/>
  <c r="I2891" i="23"/>
  <c r="J2811" i="23"/>
  <c r="I2339" i="23"/>
  <c r="I2465" i="23"/>
  <c r="H1444" i="23"/>
  <c r="I211" i="23"/>
  <c r="I210" i="23"/>
  <c r="I209" i="23"/>
  <c r="K209" i="23"/>
  <c r="I208" i="23"/>
  <c r="J146" i="23"/>
  <c r="J143" i="23"/>
  <c r="J3121" i="23"/>
  <c r="J2914" i="23"/>
  <c r="E3108" i="23"/>
  <c r="J3005" i="23"/>
  <c r="I2246" i="23"/>
  <c r="I2245" i="23"/>
  <c r="I2675" i="23"/>
  <c r="I2673" i="23"/>
  <c r="I2441" i="23"/>
  <c r="I2440" i="23"/>
  <c r="I1590" i="23"/>
  <c r="I1591" i="23"/>
  <c r="I1592" i="23"/>
  <c r="I1756" i="23"/>
  <c r="I1023" i="23"/>
  <c r="I2688" i="23"/>
  <c r="I2450" i="23"/>
  <c r="J2337" i="23"/>
  <c r="J2607" i="23"/>
  <c r="J2600" i="23"/>
  <c r="I2426" i="23"/>
  <c r="I2337" i="23"/>
  <c r="J1683" i="23"/>
  <c r="I2421" i="23"/>
  <c r="I2323" i="23"/>
  <c r="I2225" i="23"/>
  <c r="I2094" i="23"/>
  <c r="K2094" i="23"/>
  <c r="J2032" i="23"/>
  <c r="I985" i="23"/>
  <c r="I987" i="23"/>
  <c r="I1430" i="23"/>
  <c r="I1432" i="23"/>
  <c r="I957" i="23"/>
  <c r="I958" i="23"/>
  <c r="I750" i="23"/>
  <c r="I753" i="23"/>
  <c r="I605" i="23"/>
  <c r="I597" i="23"/>
  <c r="J856" i="23"/>
  <c r="H125" i="22"/>
  <c r="I710" i="23"/>
  <c r="G77" i="22"/>
  <c r="I96" i="23"/>
  <c r="I1161" i="23"/>
  <c r="I684" i="23"/>
  <c r="J1481" i="23"/>
  <c r="J1473" i="23"/>
  <c r="J1147" i="23"/>
  <c r="G707" i="23"/>
  <c r="H255" i="23"/>
  <c r="H79" i="22"/>
  <c r="G79" i="22"/>
  <c r="J3357" i="23"/>
  <c r="J3350" i="23"/>
  <c r="J3249" i="23"/>
  <c r="J3330" i="23"/>
  <c r="J3285" i="23"/>
  <c r="J3274" i="23"/>
  <c r="J3267" i="23"/>
  <c r="J808" i="23"/>
  <c r="H67" i="22"/>
  <c r="J3222" i="23"/>
  <c r="K3222" i="23"/>
  <c r="J3189" i="23"/>
  <c r="J2506" i="23"/>
  <c r="I973" i="23"/>
  <c r="I2917" i="23"/>
  <c r="J2049" i="23"/>
  <c r="J3296" i="23"/>
  <c r="J3230" i="23"/>
  <c r="J3310" i="23"/>
  <c r="J3303" i="23"/>
  <c r="J3283" i="23"/>
  <c r="J3265" i="23"/>
  <c r="J3339" i="23"/>
  <c r="J3328" i="23"/>
  <c r="J3321" i="23"/>
  <c r="J3276" i="23"/>
  <c r="I1642" i="23"/>
  <c r="K1642" i="23"/>
  <c r="J3346" i="23"/>
  <c r="J3332" i="23"/>
  <c r="J3314" i="23"/>
  <c r="F1133" i="23"/>
  <c r="K1133" i="23"/>
  <c r="H1067" i="23"/>
  <c r="J3234" i="23"/>
  <c r="J3216" i="23"/>
  <c r="I2066" i="23"/>
  <c r="J1380" i="23"/>
  <c r="F79" i="22"/>
  <c r="J3239" i="23"/>
  <c r="J3041" i="23"/>
  <c r="J3355" i="23"/>
  <c r="J3348" i="23"/>
  <c r="J3341" i="23"/>
  <c r="J3323" i="23"/>
  <c r="J3312" i="23"/>
  <c r="J3301" i="23"/>
  <c r="J3294" i="23"/>
  <c r="J3287" i="23"/>
  <c r="J3269" i="23"/>
  <c r="J3258" i="23"/>
  <c r="J3204" i="23"/>
  <c r="J1931" i="23"/>
  <c r="J3359" i="23"/>
  <c r="J3305" i="23"/>
  <c r="J3251" i="23"/>
  <c r="J3213" i="23"/>
  <c r="J3243" i="23"/>
  <c r="J3231" i="23"/>
  <c r="K3231" i="23"/>
  <c r="J3126" i="23"/>
  <c r="I2878" i="23"/>
  <c r="J3198" i="23"/>
  <c r="J1927" i="23"/>
  <c r="I708" i="23"/>
  <c r="I707" i="23"/>
  <c r="J3178" i="23"/>
  <c r="J3240" i="23"/>
  <c r="J3186" i="23"/>
  <c r="I668" i="23"/>
  <c r="G9" i="22"/>
  <c r="G13" i="24"/>
  <c r="I669" i="23"/>
  <c r="J1897" i="23"/>
  <c r="G63" i="22"/>
  <c r="I63" i="22"/>
  <c r="D63" i="22"/>
  <c r="H111" i="22"/>
  <c r="G111" i="22"/>
  <c r="C111" i="22"/>
  <c r="E111" i="22"/>
  <c r="I111" i="22"/>
  <c r="E7" i="29"/>
  <c r="F7" i="29"/>
  <c r="G7" i="29"/>
  <c r="I79" i="22"/>
  <c r="E9" i="29"/>
  <c r="F9" i="29"/>
  <c r="G9" i="29"/>
  <c r="Q84" i="4"/>
  <c r="L84" i="4"/>
  <c r="I34" i="4"/>
  <c r="K34" i="4"/>
  <c r="F457" i="23"/>
  <c r="I3330" i="23"/>
  <c r="I3310" i="23"/>
  <c r="K3310" i="23"/>
  <c r="J3278" i="23"/>
  <c r="J3248" i="23"/>
  <c r="I2301" i="23"/>
  <c r="K2490" i="23"/>
  <c r="J3337" i="23"/>
  <c r="G1004" i="23"/>
  <c r="I3295" i="23"/>
  <c r="I3275" i="23"/>
  <c r="J3256" i="23"/>
  <c r="J2704" i="23"/>
  <c r="F2420" i="23"/>
  <c r="I3303" i="23"/>
  <c r="J3292" i="23"/>
  <c r="G995" i="23"/>
  <c r="J3260" i="23"/>
  <c r="I3230" i="23"/>
  <c r="I3260" i="23"/>
  <c r="J3212" i="23"/>
  <c r="J995" i="23"/>
  <c r="H167" i="22"/>
  <c r="G15" i="22"/>
  <c r="G15" i="24"/>
  <c r="G2252" i="23"/>
  <c r="J2535" i="23"/>
  <c r="H2799" i="23"/>
  <c r="J2589" i="23"/>
  <c r="K2589" i="23"/>
  <c r="J1004" i="23"/>
  <c r="E1003" i="23"/>
  <c r="F1003" i="23"/>
  <c r="D167" i="22"/>
  <c r="W2062" i="23"/>
  <c r="H1003" i="23"/>
  <c r="E2819" i="23"/>
  <c r="I1003" i="23"/>
  <c r="G167" i="22"/>
  <c r="B79" i="22"/>
  <c r="B21" i="22"/>
  <c r="B9" i="24"/>
  <c r="I3359" i="23"/>
  <c r="I3338" i="23"/>
  <c r="I3331" i="23"/>
  <c r="I3323" i="23"/>
  <c r="I3311" i="23"/>
  <c r="I3268" i="23"/>
  <c r="I3256" i="23"/>
  <c r="I3239" i="23"/>
  <c r="I3232" i="23"/>
  <c r="K3232" i="23"/>
  <c r="I3187" i="23"/>
  <c r="I3169" i="23"/>
  <c r="J314" i="23"/>
  <c r="J312" i="23"/>
  <c r="F3013" i="23"/>
  <c r="G3013" i="23"/>
  <c r="I3358" i="23"/>
  <c r="I3350" i="23"/>
  <c r="I3322" i="23"/>
  <c r="I3315" i="23"/>
  <c r="I3294" i="23"/>
  <c r="I3279" i="23"/>
  <c r="I3274" i="23"/>
  <c r="I3357" i="23"/>
  <c r="I3342" i="23"/>
  <c r="I3329" i="23"/>
  <c r="K3329" i="23"/>
  <c r="I3302" i="23"/>
  <c r="I3216" i="23"/>
  <c r="I3194" i="23"/>
  <c r="I3126" i="23"/>
  <c r="I3341" i="23"/>
  <c r="I3321" i="23"/>
  <c r="I3314" i="23"/>
  <c r="I3301" i="23"/>
  <c r="I3286" i="23"/>
  <c r="I3266" i="23"/>
  <c r="I3259" i="23"/>
  <c r="I3252" i="23"/>
  <c r="I3205" i="23"/>
  <c r="I3349" i="23"/>
  <c r="I3328" i="23"/>
  <c r="I3293" i="23"/>
  <c r="I3285" i="23"/>
  <c r="I3278" i="23"/>
  <c r="I3265" i="23"/>
  <c r="K3265" i="23"/>
  <c r="I3258" i="23"/>
  <c r="I3251" i="23"/>
  <c r="I3243" i="23"/>
  <c r="I3203" i="23"/>
  <c r="I3356" i="23"/>
  <c r="I3348" i="23"/>
  <c r="I3333" i="23"/>
  <c r="I3306" i="23"/>
  <c r="I3234" i="23"/>
  <c r="I3225" i="23"/>
  <c r="I3214" i="23"/>
  <c r="I3135" i="23"/>
  <c r="I3340" i="23"/>
  <c r="I3320" i="23"/>
  <c r="I3313" i="23"/>
  <c r="I3305" i="23"/>
  <c r="K3305" i="23"/>
  <c r="I3292" i="23"/>
  <c r="I3270" i="23"/>
  <c r="I2571" i="23"/>
  <c r="I3355" i="23"/>
  <c r="I3339" i="23"/>
  <c r="I3332" i="23"/>
  <c r="I3312" i="23"/>
  <c r="I3284" i="23"/>
  <c r="I3277" i="23"/>
  <c r="I3269" i="23"/>
  <c r="I3257" i="23"/>
  <c r="I3250" i="23"/>
  <c r="I3212" i="23"/>
  <c r="I3189" i="23"/>
  <c r="I3180" i="23"/>
  <c r="K3180" i="23"/>
  <c r="I3171" i="23"/>
  <c r="I3360" i="23"/>
  <c r="I3347" i="23"/>
  <c r="I3319" i="23"/>
  <c r="I3297" i="23"/>
  <c r="I3283" i="23"/>
  <c r="I3276" i="23"/>
  <c r="K3276" i="23"/>
  <c r="I3223" i="23"/>
  <c r="I3346" i="23"/>
  <c r="I3324" i="23"/>
  <c r="I3304" i="23"/>
  <c r="I3296" i="23"/>
  <c r="I3261" i="23"/>
  <c r="K3261" i="23"/>
  <c r="I3248" i="23"/>
  <c r="I3241" i="23"/>
  <c r="I3221" i="23"/>
  <c r="I3198" i="23"/>
  <c r="B161" i="22"/>
  <c r="J3319" i="23"/>
  <c r="K714" i="23"/>
  <c r="D995" i="23"/>
  <c r="B167" i="22"/>
  <c r="D993" i="23"/>
  <c r="D133" i="22"/>
  <c r="K1052" i="23"/>
  <c r="J3132" i="23"/>
  <c r="I3351" i="23"/>
  <c r="I3288" i="23"/>
  <c r="I3196" i="23"/>
  <c r="B11" i="22"/>
  <c r="B4" i="24"/>
  <c r="K1780" i="23"/>
  <c r="D442" i="23"/>
  <c r="I3337" i="23"/>
  <c r="E994" i="23"/>
  <c r="K994" i="23"/>
  <c r="C55" i="22"/>
  <c r="I2636" i="23"/>
  <c r="H995" i="23"/>
  <c r="H996" i="23"/>
  <c r="G159" i="22"/>
  <c r="H2949" i="23"/>
  <c r="F143" i="22"/>
  <c r="B151" i="22"/>
  <c r="D1772" i="23"/>
  <c r="D83" i="22"/>
  <c r="D130" i="26"/>
  <c r="K1815" i="23"/>
  <c r="D2948" i="23"/>
  <c r="K663" i="23"/>
  <c r="K1038" i="23"/>
  <c r="K1300" i="23"/>
  <c r="K1253" i="23"/>
  <c r="K2582" i="23"/>
  <c r="K767" i="23"/>
  <c r="D457" i="23"/>
  <c r="K1299" i="23"/>
  <c r="C153" i="22"/>
  <c r="K737" i="23"/>
  <c r="K2266" i="23"/>
  <c r="K47" i="23"/>
  <c r="K273" i="23"/>
  <c r="K1018" i="23"/>
  <c r="K1751" i="23"/>
  <c r="B157" i="22"/>
  <c r="D23" i="26"/>
  <c r="K792" i="23"/>
  <c r="K1321" i="23"/>
  <c r="K1823" i="23"/>
  <c r="K1493" i="23"/>
  <c r="K448" i="23"/>
  <c r="K449" i="23"/>
  <c r="I3287" i="23"/>
  <c r="I3267" i="23"/>
  <c r="B123" i="22"/>
  <c r="K554" i="23"/>
  <c r="G71" i="22"/>
  <c r="K608" i="23"/>
  <c r="F115" i="22"/>
  <c r="K570" i="23"/>
  <c r="K332" i="23"/>
  <c r="K1502" i="23"/>
  <c r="K2919" i="23"/>
  <c r="K1293" i="23"/>
  <c r="K104" i="23"/>
  <c r="K1824" i="23"/>
  <c r="K1261" i="23"/>
  <c r="K1765" i="23"/>
  <c r="K2261" i="23"/>
  <c r="K569" i="23"/>
  <c r="K2103" i="23"/>
  <c r="K2815" i="23"/>
  <c r="K25" i="23"/>
  <c r="K782" i="23"/>
  <c r="K341" i="23"/>
  <c r="K1651" i="23"/>
  <c r="K119" i="23"/>
  <c r="K562" i="23"/>
  <c r="K1046" i="23"/>
  <c r="K3023" i="23"/>
  <c r="K80" i="23"/>
  <c r="K106" i="23"/>
  <c r="K152" i="23"/>
  <c r="K678" i="23"/>
  <c r="K1080" i="23"/>
  <c r="K937" i="23"/>
  <c r="J1138" i="23"/>
  <c r="D115" i="22"/>
  <c r="K2820" i="23"/>
  <c r="K671" i="23"/>
  <c r="K2526" i="23"/>
  <c r="I3178" i="23"/>
  <c r="G11" i="22"/>
  <c r="G4" i="24"/>
  <c r="K2318" i="23"/>
  <c r="K95" i="23"/>
  <c r="K1395" i="23"/>
  <c r="K2606" i="23"/>
  <c r="K339" i="23"/>
  <c r="K406" i="23"/>
  <c r="K1262" i="23"/>
  <c r="C121" i="22"/>
  <c r="C143" i="22"/>
  <c r="K1368" i="23"/>
  <c r="D143" i="22"/>
  <c r="K2167" i="23"/>
  <c r="K1747" i="23"/>
  <c r="B23" i="22"/>
  <c r="K50" i="23"/>
  <c r="K793" i="23"/>
  <c r="K963" i="23"/>
  <c r="I966" i="23"/>
  <c r="I964" i="23"/>
  <c r="F11" i="22"/>
  <c r="F4" i="24"/>
  <c r="K730" i="23"/>
  <c r="K723" i="23"/>
  <c r="H77" i="22"/>
  <c r="K662" i="23"/>
  <c r="K661" i="23"/>
  <c r="K654" i="23"/>
  <c r="J648" i="23"/>
  <c r="K646" i="23"/>
  <c r="G647" i="23"/>
  <c r="J650" i="23"/>
  <c r="H165" i="22"/>
  <c r="G649" i="23"/>
  <c r="G650" i="23"/>
  <c r="D25" i="22"/>
  <c r="D23" i="24"/>
  <c r="R13" i="24"/>
  <c r="D118" i="26"/>
  <c r="K615" i="23"/>
  <c r="G69" i="22"/>
  <c r="B83" i="22"/>
  <c r="D26" i="26"/>
  <c r="D45" i="22"/>
  <c r="K128" i="23"/>
  <c r="F69" i="22"/>
  <c r="K127" i="23"/>
  <c r="K126" i="23"/>
  <c r="K141" i="23"/>
  <c r="E143" i="23"/>
  <c r="E146" i="23"/>
  <c r="K146" i="23"/>
  <c r="E144" i="23"/>
  <c r="K144" i="23"/>
  <c r="E142" i="23"/>
  <c r="C45" i="22"/>
  <c r="F31" i="22"/>
  <c r="F109" i="22"/>
  <c r="K1945" i="23"/>
  <c r="B45" i="22"/>
  <c r="K193" i="23"/>
  <c r="K354" i="23"/>
  <c r="F153" i="22"/>
  <c r="K138" i="23"/>
  <c r="B135" i="22"/>
  <c r="K2947" i="23"/>
  <c r="K1195" i="23"/>
  <c r="K371" i="23"/>
  <c r="G135" i="22"/>
  <c r="K2192" i="23"/>
  <c r="D145" i="22"/>
  <c r="K432" i="23"/>
  <c r="K1717" i="23"/>
  <c r="K791" i="23"/>
  <c r="C29" i="22"/>
  <c r="B129" i="22"/>
  <c r="I1734" i="23"/>
  <c r="K1732" i="23"/>
  <c r="H115" i="22"/>
  <c r="G67" i="22"/>
  <c r="K808" i="23"/>
  <c r="K629" i="23"/>
  <c r="G137" i="22"/>
  <c r="C85" i="22"/>
  <c r="K979" i="23"/>
  <c r="E131" i="22"/>
  <c r="G2849" i="23"/>
  <c r="B169" i="22"/>
  <c r="K1802" i="23"/>
  <c r="K137" i="23"/>
  <c r="K2147" i="23"/>
  <c r="K418" i="23"/>
  <c r="B31" i="22"/>
  <c r="K191" i="23"/>
  <c r="K2212" i="23"/>
  <c r="K1577" i="23"/>
  <c r="K10" i="23"/>
  <c r="K1532" i="23"/>
  <c r="K2832" i="23"/>
  <c r="K2273" i="23"/>
  <c r="K491" i="23"/>
  <c r="B149" i="22"/>
  <c r="K1626" i="23"/>
  <c r="C31" i="22"/>
  <c r="K2117" i="23"/>
  <c r="K641" i="23"/>
  <c r="K2042" i="23"/>
  <c r="K1131" i="23"/>
  <c r="K435" i="23"/>
  <c r="K971" i="23"/>
  <c r="I135" i="22"/>
  <c r="K88" i="23"/>
  <c r="K447" i="23"/>
  <c r="K2796" i="23"/>
  <c r="K574" i="23"/>
  <c r="K333" i="23"/>
  <c r="K2368" i="23"/>
  <c r="K55" i="23"/>
  <c r="K240" i="23"/>
  <c r="K1146" i="23"/>
  <c r="K2939" i="23"/>
  <c r="K2240" i="23"/>
  <c r="F83" i="22"/>
  <c r="D234" i="26"/>
  <c r="K1509" i="23"/>
  <c r="K2268" i="23"/>
  <c r="K1031" i="23"/>
  <c r="K1774" i="23"/>
  <c r="H83" i="22"/>
  <c r="D338" i="26"/>
  <c r="H43" i="22"/>
  <c r="K483" i="23"/>
  <c r="D131" i="22"/>
  <c r="K1345" i="23"/>
  <c r="K978" i="23"/>
  <c r="K1500" i="23"/>
  <c r="K2998" i="23"/>
  <c r="K1566" i="23"/>
  <c r="K1853" i="23"/>
  <c r="K3133" i="23"/>
  <c r="K633" i="23"/>
  <c r="D17" i="22"/>
  <c r="D18" i="24"/>
  <c r="D12" i="24"/>
  <c r="K1376" i="23"/>
  <c r="K1516" i="23"/>
  <c r="K3024" i="23"/>
  <c r="K3068" i="23"/>
  <c r="K2731" i="23"/>
  <c r="K1645" i="23"/>
  <c r="K2638" i="23"/>
  <c r="K2471" i="23"/>
  <c r="D169" i="22"/>
  <c r="K1706" i="23"/>
  <c r="K307" i="23"/>
  <c r="K1545" i="23"/>
  <c r="B37" i="22"/>
  <c r="K3034" i="23"/>
  <c r="K1575" i="23"/>
  <c r="K745" i="23"/>
  <c r="K679" i="23"/>
  <c r="K289" i="23"/>
  <c r="B115" i="22"/>
  <c r="K957" i="23"/>
  <c r="D135" i="22"/>
  <c r="K1627" i="23"/>
  <c r="K2198" i="23"/>
  <c r="K2647" i="23"/>
  <c r="K2821" i="23"/>
  <c r="K1767" i="23"/>
  <c r="K2920" i="23"/>
  <c r="K1073" i="23"/>
  <c r="K2073" i="23"/>
  <c r="K2367" i="23"/>
  <c r="K1984" i="23"/>
  <c r="K1374" i="23"/>
  <c r="K1727" i="23"/>
  <c r="K1839" i="23"/>
  <c r="K134" i="23"/>
  <c r="H155" i="22"/>
  <c r="K1240" i="23"/>
  <c r="K1252" i="23"/>
  <c r="E45" i="22"/>
  <c r="K64" i="23"/>
  <c r="K1480" i="23"/>
  <c r="K561" i="23"/>
  <c r="H123" i="22"/>
  <c r="K2946" i="23"/>
  <c r="K2227" i="23"/>
  <c r="K3079" i="23"/>
  <c r="D27" i="22"/>
  <c r="K1926" i="23"/>
  <c r="K470" i="23"/>
  <c r="K889" i="23"/>
  <c r="K2269" i="23"/>
  <c r="K687" i="23"/>
  <c r="K1410" i="23"/>
  <c r="K518" i="23"/>
  <c r="K1867" i="23"/>
  <c r="K2011" i="23"/>
  <c r="K2551" i="23"/>
  <c r="C33" i="22"/>
  <c r="K1154" i="23"/>
  <c r="K1361" i="23"/>
  <c r="K3026" i="23"/>
  <c r="K63" i="23"/>
  <c r="K1188" i="23"/>
  <c r="K1254" i="23"/>
  <c r="K2451" i="23"/>
  <c r="H27" i="22"/>
  <c r="K2316" i="23"/>
  <c r="K1404" i="23"/>
  <c r="K695" i="23"/>
  <c r="K2723" i="23"/>
  <c r="K921" i="23"/>
  <c r="K1270" i="23"/>
  <c r="K114" i="23"/>
  <c r="K98" i="23"/>
  <c r="K736" i="23"/>
  <c r="K1016" i="23"/>
  <c r="K2035" i="23"/>
  <c r="K2112" i="23"/>
  <c r="B143" i="22"/>
  <c r="K455" i="23"/>
  <c r="K2886" i="23"/>
  <c r="K1032" i="23"/>
  <c r="K1911" i="23"/>
  <c r="K1245" i="23"/>
  <c r="K1560" i="23"/>
  <c r="K887" i="23"/>
  <c r="G19" i="22"/>
  <c r="G8" i="24"/>
  <c r="K427" i="23"/>
  <c r="E5" i="22"/>
  <c r="K1009" i="23"/>
  <c r="K1494" i="23"/>
  <c r="K1592" i="23"/>
  <c r="K32" i="23"/>
  <c r="K1544" i="23"/>
  <c r="K130" i="23"/>
  <c r="K1635" i="23"/>
  <c r="K981" i="23"/>
  <c r="K1514" i="23"/>
  <c r="K2872" i="23"/>
  <c r="K2976" i="23"/>
  <c r="K321" i="23"/>
  <c r="K226" i="23"/>
  <c r="K2926" i="23"/>
  <c r="K1776" i="23"/>
  <c r="K168" i="23"/>
  <c r="K1877" i="23"/>
  <c r="K2345" i="23"/>
  <c r="K1882" i="23"/>
  <c r="K1246" i="23"/>
  <c r="K3170" i="23"/>
  <c r="K2297" i="23"/>
  <c r="K2778" i="23"/>
  <c r="K1604" i="23"/>
  <c r="K420" i="23"/>
  <c r="K568" i="23"/>
  <c r="B141" i="22"/>
  <c r="K2780" i="23"/>
  <c r="K2338" i="23"/>
  <c r="K2074" i="23"/>
  <c r="B71" i="22"/>
  <c r="K476" i="23"/>
  <c r="H109" i="22"/>
  <c r="K500" i="23"/>
  <c r="K987" i="23"/>
  <c r="K184" i="23"/>
  <c r="K267" i="23"/>
  <c r="K363" i="23"/>
  <c r="K2967" i="23"/>
  <c r="K2515" i="23"/>
  <c r="K1105" i="23"/>
  <c r="K540" i="23"/>
  <c r="K2332" i="23"/>
  <c r="K1938" i="23"/>
  <c r="B15" i="22"/>
  <c r="B15" i="24"/>
  <c r="F133" i="22"/>
  <c r="K2239" i="23"/>
  <c r="K7" i="23"/>
  <c r="I107" i="22"/>
  <c r="K986" i="23"/>
  <c r="C89" i="22"/>
  <c r="C24" i="24"/>
  <c r="K1159" i="23"/>
  <c r="K2899" i="23"/>
  <c r="K738" i="23"/>
  <c r="K2760" i="23"/>
  <c r="K3054" i="23"/>
  <c r="K2050" i="23"/>
  <c r="C155" i="22"/>
  <c r="H45" i="22"/>
  <c r="K3196" i="23"/>
  <c r="K2696" i="23"/>
  <c r="K3051" i="23"/>
  <c r="K2646" i="23"/>
  <c r="K256" i="23"/>
  <c r="K2324" i="23"/>
  <c r="K1088" i="23"/>
  <c r="D53" i="22"/>
  <c r="K3063" i="23"/>
  <c r="K1652" i="23"/>
  <c r="K3058" i="23"/>
  <c r="K790" i="23"/>
  <c r="K1351" i="23"/>
  <c r="K2246" i="23"/>
  <c r="K443" i="23"/>
  <c r="K484" i="23"/>
  <c r="K1115" i="23"/>
  <c r="K2566" i="23"/>
  <c r="K3153" i="23"/>
  <c r="K2806" i="23"/>
  <c r="E171" i="22"/>
  <c r="K2626" i="23"/>
  <c r="G83" i="22"/>
  <c r="D286" i="26"/>
  <c r="K2044" i="23"/>
  <c r="K2476" i="23"/>
  <c r="K753" i="23"/>
  <c r="F77" i="22"/>
  <c r="K200" i="23"/>
  <c r="K2486" i="23"/>
  <c r="K3095" i="23"/>
  <c r="K3151" i="23"/>
  <c r="G5" i="22"/>
  <c r="G22" i="24"/>
  <c r="K1137" i="23"/>
  <c r="K2436" i="23"/>
  <c r="K3124" i="23"/>
  <c r="K2575" i="23"/>
  <c r="K320" i="23"/>
  <c r="G89" i="22"/>
  <c r="G24" i="24"/>
  <c r="K3040" i="23"/>
  <c r="K2226" i="23"/>
  <c r="K1366" i="23"/>
  <c r="K1025" i="23"/>
  <c r="F169" i="22"/>
  <c r="G73" i="22"/>
  <c r="K1024" i="23"/>
  <c r="D9" i="22"/>
  <c r="D13" i="24"/>
  <c r="E9" i="22"/>
  <c r="E13" i="24"/>
  <c r="K1017" i="23"/>
  <c r="K1010" i="23"/>
  <c r="K1831" i="23"/>
  <c r="K2166" i="23"/>
  <c r="D73" i="22"/>
  <c r="H41" i="22"/>
  <c r="K1015" i="23"/>
  <c r="K2280" i="23"/>
  <c r="D33" i="22"/>
  <c r="C171" i="22"/>
  <c r="K216" i="23"/>
  <c r="K3162" i="23"/>
  <c r="K1633" i="23"/>
  <c r="K2176" i="23"/>
  <c r="K1471" i="23"/>
  <c r="K120" i="23"/>
  <c r="H171" i="22"/>
  <c r="D1000" i="23"/>
  <c r="K1000" i="23"/>
  <c r="K2446" i="23"/>
  <c r="K186" i="23"/>
  <c r="K2290" i="23"/>
  <c r="E51" i="22"/>
  <c r="K2309" i="23"/>
  <c r="E109" i="22"/>
  <c r="F19" i="22"/>
  <c r="F8" i="24"/>
  <c r="F14" i="24"/>
  <c r="G169" i="22"/>
  <c r="K1151" i="23"/>
  <c r="K2416" i="23"/>
  <c r="K2744" i="23"/>
  <c r="K3306" i="23"/>
  <c r="K1558" i="23"/>
  <c r="K1807" i="23"/>
  <c r="K1968" i="23"/>
  <c r="K539" i="23"/>
  <c r="K1144" i="23"/>
  <c r="K3067" i="23"/>
  <c r="K1783" i="23"/>
  <c r="K607" i="23"/>
  <c r="K1202" i="23"/>
  <c r="K535" i="23"/>
  <c r="K1276" i="23"/>
  <c r="K1855" i="23"/>
  <c r="K2086" i="23"/>
  <c r="D65" i="22"/>
  <c r="K3213" i="23"/>
  <c r="K3004" i="23"/>
  <c r="K2688" i="23"/>
  <c r="K3103" i="23"/>
  <c r="K1521" i="23"/>
  <c r="K2648" i="23"/>
  <c r="K1182" i="23"/>
  <c r="K249" i="23"/>
  <c r="I143" i="22"/>
  <c r="K469" i="23"/>
  <c r="E55" i="22"/>
  <c r="K391" i="23"/>
  <c r="K3139" i="23"/>
  <c r="K56" i="23"/>
  <c r="K2233" i="23"/>
  <c r="G31" i="22"/>
  <c r="K2154" i="23"/>
  <c r="K2296" i="23"/>
  <c r="F139" i="22"/>
  <c r="K902" i="23"/>
  <c r="I133" i="22"/>
  <c r="F113" i="22"/>
  <c r="H133" i="22"/>
  <c r="K41" i="23"/>
  <c r="K1750" i="23"/>
  <c r="C49" i="22"/>
  <c r="E39" i="22"/>
  <c r="K916" i="23"/>
  <c r="K1775" i="23"/>
  <c r="K1920" i="23"/>
  <c r="K774" i="23"/>
  <c r="K1613" i="23"/>
  <c r="K3099" i="23"/>
  <c r="K349" i="23"/>
  <c r="K664" i="23"/>
  <c r="K1940" i="23"/>
  <c r="K386" i="23"/>
  <c r="D35" i="22"/>
  <c r="K3148" i="23"/>
  <c r="K964" i="23"/>
  <c r="K2789" i="23"/>
  <c r="K1513" i="23"/>
  <c r="K1298" i="23"/>
  <c r="E49" i="22"/>
  <c r="K1086" i="23"/>
  <c r="D41" i="22"/>
  <c r="K1969" i="23"/>
  <c r="K3081" i="23"/>
  <c r="F89" i="22"/>
  <c r="F24" i="24"/>
  <c r="E129" i="22"/>
  <c r="K2659" i="23"/>
  <c r="K814" i="23"/>
  <c r="K2260" i="23"/>
  <c r="E65" i="22"/>
  <c r="K648" i="23"/>
  <c r="K1537" i="23"/>
  <c r="K1808" i="23"/>
  <c r="K1605" i="23"/>
  <c r="K2715" i="23"/>
  <c r="K248" i="23"/>
  <c r="E13" i="22"/>
  <c r="E6" i="24"/>
  <c r="K2833" i="23"/>
  <c r="K1952" i="23"/>
  <c r="K2375" i="23"/>
  <c r="K2839" i="23"/>
  <c r="K1924" i="23"/>
  <c r="F85" i="22"/>
  <c r="K776" i="23"/>
  <c r="K1834" i="23"/>
  <c r="K1953" i="23"/>
  <c r="K1962" i="23"/>
  <c r="K2197" i="23"/>
  <c r="B5" i="22"/>
  <c r="B22" i="24"/>
  <c r="K312" i="23"/>
  <c r="K393" i="23"/>
  <c r="K1335" i="23"/>
  <c r="K1840" i="23"/>
  <c r="K1066" i="23"/>
  <c r="K2618" i="23"/>
  <c r="K3071" i="23"/>
  <c r="K839" i="23"/>
  <c r="K1263" i="23"/>
  <c r="K1320" i="23"/>
  <c r="K1781" i="23"/>
  <c r="K2052" i="23"/>
  <c r="K2068" i="23"/>
  <c r="E115" i="22"/>
  <c r="K775" i="23"/>
  <c r="K298" i="23"/>
  <c r="K2127" i="23"/>
  <c r="K2933" i="23"/>
  <c r="K2059" i="23"/>
  <c r="K2089" i="23"/>
  <c r="E101" i="22"/>
  <c r="K1051" i="23"/>
  <c r="K2884" i="23"/>
  <c r="B53" i="22"/>
  <c r="F35" i="22"/>
  <c r="K824" i="23"/>
  <c r="K1344" i="23"/>
  <c r="K2710" i="23"/>
  <c r="K2708" i="23"/>
  <c r="K592" i="23"/>
  <c r="K834" i="23"/>
  <c r="K1112" i="23"/>
  <c r="K1611" i="23"/>
  <c r="K2511" i="23"/>
  <c r="K2597" i="23"/>
  <c r="K2165" i="23"/>
  <c r="K154" i="23"/>
  <c r="E145" i="22"/>
  <c r="B113" i="22"/>
  <c r="K203" i="23"/>
  <c r="K960" i="23"/>
  <c r="B117" i="22"/>
  <c r="K777" i="23"/>
  <c r="K2645" i="23"/>
  <c r="K150" i="23"/>
  <c r="K129" i="23"/>
  <c r="K486" i="23"/>
  <c r="K1350" i="23"/>
  <c r="K2232" i="23"/>
  <c r="K3259" i="23"/>
  <c r="K3248" i="23"/>
  <c r="K3223" i="23"/>
  <c r="K3194" i="23"/>
  <c r="K3187" i="23"/>
  <c r="K2592" i="23"/>
  <c r="K826" i="23"/>
  <c r="K849" i="23"/>
  <c r="K392" i="23"/>
  <c r="K1501" i="23"/>
  <c r="K3225" i="23"/>
  <c r="K1757" i="23"/>
  <c r="K2683" i="23"/>
  <c r="K677" i="23"/>
  <c r="K880" i="23"/>
  <c r="K525" i="23"/>
  <c r="K577" i="23"/>
  <c r="K1573" i="23"/>
  <c r="K1903" i="23"/>
  <c r="K1947" i="23"/>
  <c r="K3333" i="23"/>
  <c r="K3322" i="23"/>
  <c r="K3275" i="23"/>
  <c r="C109" i="22"/>
  <c r="K1492" i="23"/>
  <c r="K2157" i="23"/>
  <c r="F55" i="22"/>
  <c r="K1230" i="23"/>
  <c r="K1260" i="23"/>
  <c r="H3355" i="23"/>
  <c r="K3355" i="23"/>
  <c r="H3350" i="23"/>
  <c r="K3350" i="23"/>
  <c r="H3346" i="23"/>
  <c r="K3346" i="23"/>
  <c r="H3341" i="23"/>
  <c r="K3341" i="23"/>
  <c r="H3337" i="23"/>
  <c r="K3337" i="23"/>
  <c r="H3314" i="23"/>
  <c r="K3314" i="23"/>
  <c r="H3303" i="23"/>
  <c r="K3303" i="23"/>
  <c r="H3294" i="23"/>
  <c r="K3294" i="23"/>
  <c r="H3285" i="23"/>
  <c r="K3285" i="23"/>
  <c r="H3274" i="23"/>
  <c r="K3274" i="23"/>
  <c r="H3269" i="23"/>
  <c r="K3269" i="23"/>
  <c r="H3258" i="23"/>
  <c r="K3258" i="23"/>
  <c r="H3216" i="23"/>
  <c r="K3216" i="23"/>
  <c r="H3198" i="23"/>
  <c r="K3198" i="23"/>
  <c r="H3188" i="23"/>
  <c r="K3188" i="23"/>
  <c r="F159" i="22"/>
  <c r="G2917" i="23"/>
  <c r="K2917" i="23"/>
  <c r="G13" i="22"/>
  <c r="G6" i="24"/>
  <c r="I28" i="24"/>
  <c r="J28" i="24"/>
  <c r="K355" i="23"/>
  <c r="F39" i="22"/>
  <c r="K1313" i="23"/>
  <c r="K2593" i="23"/>
  <c r="K215" i="23"/>
  <c r="K1401" i="23"/>
  <c r="I21" i="22"/>
  <c r="F21" i="22"/>
  <c r="F9" i="24"/>
  <c r="K1912" i="23"/>
  <c r="G39" i="22"/>
  <c r="K1540" i="23"/>
  <c r="K1866" i="23"/>
  <c r="I47" i="4"/>
  <c r="K47" i="4"/>
  <c r="O103" i="4"/>
  <c r="I7" i="4"/>
  <c r="K7" i="4"/>
  <c r="I33" i="4"/>
  <c r="K33" i="4"/>
  <c r="H31" i="22"/>
  <c r="K1749" i="23"/>
  <c r="K1239" i="23"/>
  <c r="K2838" i="23"/>
  <c r="K2500" i="23"/>
  <c r="K1507" i="23"/>
  <c r="E91" i="22"/>
  <c r="K31" i="23"/>
  <c r="K171" i="23"/>
  <c r="K823" i="23"/>
  <c r="K1960" i="23"/>
  <c r="K1671" i="23"/>
  <c r="K1546" i="23"/>
  <c r="K1798" i="23"/>
  <c r="K2276" i="23"/>
  <c r="K2797" i="23"/>
  <c r="K1868" i="23"/>
  <c r="H149" i="22"/>
  <c r="K3249" i="23"/>
  <c r="K929" i="23"/>
  <c r="G109" i="22"/>
  <c r="K1784" i="23"/>
  <c r="K3089" i="23"/>
  <c r="K1551" i="23"/>
  <c r="K82" i="23"/>
  <c r="K3121" i="23"/>
  <c r="K358" i="23"/>
  <c r="K3202" i="23"/>
  <c r="K1689" i="23"/>
  <c r="F91" i="22"/>
  <c r="K1529" i="23"/>
  <c r="K2995" i="23"/>
  <c r="G157" i="22"/>
  <c r="K634" i="23"/>
  <c r="H103" i="22"/>
  <c r="K234" i="23"/>
  <c r="K1567" i="23"/>
  <c r="K365" i="23"/>
  <c r="H15" i="22"/>
  <c r="H15" i="24"/>
  <c r="H10" i="24"/>
  <c r="K619" i="23"/>
  <c r="K2456" i="23"/>
  <c r="H157" i="22"/>
  <c r="L46" i="36"/>
  <c r="K832" i="23"/>
  <c r="K1522" i="23"/>
  <c r="K3221" i="23"/>
  <c r="K1158" i="23"/>
  <c r="D19" i="22"/>
  <c r="D8" i="24"/>
  <c r="K1695" i="23"/>
  <c r="K274" i="23"/>
  <c r="K1641" i="23"/>
  <c r="K676" i="23"/>
  <c r="K2288" i="23"/>
  <c r="K627" i="23"/>
  <c r="K2770" i="23"/>
  <c r="E143" i="22"/>
  <c r="K3166" i="23"/>
  <c r="K752" i="23"/>
  <c r="K161" i="23"/>
  <c r="K1306" i="23"/>
  <c r="K441" i="23"/>
  <c r="K2811" i="23"/>
  <c r="K1284" i="23"/>
  <c r="C23" i="22"/>
  <c r="D31" i="22"/>
  <c r="K3286" i="23"/>
  <c r="K2822" i="23"/>
  <c r="K742" i="23"/>
  <c r="K2573" i="23"/>
  <c r="K2060" i="23"/>
  <c r="K2676" i="23"/>
  <c r="K2465" i="23"/>
  <c r="K1030" i="23"/>
  <c r="K2905" i="23"/>
  <c r="K110" i="23"/>
  <c r="E113" i="22"/>
  <c r="B77" i="22"/>
  <c r="K73" i="23"/>
  <c r="K272" i="23"/>
  <c r="K817" i="23"/>
  <c r="D23" i="22"/>
  <c r="K2758" i="23"/>
  <c r="B41" i="22"/>
  <c r="K1614" i="23"/>
  <c r="K2196" i="23"/>
  <c r="K656" i="23"/>
  <c r="K626" i="23"/>
  <c r="K122" i="23"/>
  <c r="K2535" i="23"/>
  <c r="K2546" i="23"/>
  <c r="K2521" i="23"/>
  <c r="K2984" i="23"/>
  <c r="K3250" i="23"/>
  <c r="H139" i="22"/>
  <c r="K702" i="23"/>
  <c r="K167" i="23"/>
  <c r="K313" i="23"/>
  <c r="K2380" i="23"/>
  <c r="K3313" i="23"/>
  <c r="K1074" i="23"/>
  <c r="K2738" i="23"/>
  <c r="K2205" i="23"/>
  <c r="K3240" i="23"/>
  <c r="C67" i="22"/>
  <c r="C115" i="22"/>
  <c r="K247" i="23"/>
  <c r="K3185" i="23"/>
  <c r="K930" i="23"/>
  <c r="K716" i="23"/>
  <c r="G113" i="22"/>
  <c r="C129" i="22"/>
  <c r="K3241" i="23"/>
  <c r="K1586" i="23"/>
  <c r="D125" i="22"/>
  <c r="K506" i="23"/>
  <c r="K2383" i="23"/>
  <c r="K1584" i="23"/>
  <c r="K280" i="23"/>
  <c r="K696" i="23"/>
  <c r="K1322" i="23"/>
  <c r="K1712" i="23"/>
  <c r="K3311" i="23"/>
  <c r="K2173" i="23"/>
  <c r="K1618" i="23"/>
  <c r="K1367" i="23"/>
  <c r="K1711" i="23"/>
  <c r="K2331" i="23"/>
  <c r="K1451" i="23"/>
  <c r="K1870" i="23"/>
  <c r="K1096" i="23"/>
  <c r="K2855" i="23"/>
  <c r="K2530" i="23"/>
  <c r="C149" i="22"/>
  <c r="K1053" i="23"/>
  <c r="G145" i="22"/>
  <c r="K1833" i="23"/>
  <c r="K1124" i="23"/>
  <c r="K1506" i="23"/>
  <c r="G1983" i="23"/>
  <c r="K1983" i="23"/>
  <c r="K1946" i="23"/>
  <c r="K1859" i="23"/>
  <c r="K2018" i="23"/>
  <c r="K2119" i="23"/>
  <c r="K1657" i="23"/>
  <c r="K369" i="23"/>
  <c r="K1821" i="23"/>
  <c r="B109" i="22"/>
  <c r="D39" i="22"/>
  <c r="K1175" i="23"/>
  <c r="K1247" i="23"/>
  <c r="K3315" i="23"/>
  <c r="E167" i="22"/>
  <c r="K1380" i="23"/>
  <c r="K3220" i="23"/>
  <c r="K799" i="23"/>
  <c r="K1095" i="23"/>
  <c r="H137" i="22"/>
  <c r="K1917" i="23"/>
  <c r="K2724" i="23"/>
  <c r="F149" i="22"/>
  <c r="D151" i="25"/>
  <c r="K1847" i="23"/>
  <c r="K2911" i="23"/>
  <c r="K858" i="23"/>
  <c r="K2662" i="23"/>
  <c r="E7" i="22"/>
  <c r="E11" i="24"/>
  <c r="H23" i="22"/>
  <c r="H17" i="24"/>
  <c r="F87" i="22"/>
  <c r="K1697" i="23"/>
  <c r="C137" i="22"/>
  <c r="K1636" i="23"/>
  <c r="K1533" i="23"/>
  <c r="K1278" i="23"/>
  <c r="K959" i="23"/>
  <c r="K243" i="23"/>
  <c r="K2322" i="23"/>
  <c r="K2561" i="23"/>
  <c r="K744" i="23"/>
  <c r="K3270" i="23"/>
  <c r="K434" i="23"/>
  <c r="K2041" i="23"/>
  <c r="K2619" i="23"/>
  <c r="K1232" i="23"/>
  <c r="K1486" i="23"/>
  <c r="K871" i="23"/>
  <c r="H39" i="22"/>
  <c r="F13" i="22"/>
  <c r="F6" i="24"/>
  <c r="K1189" i="23"/>
  <c r="K2034" i="23"/>
  <c r="K3113" i="23"/>
  <c r="K1145" i="23"/>
  <c r="K1590" i="23"/>
  <c r="K2681" i="23"/>
  <c r="K398" i="23"/>
  <c r="K433" i="23"/>
  <c r="G123" i="22"/>
  <c r="K1598" i="23"/>
  <c r="K3347" i="23"/>
  <c r="K3266" i="23"/>
  <c r="K1898" i="23"/>
  <c r="K1848" i="23"/>
  <c r="K1432" i="23"/>
  <c r="H75" i="22"/>
  <c r="K872" i="23"/>
  <c r="K465" i="23"/>
  <c r="C51" i="22"/>
  <c r="K1989" i="23"/>
  <c r="D67" i="22"/>
  <c r="K1394" i="23"/>
  <c r="K1809" i="23"/>
  <c r="K3049" i="23"/>
  <c r="K1860" i="23"/>
  <c r="K1064" i="23"/>
  <c r="K2410" i="23"/>
  <c r="D113" i="22"/>
  <c r="K1976" i="23"/>
  <c r="K1460" i="23"/>
  <c r="K3076" i="23"/>
  <c r="K390" i="23"/>
  <c r="K3062" i="23"/>
  <c r="D157" i="22"/>
  <c r="G155" i="22"/>
  <c r="D141" i="22"/>
  <c r="K2405" i="23"/>
  <c r="K2026" i="23"/>
  <c r="K2506" i="23"/>
  <c r="K882" i="23"/>
  <c r="K2206" i="23"/>
  <c r="K1132" i="23"/>
  <c r="K334" i="23"/>
  <c r="K372" i="23"/>
  <c r="K257" i="23"/>
  <c r="G165" i="22"/>
  <c r="D51" i="22"/>
  <c r="D81" i="26"/>
  <c r="K218" i="23"/>
  <c r="B51" i="22"/>
  <c r="B13" i="22"/>
  <c r="B6" i="24"/>
  <c r="K2105" i="23"/>
  <c r="K1337" i="23"/>
  <c r="K233" i="23"/>
  <c r="K3203" i="23"/>
  <c r="H101" i="22"/>
  <c r="K3108" i="23"/>
  <c r="H53" i="22"/>
  <c r="G43" i="22"/>
  <c r="G442" i="23"/>
  <c r="K439" i="23"/>
  <c r="E157" i="22"/>
  <c r="K928" i="23"/>
  <c r="K3278" i="23"/>
  <c r="K2819" i="23"/>
  <c r="D101" i="22"/>
  <c r="K1453" i="23"/>
  <c r="K1223" i="23"/>
  <c r="H69" i="22"/>
  <c r="K781" i="23"/>
  <c r="K78" i="23"/>
  <c r="D49" i="22"/>
  <c r="E29" i="22"/>
  <c r="G141" i="22"/>
  <c r="K773" i="23"/>
  <c r="K291" i="23"/>
  <c r="G133" i="22"/>
  <c r="K1099" i="23"/>
  <c r="K2584" i="23"/>
  <c r="K1799" i="23"/>
  <c r="K1801" i="23"/>
  <c r="K3132" i="23"/>
  <c r="H141" i="22"/>
  <c r="K3295" i="23"/>
  <c r="B159" i="22"/>
  <c r="K405" i="23"/>
  <c r="K1525" i="23"/>
  <c r="K3297" i="23"/>
  <c r="K855" i="23"/>
  <c r="E141" i="22"/>
  <c r="D43" i="22"/>
  <c r="C75" i="22"/>
  <c r="F75" i="22"/>
  <c r="H87" i="22"/>
  <c r="K318" i="23"/>
  <c r="E163" i="22"/>
  <c r="K759" i="23"/>
  <c r="K1196" i="23"/>
  <c r="G49" i="22"/>
  <c r="K1797" i="23"/>
  <c r="K2989" i="23"/>
  <c r="K1954" i="23"/>
  <c r="K3342" i="23"/>
  <c r="F53" i="22"/>
  <c r="K1539" i="23"/>
  <c r="F137" i="22"/>
  <c r="K319" i="23"/>
  <c r="K757" i="23"/>
  <c r="K1044" i="23"/>
  <c r="K670" i="23"/>
  <c r="K724" i="23"/>
  <c r="C141" i="22"/>
  <c r="G87" i="22"/>
  <c r="K19" i="23"/>
  <c r="K479" i="23"/>
  <c r="K1328" i="23"/>
  <c r="K370" i="23"/>
  <c r="K113" i="23"/>
  <c r="B69" i="22"/>
  <c r="H3126" i="23"/>
  <c r="K3126" i="23"/>
  <c r="H3177" i="23"/>
  <c r="K3177" i="23"/>
  <c r="H3215" i="23"/>
  <c r="K3215" i="23"/>
  <c r="H3197" i="23"/>
  <c r="K3197" i="23"/>
  <c r="H3229" i="23"/>
  <c r="K3229" i="23"/>
  <c r="H3233" i="23"/>
  <c r="K3233" i="23"/>
  <c r="H3239" i="23"/>
  <c r="K3239" i="23"/>
  <c r="H3243" i="23"/>
  <c r="K3243" i="23"/>
  <c r="H3247" i="23"/>
  <c r="K3247" i="23"/>
  <c r="H3251" i="23"/>
  <c r="K3251" i="23"/>
  <c r="H3256" i="23"/>
  <c r="K3256" i="23"/>
  <c r="H3260" i="23"/>
  <c r="K3260" i="23"/>
  <c r="H3178" i="23"/>
  <c r="K3178" i="23"/>
  <c r="K3105" i="23"/>
  <c r="K2153" i="23"/>
  <c r="K39" i="23"/>
  <c r="K201" i="23"/>
  <c r="K1098" i="23"/>
  <c r="K2175" i="23"/>
  <c r="K1790" i="23"/>
  <c r="K980" i="23"/>
  <c r="K397" i="23"/>
  <c r="K1382" i="23"/>
  <c r="H143" i="22"/>
  <c r="K1357" i="23"/>
  <c r="H33" i="22"/>
  <c r="K1913" i="23"/>
  <c r="K2772" i="23"/>
  <c r="K1207" i="23"/>
  <c r="K1816" i="23"/>
  <c r="K2177" i="23"/>
  <c r="K2185" i="23"/>
  <c r="H91" i="22"/>
  <c r="K2813" i="23"/>
  <c r="F3014" i="23"/>
  <c r="G3014" i="23"/>
  <c r="G147" i="22"/>
  <c r="K176" i="23"/>
  <c r="I147" i="22"/>
  <c r="K3135" i="23"/>
  <c r="K1674" i="23"/>
  <c r="K224" i="23"/>
  <c r="K1904" i="23"/>
  <c r="K3360" i="23"/>
  <c r="K3324" i="23"/>
  <c r="K3169" i="23"/>
  <c r="K3205" i="23"/>
  <c r="K2067" i="23"/>
  <c r="B105" i="22"/>
  <c r="F15" i="22"/>
  <c r="F15" i="24"/>
  <c r="K3045" i="23"/>
  <c r="E41" i="22"/>
  <c r="G85" i="22"/>
  <c r="K2019" i="23"/>
  <c r="K2590" i="23"/>
  <c r="K1307" i="23"/>
  <c r="K2303" i="23"/>
  <c r="K49" i="23"/>
  <c r="K1450" i="23"/>
  <c r="I121" i="22"/>
  <c r="B121" i="22"/>
  <c r="K1087" i="23"/>
  <c r="K2996" i="23"/>
  <c r="K1409" i="23"/>
  <c r="E31" i="22"/>
  <c r="K177" i="23"/>
  <c r="K1999" i="23"/>
  <c r="K2043" i="23"/>
  <c r="K917" i="23"/>
  <c r="K2906" i="23"/>
  <c r="D117" i="22"/>
  <c r="K1411" i="23"/>
  <c r="K1665" i="23"/>
  <c r="K3087" i="23"/>
  <c r="F127" i="22"/>
  <c r="K178" i="23"/>
  <c r="K1688" i="23"/>
  <c r="K1691" i="23"/>
  <c r="K342" i="23"/>
  <c r="K1343" i="23"/>
  <c r="K411" i="23"/>
  <c r="K1193" i="23"/>
  <c r="K1186" i="23"/>
  <c r="K1187" i="23"/>
  <c r="K1172" i="23"/>
  <c r="K1845" i="23"/>
  <c r="K2347" i="23"/>
  <c r="E105" i="22"/>
  <c r="D101" i="25"/>
  <c r="K2390" i="23"/>
  <c r="K1705" i="23"/>
  <c r="K1147" i="23"/>
  <c r="K1173" i="23"/>
  <c r="K1793" i="23"/>
  <c r="K1330" i="23"/>
  <c r="G139" i="22"/>
  <c r="K2674" i="23"/>
  <c r="K400" i="23"/>
  <c r="K1672" i="23"/>
  <c r="K1752" i="23"/>
  <c r="E89" i="22"/>
  <c r="E24" i="24"/>
  <c r="D119" i="26"/>
  <c r="K3214" i="23"/>
  <c r="K1934" i="23"/>
  <c r="K1057" i="23"/>
  <c r="K3130" i="23"/>
  <c r="G33" i="22"/>
  <c r="K1388" i="23"/>
  <c r="K1181" i="23"/>
  <c r="K1194" i="23"/>
  <c r="K685" i="23"/>
  <c r="K1369" i="23"/>
  <c r="K1800" i="23"/>
  <c r="K1619" i="23"/>
  <c r="K2156" i="23"/>
  <c r="K3340" i="23"/>
  <c r="K3351" i="23"/>
  <c r="K3277" i="23"/>
  <c r="B87" i="22"/>
  <c r="K1359" i="23"/>
  <c r="K1424" i="23"/>
  <c r="K2174" i="23"/>
  <c r="H163" i="22"/>
  <c r="I457" i="23"/>
  <c r="K454" i="23"/>
  <c r="K3184" i="23"/>
  <c r="K1773" i="23"/>
  <c r="K235" i="23"/>
  <c r="K86" i="23"/>
  <c r="K153" i="23"/>
  <c r="K1576" i="23"/>
  <c r="G51" i="22"/>
  <c r="K1290" i="23"/>
  <c r="K2400" i="23"/>
  <c r="K2133" i="23"/>
  <c r="E33" i="22"/>
  <c r="K1585" i="23"/>
  <c r="K1788" i="23"/>
  <c r="H19" i="22"/>
  <c r="H8" i="24"/>
  <c r="Z6" i="24"/>
  <c r="D323" i="26"/>
  <c r="K1568" i="23"/>
  <c r="K135" i="23"/>
  <c r="K404" i="23"/>
  <c r="E17" i="22"/>
  <c r="G7" i="22"/>
  <c r="G11" i="24"/>
  <c r="K160" i="23"/>
  <c r="K2033" i="23"/>
  <c r="K2644" i="23"/>
  <c r="K2730" i="23"/>
  <c r="K1138" i="23"/>
  <c r="K707" i="23"/>
  <c r="I13" i="22"/>
  <c r="K199" i="23"/>
  <c r="K1931" i="23"/>
  <c r="G143" i="22"/>
  <c r="K655" i="23"/>
  <c r="K831" i="23"/>
  <c r="B153" i="22"/>
  <c r="B47" i="22"/>
  <c r="K879" i="23"/>
  <c r="K2636" i="23"/>
  <c r="K3268" i="23"/>
  <c r="K3284" i="23"/>
  <c r="K3179" i="23"/>
  <c r="K1637" i="23"/>
  <c r="K1538" i="23"/>
  <c r="K2155" i="23"/>
  <c r="G65" i="22"/>
  <c r="K1827" i="23"/>
  <c r="K1237" i="23"/>
  <c r="K1607" i="23"/>
  <c r="K3142" i="23"/>
  <c r="H153" i="22"/>
  <c r="L43" i="36"/>
  <c r="K2354" i="23"/>
  <c r="K2637" i="23"/>
  <c r="F45" i="22"/>
  <c r="K3069" i="23"/>
  <c r="K1445" i="23"/>
  <c r="K873" i="23"/>
  <c r="K1724" i="23"/>
  <c r="K159" i="23"/>
  <c r="K179" i="23"/>
  <c r="K2081" i="23"/>
  <c r="K3224" i="23"/>
  <c r="K1457" i="23"/>
  <c r="K1389" i="23"/>
  <c r="G41" i="22"/>
  <c r="C71" i="22"/>
  <c r="K3041" i="23"/>
  <c r="K1282" i="23"/>
  <c r="K527" i="23"/>
  <c r="K560" i="23"/>
  <c r="K1390" i="23"/>
  <c r="D55" i="22"/>
  <c r="K2598" i="23"/>
  <c r="K507" i="23"/>
  <c r="K2253" i="23"/>
  <c r="K1231" i="23"/>
  <c r="H3211" i="23"/>
  <c r="K3211" i="23"/>
  <c r="H3238" i="23"/>
  <c r="K3238" i="23"/>
  <c r="H3234" i="23"/>
  <c r="K3234" i="23"/>
  <c r="H3230" i="23"/>
  <c r="K3230" i="23"/>
  <c r="H3189" i="23"/>
  <c r="K3189" i="23"/>
  <c r="B137" i="22"/>
  <c r="K74" i="23"/>
  <c r="B145" i="22"/>
  <c r="K2974" i="23"/>
  <c r="K72" i="23"/>
  <c r="K170" i="23"/>
  <c r="K1165" i="23"/>
  <c r="K1090" i="23"/>
  <c r="K3090" i="23"/>
  <c r="K576" i="23"/>
  <c r="K2301" i="23"/>
  <c r="K3149" i="23"/>
  <c r="K636" i="23"/>
  <c r="K2426" i="23"/>
  <c r="K1591" i="23"/>
  <c r="K2581" i="23"/>
  <c r="K1072" i="23"/>
  <c r="G1524" i="23"/>
  <c r="K2308" i="23"/>
  <c r="K3252" i="23"/>
  <c r="K2752" i="23"/>
  <c r="K563" i="23"/>
  <c r="K265" i="23"/>
  <c r="I115" i="22"/>
  <c r="E4" i="29"/>
  <c r="F4" i="29"/>
  <c r="G4" i="29"/>
  <c r="G115" i="22"/>
  <c r="E584" i="23"/>
  <c r="K584" i="23"/>
  <c r="I177" i="22"/>
  <c r="K1967" i="23"/>
  <c r="K1606" i="23"/>
  <c r="K3293" i="23"/>
  <c r="K1990" i="23"/>
  <c r="K3186" i="23"/>
  <c r="C173" i="22"/>
  <c r="D173" i="22"/>
  <c r="B173" i="22"/>
  <c r="E155" i="22"/>
  <c r="K2987" i="23"/>
  <c r="K2858" i="23"/>
  <c r="K2374" i="23"/>
  <c r="K2540" i="23"/>
  <c r="K2616" i="23"/>
  <c r="B155" i="22"/>
  <c r="D337" i="26"/>
  <c r="K1583" i="23"/>
  <c r="K87" i="23"/>
  <c r="K547" i="23"/>
  <c r="K589" i="23"/>
  <c r="G91" i="22"/>
  <c r="D194" i="25"/>
  <c r="K1408" i="23"/>
  <c r="K275" i="23"/>
  <c r="C19" i="22"/>
  <c r="C8" i="24"/>
  <c r="K142" i="23"/>
  <c r="I45" i="22"/>
  <c r="K2120" i="23"/>
  <c r="F175" i="22"/>
  <c r="K94" i="23"/>
  <c r="I49" i="22"/>
  <c r="D175" i="22"/>
  <c r="D108" i="25"/>
  <c r="B25" i="22"/>
  <c r="B23" i="24"/>
  <c r="N13" i="24"/>
  <c r="D14" i="26"/>
  <c r="E71" i="22"/>
  <c r="K1314" i="23"/>
  <c r="K1210" i="23"/>
  <c r="H175" i="22"/>
  <c r="G175" i="22"/>
  <c r="K1719" i="23"/>
  <c r="D1733" i="23"/>
  <c r="B175" i="22"/>
  <c r="K1731" i="23"/>
  <c r="E1733" i="23"/>
  <c r="K1733" i="23"/>
  <c r="C175" i="22"/>
  <c r="D24" i="25"/>
  <c r="K1473" i="23"/>
  <c r="K2800" i="23"/>
  <c r="K943" i="23"/>
  <c r="K1683" i="23"/>
  <c r="K1001" i="23"/>
  <c r="K208" i="23"/>
  <c r="K3349" i="23"/>
  <c r="K217" i="23"/>
  <c r="K856" i="23"/>
  <c r="K89" i="23"/>
  <c r="F5" i="22"/>
  <c r="F22" i="24"/>
  <c r="I38" i="24"/>
  <c r="J38" i="24"/>
  <c r="F119" i="22"/>
  <c r="K985" i="23"/>
  <c r="K219" i="23"/>
  <c r="K909" i="23"/>
  <c r="K2072" i="23"/>
  <c r="K1771" i="23"/>
  <c r="K1520" i="23"/>
  <c r="I67" i="22"/>
  <c r="E16" i="29"/>
  <c r="F16" i="29"/>
  <c r="G16" i="29"/>
  <c r="K79" i="23"/>
  <c r="I175" i="22"/>
  <c r="K97" i="23"/>
  <c r="K1200" i="23"/>
  <c r="K965" i="23"/>
  <c r="K590" i="23"/>
  <c r="K1743" i="23"/>
  <c r="K2024" i="23"/>
  <c r="K1841" i="23"/>
  <c r="F167" i="22"/>
  <c r="K521" i="23"/>
  <c r="B133" i="22"/>
  <c r="K1485" i="23"/>
  <c r="K70" i="23"/>
  <c r="K526" i="23"/>
  <c r="K2401" i="23"/>
  <c r="K953" i="23"/>
  <c r="K463" i="23"/>
  <c r="K1852" i="23"/>
  <c r="K1883" i="23"/>
  <c r="K2234" i="23"/>
  <c r="F129" i="22"/>
  <c r="D203" i="26"/>
  <c r="H105" i="22"/>
  <c r="D269" i="25"/>
  <c r="K239" i="23"/>
  <c r="K620" i="23"/>
  <c r="K2762" i="23"/>
  <c r="K935" i="23"/>
  <c r="I19" i="22"/>
  <c r="K211" i="23"/>
  <c r="E103" i="22"/>
  <c r="K1523" i="23"/>
  <c r="K2330" i="23"/>
  <c r="K2759" i="23"/>
  <c r="K15" i="23"/>
  <c r="B3" i="22"/>
  <c r="B20" i="24"/>
  <c r="N11" i="24"/>
  <c r="D3" i="26"/>
  <c r="K2894" i="23"/>
  <c r="K194" i="23"/>
  <c r="D7" i="22"/>
  <c r="D11" i="24"/>
  <c r="R8" i="24"/>
  <c r="D109" i="26"/>
  <c r="K1948" i="23"/>
  <c r="C87" i="22"/>
  <c r="K2315" i="23"/>
  <c r="K1292" i="23"/>
  <c r="K162" i="23"/>
  <c r="B27" i="22"/>
  <c r="D255" i="25"/>
  <c r="K1113" i="23"/>
  <c r="K1430" i="23"/>
  <c r="K71" i="23"/>
  <c r="I109" i="22"/>
  <c r="B139" i="22"/>
  <c r="K2907" i="23"/>
  <c r="C167" i="22"/>
  <c r="K751" i="23"/>
  <c r="K1446" i="23"/>
  <c r="K1988" i="23"/>
  <c r="K1997" i="23"/>
  <c r="K3288" i="23"/>
  <c r="K3006" i="23"/>
  <c r="K264" i="23"/>
  <c r="K314" i="23"/>
  <c r="K3008" i="23"/>
  <c r="K3022" i="23"/>
  <c r="K2814" i="23"/>
  <c r="K2225" i="23"/>
  <c r="K534" i="23"/>
  <c r="K2878" i="23"/>
  <c r="K2017" i="23"/>
  <c r="K2729" i="23"/>
  <c r="D69" i="22"/>
  <c r="K708" i="23"/>
  <c r="K768" i="23"/>
  <c r="K1553" i="23"/>
  <c r="K2745" i="23"/>
  <c r="K1444" i="23"/>
  <c r="K2940" i="23"/>
  <c r="K3167" i="23"/>
  <c r="C69" i="22"/>
  <c r="K2865" i="23"/>
  <c r="K3044" i="23"/>
  <c r="G75" i="22"/>
  <c r="K1925" i="23"/>
  <c r="K121" i="23"/>
  <c r="K2295" i="23"/>
  <c r="F37" i="22"/>
  <c r="D226" i="26"/>
  <c r="K23" i="23"/>
  <c r="B16" i="24"/>
  <c r="H177" i="22"/>
  <c r="G25" i="22"/>
  <c r="G23" i="24"/>
  <c r="X13" i="24"/>
  <c r="D274" i="26"/>
  <c r="K513" i="23"/>
  <c r="K512" i="23"/>
  <c r="B29" i="22"/>
  <c r="D256" i="25"/>
  <c r="E181" i="22"/>
  <c r="G181" i="22"/>
  <c r="B181" i="22"/>
  <c r="D181" i="22"/>
  <c r="D105" i="25"/>
  <c r="C181" i="22"/>
  <c r="D63" i="25"/>
  <c r="F181" i="22"/>
  <c r="K426" i="23"/>
  <c r="G121" i="22"/>
  <c r="G173" i="22"/>
  <c r="D224" i="25"/>
  <c r="D101" i="26"/>
  <c r="H19" i="24"/>
  <c r="E27" i="22"/>
  <c r="D3" i="25"/>
  <c r="B185" i="22"/>
  <c r="D20" i="25"/>
  <c r="K287" i="23"/>
  <c r="K288" i="23"/>
  <c r="G117" i="22"/>
  <c r="F101" i="22"/>
  <c r="K279" i="23"/>
  <c r="C183" i="22"/>
  <c r="D183" i="22"/>
  <c r="G183" i="22"/>
  <c r="F183" i="22"/>
  <c r="Q5" i="4"/>
  <c r="L5" i="4"/>
  <c r="N47" i="4"/>
  <c r="I58" i="4"/>
  <c r="K58" i="4"/>
  <c r="K1559" i="23"/>
  <c r="K462" i="23"/>
  <c r="H29" i="22"/>
  <c r="K575" i="23"/>
  <c r="G27" i="22"/>
  <c r="G21" i="24"/>
  <c r="K813" i="23"/>
  <c r="K1166" i="23"/>
  <c r="F117" i="22"/>
  <c r="K3331" i="23"/>
  <c r="C17" i="22"/>
  <c r="C18" i="24"/>
  <c r="K1481" i="23"/>
  <c r="K2248" i="23"/>
  <c r="K428" i="23"/>
  <c r="K864" i="23"/>
  <c r="I75" i="22"/>
  <c r="C27" i="22"/>
  <c r="K1059" i="23"/>
  <c r="I161" i="22"/>
  <c r="K26" i="23"/>
  <c r="K290" i="23"/>
  <c r="K1117" i="23"/>
  <c r="K1130" i="23"/>
  <c r="K3117" i="23"/>
  <c r="K1208" i="23"/>
  <c r="K498" i="23"/>
  <c r="K1574" i="23"/>
  <c r="K1050" i="23"/>
  <c r="I157" i="22"/>
  <c r="F27" i="22"/>
  <c r="K766" i="23"/>
  <c r="K3356" i="23"/>
  <c r="K3320" i="23"/>
  <c r="K3027" i="23"/>
  <c r="K2572" i="23"/>
  <c r="K688" i="23"/>
  <c r="D127" i="22"/>
  <c r="K11" i="23"/>
  <c r="H183" i="22"/>
  <c r="D226" i="25"/>
  <c r="K2344" i="23"/>
  <c r="K304" i="23"/>
  <c r="K703" i="23"/>
  <c r="K2337" i="23"/>
  <c r="K251" i="23"/>
  <c r="K2932" i="23"/>
  <c r="K870" i="23"/>
  <c r="G53" i="22"/>
  <c r="B119" i="22"/>
  <c r="K2027" i="23"/>
  <c r="K3088" i="23"/>
  <c r="K493" i="23"/>
  <c r="C53" i="22"/>
  <c r="K283" i="23"/>
  <c r="K1327" i="23"/>
  <c r="K3098" i="23"/>
  <c r="K1464" i="23"/>
  <c r="E3" i="22"/>
  <c r="E20" i="24"/>
  <c r="K1008" i="23"/>
  <c r="I3" i="22"/>
  <c r="K1036" i="23"/>
  <c r="K8" i="23"/>
  <c r="K90" i="23"/>
  <c r="K105" i="23"/>
  <c r="K384" i="23"/>
  <c r="K1644" i="23"/>
  <c r="K2142" i="23"/>
  <c r="K3296" i="23"/>
  <c r="K3301" i="23"/>
  <c r="K1003" i="23"/>
  <c r="K1416" i="23"/>
  <c r="D37" i="22"/>
  <c r="H169" i="22"/>
  <c r="K693" i="23"/>
  <c r="K335" i="23"/>
  <c r="K1114" i="23"/>
  <c r="K1397" i="23"/>
  <c r="K1628" i="23"/>
  <c r="K2999" i="23"/>
  <c r="K809" i="23"/>
  <c r="H151" i="22"/>
  <c r="K847" i="23"/>
  <c r="I151" i="22"/>
  <c r="K2116" i="23"/>
  <c r="K3304" i="23"/>
  <c r="K3279" i="23"/>
  <c r="K3257" i="23"/>
  <c r="K3267" i="23"/>
  <c r="K281" i="23"/>
  <c r="K2579" i="23"/>
  <c r="K2703" i="23"/>
  <c r="K3123" i="23"/>
  <c r="K514" i="23"/>
  <c r="K2247" i="23"/>
  <c r="K1201" i="23"/>
  <c r="K2184" i="23"/>
  <c r="K946" i="23"/>
  <c r="K866" i="23"/>
  <c r="K16" i="23"/>
  <c r="K2362" i="23"/>
  <c r="K1308" i="23"/>
  <c r="C73" i="22"/>
  <c r="D45" i="26"/>
  <c r="K2743" i="23"/>
  <c r="K1203" i="23"/>
  <c r="K807" i="23"/>
  <c r="K1381" i="23"/>
  <c r="K800" i="23"/>
  <c r="K1108" i="23"/>
  <c r="C145" i="22"/>
  <c r="K40" i="23"/>
  <c r="K48" i="23"/>
  <c r="K96" i="23"/>
  <c r="E177" i="22"/>
  <c r="K1103" i="23"/>
  <c r="I179" i="22"/>
  <c r="R73" i="4"/>
  <c r="N73" i="4"/>
  <c r="N43" i="4"/>
  <c r="R43" i="4"/>
  <c r="R27" i="4"/>
  <c r="N27" i="4"/>
  <c r="Q88" i="4"/>
  <c r="L88" i="4"/>
  <c r="I88" i="4"/>
  <c r="K88" i="4"/>
  <c r="I70" i="4"/>
  <c r="K70" i="4"/>
  <c r="Q70" i="4"/>
  <c r="L70" i="4"/>
  <c r="N14" i="4"/>
  <c r="R14" i="4"/>
  <c r="I35" i="4"/>
  <c r="K35" i="4"/>
  <c r="Q35" i="4"/>
  <c r="I73" i="4"/>
  <c r="K73" i="4"/>
  <c r="Q75" i="4"/>
  <c r="L75" i="4"/>
  <c r="I75" i="4"/>
  <c r="K75" i="4"/>
  <c r="I98" i="4"/>
  <c r="K98" i="4"/>
  <c r="Q98" i="4"/>
  <c r="L98" i="4"/>
  <c r="N98" i="4"/>
  <c r="N34" i="4"/>
  <c r="R34" i="4"/>
  <c r="R33" i="4"/>
  <c r="N33" i="4"/>
  <c r="N23" i="4"/>
  <c r="R23" i="4"/>
  <c r="Q86" i="4"/>
  <c r="L86" i="4"/>
  <c r="I86" i="4"/>
  <c r="K86" i="4"/>
  <c r="I69" i="4"/>
  <c r="K69" i="4"/>
  <c r="Q69" i="4"/>
  <c r="L69" i="4"/>
  <c r="I24" i="4"/>
  <c r="K24" i="4"/>
  <c r="Q24" i="4"/>
  <c r="L24" i="4"/>
  <c r="N24" i="4"/>
  <c r="N84" i="4"/>
  <c r="R84" i="4"/>
  <c r="I108" i="4"/>
  <c r="K108" i="4"/>
  <c r="Q108" i="4"/>
  <c r="L108" i="4"/>
  <c r="G85" i="4"/>
  <c r="I62" i="4"/>
  <c r="K62" i="4"/>
  <c r="Q62" i="4"/>
  <c r="I11" i="4"/>
  <c r="K11" i="4"/>
  <c r="Q11" i="4"/>
  <c r="L11" i="4"/>
  <c r="N11" i="4"/>
  <c r="I90" i="4"/>
  <c r="K90" i="4"/>
  <c r="P103" i="4"/>
  <c r="I56" i="4"/>
  <c r="K56" i="4"/>
  <c r="P63" i="4"/>
  <c r="G107" i="4"/>
  <c r="G106" i="4"/>
  <c r="G101" i="4"/>
  <c r="G100" i="4"/>
  <c r="I100" i="4"/>
  <c r="K100" i="4"/>
  <c r="G99" i="4"/>
  <c r="G91" i="4"/>
  <c r="O93" i="4"/>
  <c r="G79" i="4"/>
  <c r="G78" i="4"/>
  <c r="G76" i="4"/>
  <c r="G74" i="4"/>
  <c r="G61" i="4"/>
  <c r="G60" i="4"/>
  <c r="I60" i="4"/>
  <c r="K60" i="4"/>
  <c r="G59" i="4"/>
  <c r="I59" i="4"/>
  <c r="K59" i="4"/>
  <c r="G22" i="4"/>
  <c r="Q22" i="4"/>
  <c r="L22" i="4"/>
  <c r="G21" i="4"/>
  <c r="G20" i="4"/>
  <c r="G6" i="4"/>
  <c r="I18" i="4"/>
  <c r="K18" i="4"/>
  <c r="Q39" i="4"/>
  <c r="L39" i="4"/>
  <c r="G87" i="4"/>
  <c r="G83" i="4"/>
  <c r="G52" i="4"/>
  <c r="G49" i="4"/>
  <c r="G48" i="4"/>
  <c r="I48" i="4"/>
  <c r="K48" i="4"/>
  <c r="G32" i="4"/>
  <c r="Q32" i="4"/>
  <c r="L32" i="4"/>
  <c r="G30" i="4"/>
  <c r="Q30" i="4"/>
  <c r="L30" i="4"/>
  <c r="G17" i="4"/>
  <c r="G16" i="4"/>
  <c r="G15" i="4"/>
  <c r="G13" i="4"/>
  <c r="G12" i="4"/>
  <c r="G10" i="4"/>
  <c r="N67" i="4"/>
  <c r="R67" i="4"/>
  <c r="N7" i="4"/>
  <c r="R7" i="4"/>
  <c r="R32" i="4"/>
  <c r="N32" i="4"/>
  <c r="R86" i="4"/>
  <c r="N86" i="4"/>
  <c r="N18" i="4"/>
  <c r="R18" i="4"/>
  <c r="N5" i="4"/>
  <c r="R5" i="4"/>
  <c r="R11" i="4"/>
  <c r="N90" i="4"/>
  <c r="R90" i="4"/>
  <c r="Q53" i="4"/>
  <c r="L53" i="4"/>
  <c r="I53" i="4"/>
  <c r="K53" i="4"/>
  <c r="Q82" i="4"/>
  <c r="L82" i="4"/>
  <c r="I82" i="4"/>
  <c r="K82" i="4"/>
  <c r="I81" i="4"/>
  <c r="K81" i="4"/>
  <c r="Q81" i="4"/>
  <c r="L81" i="4"/>
  <c r="I30" i="4"/>
  <c r="K30" i="4"/>
  <c r="Q19" i="4"/>
  <c r="L19" i="4"/>
  <c r="I19" i="4"/>
  <c r="K19" i="4"/>
  <c r="I32" i="4"/>
  <c r="K32" i="4"/>
  <c r="N26" i="4"/>
  <c r="N66" i="4"/>
  <c r="Q59" i="4"/>
  <c r="L59" i="4"/>
  <c r="N58" i="4"/>
  <c r="R58" i="4"/>
  <c r="Q41" i="4"/>
  <c r="L41" i="4"/>
  <c r="I41" i="4"/>
  <c r="K41" i="4"/>
  <c r="G89" i="4"/>
  <c r="G80" i="4"/>
  <c r="Q51" i="4"/>
  <c r="L51" i="4"/>
  <c r="I51" i="4"/>
  <c r="K51" i="4"/>
  <c r="G45" i="4"/>
  <c r="I40" i="4"/>
  <c r="K40" i="4"/>
  <c r="Q40" i="4"/>
  <c r="I10" i="4"/>
  <c r="K10" i="4"/>
  <c r="Q10" i="4"/>
  <c r="L10" i="4"/>
  <c r="I91" i="4"/>
  <c r="K91" i="4"/>
  <c r="Q91" i="4"/>
  <c r="Q68" i="4"/>
  <c r="I68" i="4"/>
  <c r="K68" i="4"/>
  <c r="R24" i="4"/>
  <c r="I67" i="4"/>
  <c r="K67" i="4"/>
  <c r="I42" i="4"/>
  <c r="K42" i="4"/>
  <c r="Q42" i="4"/>
  <c r="L42" i="4"/>
  <c r="I9" i="4"/>
  <c r="K9" i="4"/>
  <c r="Q9" i="4"/>
  <c r="L9" i="4"/>
  <c r="I44" i="4"/>
  <c r="K44" i="4"/>
  <c r="Q107" i="4"/>
  <c r="I107" i="4"/>
  <c r="K107" i="4"/>
  <c r="G54" i="4"/>
  <c r="Q8" i="4"/>
  <c r="L8" i="4"/>
  <c r="I8" i="4"/>
  <c r="K8" i="4"/>
  <c r="I92" i="4"/>
  <c r="K92" i="4"/>
  <c r="Q92" i="4"/>
  <c r="L92" i="4"/>
  <c r="I77" i="4"/>
  <c r="K77" i="4"/>
  <c r="Q77" i="4"/>
  <c r="L77" i="4"/>
  <c r="I46" i="4"/>
  <c r="K46" i="4"/>
  <c r="Q46" i="4"/>
  <c r="L46" i="4"/>
  <c r="I25" i="4"/>
  <c r="K25" i="4"/>
  <c r="Q25" i="4"/>
  <c r="L25" i="4"/>
  <c r="I4" i="4"/>
  <c r="K4" i="4"/>
  <c r="Q4" i="4"/>
  <c r="I14" i="4"/>
  <c r="K14" i="4"/>
  <c r="R98" i="4"/>
  <c r="I71" i="4"/>
  <c r="K71" i="4"/>
  <c r="L71" i="4"/>
  <c r="R44" i="4"/>
  <c r="N44" i="4"/>
  <c r="I50" i="4"/>
  <c r="K50" i="4"/>
  <c r="Q50" i="4"/>
  <c r="L50" i="4"/>
  <c r="P112" i="4"/>
  <c r="Q100" i="4"/>
  <c r="Q83" i="4"/>
  <c r="L83" i="4"/>
  <c r="I83" i="4"/>
  <c r="K83" i="4"/>
  <c r="Q60" i="4"/>
  <c r="L60" i="4"/>
  <c r="Q48" i="4"/>
  <c r="L48" i="4"/>
  <c r="O63" i="4"/>
  <c r="I28" i="4"/>
  <c r="K28" i="4"/>
  <c r="Q28" i="4"/>
  <c r="L28" i="4"/>
  <c r="I22" i="4"/>
  <c r="K22" i="4"/>
  <c r="Q6" i="4"/>
  <c r="L6" i="4"/>
  <c r="I6" i="4"/>
  <c r="K6" i="4"/>
  <c r="K1065" i="23"/>
  <c r="F155" i="22"/>
  <c r="F157" i="22"/>
  <c r="L10" i="36"/>
  <c r="K1043" i="23"/>
  <c r="D277" i="25"/>
  <c r="D159" i="22"/>
  <c r="K1058" i="23"/>
  <c r="I153" i="22"/>
  <c r="K1060" i="23"/>
  <c r="K901" i="23"/>
  <c r="K900" i="23"/>
  <c r="G187" i="22"/>
  <c r="K895" i="23"/>
  <c r="D64" i="25"/>
  <c r="B131" i="22"/>
  <c r="H131" i="22"/>
  <c r="K894" i="23"/>
  <c r="D106" i="25"/>
  <c r="D25" i="25"/>
  <c r="K893" i="23"/>
  <c r="F131" i="22"/>
  <c r="D152" i="25"/>
  <c r="K914" i="23"/>
  <c r="E187" i="22"/>
  <c r="D24" i="36"/>
  <c r="H35" i="22"/>
  <c r="F65" i="22"/>
  <c r="D252" i="26"/>
  <c r="H187" i="22"/>
  <c r="D42" i="36"/>
  <c r="D187" i="22"/>
  <c r="L6" i="36"/>
  <c r="K908" i="23"/>
  <c r="I49" i="4"/>
  <c r="K49" i="4"/>
  <c r="Q49" i="4"/>
  <c r="L49" i="4"/>
  <c r="I85" i="4"/>
  <c r="K85" i="4"/>
  <c r="Q85" i="4"/>
  <c r="L85" i="4"/>
  <c r="I52" i="4"/>
  <c r="K52" i="4"/>
  <c r="Q52" i="4"/>
  <c r="L52" i="4"/>
  <c r="Q74" i="4"/>
  <c r="L74" i="4"/>
  <c r="I74" i="4"/>
  <c r="K74" i="4"/>
  <c r="Q101" i="4"/>
  <c r="L101" i="4"/>
  <c r="I101" i="4"/>
  <c r="K101" i="4"/>
  <c r="P116" i="4"/>
  <c r="Q15" i="4"/>
  <c r="L15" i="4"/>
  <c r="I15" i="4"/>
  <c r="K15" i="4"/>
  <c r="I76" i="4"/>
  <c r="K76" i="4"/>
  <c r="Q76" i="4"/>
  <c r="L76" i="4"/>
  <c r="Q106" i="4"/>
  <c r="L106" i="4"/>
  <c r="I106" i="4"/>
  <c r="K106" i="4"/>
  <c r="R70" i="4"/>
  <c r="N70" i="4"/>
  <c r="Q12" i="4"/>
  <c r="L12" i="4"/>
  <c r="I12" i="4"/>
  <c r="K12" i="4"/>
  <c r="I17" i="4"/>
  <c r="K17" i="4"/>
  <c r="Q17" i="4"/>
  <c r="L17" i="4"/>
  <c r="R39" i="4"/>
  <c r="N39" i="4"/>
  <c r="I21" i="4"/>
  <c r="K21" i="4"/>
  <c r="Q21" i="4"/>
  <c r="L21" i="4"/>
  <c r="Q61" i="4"/>
  <c r="I61" i="4"/>
  <c r="K61" i="4"/>
  <c r="Q79" i="4"/>
  <c r="L79" i="4"/>
  <c r="I79" i="4"/>
  <c r="K79" i="4"/>
  <c r="N75" i="4"/>
  <c r="R75" i="4"/>
  <c r="I13" i="4"/>
  <c r="K13" i="4"/>
  <c r="Q13" i="4"/>
  <c r="L13" i="4"/>
  <c r="R108" i="4"/>
  <c r="N108" i="4"/>
  <c r="N88" i="4"/>
  <c r="R88" i="4"/>
  <c r="O116" i="4"/>
  <c r="L16" i="4"/>
  <c r="I16" i="4"/>
  <c r="K16" i="4"/>
  <c r="Q87" i="4"/>
  <c r="L87" i="4"/>
  <c r="I87" i="4"/>
  <c r="K87" i="4"/>
  <c r="Q20" i="4"/>
  <c r="L20" i="4"/>
  <c r="I20" i="4"/>
  <c r="K20" i="4"/>
  <c r="Q78" i="4"/>
  <c r="L78" i="4"/>
  <c r="I78" i="4"/>
  <c r="K78" i="4"/>
  <c r="Q99" i="4"/>
  <c r="L99" i="4"/>
  <c r="I99" i="4"/>
  <c r="K99" i="4"/>
  <c r="N69" i="4"/>
  <c r="R69" i="4"/>
  <c r="R71" i="4"/>
  <c r="N71" i="4"/>
  <c r="L4" i="4"/>
  <c r="R9" i="4"/>
  <c r="N9" i="4"/>
  <c r="L40" i="4"/>
  <c r="R30" i="4"/>
  <c r="N30" i="4"/>
  <c r="R48" i="4"/>
  <c r="N48" i="4"/>
  <c r="L100" i="4"/>
  <c r="Q103" i="4"/>
  <c r="I80" i="4"/>
  <c r="K80" i="4"/>
  <c r="Q80" i="4"/>
  <c r="L80" i="4"/>
  <c r="R59" i="4"/>
  <c r="N59" i="4"/>
  <c r="R82" i="4"/>
  <c r="N82" i="4"/>
  <c r="N22" i="4"/>
  <c r="R22" i="4"/>
  <c r="R83" i="4"/>
  <c r="N83" i="4"/>
  <c r="N46" i="4"/>
  <c r="R46" i="4"/>
  <c r="N51" i="4"/>
  <c r="R51" i="4"/>
  <c r="N28" i="4"/>
  <c r="R28" i="4"/>
  <c r="R60" i="4"/>
  <c r="N60" i="4"/>
  <c r="N25" i="4"/>
  <c r="R25" i="4"/>
  <c r="R77" i="4"/>
  <c r="N77" i="4"/>
  <c r="L107" i="4"/>
  <c r="N42" i="4"/>
  <c r="R42" i="4"/>
  <c r="N10" i="4"/>
  <c r="R10" i="4"/>
  <c r="Q45" i="4"/>
  <c r="L45" i="4"/>
  <c r="I45" i="4"/>
  <c r="K45" i="4"/>
  <c r="I89" i="4"/>
  <c r="K89" i="4"/>
  <c r="Q89" i="4"/>
  <c r="L89" i="4"/>
  <c r="R81" i="4"/>
  <c r="N81" i="4"/>
  <c r="R50" i="4"/>
  <c r="N50" i="4"/>
  <c r="N92" i="4"/>
  <c r="R92" i="4"/>
  <c r="I54" i="4"/>
  <c r="K54" i="4"/>
  <c r="Q54" i="4"/>
  <c r="L54" i="4"/>
  <c r="N41" i="4"/>
  <c r="R41" i="4"/>
  <c r="R6" i="4"/>
  <c r="N6" i="4"/>
  <c r="N8" i="4"/>
  <c r="R8" i="4"/>
  <c r="L68" i="4"/>
  <c r="R19" i="4"/>
  <c r="N19" i="4"/>
  <c r="N53" i="4"/>
  <c r="R53" i="4"/>
  <c r="I159" i="22"/>
  <c r="R12" i="4"/>
  <c r="N12" i="4"/>
  <c r="R106" i="4"/>
  <c r="N106" i="4"/>
  <c r="R15" i="4"/>
  <c r="N15" i="4"/>
  <c r="Q36" i="4"/>
  <c r="N78" i="4"/>
  <c r="R78" i="4"/>
  <c r="N87" i="4"/>
  <c r="R87" i="4"/>
  <c r="R13" i="4"/>
  <c r="N13" i="4"/>
  <c r="R21" i="4"/>
  <c r="N21" i="4"/>
  <c r="N17" i="4"/>
  <c r="R17" i="4"/>
  <c r="R76" i="4"/>
  <c r="N76" i="4"/>
  <c r="R74" i="4"/>
  <c r="N74" i="4"/>
  <c r="N79" i="4"/>
  <c r="R79" i="4"/>
  <c r="R52" i="4"/>
  <c r="N52" i="4"/>
  <c r="R49" i="4"/>
  <c r="N49" i="4"/>
  <c r="R85" i="4"/>
  <c r="N85" i="4"/>
  <c r="Q112" i="4"/>
  <c r="R99" i="4"/>
  <c r="N99" i="4"/>
  <c r="N20" i="4"/>
  <c r="R20" i="4"/>
  <c r="R16" i="4"/>
  <c r="N16" i="4"/>
  <c r="R101" i="4"/>
  <c r="N101" i="4"/>
  <c r="Q93" i="4"/>
  <c r="R89" i="4"/>
  <c r="N89" i="4"/>
  <c r="R40" i="4"/>
  <c r="D63" i="4"/>
  <c r="B18" i="1"/>
  <c r="N40" i="4"/>
  <c r="N68" i="4"/>
  <c r="R68" i="4"/>
  <c r="R107" i="4"/>
  <c r="N107" i="4"/>
  <c r="R45" i="4"/>
  <c r="N45" i="4"/>
  <c r="N80" i="4"/>
  <c r="R80" i="4"/>
  <c r="Q63" i="4"/>
  <c r="R4" i="4"/>
  <c r="D36" i="4"/>
  <c r="B17" i="1"/>
  <c r="N4" i="4"/>
  <c r="N54" i="4"/>
  <c r="R54" i="4"/>
  <c r="R100" i="4"/>
  <c r="N100" i="4"/>
  <c r="D112" i="4"/>
  <c r="B21" i="1"/>
  <c r="D103" i="4"/>
  <c r="B20" i="1"/>
  <c r="D93" i="4"/>
  <c r="B19" i="1"/>
  <c r="K1423" i="23"/>
  <c r="K1225" i="23"/>
  <c r="K833" i="23"/>
  <c r="K2629" i="23"/>
  <c r="K1467" i="23"/>
  <c r="K2287" i="23"/>
  <c r="K2220" i="23"/>
  <c r="K2654" i="23"/>
  <c r="K282" i="23"/>
  <c r="K297" i="23"/>
  <c r="K1329" i="23"/>
  <c r="K2620" i="23"/>
  <c r="K785" i="23"/>
  <c r="I87" i="22"/>
  <c r="K2128" i="23"/>
  <c r="K701" i="23"/>
  <c r="K694" i="23"/>
  <c r="K546" i="23"/>
  <c r="K2163" i="23"/>
  <c r="B165" i="22"/>
  <c r="K1045" i="23"/>
  <c r="K2361" i="23"/>
  <c r="K227" i="23"/>
  <c r="K931" i="23"/>
  <c r="H7" i="22"/>
  <c r="H11" i="24"/>
  <c r="K1436" i="23"/>
  <c r="K1479" i="23"/>
  <c r="K2588" i="23"/>
  <c r="C123" i="22"/>
  <c r="K385" i="23"/>
  <c r="E35" i="22"/>
  <c r="D121" i="26"/>
  <c r="K903" i="23"/>
  <c r="H3357" i="23"/>
  <c r="K3357" i="23"/>
  <c r="H3328" i="23"/>
  <c r="K3328" i="23"/>
  <c r="H3323" i="23"/>
  <c r="K3323" i="23"/>
  <c r="H3283" i="23"/>
  <c r="K3283" i="23"/>
  <c r="H3212" i="23"/>
  <c r="K3212" i="23"/>
  <c r="K1067" i="23"/>
  <c r="D22" i="25"/>
  <c r="K650" i="23"/>
  <c r="E25" i="22"/>
  <c r="K2837" i="23"/>
  <c r="K2441" i="23"/>
  <c r="K3338" i="23"/>
  <c r="G45" i="22"/>
  <c r="D282" i="26"/>
  <c r="K3061" i="23"/>
  <c r="K3150" i="23"/>
  <c r="D46" i="36"/>
  <c r="K1168" i="23"/>
  <c r="E169" i="22"/>
  <c r="K1676" i="23"/>
  <c r="F125" i="22"/>
  <c r="G185" i="22"/>
  <c r="D230" i="25"/>
  <c r="E175" i="22"/>
  <c r="K3176" i="23"/>
  <c r="K1315" i="23"/>
  <c r="K2628" i="23"/>
  <c r="K1736" i="23"/>
  <c r="K407" i="23"/>
  <c r="I173" i="22"/>
  <c r="K2666" i="23"/>
  <c r="K1312" i="23"/>
  <c r="I123" i="22"/>
  <c r="E5" i="29"/>
  <c r="F5" i="29"/>
  <c r="G5" i="29"/>
  <c r="K66" i="23"/>
  <c r="K1896" i="23"/>
  <c r="K2210" i="23"/>
  <c r="H457" i="23"/>
  <c r="D77" i="22"/>
  <c r="K710" i="23"/>
  <c r="I77" i="22"/>
  <c r="K2126" i="23"/>
  <c r="E67" i="22"/>
  <c r="D147" i="26"/>
  <c r="K944" i="23"/>
  <c r="K2352" i="23"/>
  <c r="K2667" i="23"/>
  <c r="E125" i="22"/>
  <c r="L9" i="36"/>
  <c r="K2304" i="23"/>
  <c r="K1874" i="23"/>
  <c r="K1998" i="23"/>
  <c r="K2798" i="23"/>
  <c r="K2701" i="23"/>
  <c r="K709" i="23"/>
  <c r="K2012" i="23"/>
  <c r="K2669" i="23"/>
  <c r="K210" i="23"/>
  <c r="K2080" i="23"/>
  <c r="C187" i="22"/>
  <c r="D6" i="36"/>
  <c r="K258" i="23"/>
  <c r="K2294" i="23"/>
  <c r="K2445" i="23"/>
  <c r="K3204" i="23"/>
  <c r="K305" i="23"/>
  <c r="K3043" i="23"/>
  <c r="K2211" i="23"/>
  <c r="F67" i="22"/>
  <c r="D251" i="26"/>
  <c r="H1524" i="23"/>
  <c r="K413" i="23"/>
  <c r="C169" i="22"/>
  <c r="K606" i="23"/>
  <c r="K583" i="23"/>
  <c r="K2611" i="23"/>
  <c r="K686" i="23"/>
  <c r="K1277" i="23"/>
  <c r="K520" i="23"/>
  <c r="K672" i="23"/>
  <c r="K1782" i="23"/>
  <c r="K2574" i="23"/>
  <c r="K995" i="23"/>
  <c r="I167" i="22"/>
  <c r="K2010" i="23"/>
  <c r="K958" i="23"/>
  <c r="C119" i="22"/>
  <c r="K2040" i="23"/>
  <c r="K924" i="23"/>
  <c r="C185" i="22"/>
  <c r="D62" i="25"/>
  <c r="K974" i="23"/>
  <c r="K2421" i="23"/>
  <c r="K2311" i="23"/>
  <c r="K1599" i="23"/>
  <c r="K863" i="23"/>
  <c r="K2969" i="23"/>
  <c r="K669" i="23"/>
  <c r="E73" i="22"/>
  <c r="D201" i="26"/>
  <c r="K2994" i="23"/>
  <c r="D234" i="25"/>
  <c r="K2945" i="23"/>
  <c r="J2948" i="23"/>
  <c r="K1625" i="23"/>
  <c r="K942" i="23"/>
  <c r="K2914" i="23"/>
  <c r="K2389" i="23"/>
  <c r="K816" i="23"/>
  <c r="K614" i="23"/>
  <c r="K1387" i="23"/>
  <c r="K143" i="23"/>
  <c r="I69" i="22"/>
  <c r="K2351" i="23"/>
  <c r="K364" i="23"/>
  <c r="D47" i="22"/>
  <c r="D8" i="36"/>
  <c r="K2079" i="23"/>
  <c r="K2545" i="23"/>
  <c r="K642" i="23"/>
  <c r="K2238" i="23"/>
  <c r="K1680" i="23"/>
  <c r="K1696" i="23"/>
  <c r="K2687" i="23"/>
  <c r="K242" i="23"/>
  <c r="K1437" i="23"/>
  <c r="K207" i="23"/>
  <c r="I103" i="22"/>
  <c r="E18" i="29"/>
  <c r="F18" i="29"/>
  <c r="G18" i="29"/>
  <c r="K255" i="23"/>
  <c r="F103" i="22"/>
  <c r="K2366" i="23"/>
  <c r="K2455" i="23"/>
  <c r="K2718" i="23"/>
  <c r="K3007" i="23"/>
  <c r="K818" i="23"/>
  <c r="D29" i="22"/>
  <c r="K2702" i="23"/>
  <c r="K2675" i="23"/>
  <c r="K3207" i="23"/>
  <c r="K2694" i="23"/>
  <c r="K735" i="23"/>
  <c r="K1889" i="23"/>
  <c r="K1890" i="23"/>
  <c r="K3161" i="23"/>
  <c r="K2732" i="23"/>
  <c r="K2777" i="23"/>
  <c r="K306" i="23"/>
  <c r="I141" i="22"/>
  <c r="K1085" i="23"/>
  <c r="K3112" i="23"/>
  <c r="K3175" i="23"/>
  <c r="K2152" i="23"/>
  <c r="K2224" i="23"/>
  <c r="K2536" i="23"/>
  <c r="K2189" i="23"/>
  <c r="K1959" i="23"/>
  <c r="D21" i="22"/>
  <c r="D9" i="24"/>
  <c r="D16" i="24"/>
  <c r="K938" i="23"/>
  <c r="K2145" i="23"/>
  <c r="K700" i="23"/>
  <c r="K2565" i="23"/>
  <c r="K528" i="23"/>
  <c r="I169" i="22"/>
  <c r="K878" i="23"/>
  <c r="I47" i="22"/>
  <c r="E8" i="29"/>
  <c r="F8" i="29"/>
  <c r="G8" i="29"/>
  <c r="G47" i="22"/>
  <c r="H37" i="22"/>
  <c r="K922" i="23"/>
  <c r="I37" i="22"/>
  <c r="G105" i="22"/>
  <c r="D143" i="25"/>
  <c r="D185" i="25"/>
  <c r="G17" i="22"/>
  <c r="G18" i="24"/>
  <c r="K553" i="23"/>
  <c r="H181" i="22"/>
  <c r="D231" i="25"/>
  <c r="D273" i="25"/>
  <c r="K499" i="23"/>
  <c r="K24" i="23"/>
  <c r="H65" i="22"/>
  <c r="K2218" i="23"/>
  <c r="K2977" i="23"/>
  <c r="K2979" i="23"/>
  <c r="K1425" i="23"/>
  <c r="K2781" i="23"/>
  <c r="K1431" i="23"/>
  <c r="F33" i="22"/>
  <c r="K749" i="23"/>
  <c r="K241" i="23"/>
  <c r="I139" i="22"/>
  <c r="K2065" i="23"/>
  <c r="K2680" i="23"/>
  <c r="K192" i="23"/>
  <c r="I185" i="22"/>
  <c r="D71" i="22"/>
  <c r="H185" i="22"/>
  <c r="D272" i="25"/>
  <c r="K2978" i="23"/>
  <c r="K1862" i="23"/>
  <c r="K2121" i="23"/>
  <c r="K362" i="23"/>
  <c r="K2531" i="23"/>
  <c r="K478" i="23"/>
  <c r="K458" i="23"/>
  <c r="F123" i="22"/>
  <c r="K2617" i="23"/>
  <c r="K2704" i="23"/>
  <c r="C103" i="22"/>
  <c r="K3134" i="23"/>
  <c r="K419" i="23"/>
  <c r="I119" i="22"/>
  <c r="K2870" i="23"/>
  <c r="K950" i="23"/>
  <c r="I131" i="22"/>
  <c r="D75" i="22"/>
  <c r="K2643" i="23"/>
  <c r="K2005" i="23"/>
  <c r="K2135" i="23"/>
  <c r="K2866" i="23"/>
  <c r="K1097" i="23"/>
  <c r="K2652" i="23"/>
  <c r="K628" i="23"/>
  <c r="K2787" i="23"/>
  <c r="K54" i="23"/>
  <c r="K613" i="23"/>
  <c r="I71" i="22"/>
  <c r="K874" i="23"/>
  <c r="K2661" i="23"/>
  <c r="B17" i="22"/>
  <c r="B18" i="24"/>
  <c r="C36" i="24"/>
  <c r="D36" i="24"/>
  <c r="K3114" i="23"/>
  <c r="B85" i="22"/>
  <c r="K3107" i="23"/>
  <c r="K555" i="23"/>
  <c r="K2162" i="23"/>
  <c r="G23" i="22"/>
  <c r="K993" i="23"/>
  <c r="K2739" i="23"/>
  <c r="K915" i="23"/>
  <c r="K2496" i="23"/>
  <c r="K2925" i="23"/>
  <c r="K2510" i="23"/>
  <c r="K3031" i="23"/>
  <c r="K2924" i="23"/>
  <c r="K1681" i="23"/>
  <c r="K2199" i="23"/>
  <c r="K1582" i="23"/>
  <c r="K3158" i="23"/>
  <c r="K1813" i="23"/>
  <c r="K57" i="23"/>
  <c r="D85" i="22"/>
  <c r="K622" i="23"/>
  <c r="I53" i="22"/>
  <c r="E21" i="22"/>
  <c r="E9" i="24"/>
  <c r="C163" i="22"/>
  <c r="K2282" i="23"/>
  <c r="K3096" i="23"/>
  <c r="K2219" i="23"/>
  <c r="E153" i="22"/>
  <c r="D61" i="36"/>
  <c r="D7" i="36"/>
  <c r="K2602" i="23"/>
  <c r="K2182" i="23"/>
  <c r="F49" i="22"/>
  <c r="D148" i="25"/>
  <c r="B7" i="22"/>
  <c r="B11" i="24"/>
  <c r="K1415" i="23"/>
  <c r="K2097" i="23"/>
  <c r="K1004" i="23"/>
  <c r="K2795" i="23"/>
  <c r="K1140" i="23"/>
  <c r="K2709" i="23"/>
  <c r="K2058" i="23"/>
  <c r="K1255" i="23"/>
  <c r="K2655" i="23"/>
  <c r="K2048" i="23"/>
  <c r="K842" i="23"/>
  <c r="K2717" i="23"/>
  <c r="K2203" i="23"/>
  <c r="G153" i="22"/>
  <c r="L25" i="36"/>
  <c r="D43" i="36"/>
  <c r="K340" i="23"/>
  <c r="K1581" i="23"/>
  <c r="K2682" i="23"/>
  <c r="K2786" i="23"/>
  <c r="K1758" i="23"/>
  <c r="K250" i="23"/>
  <c r="K2020" i="23"/>
  <c r="K1666" i="23"/>
  <c r="K1126" i="23"/>
  <c r="K1458" i="23"/>
  <c r="K2259" i="23"/>
  <c r="K1748" i="23"/>
  <c r="G119" i="22"/>
  <c r="K195" i="23"/>
  <c r="K1961" i="23"/>
  <c r="K1452" i="23"/>
  <c r="K1899" i="23"/>
  <c r="K1710" i="23"/>
  <c r="K2829" i="23"/>
  <c r="K1218" i="23"/>
  <c r="H173" i="22"/>
  <c r="K2213" i="23"/>
  <c r="K2639" i="23"/>
  <c r="K1338" i="23"/>
  <c r="K2425" i="23"/>
  <c r="K1977" i="23"/>
  <c r="H71" i="22"/>
  <c r="K485" i="23"/>
  <c r="K1152" i="23"/>
  <c r="K2771" i="23"/>
  <c r="K2904" i="23"/>
  <c r="K3144" i="23"/>
  <c r="K2761" i="23"/>
  <c r="K2856" i="23"/>
  <c r="K728" i="23"/>
  <c r="I5" i="22"/>
  <c r="K271" i="23"/>
  <c r="K2245" i="23"/>
  <c r="K2767" i="23"/>
  <c r="K1955" i="23"/>
  <c r="K3152" i="23"/>
  <c r="K2440" i="23"/>
  <c r="K2460" i="23"/>
  <c r="F185" i="22"/>
  <c r="D188" i="25"/>
  <c r="K3036" i="23"/>
  <c r="K3042" i="23"/>
  <c r="K2435" i="23"/>
  <c r="K1222" i="23"/>
  <c r="K841" i="23"/>
  <c r="K2505" i="23"/>
  <c r="K2516" i="23"/>
  <c r="K2406" i="23"/>
  <c r="K2420" i="23"/>
  <c r="K2373" i="23"/>
  <c r="K2607" i="23"/>
  <c r="K2336" i="23"/>
  <c r="K2753" i="23"/>
  <c r="K2873" i="23"/>
  <c r="K2302" i="23"/>
  <c r="K3160" i="23"/>
  <c r="K2736" i="23"/>
  <c r="K2625" i="23"/>
  <c r="K2470" i="23"/>
  <c r="K2450" i="23"/>
  <c r="K1690" i="23"/>
  <c r="K3025" i="23"/>
  <c r="K1970" i="23"/>
  <c r="K1438" i="23"/>
  <c r="K2003" i="23"/>
  <c r="K2722" i="23"/>
  <c r="K1927" i="23"/>
  <c r="K1160" i="23"/>
  <c r="K2885" i="23"/>
  <c r="K2275" i="23"/>
  <c r="K3078" i="23"/>
  <c r="K806" i="23"/>
  <c r="K2132" i="23"/>
  <c r="K2857" i="23"/>
  <c r="D123" i="22"/>
  <c r="K881" i="23"/>
  <c r="K1675" i="23"/>
  <c r="G55" i="22"/>
  <c r="K1565" i="23"/>
  <c r="I55" i="22"/>
  <c r="E17" i="29"/>
  <c r="F17" i="29"/>
  <c r="G17" i="29"/>
  <c r="D214" i="25"/>
  <c r="B14" i="24"/>
  <c r="D10" i="24"/>
  <c r="D335" i="26"/>
  <c r="G3015" i="23"/>
  <c r="H3015" i="23"/>
  <c r="I3015" i="23"/>
  <c r="K3097" i="23"/>
  <c r="K2101" i="23"/>
  <c r="K3005" i="23"/>
  <c r="K1698" i="23"/>
  <c r="K2851" i="23"/>
  <c r="K1814" i="23"/>
  <c r="K2556" i="23"/>
  <c r="K2267" i="23"/>
  <c r="K2102" i="23"/>
  <c r="K2599" i="23"/>
  <c r="K1932" i="23"/>
  <c r="D21" i="25"/>
  <c r="K966" i="23"/>
  <c r="K2986" i="23"/>
  <c r="D13" i="22"/>
  <c r="D6" i="24"/>
  <c r="F28" i="24"/>
  <c r="G28" i="24"/>
  <c r="K62" i="23"/>
  <c r="D155" i="22"/>
  <c r="D77" i="26"/>
  <c r="K2109" i="23"/>
  <c r="K1336" i="23"/>
  <c r="K2382" i="23"/>
  <c r="K2892" i="23"/>
  <c r="C37" i="22"/>
  <c r="D330" i="26"/>
  <c r="K2360" i="23"/>
  <c r="F51" i="22"/>
  <c r="D185" i="26"/>
  <c r="E139" i="22"/>
  <c r="K223" i="23"/>
  <c r="D189" i="25"/>
  <c r="B125" i="22"/>
  <c r="K2900" i="23"/>
  <c r="D105" i="22"/>
  <c r="K827" i="23"/>
  <c r="K621" i="23"/>
  <c r="D183" i="25"/>
  <c r="D276" i="25"/>
  <c r="H14" i="24"/>
  <c r="K440" i="23"/>
  <c r="K2788" i="23"/>
  <c r="K1996" i="23"/>
  <c r="D285" i="26"/>
  <c r="D60" i="36"/>
  <c r="K1597" i="23"/>
  <c r="K2430" i="23"/>
  <c r="K1861" i="23"/>
  <c r="K2466" i="23"/>
  <c r="K1974" i="23"/>
  <c r="K3050" i="23"/>
  <c r="G127" i="22"/>
  <c r="D152" i="26"/>
  <c r="K1806" i="23"/>
  <c r="K3085" i="23"/>
  <c r="K2571" i="23"/>
  <c r="K2501" i="23"/>
  <c r="K2785" i="23"/>
  <c r="H81" i="22"/>
  <c r="K2075" i="23"/>
  <c r="K3070" i="23"/>
  <c r="K1720" i="23"/>
  <c r="K1478" i="23"/>
  <c r="K1764" i="23"/>
  <c r="K2918" i="23"/>
  <c r="K1791" i="23"/>
  <c r="K2779" i="23"/>
  <c r="K1474" i="23"/>
  <c r="K1838" i="23"/>
  <c r="K2387" i="23"/>
  <c r="D236" i="25"/>
  <c r="K471" i="23"/>
  <c r="K1472" i="23"/>
  <c r="K1209" i="23"/>
  <c r="H3359" i="23"/>
  <c r="K3359" i="23"/>
  <c r="H3348" i="23"/>
  <c r="K3348" i="23"/>
  <c r="H3332" i="23"/>
  <c r="K3332" i="23"/>
  <c r="H3319" i="23"/>
  <c r="K3319" i="23"/>
  <c r="H3292" i="23"/>
  <c r="K3292" i="23"/>
  <c r="H3287" i="23"/>
  <c r="K3287" i="23"/>
  <c r="H3339" i="23"/>
  <c r="K3339" i="23"/>
  <c r="H3330" i="23"/>
  <c r="K3330" i="23"/>
  <c r="H3321" i="23"/>
  <c r="K3321" i="23"/>
  <c r="H3312" i="23"/>
  <c r="K3312" i="23"/>
  <c r="K2630" i="23"/>
  <c r="K2381" i="23"/>
  <c r="K2125" i="23"/>
  <c r="K1910" i="23"/>
  <c r="K30" i="23"/>
  <c r="I33" i="22"/>
  <c r="D142" i="25"/>
  <c r="D184" i="25"/>
  <c r="I183" i="22"/>
  <c r="E11" i="29"/>
  <c r="F11" i="29"/>
  <c r="G11" i="29"/>
  <c r="D57" i="25"/>
  <c r="K1981" i="23"/>
  <c r="K2600" i="23"/>
  <c r="K3060" i="23"/>
  <c r="K511" i="23"/>
  <c r="K1593" i="23"/>
  <c r="F47" i="22"/>
  <c r="L26" i="36"/>
  <c r="K2485" i="23"/>
  <c r="L28" i="36"/>
  <c r="I89" i="22"/>
  <c r="J1629" i="23"/>
  <c r="K1629" i="23"/>
  <c r="H127" i="22"/>
  <c r="D360" i="26"/>
  <c r="K1572" i="23"/>
  <c r="E16" i="24"/>
  <c r="D141" i="25"/>
  <c r="D99" i="25"/>
  <c r="D231" i="26"/>
  <c r="C113" i="22"/>
  <c r="K647" i="23"/>
  <c r="K311" i="23"/>
  <c r="K3131" i="23"/>
  <c r="K1673" i="23"/>
  <c r="K2415" i="23"/>
  <c r="K2134" i="23"/>
  <c r="K3032" i="23"/>
  <c r="D28" i="36"/>
  <c r="C127" i="22"/>
  <c r="D100" i="26"/>
  <c r="K202" i="23"/>
  <c r="K112" i="23"/>
  <c r="I65" i="22"/>
  <c r="E15" i="29"/>
  <c r="F15" i="29"/>
  <c r="G15" i="29"/>
  <c r="K2376" i="23"/>
  <c r="K2396" i="23"/>
  <c r="K2323" i="23"/>
  <c r="K2032" i="23"/>
  <c r="K1658" i="23"/>
  <c r="K3143" i="23"/>
  <c r="K805" i="23"/>
  <c r="K2863" i="23"/>
  <c r="K2555" i="23"/>
  <c r="K1740" i="23"/>
  <c r="B81" i="22"/>
  <c r="L47" i="36"/>
  <c r="K597" i="23"/>
  <c r="C9" i="22"/>
  <c r="C13" i="24"/>
  <c r="D181" i="26"/>
  <c r="D227" i="25"/>
  <c r="D233" i="26"/>
  <c r="C12" i="24"/>
  <c r="D58" i="25"/>
  <c r="F177" i="22"/>
  <c r="D200" i="26"/>
  <c r="D4" i="25"/>
  <c r="D213" i="25"/>
  <c r="D150" i="25"/>
  <c r="D266" i="25"/>
  <c r="K596" i="23"/>
  <c r="D97" i="26"/>
  <c r="D227" i="26"/>
  <c r="E599" i="23"/>
  <c r="K599" i="23"/>
  <c r="D129" i="25"/>
  <c r="D283" i="26"/>
  <c r="E81" i="22"/>
  <c r="H21" i="24"/>
  <c r="D29" i="26"/>
  <c r="D18" i="26"/>
  <c r="E601" i="23"/>
  <c r="K601" i="23"/>
  <c r="G177" i="22"/>
  <c r="D125" i="26"/>
  <c r="D66" i="25"/>
  <c r="F9" i="22"/>
  <c r="F13" i="24"/>
  <c r="I34" i="24"/>
  <c r="J34" i="24"/>
  <c r="D147" i="25"/>
  <c r="E600" i="23"/>
  <c r="C177" i="22"/>
  <c r="K600" i="23"/>
  <c r="F81" i="22"/>
  <c r="E598" i="23"/>
  <c r="K598" i="23"/>
  <c r="B65" i="22"/>
  <c r="D304" i="26"/>
  <c r="D175" i="26"/>
  <c r="K581" i="23"/>
  <c r="I9" i="22"/>
  <c r="B9" i="22"/>
  <c r="B13" i="24"/>
  <c r="K582" i="23"/>
  <c r="C39" i="24"/>
  <c r="D39" i="24"/>
  <c r="D308" i="26"/>
  <c r="D44" i="36"/>
  <c r="D123" i="26"/>
  <c r="D45" i="25"/>
  <c r="K585" i="23"/>
  <c r="L24" i="36"/>
  <c r="D87" i="25"/>
  <c r="D148" i="26"/>
  <c r="D27" i="26"/>
  <c r="D192" i="25"/>
  <c r="D64" i="36"/>
  <c r="D280" i="26"/>
  <c r="D10" i="36"/>
  <c r="D48" i="26"/>
  <c r="D146" i="25"/>
  <c r="F10" i="24"/>
  <c r="I127" i="22"/>
  <c r="D74" i="26"/>
  <c r="D126" i="26"/>
  <c r="D334" i="26"/>
  <c r="D178" i="26"/>
  <c r="H3013" i="23"/>
  <c r="I3013" i="23"/>
  <c r="J3013" i="23"/>
  <c r="I155" i="22"/>
  <c r="D193" i="25"/>
  <c r="D235" i="25"/>
  <c r="K1734" i="23"/>
  <c r="G3016" i="23"/>
  <c r="H3016" i="23"/>
  <c r="G3017" i="23"/>
  <c r="H3017" i="23"/>
  <c r="K2846" i="23"/>
  <c r="J2848" i="23"/>
  <c r="K2848" i="23"/>
  <c r="H3014" i="23"/>
  <c r="I3014" i="23"/>
  <c r="K3014" i="23"/>
  <c r="D307" i="26"/>
  <c r="D151" i="26"/>
  <c r="D255" i="26"/>
  <c r="K2841" i="23"/>
  <c r="K2061" i="23"/>
  <c r="D5" i="36"/>
  <c r="D79" i="26"/>
  <c r="D59" i="36"/>
  <c r="D268" i="25"/>
  <c r="D16" i="25"/>
  <c r="E14" i="24"/>
  <c r="G3018" i="23"/>
  <c r="H3018" i="23"/>
  <c r="D182" i="25"/>
  <c r="D98" i="25"/>
  <c r="D56" i="25"/>
  <c r="D140" i="25"/>
  <c r="D274" i="25"/>
  <c r="D232" i="25"/>
  <c r="D309" i="26"/>
  <c r="D257" i="26"/>
  <c r="D153" i="26"/>
  <c r="K2950" i="23"/>
  <c r="D361" i="26"/>
  <c r="D49" i="26"/>
  <c r="L23" i="36"/>
  <c r="D235" i="26"/>
  <c r="D23" i="36"/>
  <c r="D183" i="26"/>
  <c r="L5" i="36"/>
  <c r="D131" i="26"/>
  <c r="L41" i="36"/>
  <c r="D339" i="26"/>
  <c r="K2840" i="23"/>
  <c r="I39" i="24"/>
  <c r="J39" i="24"/>
  <c r="D15" i="25"/>
  <c r="D122" i="26"/>
  <c r="D70" i="26"/>
  <c r="F39" i="24"/>
  <c r="G39" i="24"/>
  <c r="D41" i="36"/>
  <c r="D287" i="26"/>
  <c r="D199" i="26"/>
  <c r="K457" i="23"/>
  <c r="I37" i="24"/>
  <c r="J37" i="24"/>
  <c r="F37" i="24"/>
  <c r="G37" i="24"/>
  <c r="C65" i="22"/>
  <c r="D44" i="26"/>
  <c r="D256" i="26"/>
  <c r="C81" i="22"/>
  <c r="D11" i="36"/>
  <c r="D355" i="26"/>
  <c r="D303" i="26"/>
  <c r="D75" i="26"/>
  <c r="K3106" i="23"/>
  <c r="D179" i="26"/>
  <c r="D127" i="26"/>
  <c r="D171" i="25"/>
  <c r="D43" i="26"/>
  <c r="D22" i="26"/>
  <c r="I15" i="22"/>
  <c r="C34" i="24"/>
  <c r="D34" i="24"/>
  <c r="I32" i="24"/>
  <c r="J32" i="24"/>
  <c r="C38" i="24"/>
  <c r="D38" i="24"/>
  <c r="J3014" i="23"/>
  <c r="C37" i="24"/>
  <c r="D37" i="24"/>
  <c r="I3017" i="23"/>
  <c r="J3017" i="23"/>
  <c r="F30" i="24"/>
  <c r="D62" i="36"/>
  <c r="K2948" i="23"/>
  <c r="D95" i="26"/>
  <c r="D359" i="26"/>
  <c r="K492" i="23"/>
  <c r="K2968" i="23"/>
  <c r="C83" i="22"/>
  <c r="D78" i="26"/>
  <c r="I43" i="22"/>
  <c r="D237" i="26"/>
  <c r="D278" i="26"/>
  <c r="D25" i="36"/>
  <c r="I35" i="24"/>
  <c r="J35" i="24"/>
  <c r="D281" i="26"/>
  <c r="D190" i="25"/>
  <c r="K1939" i="23"/>
  <c r="C15" i="22"/>
  <c r="C15" i="24"/>
  <c r="K1029" i="23"/>
  <c r="K2893" i="23"/>
  <c r="D177" i="26"/>
  <c r="D229" i="26"/>
  <c r="K151" i="23"/>
  <c r="E83" i="22"/>
  <c r="D182" i="26"/>
  <c r="K591" i="23"/>
  <c r="I83" i="22"/>
  <c r="K605" i="23"/>
  <c r="I17" i="22"/>
  <c r="K657" i="23"/>
  <c r="I165" i="22"/>
  <c r="D165" i="22"/>
  <c r="K729" i="23"/>
  <c r="K1643" i="23"/>
  <c r="D26" i="36"/>
  <c r="L11" i="36"/>
  <c r="K414" i="23"/>
  <c r="K1417" i="23"/>
  <c r="K2031" i="23"/>
  <c r="E2036" i="23"/>
  <c r="K2036" i="23"/>
  <c r="K1884" i="23"/>
  <c r="K1554" i="23"/>
  <c r="K102" i="23"/>
  <c r="B91" i="22"/>
  <c r="D278" i="25"/>
  <c r="D100" i="25"/>
  <c r="B43" i="22"/>
  <c r="K118" i="23"/>
  <c r="I91" i="22"/>
  <c r="C91" i="22"/>
  <c r="D68" i="25"/>
  <c r="K850" i="23"/>
  <c r="K825" i="23"/>
  <c r="K1323" i="23"/>
  <c r="K1403" i="23"/>
  <c r="K1495" i="23"/>
  <c r="L7" i="36"/>
  <c r="K442" i="23"/>
  <c r="F165" i="22"/>
  <c r="H113" i="22"/>
  <c r="K232" i="23"/>
  <c r="I113" i="22"/>
  <c r="K1153" i="23"/>
  <c r="K1933" i="23"/>
  <c r="D65" i="36"/>
  <c r="J2849" i="23"/>
  <c r="K2849" i="23"/>
  <c r="K2847" i="23"/>
  <c r="K2697" i="23"/>
  <c r="K2949" i="23"/>
  <c r="E69" i="22"/>
  <c r="E165" i="22"/>
  <c r="K1002" i="23"/>
  <c r="K1224" i="23"/>
  <c r="K1238" i="23"/>
  <c r="L44" i="36"/>
  <c r="K2689" i="23"/>
  <c r="K2025" i="23"/>
  <c r="K1982" i="23"/>
  <c r="D133" i="26"/>
  <c r="I27" i="22"/>
  <c r="K1918" i="23"/>
  <c r="K3080" i="23"/>
  <c r="K972" i="23"/>
  <c r="D129" i="22"/>
  <c r="D99" i="26"/>
  <c r="D171" i="22"/>
  <c r="K1179" i="23"/>
  <c r="I171" i="22"/>
  <c r="E53" i="22"/>
  <c r="K505" i="23"/>
  <c r="I149" i="22"/>
  <c r="K835" i="23"/>
  <c r="I11" i="22"/>
  <c r="K412" i="23"/>
  <c r="I181" i="22"/>
  <c r="I137" i="22"/>
  <c r="D174" i="26"/>
  <c r="K668" i="23"/>
  <c r="D104" i="25"/>
  <c r="K2329" i="23"/>
  <c r="K2144" i="23"/>
  <c r="F73" i="22"/>
  <c r="K2842" i="23"/>
  <c r="K2660" i="23"/>
  <c r="K2828" i="23"/>
  <c r="H1756" i="23"/>
  <c r="K1756" i="23"/>
  <c r="H1759" i="23"/>
  <c r="K1759" i="23"/>
  <c r="H1760" i="23"/>
  <c r="K1760" i="23"/>
  <c r="H2560" i="23"/>
  <c r="K2560" i="23"/>
  <c r="K2559" i="23"/>
  <c r="D910" i="23"/>
  <c r="D907" i="23"/>
  <c r="B35" i="22"/>
  <c r="K2668" i="23"/>
  <c r="K2690" i="23"/>
  <c r="K3140" i="23"/>
  <c r="I2591" i="23"/>
  <c r="K2591" i="23"/>
  <c r="K2587" i="23"/>
  <c r="J2252" i="23"/>
  <c r="K2252" i="23"/>
  <c r="J2254" i="23"/>
  <c r="K2254" i="23"/>
  <c r="H1305" i="23"/>
  <c r="K1304" i="23"/>
  <c r="E346" i="23"/>
  <c r="E347" i="23"/>
  <c r="K347" i="23"/>
  <c r="E348" i="23"/>
  <c r="K348" i="23"/>
  <c r="I117" i="22"/>
  <c r="K951" i="23"/>
  <c r="I129" i="22"/>
  <c r="K2057" i="23"/>
  <c r="K2931" i="23"/>
  <c r="K2750" i="23"/>
  <c r="K2725" i="23"/>
  <c r="E758" i="23"/>
  <c r="K758" i="23"/>
  <c r="E761" i="23"/>
  <c r="K761" i="23"/>
  <c r="E843" i="23"/>
  <c r="C11" i="22"/>
  <c r="C4" i="24"/>
  <c r="E840" i="23"/>
  <c r="F17" i="22"/>
  <c r="F18" i="24"/>
  <c r="J2183" i="23"/>
  <c r="K2183" i="23"/>
  <c r="K2181" i="23"/>
  <c r="J848" i="23"/>
  <c r="K848" i="23"/>
  <c r="I51" i="22"/>
  <c r="J851" i="23"/>
  <c r="K851" i="23"/>
  <c r="K1079" i="23"/>
  <c r="I163" i="22"/>
  <c r="K2891" i="23"/>
  <c r="J2609" i="23"/>
  <c r="K2609" i="23"/>
  <c r="K2605" i="23"/>
  <c r="J2608" i="23"/>
  <c r="K2608" i="23"/>
  <c r="J2610" i="23"/>
  <c r="K2610" i="23"/>
  <c r="I1215" i="23"/>
  <c r="I1216" i="23"/>
  <c r="K1216" i="23"/>
  <c r="I125" i="22"/>
  <c r="E3" i="29"/>
  <c r="F3" i="29"/>
  <c r="G3" i="29"/>
  <c r="K1214" i="23"/>
  <c r="E640" i="23"/>
  <c r="K639" i="23"/>
  <c r="H383" i="23"/>
  <c r="K383" i="23"/>
  <c r="I29" i="22"/>
  <c r="K382" i="23"/>
  <c r="E519" i="23"/>
  <c r="C41" i="22"/>
  <c r="K517" i="23"/>
  <c r="E532" i="23"/>
  <c r="C7" i="22"/>
  <c r="C11" i="24"/>
  <c r="E533" i="23"/>
  <c r="K2887" i="23"/>
  <c r="K3086" i="23"/>
  <c r="K3122" i="23"/>
  <c r="K2877" i="23"/>
  <c r="I1268" i="23"/>
  <c r="K1268" i="23"/>
  <c r="K1266" i="23"/>
  <c r="I1267" i="23"/>
  <c r="K1267" i="23"/>
  <c r="I1269" i="23"/>
  <c r="K1269" i="23"/>
  <c r="G33" i="23"/>
  <c r="K33" i="23"/>
  <c r="K29" i="23"/>
  <c r="K3059" i="23"/>
  <c r="K2964" i="23"/>
  <c r="J784" i="23"/>
  <c r="K784" i="23"/>
  <c r="I85" i="22"/>
  <c r="K345" i="23"/>
  <c r="J783" i="23"/>
  <c r="K783" i="23"/>
  <c r="I73" i="22"/>
  <c r="E14" i="29"/>
  <c r="F14" i="29"/>
  <c r="G14" i="29"/>
  <c r="I1174" i="23"/>
  <c r="K1174" i="23"/>
  <c r="K2230" i="23"/>
  <c r="K2746" i="23"/>
  <c r="K2871" i="23"/>
  <c r="K2975" i="23"/>
  <c r="K2768" i="23"/>
  <c r="H684" i="23"/>
  <c r="K683" i="23"/>
  <c r="F379" i="23"/>
  <c r="K379" i="23"/>
  <c r="F376" i="23"/>
  <c r="J1725" i="23"/>
  <c r="K1725" i="23"/>
  <c r="K1723" i="23"/>
  <c r="I425" i="23"/>
  <c r="K424" i="23"/>
  <c r="G35" i="22"/>
  <c r="D225" i="26"/>
  <c r="K1215" i="23"/>
  <c r="C125" i="22"/>
  <c r="K840" i="23"/>
  <c r="D103" i="22"/>
  <c r="K376" i="23"/>
  <c r="K843" i="23"/>
  <c r="F41" i="22"/>
  <c r="K1305" i="23"/>
  <c r="K533" i="23"/>
  <c r="I39" i="22"/>
  <c r="C39" i="22"/>
  <c r="K532" i="23"/>
  <c r="I7" i="22"/>
  <c r="K519" i="23"/>
  <c r="I41" i="22"/>
  <c r="D267" i="25"/>
  <c r="D225" i="25"/>
  <c r="C117" i="22"/>
  <c r="D253" i="26"/>
  <c r="D149" i="26"/>
  <c r="F7" i="22"/>
  <c r="F11" i="24"/>
  <c r="K684" i="23"/>
  <c r="H51" i="22"/>
  <c r="D289" i="26"/>
  <c r="K640" i="23"/>
  <c r="I25" i="22"/>
  <c r="C25" i="22"/>
  <c r="C23" i="24"/>
  <c r="P13" i="24"/>
  <c r="D66" i="26"/>
  <c r="K907" i="23"/>
  <c r="I35" i="22"/>
  <c r="G29" i="22"/>
  <c r="K425" i="23"/>
  <c r="C105" i="22"/>
  <c r="D59" i="25"/>
  <c r="K910" i="23"/>
  <c r="I187" i="22"/>
  <c r="B187" i="22"/>
  <c r="L42" i="36"/>
  <c r="D26" i="25"/>
  <c r="F12" i="24"/>
  <c r="C101" i="22"/>
  <c r="K346" i="23"/>
  <c r="I101" i="22"/>
  <c r="E19" i="29"/>
  <c r="F19" i="29"/>
  <c r="G19" i="29"/>
  <c r="C10" i="24"/>
  <c r="D124" i="26"/>
  <c r="D228" i="26"/>
  <c r="D176" i="26"/>
  <c r="C35" i="24"/>
  <c r="D35" i="24"/>
  <c r="I33" i="24"/>
  <c r="J33" i="24"/>
  <c r="F33" i="24"/>
  <c r="G33" i="24"/>
  <c r="D9" i="36"/>
  <c r="D63" i="36"/>
  <c r="D341" i="26"/>
  <c r="D71" i="26"/>
  <c r="D19" i="26"/>
  <c r="D173" i="26"/>
  <c r="D17" i="26"/>
  <c r="D329" i="26"/>
  <c r="D277" i="26"/>
  <c r="J3015" i="23"/>
  <c r="K3015" i="23"/>
  <c r="D20" i="26"/>
  <c r="D72" i="26"/>
  <c r="D332" i="26"/>
  <c r="E6" i="29"/>
  <c r="F6" i="29"/>
  <c r="G6" i="29"/>
  <c r="P4" i="24"/>
  <c r="D59" i="26"/>
  <c r="C28" i="24"/>
  <c r="D28" i="24"/>
  <c r="I3018" i="23"/>
  <c r="J3018" i="23"/>
  <c r="K3018" i="23"/>
  <c r="K3017" i="23"/>
  <c r="P8" i="24"/>
  <c r="D57" i="26"/>
  <c r="C33" i="24"/>
  <c r="D33" i="24"/>
  <c r="I105" i="22"/>
  <c r="E13" i="29"/>
  <c r="F13" i="29"/>
  <c r="G13" i="29"/>
  <c r="F22" i="29"/>
  <c r="F23" i="29"/>
  <c r="K3016" i="23"/>
  <c r="I3016" i="23"/>
  <c r="J3016" i="23"/>
  <c r="D73" i="26"/>
  <c r="D333" i="26"/>
  <c r="D21" i="26"/>
  <c r="D24" i="26"/>
  <c r="C32" i="24"/>
  <c r="D32" i="24"/>
  <c r="D47" i="26"/>
  <c r="V8" i="24"/>
  <c r="D213" i="26"/>
  <c r="F29" i="22"/>
  <c r="H85" i="22"/>
  <c r="L8" i="36"/>
  <c r="K3013" i="23"/>
  <c r="D336" i="26"/>
  <c r="D25" i="26"/>
  <c r="B12" i="24"/>
  <c r="C14" i="24"/>
  <c r="D14" i="25"/>
  <c r="I23" i="22"/>
  <c r="I31" i="22"/>
  <c r="D279" i="26"/>
  <c r="D331" i="26"/>
  <c r="Z11" i="24"/>
  <c r="D315" i="26"/>
  <c r="R4" i="24"/>
  <c r="D111" i="26"/>
  <c r="D17" i="25"/>
  <c r="G125" i="22"/>
  <c r="D76" i="26"/>
  <c r="D356" i="26"/>
  <c r="P6" i="24"/>
  <c r="D63" i="26"/>
  <c r="D129" i="26"/>
  <c r="D230" i="26"/>
  <c r="D275" i="26"/>
  <c r="D223" i="26"/>
  <c r="L45" i="36"/>
  <c r="D204" i="26"/>
  <c r="E15" i="24"/>
  <c r="E10" i="24"/>
  <c r="F34" i="24"/>
  <c r="G34" i="24"/>
  <c r="H73" i="22"/>
  <c r="D96" i="26"/>
  <c r="N8" i="24"/>
  <c r="D5" i="26"/>
  <c r="G12" i="24"/>
  <c r="E18" i="24"/>
  <c r="F36" i="24"/>
  <c r="G36" i="24"/>
  <c r="E12" i="24"/>
  <c r="I145" i="22"/>
  <c r="T6" i="24"/>
  <c r="D167" i="26"/>
  <c r="D327" i="26"/>
  <c r="D15" i="26"/>
  <c r="K1772" i="23"/>
  <c r="C9" i="24"/>
  <c r="C30" i="24"/>
  <c r="C16" i="24"/>
  <c r="P9" i="24"/>
  <c r="D61" i="26"/>
  <c r="H18" i="24"/>
  <c r="I36" i="24"/>
  <c r="J36" i="24"/>
  <c r="J40" i="24"/>
  <c r="H12" i="24"/>
  <c r="Z8" i="24"/>
  <c r="D317" i="26"/>
  <c r="G9" i="24"/>
  <c r="I30" i="24"/>
  <c r="J30" i="24"/>
  <c r="G16" i="24"/>
  <c r="R9" i="24"/>
  <c r="D113" i="26"/>
  <c r="K1524" i="23"/>
  <c r="P11" i="24"/>
  <c r="D55" i="26"/>
  <c r="X11" i="24"/>
  <c r="D263" i="26"/>
  <c r="T8" i="24"/>
  <c r="D161" i="26"/>
  <c r="V6" i="24"/>
  <c r="D219" i="26"/>
  <c r="E23" i="24"/>
  <c r="E22" i="24"/>
  <c r="F38" i="24"/>
  <c r="G38" i="24"/>
  <c r="Z4" i="24"/>
  <c r="D319" i="26"/>
  <c r="I1342" i="23"/>
  <c r="K1341" i="23"/>
  <c r="X8" i="24"/>
  <c r="D265" i="26"/>
  <c r="Z9" i="24"/>
  <c r="D321" i="26"/>
  <c r="G10" i="24"/>
  <c r="D149" i="22"/>
  <c r="V9" i="24"/>
  <c r="D217" i="26"/>
  <c r="D14" i="24"/>
  <c r="F16" i="24"/>
  <c r="B10" i="24"/>
  <c r="G14" i="24"/>
  <c r="V4" i="24"/>
  <c r="D215" i="26"/>
  <c r="X4" i="24"/>
  <c r="D267" i="26"/>
  <c r="N4" i="24"/>
  <c r="D7" i="26"/>
  <c r="X9" i="24"/>
  <c r="D269" i="26"/>
  <c r="I357" i="23"/>
  <c r="K357" i="23"/>
  <c r="H16" i="24"/>
  <c r="R6" i="24"/>
  <c r="D115" i="26"/>
  <c r="D67" i="26"/>
  <c r="N9" i="24"/>
  <c r="D9" i="26"/>
  <c r="X6" i="24"/>
  <c r="D271" i="26"/>
  <c r="D171" i="26"/>
  <c r="T4" i="24"/>
  <c r="D163" i="26"/>
  <c r="V11" i="24"/>
  <c r="D211" i="26"/>
  <c r="G30" i="24"/>
  <c r="D30" i="24"/>
  <c r="D40" i="24"/>
  <c r="T11" i="24"/>
  <c r="D159" i="26"/>
  <c r="K1342" i="23"/>
  <c r="I81" i="22"/>
  <c r="G81" i="22"/>
  <c r="D305" i="26"/>
  <c r="D357" i="26"/>
  <c r="D45" i="36"/>
  <c r="L27" i="36"/>
  <c r="D27" i="36"/>
  <c r="D88" i="25"/>
  <c r="D172" i="25"/>
  <c r="D130" i="25"/>
  <c r="D46" i="25"/>
  <c r="D67" i="25"/>
  <c r="D109" i="25"/>
  <c r="T13" i="24"/>
  <c r="D170" i="26"/>
  <c r="F32" i="24"/>
  <c r="G32" i="24"/>
  <c r="T9" i="24"/>
  <c r="D165" i="26"/>
  <c r="F35" i="24"/>
  <c r="G35" i="24"/>
  <c r="G40" i="24"/>
  <c r="L40" i="24"/>
  <c r="D47" i="36"/>
  <c r="L29" i="36"/>
  <c r="D29" i="36"/>
  <c r="D180" i="26"/>
  <c r="D232" i="26"/>
  <c r="D284" i="26"/>
  <c r="D128" i="26"/>
</calcChain>
</file>

<file path=xl/sharedStrings.xml><?xml version="1.0" encoding="utf-8"?>
<sst xmlns="http://schemas.openxmlformats.org/spreadsheetml/2006/main" count="9973" uniqueCount="1967">
  <si>
    <t>cajun</t>
  </si>
  <si>
    <t>Coffee</t>
  </si>
  <si>
    <t>Strawberry Gelato</t>
  </si>
  <si>
    <t>Chocolate Gelato</t>
  </si>
  <si>
    <t>Oregano Garlic Seasoning MPS</t>
  </si>
  <si>
    <t>Pina Colada Mix</t>
  </si>
  <si>
    <t>lasagna top</t>
  </si>
  <si>
    <t>lasagna bottom</t>
  </si>
  <si>
    <t>Portion Cup - 2 oz</t>
  </si>
  <si>
    <t>SALSA</t>
  </si>
  <si>
    <t>Orange Pekoe</t>
  </si>
  <si>
    <t>Piada Paper</t>
  </si>
  <si>
    <t>Box</t>
  </si>
  <si>
    <t>Fryer Filters</t>
  </si>
  <si>
    <t>Random Crap</t>
  </si>
  <si>
    <t>2 oz lid</t>
  </si>
  <si>
    <t>INPUT1</t>
  </si>
  <si>
    <t>SEAFOOD</t>
  </si>
  <si>
    <t>DAIRY/CHEESE/MARGERINE</t>
  </si>
  <si>
    <t>SOUP/DOUGH/BREAD</t>
  </si>
  <si>
    <t>PASTA/CAPP/LASAGNA</t>
  </si>
  <si>
    <t>PASTA SAUCES</t>
  </si>
  <si>
    <t>FRIES/POTATO/CANNED</t>
  </si>
  <si>
    <t>DESSERTS/ICE CREAM</t>
  </si>
  <si>
    <t>SAUCE/CONDIMENT/DRESSING</t>
  </si>
  <si>
    <t>LETTUCES/PRODUCE</t>
  </si>
  <si>
    <t>M</t>
  </si>
  <si>
    <t>Oasis Pomegrante</t>
  </si>
  <si>
    <t>PACK SIZE</t>
  </si>
  <si>
    <t>ORDER1</t>
  </si>
  <si>
    <t>ORDER2</t>
  </si>
  <si>
    <t>STEVE</t>
  </si>
  <si>
    <t>UOM</t>
  </si>
  <si>
    <t>INPUT3</t>
  </si>
  <si>
    <t>INPUT4</t>
  </si>
  <si>
    <t>LrG Oval Blk Lids</t>
  </si>
  <si>
    <t>NEW Cotton Drink</t>
  </si>
  <si>
    <t>Jug</t>
  </si>
  <si>
    <t>Passionfruit Juice</t>
  </si>
  <si>
    <t>Each</t>
  </si>
  <si>
    <t>Sundried Tortilla</t>
  </si>
  <si>
    <t>Pack</t>
  </si>
  <si>
    <t>Berry Mix</t>
  </si>
  <si>
    <t>STONE FRUIT</t>
  </si>
  <si>
    <t>ground black pepper</t>
  </si>
  <si>
    <t>Lime Descaler</t>
  </si>
  <si>
    <t>case</t>
  </si>
  <si>
    <t>chop stciks</t>
  </si>
  <si>
    <t>pack</t>
  </si>
  <si>
    <t>10 oz Pizza Dough</t>
  </si>
  <si>
    <t>Roasted Garlic Puree  (24 oz wt)</t>
  </si>
  <si>
    <t>8 oz Steak</t>
  </si>
  <si>
    <t>Burgers 8 OZ</t>
  </si>
  <si>
    <t>Burgers 4 OZ</t>
  </si>
  <si>
    <t>Smoked Turkey</t>
  </si>
  <si>
    <t>Meat balls</t>
  </si>
  <si>
    <t>Baby Back Ribs</t>
  </si>
  <si>
    <t>Chicken fingers</t>
  </si>
  <si>
    <t>Philly Steak</t>
  </si>
  <si>
    <t>Bacon Bits</t>
  </si>
  <si>
    <t>Shrimp (51-60)</t>
  </si>
  <si>
    <t>Calamari</t>
  </si>
  <si>
    <t>Salmon</t>
  </si>
  <si>
    <t>Scallops</t>
  </si>
  <si>
    <t>Alfredo Sauce</t>
  </si>
  <si>
    <t>Pizza Sauce</t>
  </si>
  <si>
    <t>Napolitana Sauce</t>
  </si>
  <si>
    <t>Arribbiatta Sauce</t>
  </si>
  <si>
    <t>Prima Sauce</t>
  </si>
  <si>
    <t>Seafood Sauce</t>
  </si>
  <si>
    <t>Bolognese Sauce</t>
  </si>
  <si>
    <t>Caesar Dressing</t>
  </si>
  <si>
    <t>BOTO Penne Sausage</t>
  </si>
  <si>
    <t>BOTO Fettucini Alfredo</t>
  </si>
  <si>
    <t>BOTO Spaghetti Meatballs</t>
  </si>
  <si>
    <t>BOTO Penne Primavera</t>
  </si>
  <si>
    <t>House Viniagrette</t>
  </si>
  <si>
    <t>White Wine</t>
  </si>
  <si>
    <t>Salsa Sauce</t>
  </si>
  <si>
    <t>Hells sauce</t>
  </si>
  <si>
    <t>Calamari sauce</t>
  </si>
  <si>
    <t>Meat Lasagna</t>
  </si>
  <si>
    <t>Cappelletti</t>
  </si>
  <si>
    <t>Chopped Romaine</t>
  </si>
  <si>
    <t>Chopped Iceberg</t>
  </si>
  <si>
    <t>PB Stack</t>
  </si>
  <si>
    <t>Funnel Cake</t>
  </si>
  <si>
    <t>NY Cheesecake</t>
  </si>
  <si>
    <t>B &amp; W Mousse</t>
  </si>
  <si>
    <t>10" Pizza Dough</t>
  </si>
  <si>
    <t>16" Pizza Dough</t>
  </si>
  <si>
    <t>7 " Round Pizza Dough</t>
  </si>
  <si>
    <t>Shredded Cheddar</t>
  </si>
  <si>
    <t>Shredded Mozerella</t>
  </si>
  <si>
    <t>White Milk</t>
  </si>
  <si>
    <t>Chocolate Milk</t>
  </si>
  <si>
    <t>Wedding Soup</t>
  </si>
  <si>
    <t>Homeloaves</t>
  </si>
  <si>
    <t>Caramel Topping</t>
  </si>
  <si>
    <t>Panko Bread Crumbs</t>
  </si>
  <si>
    <t>Arribbiatta Concentrate</t>
  </si>
  <si>
    <t>Veal cutlet</t>
  </si>
  <si>
    <t>Minestone Soup</t>
  </si>
  <si>
    <t>CONT</t>
  </si>
  <si>
    <t>8 oz Fettucini</t>
  </si>
  <si>
    <t>5 oz Fettucini</t>
  </si>
  <si>
    <t>8 oz Linguini</t>
  </si>
  <si>
    <t>5 oz Linguini</t>
  </si>
  <si>
    <t>8 oz Penne</t>
  </si>
  <si>
    <t>5 oz Penne</t>
  </si>
  <si>
    <t>8 oz Spaghetti</t>
  </si>
  <si>
    <t>5 oz Spaghetti</t>
  </si>
  <si>
    <t>8 oz Bow Tie</t>
  </si>
  <si>
    <t>5 oz Bow Tie</t>
  </si>
  <si>
    <t>Beverages</t>
  </si>
  <si>
    <t>Price</t>
  </si>
  <si>
    <t>BEVERAGES</t>
  </si>
  <si>
    <t>all purpose</t>
  </si>
  <si>
    <t>Crustini</t>
  </si>
  <si>
    <t>Wings</t>
  </si>
  <si>
    <t>Tomato Soup</t>
  </si>
  <si>
    <t>Prima Veg</t>
  </si>
  <si>
    <t>Veg of the Day</t>
  </si>
  <si>
    <t>Sausage Coins</t>
  </si>
  <si>
    <t>Open.</t>
  </si>
  <si>
    <t xml:space="preserve"> Purchases</t>
  </si>
  <si>
    <t>Total</t>
  </si>
  <si>
    <t>Closing</t>
  </si>
  <si>
    <t>Weekly</t>
  </si>
  <si>
    <t>Usage</t>
  </si>
  <si>
    <t>Purchases</t>
  </si>
  <si>
    <t>ITEM</t>
  </si>
  <si>
    <t>UNIT</t>
  </si>
  <si>
    <t>Inv</t>
  </si>
  <si>
    <t>Stock</t>
  </si>
  <si>
    <t>Inv.</t>
  </si>
  <si>
    <t>Per Unit</t>
  </si>
  <si>
    <t>In $</t>
  </si>
  <si>
    <t>Inv. In $</t>
  </si>
  <si>
    <t>Pulled Pork</t>
  </si>
  <si>
    <t>KG</t>
  </si>
  <si>
    <t>EACH</t>
  </si>
  <si>
    <t>each</t>
  </si>
  <si>
    <t>LB</t>
  </si>
  <si>
    <t>Bacon bits</t>
  </si>
  <si>
    <t>1 oz Meatballs</t>
  </si>
  <si>
    <t>Pre-cooked Bacon Strips</t>
  </si>
  <si>
    <t>PKG</t>
  </si>
  <si>
    <t>Julienned Chicken</t>
  </si>
  <si>
    <t>Chicken wings</t>
  </si>
  <si>
    <t>Mussels</t>
  </si>
  <si>
    <t>Salmon  6 oz</t>
  </si>
  <si>
    <t>Margarine</t>
  </si>
  <si>
    <t>PAIL</t>
  </si>
  <si>
    <t>Real Whipped Cr.</t>
  </si>
  <si>
    <t>Chocolate Milk 2L</t>
  </si>
  <si>
    <t>Creamers 18 %</t>
  </si>
  <si>
    <t>BAG</t>
  </si>
  <si>
    <t>Butter Milk</t>
  </si>
  <si>
    <t>Milk 2 % 2L</t>
  </si>
  <si>
    <t>Milkettes</t>
  </si>
  <si>
    <t>Parmesan Cheese</t>
  </si>
  <si>
    <t>Goat Cheese</t>
  </si>
  <si>
    <t>Parmesan Cubes</t>
  </si>
  <si>
    <t>Garlic Butter</t>
  </si>
  <si>
    <t>Shredded Mozzeralla</t>
  </si>
  <si>
    <t xml:space="preserve"> </t>
  </si>
  <si>
    <t>Italian Wedding Soup</t>
  </si>
  <si>
    <t>CASE</t>
  </si>
  <si>
    <t>Home Loaf</t>
  </si>
  <si>
    <t>Fettucini</t>
  </si>
  <si>
    <t>Linguine</t>
  </si>
  <si>
    <t>Penne</t>
  </si>
  <si>
    <t>Spaghetti</t>
  </si>
  <si>
    <t>Cheese Cappelletti</t>
  </si>
  <si>
    <t>CSE</t>
  </si>
  <si>
    <t>Pesto Sauce</t>
  </si>
  <si>
    <t>Bolgnese Sauce</t>
  </si>
  <si>
    <t>BTL</t>
  </si>
  <si>
    <t>JUG</t>
  </si>
  <si>
    <t>French Fries</t>
  </si>
  <si>
    <t>Potato Wedges</t>
  </si>
  <si>
    <t>Pineapple Tidbits</t>
  </si>
  <si>
    <t>Whole Black Olives</t>
  </si>
  <si>
    <t>CAN</t>
  </si>
  <si>
    <t>Green Stuffed Olives</t>
  </si>
  <si>
    <t>JAR</t>
  </si>
  <si>
    <t>Hot Cherry Peppers</t>
  </si>
  <si>
    <t>Pepperoncini Peppers</t>
  </si>
  <si>
    <t>Cherries</t>
  </si>
  <si>
    <t>BOX</t>
  </si>
  <si>
    <t>Nestle Vanilla</t>
  </si>
  <si>
    <t>TUB</t>
  </si>
  <si>
    <t>Chocolate Syrup</t>
  </si>
  <si>
    <t>Peanut Butter Stack  8</t>
  </si>
  <si>
    <t>Canola Oil</t>
  </si>
  <si>
    <t>Hi Lo Fryer Shortening</t>
  </si>
  <si>
    <t>SPRAY OIL</t>
  </si>
  <si>
    <t>White Vinegar</t>
  </si>
  <si>
    <t>Hot Wing Sauce</t>
  </si>
  <si>
    <t>Medium Wing Sauce</t>
  </si>
  <si>
    <t>Mild Wing Sauce</t>
  </si>
  <si>
    <t>Honey Garlic</t>
  </si>
  <si>
    <t>Relish</t>
  </si>
  <si>
    <t>HP Sauce</t>
  </si>
  <si>
    <t>Mustard</t>
  </si>
  <si>
    <t>Sugar Sticks</t>
  </si>
  <si>
    <t>Sweet &amp; Low</t>
  </si>
  <si>
    <t>TO Ketchup</t>
  </si>
  <si>
    <t>Caeser Dressing</t>
  </si>
  <si>
    <t xml:space="preserve">Blue Cheese Dressing    </t>
  </si>
  <si>
    <t>Balsamic Glaze</t>
  </si>
  <si>
    <t>jug</t>
  </si>
  <si>
    <t>BTTLE</t>
  </si>
  <si>
    <t>PACK</t>
  </si>
  <si>
    <t>Crushed Chilies</t>
  </si>
  <si>
    <t>Table Salt</t>
  </si>
  <si>
    <t>Oasis Apple Juice</t>
  </si>
  <si>
    <t>BIB</t>
  </si>
  <si>
    <t>Specialty Teas</t>
  </si>
  <si>
    <t>Tomato Juice - small</t>
  </si>
  <si>
    <t>Oasis Orange Juice</t>
  </si>
  <si>
    <t>Hot Chocolate</t>
  </si>
  <si>
    <t>Oasis Strawberry</t>
  </si>
  <si>
    <t>Basil - Fresh</t>
  </si>
  <si>
    <t>Baby Spinach</t>
  </si>
  <si>
    <t>Carrots</t>
  </si>
  <si>
    <t>Celery</t>
  </si>
  <si>
    <t>Garlic - Whole</t>
  </si>
  <si>
    <t>Green Peppers</t>
  </si>
  <si>
    <t>Lemons</t>
  </si>
  <si>
    <t>Button Mushrooms</t>
  </si>
  <si>
    <t>Parsley</t>
  </si>
  <si>
    <t>Red Peppers</t>
  </si>
  <si>
    <t>Green Onions</t>
  </si>
  <si>
    <t>BUNCH</t>
  </si>
  <si>
    <t>Pasta - cooked</t>
  </si>
  <si>
    <t>Stuffed Mushrooms</t>
  </si>
  <si>
    <t>BATCH</t>
  </si>
  <si>
    <t>Chicken Parmigiana</t>
  </si>
  <si>
    <t>1 L</t>
  </si>
  <si>
    <t>Grenadine</t>
  </si>
  <si>
    <t>Margarita Juice</t>
  </si>
  <si>
    <t>Oasis  Raspberry</t>
  </si>
  <si>
    <t>Oasis Peach</t>
  </si>
  <si>
    <t>2 comp cont</t>
  </si>
  <si>
    <t>2 comp cont lid</t>
  </si>
  <si>
    <t>Cotton Candy</t>
  </si>
  <si>
    <t>Limes</t>
  </si>
  <si>
    <t>Cranberry juice</t>
  </si>
  <si>
    <t>Clamato Bottles</t>
  </si>
  <si>
    <t>Worchestershire</t>
  </si>
  <si>
    <t>Tonic water</t>
  </si>
  <si>
    <t>Tabasco</t>
  </si>
  <si>
    <t>Ceasar Spice</t>
  </si>
  <si>
    <t>PROMO ITEMS</t>
  </si>
  <si>
    <t>Meat</t>
  </si>
  <si>
    <t>Poultry</t>
  </si>
  <si>
    <t>Seafood</t>
  </si>
  <si>
    <t>Dairy &amp; Cheese</t>
  </si>
  <si>
    <t>Breads &amp; Soups</t>
  </si>
  <si>
    <t>Pasta</t>
  </si>
  <si>
    <t>Dessert</t>
  </si>
  <si>
    <t>Condiments</t>
  </si>
  <si>
    <t>Spices</t>
  </si>
  <si>
    <t>Produce</t>
  </si>
  <si>
    <t>Prep</t>
  </si>
  <si>
    <t>Dead Stock</t>
  </si>
  <si>
    <t>Promo Items</t>
  </si>
  <si>
    <t>Bar Mix</t>
  </si>
  <si>
    <t>MEAT PRODUCTS</t>
  </si>
  <si>
    <t>INPUT 2</t>
  </si>
  <si>
    <t xml:space="preserve">PAPER  </t>
  </si>
  <si>
    <t>TAKE OUT</t>
  </si>
  <si>
    <t>CLEANING</t>
  </si>
  <si>
    <t>GUEST</t>
  </si>
  <si>
    <t>DISH</t>
  </si>
  <si>
    <t>POULTRY PRODUCTS</t>
  </si>
  <si>
    <t>DAIRY &amp; CHEESE PRODUCTS</t>
  </si>
  <si>
    <t>SEAFOOD PRODUCTS</t>
  </si>
  <si>
    <t>BREADS &amp; SOUPS PRODUCTS</t>
  </si>
  <si>
    <t>PASTAS PRODUCTS</t>
  </si>
  <si>
    <t>PACKAGED &amp; FROZEN PRODUCTS</t>
  </si>
  <si>
    <t>DESSERT PRODUCTS</t>
  </si>
  <si>
    <t>CONDIMENTS PRODUCTS</t>
  </si>
  <si>
    <t>SPICES</t>
  </si>
  <si>
    <t>FRUITS &amp; VEGETABLES</t>
  </si>
  <si>
    <t>PREPPED ITEMS</t>
  </si>
  <si>
    <t>BAR MIX ITEMS</t>
  </si>
  <si>
    <t>FOOD SALES</t>
  </si>
  <si>
    <t>STAFF/MGT MEALS</t>
  </si>
  <si>
    <t>FOOD COST BEFORE ADJUSTMENTS</t>
  </si>
  <si>
    <t>FOOD COST AFTER ADJUSTMENTS</t>
  </si>
  <si>
    <t>CLOSING INVENTORY $$</t>
  </si>
  <si>
    <t>PURCHASES $$</t>
  </si>
  <si>
    <t>% OF SALES</t>
  </si>
  <si>
    <t>CLOSING $$</t>
  </si>
  <si>
    <t>PURCH $$</t>
  </si>
  <si>
    <t>Paper Towels</t>
  </si>
  <si>
    <t>Toilet Paper</t>
  </si>
  <si>
    <t>Dinner Napkins</t>
  </si>
  <si>
    <t>Foil Wrap</t>
  </si>
  <si>
    <t>Film Wrap</t>
  </si>
  <si>
    <t>Peach Paper</t>
  </si>
  <si>
    <t>Cocktail Napkins</t>
  </si>
  <si>
    <t>Muddlers</t>
  </si>
  <si>
    <t>USE FIRST</t>
  </si>
  <si>
    <t>LrG Oval Blk Cont</t>
  </si>
  <si>
    <t>Black Hinged Take out</t>
  </si>
  <si>
    <t>Poly Bag - 2 lb</t>
  </si>
  <si>
    <t>ESM Takeout bag - Large</t>
  </si>
  <si>
    <t>Soup Bowl</t>
  </si>
  <si>
    <t>Green Scrubbies</t>
  </si>
  <si>
    <t>Window Cleaner</t>
  </si>
  <si>
    <t>Clear Garbage Bags</t>
  </si>
  <si>
    <t>Mop Heads</t>
  </si>
  <si>
    <t>Pine Sol</t>
  </si>
  <si>
    <t>K1 Pre Soak Dip</t>
  </si>
  <si>
    <t>H3 Foam Hand Soap</t>
  </si>
  <si>
    <t>Hand Sanitizer</t>
  </si>
  <si>
    <t>Suma Drain</t>
  </si>
  <si>
    <t>Descaler</t>
  </si>
  <si>
    <t xml:space="preserve">Wet Naps </t>
  </si>
  <si>
    <t>Coloring Books</t>
  </si>
  <si>
    <t>Dishwasher RINSE</t>
  </si>
  <si>
    <t>Dishwasher DETERGENT</t>
  </si>
  <si>
    <t>Dishwasher SANITIZER</t>
  </si>
  <si>
    <t>JUMP TO SUMMARY</t>
  </si>
  <si>
    <t>USAGE</t>
  </si>
  <si>
    <t>MEAT</t>
  </si>
  <si>
    <t>POULTRY</t>
  </si>
  <si>
    <t>coffee fliter</t>
  </si>
  <si>
    <t>BAR MIX</t>
  </si>
  <si>
    <t>Flour</t>
  </si>
  <si>
    <t>Calamari Sauce</t>
  </si>
  <si>
    <t>Blue Raspberry Jelly Belly</t>
  </si>
  <si>
    <t>Broccoli Crowns</t>
  </si>
  <si>
    <t>8 oz Chicken Breasts</t>
  </si>
  <si>
    <t>Basa Filet</t>
  </si>
  <si>
    <t>Beef Gravy</t>
  </si>
  <si>
    <t>Scallop Skewers</t>
  </si>
  <si>
    <t>Pepperoni</t>
  </si>
  <si>
    <t>Bruschetta</t>
  </si>
  <si>
    <t>Flatbread</t>
  </si>
  <si>
    <t>Chicken Skewers</t>
  </si>
  <si>
    <t>GF Penne</t>
  </si>
  <si>
    <t>GF Spaghetti</t>
  </si>
  <si>
    <t>Chicken Parm</t>
  </si>
  <si>
    <t>4 oz Chicken Breast</t>
  </si>
  <si>
    <t>Chicken Scallopini</t>
  </si>
  <si>
    <t>3 oz CHICKEN - Julienne</t>
  </si>
  <si>
    <t>1.5 oz CHICKEN - Julienne</t>
  </si>
  <si>
    <t>Spin Dip</t>
  </si>
  <si>
    <t>bag</t>
  </si>
  <si>
    <t>Elderflower Cordial</t>
  </si>
  <si>
    <t>OILS</t>
  </si>
  <si>
    <t>TOTAL PREP CLOSING</t>
  </si>
  <si>
    <t>TOTAL BAR MIX CLOSING</t>
  </si>
  <si>
    <t>DEAD STOCK CLOSING</t>
  </si>
  <si>
    <t>TOTAL PROMO ITEMS CLOSING</t>
  </si>
  <si>
    <t>TOTAL MEATS CLOSING</t>
  </si>
  <si>
    <t>TOTAL POULTRY CLOSING</t>
  </si>
  <si>
    <t>TOTAL SEAFOOD CLOSING</t>
  </si>
  <si>
    <t>TOTAL CHEESE &amp; DAIRY CLOSING</t>
  </si>
  <si>
    <t>TOTAL BREADS &amp; SOUPS  CLOSING</t>
  </si>
  <si>
    <t>TOTAL PASTA CLOSING</t>
  </si>
  <si>
    <t>TOTAL PASTA SAUCES CLOSING</t>
  </si>
  <si>
    <t>TOTAL PACKAGED CLOSING</t>
  </si>
  <si>
    <t>TOTAL DESSERTS CLOSING</t>
  </si>
  <si>
    <t>TOTAL OILS CLOSING</t>
  </si>
  <si>
    <t>TOTAL CONDIMENTS CLOSING</t>
  </si>
  <si>
    <t>TOTAL SPICES CLOSING</t>
  </si>
  <si>
    <t>TOTAL BEVERAGES CLOSING</t>
  </si>
  <si>
    <t>TOTAL PRODUCE CLOSING</t>
  </si>
  <si>
    <t xml:space="preserve">WAITING ON GFS CREDITS </t>
  </si>
  <si>
    <t>PASTA SAUCE  PRODUCTS</t>
  </si>
  <si>
    <t>Diced Ham</t>
  </si>
  <si>
    <t>Feta Cheese</t>
  </si>
  <si>
    <t>Spinach &amp; Artichoke Dip</t>
  </si>
  <si>
    <t>Seasoned Flour Mix</t>
  </si>
  <si>
    <t>Ketchup Bottles</t>
  </si>
  <si>
    <t>Plum Sauce</t>
  </si>
  <si>
    <t>ESM Retail Dressing</t>
  </si>
  <si>
    <t>Salt Grinder</t>
  </si>
  <si>
    <t>Pepper Grinder</t>
  </si>
  <si>
    <t>Iced Tea</t>
  </si>
  <si>
    <t>Kids Apple Juice</t>
  </si>
  <si>
    <t>Kids Orange Juice</t>
  </si>
  <si>
    <t>Popping Strawberry Bubbles</t>
  </si>
  <si>
    <t>Red Onions</t>
  </si>
  <si>
    <t>Roma Tomatoes</t>
  </si>
  <si>
    <t xml:space="preserve">Spanish Onion              </t>
  </si>
  <si>
    <t>Arugala</t>
  </si>
  <si>
    <t>Sauces</t>
  </si>
  <si>
    <t>Canned &amp; Packaged</t>
  </si>
  <si>
    <t>Oil</t>
  </si>
  <si>
    <t>Pre-Cut Calamari</t>
  </si>
  <si>
    <t>Shrimp 51/60</t>
  </si>
  <si>
    <t>CLOSING INVENTORY</t>
  </si>
  <si>
    <t>pail</t>
  </si>
  <si>
    <t>Black Straw - 6 in</t>
  </si>
  <si>
    <t>Black Straw - 8 in</t>
  </si>
  <si>
    <t>Kids Cup lids</t>
  </si>
  <si>
    <t>Logo wax paper</t>
  </si>
  <si>
    <t>Pizza Paper</t>
  </si>
  <si>
    <t>Sav-a-day</t>
  </si>
  <si>
    <t>Date dots</t>
  </si>
  <si>
    <t>ESM Coaster</t>
  </si>
  <si>
    <t>SLV</t>
  </si>
  <si>
    <t>ROLL</t>
  </si>
  <si>
    <t>TO Cutlery</t>
  </si>
  <si>
    <t>TO Bread bags</t>
  </si>
  <si>
    <t>Black Cont - 32 oz</t>
  </si>
  <si>
    <t>Soup Bowl Lid</t>
  </si>
  <si>
    <t>6 lb brown paper bag</t>
  </si>
  <si>
    <t>DISHWASHING</t>
  </si>
  <si>
    <t>Italian Suckers</t>
  </si>
  <si>
    <t>42 X 48 Garbage Bags</t>
  </si>
  <si>
    <t>26 X 36 garbage bags</t>
  </si>
  <si>
    <t>D10</t>
  </si>
  <si>
    <t>D9</t>
  </si>
  <si>
    <t>Odor refills</t>
  </si>
  <si>
    <t>Corn Brooms</t>
  </si>
  <si>
    <t>Steel Scrubbies</t>
  </si>
  <si>
    <t>Brownie Bites</t>
  </si>
  <si>
    <t>Surgical Gloves</t>
  </si>
  <si>
    <t>Cheap Kids toys</t>
  </si>
  <si>
    <t>ESM Kids Toys</t>
  </si>
  <si>
    <t>Bread Bags</t>
  </si>
  <si>
    <t>$$</t>
  </si>
  <si>
    <t>Bamboo skewers</t>
  </si>
  <si>
    <t>Oasis Pineapple juice</t>
  </si>
  <si>
    <t>labels</t>
  </si>
  <si>
    <t>USAGE $$</t>
  </si>
  <si>
    <t>i</t>
  </si>
  <si>
    <t>Hair nets</t>
  </si>
  <si>
    <t>Cracked Black Pepper</t>
  </si>
  <si>
    <t>CLOSE</t>
  </si>
  <si>
    <t xml:space="preserve">RINSE </t>
  </si>
  <si>
    <t xml:space="preserve">DETERGENT </t>
  </si>
  <si>
    <t xml:space="preserve">SANI </t>
  </si>
  <si>
    <t>italian flag</t>
  </si>
  <si>
    <t>Pepsi</t>
  </si>
  <si>
    <t>Seven up</t>
  </si>
  <si>
    <t>Diet Pepsi</t>
  </si>
  <si>
    <t>Mug Rootbeer</t>
  </si>
  <si>
    <t>Orange Crush</t>
  </si>
  <si>
    <t>Ginger Ale</t>
  </si>
  <si>
    <t>dr pepper</t>
  </si>
  <si>
    <t>lb</t>
  </si>
  <si>
    <t>Aquafina Bottles</t>
  </si>
  <si>
    <t>cs</t>
  </si>
  <si>
    <t>Chicken Breast - 7 oz</t>
  </si>
  <si>
    <t>Chicken Breast - 3.5 oz</t>
  </si>
  <si>
    <t>Purcahse1</t>
  </si>
  <si>
    <t>Purcahse2</t>
  </si>
  <si>
    <t>Auto Price</t>
  </si>
  <si>
    <t>import</t>
  </si>
  <si>
    <t>Figs</t>
  </si>
  <si>
    <t>Roasted Red Pepper</t>
  </si>
  <si>
    <t>16 oz Pizza Dough</t>
  </si>
  <si>
    <t>6 oz Pizza Dough</t>
  </si>
  <si>
    <t>Burgers - 6 oz</t>
  </si>
  <si>
    <t>Shrimp 26/30</t>
  </si>
  <si>
    <t>Burger Sliders</t>
  </si>
  <si>
    <t>Cheese Sticks</t>
  </si>
  <si>
    <t>Salted Butter</t>
  </si>
  <si>
    <t>Mini Slider Buns</t>
  </si>
  <si>
    <t>Garlic Concentrate</t>
  </si>
  <si>
    <t>Cones</t>
  </si>
  <si>
    <t>Sprinkles</t>
  </si>
  <si>
    <t>Oasis Watermelon</t>
  </si>
  <si>
    <t>BOTTLED - Pepsi</t>
  </si>
  <si>
    <t>BOTTLED - Diet Pepsi</t>
  </si>
  <si>
    <t>BOTTLED - 7 up</t>
  </si>
  <si>
    <t>BOTTLED - Iced Tea</t>
  </si>
  <si>
    <t>BOTTLED - Rootbeer</t>
  </si>
  <si>
    <t>BOTTLED - Ginger Ale</t>
  </si>
  <si>
    <t>Strawberries</t>
  </si>
  <si>
    <t>FOOD</t>
  </si>
  <si>
    <t>PAPER</t>
  </si>
  <si>
    <t>Frozen Yogurt</t>
  </si>
  <si>
    <t>BOTTLED - Mountain Dew</t>
  </si>
  <si>
    <t>oranges</t>
  </si>
  <si>
    <t>10' Logo Pizza box</t>
  </si>
  <si>
    <t>16"Logo Pizza box</t>
  </si>
  <si>
    <t>9" Logo Pizza Box</t>
  </si>
  <si>
    <t>Soup Sleeves</t>
  </si>
  <si>
    <t>Beard Nets</t>
  </si>
  <si>
    <t>Blue Cloth</t>
  </si>
  <si>
    <t>Urinal Puck</t>
  </si>
  <si>
    <t>ESM Wet Naps</t>
  </si>
  <si>
    <t>BOTTLED - Crush</t>
  </si>
  <si>
    <t>pint</t>
  </si>
  <si>
    <t>Take Out Butter Pods</t>
  </si>
  <si>
    <t>Take Out Parm Cheese</t>
  </si>
  <si>
    <t>Take Out Caesar Dressing</t>
  </si>
  <si>
    <t>Take Out House Dressing</t>
  </si>
  <si>
    <t>$$ LOST BY NOT REACHING 28% FOOD COST</t>
  </si>
  <si>
    <t>PETTY CASH FOOD PURCHASES $$$</t>
  </si>
  <si>
    <t>1 oz cup</t>
  </si>
  <si>
    <t>1 oz lid</t>
  </si>
  <si>
    <t>New Hand Soap</t>
  </si>
  <si>
    <t>Suma Light Detergent</t>
  </si>
  <si>
    <t>New Hand Sanitizer</t>
  </si>
  <si>
    <t>Cinnamon Sugar</t>
  </si>
  <si>
    <t>LBS</t>
  </si>
  <si>
    <t>Lemon Seasoning</t>
  </si>
  <si>
    <t>ESM Takeout bag - Small</t>
  </si>
  <si>
    <t>Poly bag - 5 lb</t>
  </si>
  <si>
    <t xml:space="preserve">Petty Cash </t>
  </si>
  <si>
    <t>Green Zucchini</t>
  </si>
  <si>
    <t>CLOSE.L</t>
  </si>
  <si>
    <t>PRICE</t>
  </si>
  <si>
    <r>
      <t xml:space="preserve">Alfredo Sauce </t>
    </r>
    <r>
      <rPr>
        <b/>
        <i/>
        <sz val="10"/>
        <rFont val="Calibri"/>
        <family val="2"/>
      </rPr>
      <t>64oz</t>
    </r>
  </si>
  <si>
    <r>
      <t xml:space="preserve">Mother Sauce </t>
    </r>
    <r>
      <rPr>
        <b/>
        <i/>
        <sz val="10"/>
        <rFont val="Calibri"/>
        <family val="2"/>
      </rPr>
      <t>105oz</t>
    </r>
  </si>
  <si>
    <t>BOTTLED - DR.PEPPER</t>
  </si>
  <si>
    <t>KRAFT CAESAR DRESSING</t>
  </si>
  <si>
    <t>DEAD STOCK ITEMS/MISC</t>
  </si>
  <si>
    <t>Chicken Tenders</t>
  </si>
  <si>
    <t>Mascarpone Cheesecake</t>
  </si>
  <si>
    <t>Burger Bun</t>
  </si>
  <si>
    <t>Salted Caramel Brownie</t>
  </si>
  <si>
    <t>Bud NON ALCOHOL</t>
  </si>
  <si>
    <t>Brisk Lemondae</t>
  </si>
  <si>
    <t>BOTTLED - Lemonade</t>
  </si>
  <si>
    <t>New Bread Foil</t>
  </si>
  <si>
    <t>NEW Cardboard T.O</t>
  </si>
  <si>
    <t>24 oz Rectangle &amp; Lid T.O</t>
  </si>
  <si>
    <t>28 oz Rectangle &amp; Lid T.O</t>
  </si>
  <si>
    <t>48 oz Rectangle &amp; LID</t>
  </si>
  <si>
    <t>Garlic Glaze</t>
  </si>
  <si>
    <t>Napkin Bands</t>
  </si>
  <si>
    <t>.</t>
  </si>
  <si>
    <t>Braised Beef</t>
  </si>
  <si>
    <t>Balsamic Vinegrette</t>
  </si>
  <si>
    <t>Donuts</t>
  </si>
  <si>
    <t>Espresso Powder</t>
  </si>
  <si>
    <t>Basa Fillet</t>
  </si>
  <si>
    <t>Predone Crustini</t>
  </si>
  <si>
    <t>Croutons Portioned</t>
  </si>
  <si>
    <t>Croutons NON Portion</t>
  </si>
  <si>
    <t>Predone Aoli</t>
  </si>
  <si>
    <t>Blackberry Syrup</t>
  </si>
  <si>
    <t>Stonefruit Syrup</t>
  </si>
  <si>
    <t>Cavatappi</t>
  </si>
  <si>
    <t>Lasagna</t>
  </si>
  <si>
    <t>Blood Orange Juice</t>
  </si>
  <si>
    <t>MON</t>
  </si>
  <si>
    <t>TUES</t>
  </si>
  <si>
    <t>WED</t>
  </si>
  <si>
    <t>THURS</t>
  </si>
  <si>
    <t>FRI</t>
  </si>
  <si>
    <t>SAT</t>
  </si>
  <si>
    <t>SUN</t>
  </si>
  <si>
    <t>TOTAL</t>
  </si>
  <si>
    <t>ingredients</t>
  </si>
  <si>
    <t>Fettucini - 8oz</t>
  </si>
  <si>
    <t>Linguini - 8oz</t>
  </si>
  <si>
    <t>Penne - 8oz</t>
  </si>
  <si>
    <t>Spaghettini - 5oz</t>
  </si>
  <si>
    <t>Spaghettini - 8oz</t>
  </si>
  <si>
    <t>Cavatappi - 5oz</t>
  </si>
  <si>
    <t>Gluten Free - 5oz</t>
  </si>
  <si>
    <t xml:space="preserve">Cappaletti </t>
  </si>
  <si>
    <t>Dough Ball - 10 oz</t>
  </si>
  <si>
    <t>Dough Ball - 16 oz</t>
  </si>
  <si>
    <t>Hells Chicken</t>
  </si>
  <si>
    <t>Julienne Chicken 1.5oz</t>
  </si>
  <si>
    <t>Julienne Chicken 3oz</t>
  </si>
  <si>
    <t>Sausage Coins 3oz</t>
  </si>
  <si>
    <t>Spinach Dip</t>
  </si>
  <si>
    <t>Side Veg Pack</t>
  </si>
  <si>
    <t>Mozzerella Cheese</t>
  </si>
  <si>
    <t>Marinated Roma</t>
  </si>
  <si>
    <t>Button Mushroom</t>
  </si>
  <si>
    <t>Raw Garlic Puree</t>
  </si>
  <si>
    <t>Grilled Cheese Dough</t>
  </si>
  <si>
    <t>Mother Sauce</t>
  </si>
  <si>
    <t>Primavera Sauce</t>
  </si>
  <si>
    <t>Hells Sauce</t>
  </si>
  <si>
    <t>Arribiata Sauce</t>
  </si>
  <si>
    <t>Scallop Skewer</t>
  </si>
  <si>
    <t>Boomers</t>
  </si>
  <si>
    <t>Bingers</t>
  </si>
  <si>
    <t>Cheesecake</t>
  </si>
  <si>
    <t>Caramel Brownie</t>
  </si>
  <si>
    <t>Romaine Lettuce</t>
  </si>
  <si>
    <t>Iceburg Lettuce</t>
  </si>
  <si>
    <t>Mozzerella Sticks</t>
  </si>
  <si>
    <t>House Dressing</t>
  </si>
  <si>
    <t>3.5 oz Chicken</t>
  </si>
  <si>
    <t>Gluten Free Dough</t>
  </si>
  <si>
    <t>Meatballs</t>
  </si>
  <si>
    <t>7 oz Chicken</t>
  </si>
  <si>
    <t>Potato</t>
  </si>
  <si>
    <t>Fries</t>
  </si>
  <si>
    <t>Chicken Strip</t>
  </si>
  <si>
    <t>Wrap</t>
  </si>
  <si>
    <t>Mini Burg</t>
  </si>
  <si>
    <t>caesar 1</t>
  </si>
  <si>
    <t>garden 1</t>
  </si>
  <si>
    <t>fs caesar</t>
  </si>
  <si>
    <t>fs garden</t>
  </si>
  <si>
    <t>JUMP TO</t>
  </si>
  <si>
    <t>APPS</t>
  </si>
  <si>
    <t>H/H</t>
  </si>
  <si>
    <t>SALADS</t>
  </si>
  <si>
    <t>SOUPS</t>
  </si>
  <si>
    <t>PIZZAS</t>
  </si>
  <si>
    <t>LUNCH</t>
  </si>
  <si>
    <t>SANDS</t>
  </si>
  <si>
    <t>PASTAS</t>
  </si>
  <si>
    <t>ENTREES</t>
  </si>
  <si>
    <t>EXTRAS</t>
  </si>
  <si>
    <t>PROMO</t>
  </si>
  <si>
    <t>GF</t>
  </si>
  <si>
    <t>SPECIALS</t>
  </si>
  <si>
    <t>APPETIZERS</t>
  </si>
  <si>
    <t>MOZZA STICKS 1</t>
  </si>
  <si>
    <t>AMT</t>
  </si>
  <si>
    <t>MOZZA STICKS 2</t>
  </si>
  <si>
    <t>Mozerella Sticks</t>
  </si>
  <si>
    <t>PARM SLIDERS 1</t>
  </si>
  <si>
    <t>Mini Bun</t>
  </si>
  <si>
    <t>Mozerella Cheese</t>
  </si>
  <si>
    <t>Aioli</t>
  </si>
  <si>
    <t>PARM SLIDERS 2</t>
  </si>
  <si>
    <t>PARM SLIDERS 3</t>
  </si>
  <si>
    <t>SHRIMP SCAMPI 1</t>
  </si>
  <si>
    <t>SHRIMP SCAMPI 2</t>
  </si>
  <si>
    <t>SHRIMP SCAMPI 3</t>
  </si>
  <si>
    <t>SPIN DIP 1</t>
  </si>
  <si>
    <t>SPIN DIP 2</t>
  </si>
  <si>
    <t>SPIN DIP 3</t>
  </si>
  <si>
    <t>BOOMERS 1</t>
  </si>
  <si>
    <t>BOOMERS 2</t>
  </si>
  <si>
    <t>BOOMERS 3</t>
  </si>
  <si>
    <t>Dough Ball - 10oz</t>
  </si>
  <si>
    <t>CAL DIAV 1</t>
  </si>
  <si>
    <t>CAL DIAV 2</t>
  </si>
  <si>
    <t>CAL DIAV 3</t>
  </si>
  <si>
    <t>CAL FRITI</t>
  </si>
  <si>
    <t>CAL FRITI 2</t>
  </si>
  <si>
    <t>CAL FRITI 3</t>
  </si>
  <si>
    <t>SOUPS &amp; SALADS</t>
  </si>
  <si>
    <t>GARDEN SALAD ENTRÉE</t>
  </si>
  <si>
    <t>GARDEN SALAD ENTRÉE 2</t>
  </si>
  <si>
    <t>GARDEN SALAD ENTRÉE 3</t>
  </si>
  <si>
    <t>SIDE GARDEN</t>
  </si>
  <si>
    <t xml:space="preserve">House Dressing </t>
  </si>
  <si>
    <t>w/garden 1</t>
  </si>
  <si>
    <t>w/garden 2</t>
  </si>
  <si>
    <t>FS GARDEN</t>
  </si>
  <si>
    <t>FS GARDEN 2</t>
  </si>
  <si>
    <t>GARDEN w/ CHICKEN</t>
  </si>
  <si>
    <t>CASAR ENTRÉE 1</t>
  </si>
  <si>
    <t>CAESAR W/CHICKEN</t>
  </si>
  <si>
    <t>FS CAESAR</t>
  </si>
  <si>
    <t>FS CAESAR 2</t>
  </si>
  <si>
    <t>FS CAESAR 3</t>
  </si>
  <si>
    <t>Side Caesar</t>
  </si>
  <si>
    <t>w/caesar 1</t>
  </si>
  <si>
    <t>w/caesar 2</t>
  </si>
  <si>
    <t>w/caesar 3</t>
  </si>
  <si>
    <t>caesar2</t>
  </si>
  <si>
    <t>garden2</t>
  </si>
  <si>
    <t>ULTIMATE CDN 1</t>
  </si>
  <si>
    <t>ULTIMATE CDN 2</t>
  </si>
  <si>
    <t>FOUR MEAT 1</t>
  </si>
  <si>
    <t>FOUR MEAT 2</t>
  </si>
  <si>
    <t>BLT</t>
  </si>
  <si>
    <t>BYO ZA 1</t>
  </si>
  <si>
    <t>BYO ZA 2</t>
  </si>
  <si>
    <t>TRADITIONAL</t>
  </si>
  <si>
    <t>THIN CRUST</t>
  </si>
  <si>
    <t>CALZONE CDN</t>
  </si>
  <si>
    <t>CALZONE PEP</t>
  </si>
  <si>
    <t>CALZONE CDN2</t>
  </si>
  <si>
    <t>CALZONE PEP2</t>
  </si>
  <si>
    <t>LUNCH ZA</t>
  </si>
  <si>
    <t>KID ZA</t>
  </si>
  <si>
    <t>KID ZA 2</t>
  </si>
  <si>
    <t>PASTA</t>
  </si>
  <si>
    <t>TETTRAZINI1</t>
  </si>
  <si>
    <t>TETTRAZINI 2</t>
  </si>
  <si>
    <t>L TETTRAZINI</t>
  </si>
  <si>
    <t>FS TETT</t>
  </si>
  <si>
    <t>Spag Balls 1</t>
  </si>
  <si>
    <t>Spag Balls 2</t>
  </si>
  <si>
    <t>FS SPAG BALLS</t>
  </si>
  <si>
    <t>GRP PEN BALLS</t>
  </si>
  <si>
    <t>SEA LING</t>
  </si>
  <si>
    <t>SEA LING LNCH</t>
  </si>
  <si>
    <t>SEA LING 2</t>
  </si>
  <si>
    <t>SPAG PRIMA1</t>
  </si>
  <si>
    <t>SPAG PRIMA 2</t>
  </si>
  <si>
    <t>SPAG PRIMA LNCH</t>
  </si>
  <si>
    <t>CAPP1</t>
  </si>
  <si>
    <t>CAPP2</t>
  </si>
  <si>
    <t>CAPPLNCH</t>
  </si>
  <si>
    <t>KID CAPP2</t>
  </si>
  <si>
    <t>AMATRICIANA1</t>
  </si>
  <si>
    <t>AMATRICIANA 2</t>
  </si>
  <si>
    <t>AMA LNCH</t>
  </si>
  <si>
    <t>GAR FETT ALF</t>
  </si>
  <si>
    <t>GAR FETT ALF 2</t>
  </si>
  <si>
    <t>S&amp;P 1</t>
  </si>
  <si>
    <t>S&amp;P2</t>
  </si>
  <si>
    <t>Jumbo Shrimp Alf</t>
  </si>
  <si>
    <t>Jumbro Shrimp Alf2</t>
  </si>
  <si>
    <t>Bacon Carb</t>
  </si>
  <si>
    <t>Bacon Carb2</t>
  </si>
  <si>
    <t>Bacon Carb LNCH</t>
  </si>
  <si>
    <t>Scallop Carb</t>
  </si>
  <si>
    <t>Scallop Carb2</t>
  </si>
  <si>
    <t>Scallop Carb LNCH</t>
  </si>
  <si>
    <t>LASAGNA</t>
  </si>
  <si>
    <t xml:space="preserve">Mozerella Cheese </t>
  </si>
  <si>
    <t>LASAGNA 2</t>
  </si>
  <si>
    <t>Chicken Parm1</t>
  </si>
  <si>
    <t>Chicken Parm 2</t>
  </si>
  <si>
    <t>6 oz Parm1</t>
  </si>
  <si>
    <t>6 oz Parm2</t>
  </si>
  <si>
    <t>Hells Kitchen `1</t>
  </si>
  <si>
    <t>Hells Kitchen 2</t>
  </si>
  <si>
    <t>SANDWHICHS</t>
  </si>
  <si>
    <t>Parm Sammy 1</t>
  </si>
  <si>
    <t>Parm Sammy 2</t>
  </si>
  <si>
    <t>KIDS MEALS</t>
  </si>
  <si>
    <t>K CHZ PASTA</t>
  </si>
  <si>
    <t>K CHZ PASTA2</t>
  </si>
  <si>
    <t xml:space="preserve">Fries </t>
  </si>
  <si>
    <t>KID SLIDER</t>
  </si>
  <si>
    <t>KID SLIDER 2</t>
  </si>
  <si>
    <t>ADD ONS &amp; MODS</t>
  </si>
  <si>
    <t>CHK BREAST</t>
  </si>
  <si>
    <t>CHK BREAST 2</t>
  </si>
  <si>
    <t>D Add Chk</t>
  </si>
  <si>
    <t>D Add Meatballs</t>
  </si>
  <si>
    <t>D Add Sausage</t>
  </si>
  <si>
    <t>D Add Sauage</t>
  </si>
  <si>
    <t>D Add Shrimp</t>
  </si>
  <si>
    <t>D Alfredo</t>
  </si>
  <si>
    <t>D Baked Chz</t>
  </si>
  <si>
    <t>D Bolo</t>
  </si>
  <si>
    <t>D Cavatappi</t>
  </si>
  <si>
    <t>D Fett</t>
  </si>
  <si>
    <t>D Linguni</t>
  </si>
  <si>
    <t>D Penne</t>
  </si>
  <si>
    <t>D Prima Veg</t>
  </si>
  <si>
    <t>D Spaghettini</t>
  </si>
  <si>
    <t>GF CRUST</t>
  </si>
  <si>
    <t>GF PENNE</t>
  </si>
  <si>
    <t>K Bolo</t>
  </si>
  <si>
    <t>K Tomato</t>
  </si>
  <si>
    <t>L Chk</t>
  </si>
  <si>
    <t>L Alfredo</t>
  </si>
  <si>
    <t>L Bacon</t>
  </si>
  <si>
    <t>L Cavatappi</t>
  </si>
  <si>
    <t>L Spaghettioni</t>
  </si>
  <si>
    <t>N/C Bolo</t>
  </si>
  <si>
    <t>R Bacon</t>
  </si>
  <si>
    <t>R Extra Cheese</t>
  </si>
  <si>
    <t>R Sausage</t>
  </si>
  <si>
    <t>Sausgae</t>
  </si>
  <si>
    <t>Add Meatballs</t>
  </si>
  <si>
    <t>Add Mozz</t>
  </si>
  <si>
    <t>Add Sausage</t>
  </si>
  <si>
    <t>Add Saut Chick</t>
  </si>
  <si>
    <t>D Bacon</t>
  </si>
  <si>
    <t>L Add Prima Veg</t>
  </si>
  <si>
    <t>Side Alf</t>
  </si>
  <si>
    <t>Side Fries</t>
  </si>
  <si>
    <t>Side Potato</t>
  </si>
  <si>
    <t>Side Prima</t>
  </si>
  <si>
    <t>Side Rose</t>
  </si>
  <si>
    <t>Side Tom</t>
  </si>
  <si>
    <t>Side Yom</t>
  </si>
  <si>
    <t>Tomato Dip</t>
  </si>
  <si>
    <t>Traditional</t>
  </si>
  <si>
    <t>w/fries</t>
  </si>
  <si>
    <t>w/ital pout</t>
  </si>
  <si>
    <t>w/marios potato</t>
  </si>
  <si>
    <t>w/marios</t>
  </si>
  <si>
    <t>$2K Dino Buddies.ESM</t>
  </si>
  <si>
    <t>K Dino Buddies.ESM</t>
  </si>
  <si>
    <t>,</t>
  </si>
  <si>
    <t>PENNE 5OZ</t>
  </si>
  <si>
    <t>PENNE 8OZ</t>
  </si>
  <si>
    <t>Linguini 5oz</t>
  </si>
  <si>
    <t>Linguini 8oz</t>
  </si>
  <si>
    <t>Spaghettini 5oz</t>
  </si>
  <si>
    <t>Spaghettini 8oz</t>
  </si>
  <si>
    <t>Fettucini 5oz</t>
  </si>
  <si>
    <t>Fettucini 8oz</t>
  </si>
  <si>
    <t>Cappaletti</t>
  </si>
  <si>
    <t>ON HAND</t>
  </si>
  <si>
    <t>M-T-W</t>
  </si>
  <si>
    <t>COOK(LB)</t>
  </si>
  <si>
    <t>W-TH-F</t>
  </si>
  <si>
    <t>PENNE</t>
  </si>
  <si>
    <t>CAPPALETTI</t>
  </si>
  <si>
    <t>LINGUINI 5OZ</t>
  </si>
  <si>
    <t>LINGUINI 8OZ</t>
  </si>
  <si>
    <t>SPAGHETTINI 5OZ</t>
  </si>
  <si>
    <t>SPAGHETTINI 8OZ</t>
  </si>
  <si>
    <t>FETTUCINI 5OZ</t>
  </si>
  <si>
    <t>FETTUCINI 8OZ</t>
  </si>
  <si>
    <t>Friday</t>
  </si>
  <si>
    <t>ROUND UP LASAGNA TRAYS TO NEAREST 1</t>
  </si>
  <si>
    <t>IF THE PAR CALLS FOR LESS THAN 0.5 THEN DO NOT COOK</t>
  </si>
  <si>
    <t>MAKE SURE YOU CHECK WITH KITCHEN OPENER BEFORE LEAVING</t>
  </si>
  <si>
    <t>Caramel Sauce</t>
  </si>
  <si>
    <t>1/6 Pan</t>
  </si>
  <si>
    <t>5 Days</t>
  </si>
  <si>
    <t>1/9 Pan</t>
  </si>
  <si>
    <t>Bacon Slices</t>
  </si>
  <si>
    <t>2 Days</t>
  </si>
  <si>
    <t>Chopped Button Mush</t>
  </si>
  <si>
    <t>INITIAL</t>
  </si>
  <si>
    <t>LIFE</t>
  </si>
  <si>
    <t>Ham</t>
  </si>
  <si>
    <t>cont</t>
  </si>
  <si>
    <t>2.5 oz</t>
  </si>
  <si>
    <t>Mixed Peppers</t>
  </si>
  <si>
    <t>5 days</t>
  </si>
  <si>
    <t>Spinach Dips</t>
  </si>
  <si>
    <t>3 Days</t>
  </si>
  <si>
    <t>1 oz</t>
  </si>
  <si>
    <t>4 days</t>
  </si>
  <si>
    <t>10 oz Dough Balls</t>
  </si>
  <si>
    <t>6 oz Dough Balls</t>
  </si>
  <si>
    <t>TO DO</t>
  </si>
  <si>
    <t>COUNT</t>
  </si>
  <si>
    <t>order</t>
  </si>
  <si>
    <t>8 oz</t>
  </si>
  <si>
    <t>Linguini</t>
  </si>
  <si>
    <t>Gluten Free Pasta</t>
  </si>
  <si>
    <t>3 days</t>
  </si>
  <si>
    <t>Cappeletti</t>
  </si>
  <si>
    <t>2 days</t>
  </si>
  <si>
    <t>Par cooked Hells CHK</t>
  </si>
  <si>
    <t>Julienne Chicken</t>
  </si>
  <si>
    <t>1.5 oz</t>
  </si>
  <si>
    <t>3 oz</t>
  </si>
  <si>
    <t>1/6 pan</t>
  </si>
  <si>
    <t>Julienne Basil</t>
  </si>
  <si>
    <t>1 day</t>
  </si>
  <si>
    <t>Chopped Parsley</t>
  </si>
  <si>
    <t>All</t>
  </si>
  <si>
    <t>PLU</t>
  </si>
  <si>
    <t>$ - Mon</t>
  </si>
  <si>
    <t># - Mon</t>
  </si>
  <si>
    <t>$ - Tue</t>
  </si>
  <si>
    <t># - Tue</t>
  </si>
  <si>
    <t>$ - Wed</t>
  </si>
  <si>
    <t># - Wed</t>
  </si>
  <si>
    <t>$ - Thu</t>
  </si>
  <si>
    <t># - Thu</t>
  </si>
  <si>
    <t>$ - Fri</t>
  </si>
  <si>
    <t># - Fri</t>
  </si>
  <si>
    <t>$ - Sat</t>
  </si>
  <si>
    <t># - Sat</t>
  </si>
  <si>
    <t>$ - Sun</t>
  </si>
  <si>
    <t># - Sun</t>
  </si>
  <si>
    <t>$ - Ttl</t>
  </si>
  <si>
    <t>Parchment Paper</t>
  </si>
  <si>
    <t>Patty Paper</t>
  </si>
  <si>
    <t>64 oz Bowl</t>
  </si>
  <si>
    <t>24 oz Clamshell</t>
  </si>
  <si>
    <t>Handled Paper Bag</t>
  </si>
  <si>
    <t>4 oz cup</t>
  </si>
  <si>
    <t>4 oz cup lid</t>
  </si>
  <si>
    <t>Face Mask</t>
  </si>
  <si>
    <t>Oxivir</t>
  </si>
  <si>
    <t>Crayons</t>
  </si>
  <si>
    <t>Candy</t>
  </si>
  <si>
    <t>VARIENCE</t>
  </si>
  <si>
    <t>SOLD</t>
  </si>
  <si>
    <t>$ AMOUNT</t>
  </si>
  <si>
    <t>7 OZ CHICKEN</t>
  </si>
  <si>
    <t>3.5 OZ CHICKEN</t>
  </si>
  <si>
    <t>MEATBALLS</t>
  </si>
  <si>
    <t>JULIENNE CHICKEN</t>
  </si>
  <si>
    <t>WINGS</t>
  </si>
  <si>
    <t>SALMON</t>
  </si>
  <si>
    <t>SHRIMP 51/60</t>
  </si>
  <si>
    <t>SHRIMP 26/30</t>
  </si>
  <si>
    <t>MUSSELS</t>
  </si>
  <si>
    <t>SCALLOPS</t>
  </si>
  <si>
    <t>BACON BITS</t>
  </si>
  <si>
    <t>UNIT OF MEASURE</t>
  </si>
  <si>
    <t>PRICE PER</t>
  </si>
  <si>
    <t>PORTION</t>
  </si>
  <si>
    <t>ALFREDO SAUCE</t>
  </si>
  <si>
    <t>TOMATO SAUCE</t>
  </si>
  <si>
    <t>BOLOGNESE SAUCE</t>
  </si>
  <si>
    <t>MOZERELLA</t>
  </si>
  <si>
    <t>ICEBURG LETTUCE</t>
  </si>
  <si>
    <t>ROMAINE LETTUCE</t>
  </si>
  <si>
    <t>TOTAL VARIENCE</t>
  </si>
  <si>
    <t>PERCENTAGE OF FOOD SALES</t>
  </si>
  <si>
    <t>Lasagna Noodles</t>
  </si>
  <si>
    <t>Gluten Free</t>
  </si>
  <si>
    <t>San Pellegrino</t>
  </si>
  <si>
    <t>Side Veg Packs</t>
  </si>
  <si>
    <t>Sausage</t>
  </si>
  <si>
    <t>Ricotta Cheese</t>
  </si>
  <si>
    <t>Cauliflower GF Dough</t>
  </si>
  <si>
    <t>Iced Tea Cans</t>
  </si>
  <si>
    <t>Seven Up Cans</t>
  </si>
  <si>
    <t>Pepsi Can</t>
  </si>
  <si>
    <t>Diet Pepsi Can</t>
  </si>
  <si>
    <t>Calamari Portion</t>
  </si>
  <si>
    <t>Calmri Sauce</t>
  </si>
  <si>
    <t>6oz Parm</t>
  </si>
  <si>
    <t>6oz Dough</t>
  </si>
  <si>
    <t>8oz Ling</t>
  </si>
  <si>
    <t>5oz Ling</t>
  </si>
  <si>
    <t>8oz Spag</t>
  </si>
  <si>
    <t>5oz Spag</t>
  </si>
  <si>
    <t>8oz Penne</t>
  </si>
  <si>
    <t>8oz Fett</t>
  </si>
  <si>
    <t>5oz Penne</t>
  </si>
  <si>
    <t>5oz Fett</t>
  </si>
  <si>
    <t>3oz Chix</t>
  </si>
  <si>
    <t>F-S-S</t>
  </si>
  <si>
    <t>Decaf Coffee</t>
  </si>
  <si>
    <t>Tea - Green</t>
  </si>
  <si>
    <t>Tea - Chamomile</t>
  </si>
  <si>
    <t>Tea - Peppermint</t>
  </si>
  <si>
    <t>Tea - Earl Grey</t>
  </si>
  <si>
    <t>San Pelligrino</t>
  </si>
  <si>
    <t>jar</t>
  </si>
  <si>
    <r>
      <rPr>
        <b/>
        <sz val="16"/>
        <rFont val="Arial"/>
        <family val="2"/>
      </rPr>
      <t>Actual Vs Theoretical Variance Report (Cost)</t>
    </r>
  </si>
  <si>
    <r>
      <rPr>
        <b/>
        <sz val="10"/>
        <rFont val="Arial"/>
        <family val="2"/>
      </rPr>
      <t>Org Unit:</t>
    </r>
  </si>
  <si>
    <r>
      <rPr>
        <b/>
        <sz val="10"/>
        <rFont val="Arial"/>
        <family val="2"/>
      </rPr>
      <t>Begin Count Event: End Count Event:</t>
    </r>
  </si>
  <si>
    <r>
      <rPr>
        <b/>
        <sz val="10"/>
        <rFont val="Arial"/>
        <family val="2"/>
      </rPr>
      <t>8679 -ESM Pembroke</t>
    </r>
  </si>
  <si>
    <r>
      <rPr>
        <b/>
        <sz val="8"/>
        <rFont val="Arial"/>
        <family val="2"/>
      </rPr>
      <t>Item</t>
    </r>
  </si>
  <si>
    <r>
      <rPr>
        <b/>
        <sz val="8"/>
        <rFont val="Arial"/>
        <family val="2"/>
      </rPr>
      <t>Begin Count</t>
    </r>
  </si>
  <si>
    <r>
      <rPr>
        <b/>
        <sz val="8"/>
        <rFont val="Arial"/>
        <family val="2"/>
      </rPr>
      <t>UOM</t>
    </r>
  </si>
  <si>
    <r>
      <rPr>
        <b/>
        <sz val="8"/>
        <rFont val="Arial"/>
        <family val="2"/>
      </rPr>
      <t>Cost</t>
    </r>
  </si>
  <si>
    <r>
      <rPr>
        <b/>
        <sz val="8"/>
        <rFont val="Arial"/>
        <family val="2"/>
      </rPr>
      <t>Begin Inv (+)</t>
    </r>
  </si>
  <si>
    <r>
      <rPr>
        <b/>
        <sz val="8"/>
        <rFont val="Arial"/>
        <family val="2"/>
      </rPr>
      <t>Purch/RMA (+/-)</t>
    </r>
  </si>
  <si>
    <r>
      <rPr>
        <b/>
        <sz val="8"/>
        <rFont val="Arial"/>
        <family val="2"/>
      </rPr>
      <t>Transfers (+/-)</t>
    </r>
  </si>
  <si>
    <r>
      <rPr>
        <b/>
        <sz val="8"/>
        <rFont val="Arial"/>
        <family val="2"/>
      </rPr>
      <t>Adjustment Qty (+)</t>
    </r>
  </si>
  <si>
    <r>
      <rPr>
        <b/>
        <sz val="8"/>
        <rFont val="Arial"/>
        <family val="2"/>
      </rPr>
      <t>Ending Inventory (-)</t>
    </r>
  </si>
  <si>
    <r>
      <rPr>
        <b/>
        <sz val="8"/>
        <rFont val="Arial"/>
        <family val="2"/>
      </rPr>
      <t>Actual Usage (=)</t>
    </r>
  </si>
  <si>
    <r>
      <rPr>
        <b/>
        <sz val="8"/>
        <rFont val="Arial"/>
        <family val="2"/>
      </rPr>
      <t>Theoretical Usage</t>
    </r>
  </si>
  <si>
    <r>
      <rPr>
        <b/>
        <sz val="8"/>
        <rFont val="Arial"/>
        <family val="2"/>
      </rPr>
      <t>A vs T Variance</t>
    </r>
  </si>
  <si>
    <r>
      <rPr>
        <b/>
        <sz val="8"/>
        <rFont val="Arial"/>
        <family val="2"/>
      </rPr>
      <t xml:space="preserve">AVT
</t>
    </r>
    <r>
      <rPr>
        <b/>
        <sz val="8"/>
        <rFont val="Arial"/>
        <family val="2"/>
      </rPr>
      <t>variance($)</t>
    </r>
  </si>
  <si>
    <r>
      <rPr>
        <b/>
        <sz val="8"/>
        <rFont val="Arial"/>
        <family val="2"/>
      </rPr>
      <t>%Gain/(L oss)</t>
    </r>
  </si>
  <si>
    <r>
      <rPr>
        <b/>
        <sz val="8"/>
        <rFont val="Arial"/>
        <family val="2"/>
      </rPr>
      <t>Waste Qty</t>
    </r>
  </si>
  <si>
    <r>
      <rPr>
        <sz val="8"/>
        <rFont val="Arial"/>
        <family val="2"/>
      </rPr>
      <t>Sauce : Alfredo : ESM</t>
    </r>
  </si>
  <si>
    <r>
      <rPr>
        <sz val="8"/>
        <rFont val="Arial"/>
        <family val="2"/>
      </rPr>
      <t>Each = 64 OZ</t>
    </r>
  </si>
  <si>
    <r>
      <rPr>
        <sz val="8"/>
        <rFont val="Arial"/>
        <family val="2"/>
      </rPr>
      <t>KGram</t>
    </r>
  </si>
  <si>
    <r>
      <rPr>
        <sz val="8"/>
        <rFont val="Arial"/>
        <family val="2"/>
      </rPr>
      <t>$ 3.84</t>
    </r>
  </si>
  <si>
    <r>
      <rPr>
        <sz val="8"/>
        <rFont val="Arial"/>
        <family val="2"/>
      </rPr>
      <t>Pork : Bacon : ESM</t>
    </r>
  </si>
  <si>
    <r>
      <rPr>
        <sz val="8"/>
        <rFont val="Arial"/>
        <family val="2"/>
      </rPr>
      <t>Pack = 530 GM</t>
    </r>
  </si>
  <si>
    <r>
      <rPr>
        <sz val="8"/>
        <rFont val="Arial"/>
        <family val="2"/>
      </rPr>
      <t>$ 20.44</t>
    </r>
  </si>
  <si>
    <r>
      <rPr>
        <sz val="8"/>
        <rFont val="Arial"/>
        <family val="2"/>
      </rPr>
      <t>Cheese : Pizza Mozzarella : ESM</t>
    </r>
  </si>
  <si>
    <r>
      <rPr>
        <sz val="8"/>
        <rFont val="Arial"/>
        <family val="2"/>
      </rPr>
      <t>$ 8.57</t>
    </r>
  </si>
  <si>
    <r>
      <rPr>
        <sz val="8"/>
        <rFont val="Arial"/>
        <family val="2"/>
      </rPr>
      <t>Chicken : Fingers : ESM</t>
    </r>
  </si>
  <si>
    <r>
      <rPr>
        <sz val="8"/>
        <rFont val="Arial"/>
        <family val="2"/>
      </rPr>
      <t>Each = 105 OZ</t>
    </r>
  </si>
  <si>
    <r>
      <rPr>
        <sz val="8"/>
        <rFont val="Arial"/>
        <family val="2"/>
      </rPr>
      <t>$ 8.07</t>
    </r>
  </si>
  <si>
    <r>
      <rPr>
        <sz val="8"/>
        <rFont val="Arial"/>
        <family val="2"/>
      </rPr>
      <t>Each</t>
    </r>
  </si>
  <si>
    <r>
      <rPr>
        <sz val="8"/>
        <rFont val="Arial"/>
        <family val="2"/>
      </rPr>
      <t>$ 0.46</t>
    </r>
  </si>
  <si>
    <r>
      <rPr>
        <sz val="8"/>
        <rFont val="Arial"/>
        <family val="2"/>
      </rPr>
      <t>Dressing Caesar Portion : ESM</t>
    </r>
  </si>
  <si>
    <r>
      <rPr>
        <sz val="8"/>
        <rFont val="Arial"/>
        <family val="2"/>
      </rPr>
      <t>Case = 1 X 120 EA</t>
    </r>
  </si>
  <si>
    <r>
      <rPr>
        <sz val="8"/>
        <rFont val="Arial"/>
        <family val="2"/>
      </rPr>
      <t>LB</t>
    </r>
  </si>
  <si>
    <r>
      <rPr>
        <sz val="8"/>
        <rFont val="Arial"/>
        <family val="2"/>
      </rPr>
      <t>Litre</t>
    </r>
  </si>
  <si>
    <r>
      <rPr>
        <sz val="8"/>
        <rFont val="Arial"/>
        <family val="2"/>
      </rPr>
      <t>$ 3.26</t>
    </r>
  </si>
  <si>
    <r>
      <rPr>
        <sz val="8"/>
        <rFont val="Arial"/>
        <family val="2"/>
      </rPr>
      <t>Cheese : Goat : ESM</t>
    </r>
  </si>
  <si>
    <r>
      <rPr>
        <sz val="8"/>
        <rFont val="Arial"/>
        <family val="2"/>
      </rPr>
      <t>$ 16.43</t>
    </r>
  </si>
  <si>
    <r>
      <rPr>
        <sz val="8"/>
        <rFont val="Arial"/>
        <family val="2"/>
      </rPr>
      <t>Pork : Ham Diced : ESM</t>
    </r>
  </si>
  <si>
    <r>
      <rPr>
        <sz val="8"/>
        <rFont val="Arial"/>
        <family val="2"/>
      </rPr>
      <t>Case = 4 x 3 LB</t>
    </r>
  </si>
  <si>
    <r>
      <rPr>
        <sz val="8"/>
        <rFont val="Arial"/>
        <family val="2"/>
      </rPr>
      <t>$ 52.12</t>
    </r>
  </si>
  <si>
    <r>
      <rPr>
        <sz val="8"/>
        <rFont val="Arial"/>
        <family val="2"/>
      </rPr>
      <t>Garlic Peeled : ESM</t>
    </r>
  </si>
  <si>
    <r>
      <rPr>
        <sz val="8"/>
        <rFont val="Arial"/>
        <family val="2"/>
      </rPr>
      <t>$ 6.54</t>
    </r>
  </si>
  <si>
    <r>
      <rPr>
        <sz val="8"/>
        <rFont val="Arial"/>
        <family val="2"/>
      </rPr>
      <t>Cotton Candy : ESM</t>
    </r>
  </si>
  <si>
    <r>
      <rPr>
        <sz val="8"/>
        <rFont val="Arial"/>
        <family val="2"/>
      </rPr>
      <t>Each = 120 GM</t>
    </r>
  </si>
  <si>
    <r>
      <rPr>
        <sz val="8"/>
        <rFont val="Arial"/>
        <family val="2"/>
      </rPr>
      <t>$ 3.30</t>
    </r>
  </si>
  <si>
    <r>
      <rPr>
        <sz val="8"/>
        <rFont val="Arial"/>
        <family val="2"/>
      </rPr>
      <t>Dough : 10oz : ESM</t>
    </r>
  </si>
  <si>
    <r>
      <rPr>
        <sz val="8"/>
        <rFont val="Arial"/>
        <family val="2"/>
      </rPr>
      <t>Piece</t>
    </r>
  </si>
  <si>
    <r>
      <rPr>
        <sz val="8"/>
        <rFont val="Arial"/>
        <family val="2"/>
      </rPr>
      <t>$ 0.68</t>
    </r>
  </si>
  <si>
    <r>
      <rPr>
        <sz val="8"/>
        <rFont val="Arial"/>
        <family val="2"/>
      </rPr>
      <t>Dressing Caesar : ESM</t>
    </r>
  </si>
  <si>
    <r>
      <rPr>
        <sz val="8"/>
        <rFont val="Arial"/>
        <family val="2"/>
      </rPr>
      <t>$ 3.47</t>
    </r>
  </si>
  <si>
    <r>
      <rPr>
        <sz val="8"/>
        <rFont val="Arial"/>
        <family val="2"/>
      </rPr>
      <t>Each = 1.89 L</t>
    </r>
  </si>
  <si>
    <r>
      <rPr>
        <sz val="8"/>
        <rFont val="Arial"/>
        <family val="2"/>
      </rPr>
      <t>$ 3.66</t>
    </r>
  </si>
  <si>
    <r>
      <rPr>
        <sz val="8"/>
        <rFont val="Arial"/>
        <family val="2"/>
      </rPr>
      <t>$ 2.02</t>
    </r>
  </si>
  <si>
    <r>
      <rPr>
        <sz val="8"/>
        <rFont val="Arial"/>
        <family val="2"/>
      </rPr>
      <t>Bun : Burger Craft : ESM</t>
    </r>
  </si>
  <si>
    <r>
      <rPr>
        <sz val="8"/>
        <rFont val="Arial"/>
        <family val="2"/>
      </rPr>
      <t>$ 0.41</t>
    </r>
  </si>
  <si>
    <r>
      <rPr>
        <sz val="8"/>
        <rFont val="Arial"/>
        <family val="2"/>
      </rPr>
      <t>Chicken : Julienne : ESM</t>
    </r>
  </si>
  <si>
    <r>
      <rPr>
        <sz val="8"/>
        <rFont val="Arial"/>
        <family val="2"/>
      </rPr>
      <t>$ 10.70</t>
    </r>
  </si>
  <si>
    <r>
      <rPr>
        <sz val="8"/>
        <rFont val="Arial"/>
        <family val="2"/>
      </rPr>
      <t>BIB : Orange Crush : ESM</t>
    </r>
  </si>
  <si>
    <r>
      <rPr>
        <sz val="8"/>
        <rFont val="Arial"/>
        <family val="2"/>
      </rPr>
      <t>Case = 12 LT</t>
    </r>
  </si>
  <si>
    <r>
      <rPr>
        <sz val="8"/>
        <rFont val="Arial"/>
        <family val="2"/>
      </rPr>
      <t>$ 28.23</t>
    </r>
  </si>
  <si>
    <r>
      <rPr>
        <sz val="8"/>
        <rFont val="Arial"/>
        <family val="2"/>
      </rPr>
      <t>Chicken : Breast 7oz : ESM</t>
    </r>
  </si>
  <si>
    <r>
      <rPr>
        <sz val="8"/>
        <rFont val="Arial"/>
        <family val="2"/>
      </rPr>
      <t>$ 10.66</t>
    </r>
  </si>
  <si>
    <r>
      <rPr>
        <sz val="8"/>
        <rFont val="Arial"/>
        <family val="2"/>
      </rPr>
      <t>$ 14.81</t>
    </r>
  </si>
  <si>
    <r>
      <rPr>
        <sz val="8"/>
        <rFont val="Arial"/>
        <family val="2"/>
      </rPr>
      <t>Milk : Buttermilk : ESM</t>
    </r>
  </si>
  <si>
    <r>
      <rPr>
        <sz val="8"/>
        <rFont val="Arial"/>
        <family val="2"/>
      </rPr>
      <t>Each = 1 LT</t>
    </r>
  </si>
  <si>
    <r>
      <rPr>
        <sz val="8"/>
        <rFont val="Arial"/>
        <family val="2"/>
      </rPr>
      <t>$ 10.21</t>
    </r>
  </si>
  <si>
    <r>
      <rPr>
        <sz val="8"/>
        <rFont val="Arial"/>
        <family val="2"/>
      </rPr>
      <t>$ 2.83</t>
    </r>
  </si>
  <si>
    <r>
      <rPr>
        <sz val="8"/>
        <rFont val="Arial"/>
        <family val="2"/>
      </rPr>
      <t>Sugar : White Sticks : ESM</t>
    </r>
  </si>
  <si>
    <r>
      <rPr>
        <sz val="8"/>
        <rFont val="Arial"/>
        <family val="2"/>
      </rPr>
      <t>Case = 1 X 2000 EA</t>
    </r>
  </si>
  <si>
    <r>
      <rPr>
        <sz val="8"/>
        <rFont val="Arial"/>
        <family val="2"/>
      </rPr>
      <t>$ 22.20</t>
    </r>
  </si>
  <si>
    <r>
      <rPr>
        <sz val="8"/>
        <rFont val="Arial"/>
        <family val="2"/>
      </rPr>
      <t>Croutons : ESM</t>
    </r>
  </si>
  <si>
    <r>
      <rPr>
        <sz val="8"/>
        <rFont val="Arial"/>
        <family val="2"/>
      </rPr>
      <t>$ 4.13</t>
    </r>
  </si>
  <si>
    <r>
      <rPr>
        <sz val="8"/>
        <rFont val="Arial"/>
        <family val="2"/>
      </rPr>
      <t>Ice Cream : Popup Gelato Chocolate : ESM</t>
    </r>
  </si>
  <si>
    <r>
      <rPr>
        <sz val="8"/>
        <rFont val="Arial"/>
        <family val="2"/>
      </rPr>
      <t>$ 0.54</t>
    </r>
  </si>
  <si>
    <r>
      <rPr>
        <sz val="8"/>
        <rFont val="Arial"/>
        <family val="2"/>
      </rPr>
      <t>Dressing House Vinaigrette : ESM</t>
    </r>
  </si>
  <si>
    <r>
      <rPr>
        <sz val="8"/>
        <rFont val="Arial"/>
        <family val="2"/>
      </rPr>
      <t>$ 2.69</t>
    </r>
  </si>
  <si>
    <r>
      <rPr>
        <sz val="8"/>
        <rFont val="Arial"/>
        <family val="2"/>
      </rPr>
      <t>Milk : Chocolate : ESM</t>
    </r>
  </si>
  <si>
    <r>
      <rPr>
        <sz val="8"/>
        <rFont val="Arial"/>
        <family val="2"/>
      </rPr>
      <t>$ 1.89</t>
    </r>
  </si>
  <si>
    <r>
      <rPr>
        <sz val="8"/>
        <rFont val="Arial"/>
        <family val="2"/>
      </rPr>
      <t>Patty</t>
    </r>
  </si>
  <si>
    <r>
      <rPr>
        <sz val="8"/>
        <rFont val="Arial"/>
        <family val="2"/>
      </rPr>
      <t>$ 0.47</t>
    </r>
  </si>
  <si>
    <r>
      <rPr>
        <sz val="8"/>
        <rFont val="Arial"/>
        <family val="2"/>
      </rPr>
      <t>Each = 960 ML</t>
    </r>
  </si>
  <si>
    <r>
      <rPr>
        <sz val="8"/>
        <rFont val="Arial"/>
        <family val="2"/>
      </rPr>
      <t>$ 1.48</t>
    </r>
  </si>
  <si>
    <r>
      <rPr>
        <sz val="8"/>
        <rFont val="Arial"/>
        <family val="2"/>
      </rPr>
      <t>Salmon Filet 6oz : ESM</t>
    </r>
  </si>
  <si>
    <r>
      <rPr>
        <sz val="8"/>
        <rFont val="Arial"/>
        <family val="2"/>
      </rPr>
      <t>$ 11.85</t>
    </r>
  </si>
  <si>
    <r>
      <rPr>
        <sz val="8"/>
        <rFont val="Arial"/>
        <family val="2"/>
      </rPr>
      <t>$ 6.74</t>
    </r>
  </si>
  <si>
    <r>
      <rPr>
        <sz val="8"/>
        <rFont val="Arial"/>
        <family val="2"/>
      </rPr>
      <t>Each = 4 LT</t>
    </r>
  </si>
  <si>
    <r>
      <rPr>
        <sz val="8"/>
        <rFont val="Arial"/>
        <family val="2"/>
      </rPr>
      <t>$ 16.53</t>
    </r>
  </si>
  <si>
    <r>
      <rPr>
        <sz val="8"/>
        <rFont val="Arial"/>
        <family val="2"/>
      </rPr>
      <t>Pasta : Bowtie/Farfalle : ESM</t>
    </r>
  </si>
  <si>
    <r>
      <rPr>
        <sz val="8"/>
        <rFont val="Arial"/>
        <family val="2"/>
      </rPr>
      <t>$ 1.95</t>
    </r>
  </si>
  <si>
    <r>
      <rPr>
        <sz val="8"/>
        <rFont val="Arial"/>
        <family val="2"/>
      </rPr>
      <t>Pail = .85 LB</t>
    </r>
  </si>
  <si>
    <r>
      <rPr>
        <sz val="8"/>
        <rFont val="Arial"/>
        <family val="2"/>
      </rPr>
      <t>$ 11.01</t>
    </r>
  </si>
  <si>
    <r>
      <rPr>
        <sz val="8"/>
        <rFont val="Arial"/>
        <family val="2"/>
      </rPr>
      <t>Flour All Purpose : ESM</t>
    </r>
  </si>
  <si>
    <r>
      <rPr>
        <sz val="8"/>
        <rFont val="Arial"/>
        <family val="2"/>
      </rPr>
      <t>$ 1.13</t>
    </r>
  </si>
  <si>
    <r>
      <rPr>
        <sz val="8"/>
        <rFont val="Arial"/>
        <family val="2"/>
      </rPr>
      <t>Coffee : ESM</t>
    </r>
  </si>
  <si>
    <r>
      <rPr>
        <sz val="8"/>
        <rFont val="Arial"/>
        <family val="2"/>
      </rPr>
      <t>Package</t>
    </r>
  </si>
  <si>
    <r>
      <rPr>
        <sz val="8"/>
        <rFont val="Arial"/>
        <family val="2"/>
      </rPr>
      <t>$ 0.98</t>
    </r>
  </si>
  <si>
    <r>
      <rPr>
        <sz val="8"/>
        <rFont val="Arial"/>
        <family val="2"/>
      </rPr>
      <t>Shrimp 26/30 : ESM</t>
    </r>
  </si>
  <si>
    <r>
      <rPr>
        <sz val="8"/>
        <rFont val="Arial"/>
        <family val="2"/>
      </rPr>
      <t>$ 9.15</t>
    </r>
  </si>
  <si>
    <r>
      <rPr>
        <sz val="8"/>
        <rFont val="Arial"/>
        <family val="2"/>
      </rPr>
      <t>$ 29.54</t>
    </r>
  </si>
  <si>
    <r>
      <rPr>
        <sz val="8"/>
        <rFont val="Arial"/>
        <family val="2"/>
      </rPr>
      <t>Veal Cutlet : ESM</t>
    </r>
  </si>
  <si>
    <r>
      <rPr>
        <sz val="8"/>
        <rFont val="Arial"/>
        <family val="2"/>
      </rPr>
      <t>$ 1.04</t>
    </r>
  </si>
  <si>
    <r>
      <rPr>
        <sz val="8"/>
        <rFont val="Arial"/>
        <family val="2"/>
      </rPr>
      <t>Case = 2 X 4 LT</t>
    </r>
  </si>
  <si>
    <r>
      <rPr>
        <sz val="8"/>
        <rFont val="Arial"/>
        <family val="2"/>
      </rPr>
      <t>$ 41.26</t>
    </r>
  </si>
  <si>
    <r>
      <rPr>
        <sz val="8"/>
        <rFont val="Arial"/>
        <family val="2"/>
      </rPr>
      <t>Each = 2.84 LT</t>
    </r>
  </si>
  <si>
    <r>
      <rPr>
        <sz val="8"/>
        <rFont val="Arial"/>
        <family val="2"/>
      </rPr>
      <t>$ 8.13</t>
    </r>
  </si>
  <si>
    <r>
      <rPr>
        <sz val="8"/>
        <rFont val="Arial"/>
        <family val="2"/>
      </rPr>
      <t>$ 5.28</t>
    </r>
  </si>
  <si>
    <r>
      <rPr>
        <sz val="8"/>
        <rFont val="Arial"/>
        <family val="2"/>
      </rPr>
      <t>BIB : Dr Pepper : ESM</t>
    </r>
  </si>
  <si>
    <r>
      <rPr>
        <sz val="8"/>
        <rFont val="Arial"/>
        <family val="2"/>
      </rPr>
      <t>Steak</t>
    </r>
  </si>
  <si>
    <r>
      <rPr>
        <sz val="8"/>
        <rFont val="Arial"/>
        <family val="2"/>
      </rPr>
      <t>$ 5.35</t>
    </r>
  </si>
  <si>
    <r>
      <rPr>
        <sz val="8"/>
        <rFont val="Arial"/>
        <family val="2"/>
      </rPr>
      <t>Berries : Mixed IQF : ESM</t>
    </r>
  </si>
  <si>
    <r>
      <rPr>
        <sz val="8"/>
        <rFont val="Arial"/>
        <family val="2"/>
      </rPr>
      <t>$ 6.62</t>
    </r>
  </si>
  <si>
    <r>
      <rPr>
        <sz val="8"/>
        <rFont val="Arial"/>
        <family val="2"/>
      </rPr>
      <t>Each = 3 KG</t>
    </r>
  </si>
  <si>
    <r>
      <rPr>
        <sz val="8"/>
        <rFont val="Arial"/>
        <family val="2"/>
      </rPr>
      <t>$ 7.18</t>
    </r>
  </si>
  <si>
    <r>
      <rPr>
        <sz val="8"/>
        <rFont val="Arial"/>
        <family val="2"/>
      </rPr>
      <t>Pepperoni : ESM</t>
    </r>
  </si>
  <si>
    <r>
      <rPr>
        <sz val="8"/>
        <rFont val="Arial"/>
        <family val="2"/>
      </rPr>
      <t>$ 8.53</t>
    </r>
  </si>
  <si>
    <r>
      <rPr>
        <sz val="8"/>
        <rFont val="Arial"/>
        <family val="2"/>
      </rPr>
      <t>IO Peach : ESM</t>
    </r>
  </si>
  <si>
    <r>
      <rPr>
        <sz val="8"/>
        <rFont val="Arial"/>
        <family val="2"/>
      </rPr>
      <t>$ 6.82</t>
    </r>
  </si>
  <si>
    <r>
      <rPr>
        <sz val="8"/>
        <rFont val="Arial"/>
        <family val="2"/>
      </rPr>
      <t>Each = 32 FL OZ</t>
    </r>
  </si>
  <si>
    <r>
      <rPr>
        <sz val="8"/>
        <rFont val="Arial"/>
        <family val="2"/>
      </rPr>
      <t>$ 7.20</t>
    </r>
  </si>
  <si>
    <r>
      <rPr>
        <sz val="8"/>
        <rFont val="Arial"/>
        <family val="2"/>
      </rPr>
      <t>Chicken : Wings : ESM</t>
    </r>
  </si>
  <si>
    <r>
      <rPr>
        <sz val="8"/>
        <rFont val="Arial"/>
        <family val="2"/>
      </rPr>
      <t>$ 9.81</t>
    </r>
  </si>
  <si>
    <r>
      <rPr>
        <sz val="8"/>
        <rFont val="Arial"/>
        <family val="2"/>
      </rPr>
      <t>Each = 1.81 KG</t>
    </r>
  </si>
  <si>
    <r>
      <rPr>
        <sz val="8"/>
        <rFont val="Arial"/>
        <family val="2"/>
      </rPr>
      <t>$ 10.12</t>
    </r>
  </si>
  <si>
    <r>
      <rPr>
        <sz val="8"/>
        <rFont val="Arial"/>
        <family val="2"/>
      </rPr>
      <t>$ 11.72</t>
    </r>
  </si>
  <si>
    <r>
      <rPr>
        <sz val="8"/>
        <rFont val="Arial"/>
        <family val="2"/>
      </rPr>
      <t>$ 1.06</t>
    </r>
  </si>
  <si>
    <r>
      <rPr>
        <sz val="8"/>
        <rFont val="Arial"/>
        <family val="2"/>
      </rPr>
      <t>Bottle</t>
    </r>
  </si>
  <si>
    <r>
      <rPr>
        <sz val="8"/>
        <rFont val="Arial"/>
        <family val="2"/>
      </rPr>
      <t>$ 1.79</t>
    </r>
  </si>
  <si>
    <r>
      <rPr>
        <sz val="8"/>
        <rFont val="Arial"/>
        <family val="2"/>
      </rPr>
      <t>Flour Seasoned : ESM</t>
    </r>
  </si>
  <si>
    <r>
      <rPr>
        <sz val="8"/>
        <rFont val="Arial"/>
        <family val="2"/>
      </rPr>
      <t>Celery : ESM</t>
    </r>
  </si>
  <si>
    <r>
      <rPr>
        <sz val="8"/>
        <rFont val="Arial"/>
        <family val="2"/>
      </rPr>
      <t>$ 9.25</t>
    </r>
  </si>
  <si>
    <r>
      <rPr>
        <sz val="8"/>
        <rFont val="Arial"/>
        <family val="2"/>
      </rPr>
      <t>Lemons : ESM</t>
    </r>
  </si>
  <si>
    <r>
      <rPr>
        <sz val="8"/>
        <rFont val="Arial"/>
        <family val="2"/>
      </rPr>
      <t>$ 0.26</t>
    </r>
  </si>
  <si>
    <r>
      <rPr>
        <sz val="8"/>
        <rFont val="Arial"/>
        <family val="2"/>
      </rPr>
      <t>Each = 3.78 LT</t>
    </r>
  </si>
  <si>
    <r>
      <rPr>
        <sz val="8"/>
        <rFont val="Arial"/>
        <family val="2"/>
      </rPr>
      <t>$ 8.34</t>
    </r>
  </si>
  <si>
    <r>
      <rPr>
        <sz val="8"/>
        <rFont val="Arial"/>
        <family val="2"/>
      </rPr>
      <t>$ 7.29</t>
    </r>
  </si>
  <si>
    <r>
      <rPr>
        <sz val="8"/>
        <rFont val="Arial"/>
        <family val="2"/>
      </rPr>
      <t>Each = 950 ML</t>
    </r>
  </si>
  <si>
    <r>
      <rPr>
        <sz val="8"/>
        <rFont val="Arial"/>
        <family val="2"/>
      </rPr>
      <t>Each = 1 x 3.5 LB</t>
    </r>
  </si>
  <si>
    <r>
      <rPr>
        <sz val="8"/>
        <rFont val="Arial"/>
        <family val="2"/>
      </rPr>
      <t>$ 18.39</t>
    </r>
  </si>
  <si>
    <r>
      <rPr>
        <sz val="8"/>
        <rFont val="Arial"/>
        <family val="2"/>
      </rPr>
      <t>Cake (14slices)</t>
    </r>
  </si>
  <si>
    <r>
      <rPr>
        <sz val="8"/>
        <rFont val="Arial"/>
        <family val="2"/>
      </rPr>
      <t>$ 20.36</t>
    </r>
  </si>
  <si>
    <r>
      <rPr>
        <sz val="8"/>
        <rFont val="Arial"/>
        <family val="2"/>
      </rPr>
      <t>BIB : Lemonade : ESM</t>
    </r>
  </si>
  <si>
    <r>
      <rPr>
        <sz val="8"/>
        <rFont val="Arial"/>
        <family val="2"/>
      </rPr>
      <t>Dough : 6oz : ESM</t>
    </r>
  </si>
  <si>
    <r>
      <rPr>
        <sz val="8"/>
        <rFont val="Arial"/>
        <family val="2"/>
      </rPr>
      <t>Spice : Crushed Chili : ESM</t>
    </r>
  </si>
  <si>
    <r>
      <rPr>
        <sz val="8"/>
        <rFont val="Arial"/>
        <family val="2"/>
      </rPr>
      <t>$ 16.90</t>
    </r>
  </si>
  <si>
    <r>
      <rPr>
        <sz val="8"/>
        <rFont val="Arial"/>
        <family val="2"/>
      </rPr>
      <t>$ 1.12</t>
    </r>
  </si>
  <si>
    <r>
      <rPr>
        <sz val="8"/>
        <rFont val="Arial"/>
        <family val="2"/>
      </rPr>
      <t>$ 0.92</t>
    </r>
  </si>
  <si>
    <r>
      <rPr>
        <sz val="8"/>
        <rFont val="Arial"/>
        <family val="2"/>
      </rPr>
      <t>Each = 1 X 5 LT</t>
    </r>
  </si>
  <si>
    <r>
      <rPr>
        <sz val="8"/>
        <rFont val="Arial"/>
        <family val="2"/>
      </rPr>
      <t>Tortilla : Sundried Tomato 12in : ESM</t>
    </r>
  </si>
  <si>
    <r>
      <rPr>
        <sz val="8"/>
        <rFont val="Arial"/>
        <family val="2"/>
      </rPr>
      <t>Pack = 12</t>
    </r>
  </si>
  <si>
    <r>
      <rPr>
        <sz val="8"/>
        <rFont val="Arial"/>
        <family val="2"/>
      </rPr>
      <t>$ 4.23</t>
    </r>
  </si>
  <si>
    <r>
      <rPr>
        <sz val="8"/>
        <rFont val="Arial"/>
        <family val="2"/>
      </rPr>
      <t>Btl : Dr Pepper : ESM</t>
    </r>
  </si>
  <si>
    <r>
      <rPr>
        <sz val="8"/>
        <rFont val="Arial"/>
        <family val="2"/>
      </rPr>
      <t>$ 0.65</t>
    </r>
  </si>
  <si>
    <r>
      <rPr>
        <sz val="8"/>
        <rFont val="Arial"/>
        <family val="2"/>
      </rPr>
      <t>Oil : Olive Canola Blend : ESM</t>
    </r>
  </si>
  <si>
    <r>
      <rPr>
        <sz val="8"/>
        <rFont val="Arial"/>
        <family val="2"/>
      </rPr>
      <t>Each = 3 LT</t>
    </r>
  </si>
  <si>
    <r>
      <rPr>
        <sz val="8"/>
        <rFont val="Arial"/>
        <family val="2"/>
      </rPr>
      <t>$ 2.20</t>
    </r>
  </si>
  <si>
    <r>
      <rPr>
        <sz val="8"/>
        <rFont val="Arial"/>
        <family val="2"/>
      </rPr>
      <t>Each = 540 ML</t>
    </r>
  </si>
  <si>
    <r>
      <rPr>
        <sz val="8"/>
        <rFont val="Arial"/>
        <family val="2"/>
      </rPr>
      <t>$ 2.13</t>
    </r>
  </si>
  <si>
    <r>
      <rPr>
        <sz val="8"/>
        <rFont val="Arial"/>
        <family val="2"/>
      </rPr>
      <t>Limes : ESM</t>
    </r>
  </si>
  <si>
    <r>
      <rPr>
        <sz val="8"/>
        <rFont val="Arial"/>
        <family val="2"/>
      </rPr>
      <t>$ 6.16</t>
    </r>
  </si>
  <si>
    <r>
      <rPr>
        <sz val="8"/>
        <rFont val="Arial"/>
        <family val="2"/>
      </rPr>
      <t>Btl : Aquafina : ESM</t>
    </r>
  </si>
  <si>
    <r>
      <rPr>
        <sz val="8"/>
        <rFont val="Arial"/>
        <family val="2"/>
      </rPr>
      <t>$ 0.24</t>
    </r>
  </si>
  <si>
    <r>
      <rPr>
        <sz val="8"/>
        <rFont val="Arial"/>
        <family val="2"/>
      </rPr>
      <t>$ 4.88</t>
    </r>
  </si>
  <si>
    <r>
      <rPr>
        <sz val="8"/>
        <rFont val="Arial"/>
        <family val="2"/>
      </rPr>
      <t>Broccoli : ESM</t>
    </r>
  </si>
  <si>
    <r>
      <rPr>
        <sz val="8"/>
        <rFont val="Arial"/>
        <family val="2"/>
      </rPr>
      <t>$ 2.96</t>
    </r>
  </si>
  <si>
    <r>
      <rPr>
        <sz val="8"/>
        <rFont val="Arial"/>
        <family val="2"/>
      </rPr>
      <t>$ 1.98</t>
    </r>
  </si>
  <si>
    <r>
      <rPr>
        <sz val="8"/>
        <rFont val="Arial"/>
        <family val="2"/>
      </rPr>
      <t>Mussels : ESM</t>
    </r>
  </si>
  <si>
    <r>
      <rPr>
        <sz val="8"/>
        <rFont val="Arial"/>
        <family val="2"/>
      </rPr>
      <t>$ 2.51</t>
    </r>
  </si>
  <si>
    <r>
      <rPr>
        <sz val="8"/>
        <rFont val="Arial"/>
        <family val="2"/>
      </rPr>
      <t>Btl = 1 LT</t>
    </r>
  </si>
  <si>
    <r>
      <rPr>
        <sz val="8"/>
        <rFont val="Arial"/>
        <family val="2"/>
      </rPr>
      <t>$ 2.75</t>
    </r>
  </si>
  <si>
    <r>
      <rPr>
        <sz val="8"/>
        <rFont val="Arial"/>
        <family val="2"/>
      </rPr>
      <t>Sauce : Honey Garlic Wing : ESM</t>
    </r>
  </si>
  <si>
    <r>
      <rPr>
        <sz val="8"/>
        <rFont val="Arial"/>
        <family val="2"/>
      </rPr>
      <t>Sauce : Hot Wing : ESM</t>
    </r>
  </si>
  <si>
    <r>
      <rPr>
        <sz val="8"/>
        <rFont val="Arial"/>
        <family val="2"/>
      </rPr>
      <t>$ 3.35</t>
    </r>
  </si>
  <si>
    <r>
      <rPr>
        <sz val="8"/>
        <rFont val="Arial"/>
        <family val="2"/>
      </rPr>
      <t>Water : San Pellegrino 500ml : ESM</t>
    </r>
  </si>
  <si>
    <r>
      <rPr>
        <sz val="8"/>
        <rFont val="Arial"/>
        <family val="2"/>
      </rPr>
      <t>$ 0.93</t>
    </r>
  </si>
  <si>
    <r>
      <rPr>
        <sz val="8"/>
        <rFont val="Arial"/>
        <family val="2"/>
      </rPr>
      <t>Each = 142 ML</t>
    </r>
  </si>
  <si>
    <r>
      <rPr>
        <sz val="8"/>
        <rFont val="Arial"/>
        <family val="2"/>
      </rPr>
      <t>$ 1.94</t>
    </r>
  </si>
  <si>
    <r>
      <rPr>
        <sz val="8"/>
        <rFont val="Arial"/>
        <family val="2"/>
      </rPr>
      <t>Each = 350 ML</t>
    </r>
  </si>
  <si>
    <r>
      <rPr>
        <sz val="8"/>
        <rFont val="Arial"/>
        <family val="2"/>
      </rPr>
      <t>$ 10.42</t>
    </r>
  </si>
  <si>
    <r>
      <rPr>
        <sz val="8"/>
        <rFont val="Arial"/>
        <family val="2"/>
      </rPr>
      <t>Sauce : Roasted Garlic Aioli : ESM</t>
    </r>
  </si>
  <si>
    <r>
      <rPr>
        <sz val="8"/>
        <rFont val="Arial"/>
        <family val="2"/>
      </rPr>
      <t>$ 12.59</t>
    </r>
  </si>
  <si>
    <r>
      <rPr>
        <sz val="8"/>
        <rFont val="Arial"/>
        <family val="2"/>
      </rPr>
      <t>$ 4.67</t>
    </r>
  </si>
  <si>
    <r>
      <rPr>
        <sz val="8"/>
        <rFont val="Arial"/>
        <family val="2"/>
      </rPr>
      <t>Each = 1.36 LT</t>
    </r>
  </si>
  <si>
    <r>
      <rPr>
        <sz val="8"/>
        <rFont val="Arial"/>
        <family val="2"/>
      </rPr>
      <t>$ 3.03</t>
    </r>
  </si>
  <si>
    <r>
      <rPr>
        <sz val="8"/>
        <rFont val="Arial"/>
        <family val="2"/>
      </rPr>
      <t>Hot Chocolate : ESM</t>
    </r>
  </si>
  <si>
    <r>
      <rPr>
        <sz val="8"/>
        <rFont val="Arial"/>
        <family val="2"/>
      </rPr>
      <t>$ 0.27</t>
    </r>
  </si>
  <si>
    <r>
      <rPr>
        <sz val="8"/>
        <rFont val="Arial"/>
        <family val="2"/>
      </rPr>
      <t>$ 10.55</t>
    </r>
  </si>
  <si>
    <r>
      <rPr>
        <sz val="8"/>
        <rFont val="Arial"/>
        <family val="2"/>
      </rPr>
      <t>$ 2.90</t>
    </r>
  </si>
  <si>
    <r>
      <rPr>
        <sz val="8"/>
        <rFont val="Arial"/>
        <family val="2"/>
      </rPr>
      <t>Sauce : Medium Wing : ESM</t>
    </r>
  </si>
  <si>
    <r>
      <rPr>
        <sz val="8"/>
        <rFont val="Arial"/>
        <family val="2"/>
      </rPr>
      <t>$ 24.13</t>
    </r>
  </si>
  <si>
    <r>
      <rPr>
        <sz val="8"/>
        <rFont val="Arial"/>
        <family val="2"/>
      </rPr>
      <t>$ 4.19</t>
    </r>
  </si>
  <si>
    <r>
      <rPr>
        <sz val="8"/>
        <rFont val="Arial"/>
        <family val="2"/>
      </rPr>
      <t>Balsamic Glaze : ESM</t>
    </r>
  </si>
  <si>
    <r>
      <rPr>
        <sz val="8"/>
        <rFont val="Arial"/>
        <family val="2"/>
      </rPr>
      <t>Bottle = 380ML</t>
    </r>
  </si>
  <si>
    <r>
      <rPr>
        <sz val="8"/>
        <rFont val="Arial"/>
        <family val="2"/>
      </rPr>
      <t>$ 5.46</t>
    </r>
  </si>
  <si>
    <r>
      <rPr>
        <sz val="8"/>
        <rFont val="Arial"/>
        <family val="2"/>
      </rPr>
      <t>Basa Filet : ESM</t>
    </r>
  </si>
  <si>
    <r>
      <rPr>
        <sz val="8"/>
        <rFont val="Arial"/>
        <family val="2"/>
      </rPr>
      <t>Each = 8 OZ</t>
    </r>
  </si>
  <si>
    <r>
      <rPr>
        <sz val="8"/>
        <rFont val="Arial"/>
        <family val="2"/>
      </rPr>
      <t>$ 1.39</t>
    </r>
  </si>
  <si>
    <r>
      <rPr>
        <sz val="8"/>
        <rFont val="Arial"/>
        <family val="2"/>
      </rPr>
      <t>Each = 454 GM</t>
    </r>
  </si>
  <si>
    <r>
      <rPr>
        <sz val="8"/>
        <rFont val="Arial"/>
        <family val="2"/>
      </rPr>
      <t>Beef : Braised : ESM</t>
    </r>
  </si>
  <si>
    <r>
      <rPr>
        <sz val="8"/>
        <rFont val="Arial"/>
        <family val="2"/>
      </rPr>
      <t>$ 7.90</t>
    </r>
  </si>
  <si>
    <r>
      <rPr>
        <sz val="8"/>
        <rFont val="Arial"/>
        <family val="2"/>
      </rPr>
      <t>Beef : Sirloin 7 oz : ESM</t>
    </r>
  </si>
  <si>
    <r>
      <rPr>
        <sz val="8"/>
        <rFont val="Arial"/>
        <family val="2"/>
      </rPr>
      <t>$ 1.64</t>
    </r>
  </si>
  <si>
    <r>
      <rPr>
        <sz val="8"/>
        <rFont val="Arial"/>
        <family val="2"/>
      </rPr>
      <t>Beef Diced 3/4in : PUB</t>
    </r>
  </si>
  <si>
    <r>
      <rPr>
        <sz val="8"/>
        <rFont val="Arial"/>
        <family val="2"/>
      </rPr>
      <t>BIB : Mountain Dew : ESM</t>
    </r>
  </si>
  <si>
    <r>
      <rPr>
        <sz val="8"/>
        <rFont val="Arial"/>
        <family val="2"/>
      </rPr>
      <t>$ 26.90</t>
    </r>
  </si>
  <si>
    <r>
      <rPr>
        <sz val="8"/>
        <rFont val="Arial"/>
        <family val="2"/>
      </rPr>
      <t>Bottle : Mustard : ESM</t>
    </r>
  </si>
  <si>
    <r>
      <rPr>
        <sz val="8"/>
        <rFont val="Arial"/>
        <family val="2"/>
      </rPr>
      <t>$ 1.40</t>
    </r>
  </si>
  <si>
    <r>
      <rPr>
        <sz val="8"/>
        <rFont val="Arial"/>
        <family val="2"/>
      </rPr>
      <t>Bottle : Relish : ESM</t>
    </r>
  </si>
  <si>
    <r>
      <rPr>
        <sz val="8"/>
        <rFont val="Arial"/>
        <family val="2"/>
      </rPr>
      <t>Bread : Homeloaf : ESM</t>
    </r>
  </si>
  <si>
    <r>
      <rPr>
        <sz val="8"/>
        <rFont val="Arial"/>
        <family val="2"/>
      </rPr>
      <t>Loaf</t>
    </r>
  </si>
  <si>
    <r>
      <rPr>
        <sz val="8"/>
        <rFont val="Arial"/>
        <family val="2"/>
      </rPr>
      <t>$ 1.53</t>
    </r>
  </si>
  <si>
    <r>
      <rPr>
        <sz val="8"/>
        <rFont val="Arial"/>
        <family val="2"/>
      </rPr>
      <t>Btl : Ginger Ale : ESM</t>
    </r>
  </si>
  <si>
    <r>
      <rPr>
        <sz val="8"/>
        <rFont val="Arial"/>
        <family val="2"/>
      </rPr>
      <t>Btl : Heineken Non Alcoholic</t>
    </r>
  </si>
  <si>
    <r>
      <rPr>
        <sz val="8"/>
        <rFont val="Arial"/>
        <family val="2"/>
      </rPr>
      <t>Btl : Iced Tea : ESM</t>
    </r>
  </si>
  <si>
    <r>
      <rPr>
        <sz val="8"/>
        <rFont val="Arial"/>
        <family val="2"/>
      </rPr>
      <t>Btl : Orange Crush : ESM</t>
    </r>
  </si>
  <si>
    <r>
      <rPr>
        <sz val="8"/>
        <rFont val="Arial"/>
        <family val="2"/>
      </rPr>
      <t>$ 1.23</t>
    </r>
  </si>
  <si>
    <r>
      <rPr>
        <sz val="8"/>
        <rFont val="Arial"/>
        <family val="2"/>
      </rPr>
      <t>$ 3.11</t>
    </r>
  </si>
  <si>
    <r>
      <rPr>
        <sz val="8"/>
        <rFont val="Arial"/>
        <family val="2"/>
      </rPr>
      <t>Can</t>
    </r>
  </si>
  <si>
    <r>
      <rPr>
        <sz val="8"/>
        <rFont val="Arial"/>
        <family val="2"/>
      </rPr>
      <t>$ 0.00</t>
    </r>
  </si>
  <si>
    <r>
      <rPr>
        <sz val="8"/>
        <rFont val="Arial"/>
        <family val="2"/>
      </rPr>
      <t>$ 0.36</t>
    </r>
  </si>
  <si>
    <r>
      <rPr>
        <sz val="8"/>
        <rFont val="Arial"/>
        <family val="2"/>
      </rPr>
      <t>Can : Tonic : ESM</t>
    </r>
  </si>
  <si>
    <r>
      <rPr>
        <sz val="8"/>
        <rFont val="Arial"/>
        <family val="2"/>
      </rPr>
      <t>$ 0.38</t>
    </r>
  </si>
  <si>
    <r>
      <rPr>
        <sz val="8"/>
        <rFont val="Arial"/>
        <family val="2"/>
      </rPr>
      <t>$ 13.66</t>
    </r>
  </si>
  <si>
    <r>
      <rPr>
        <sz val="8"/>
        <rFont val="Arial"/>
        <family val="2"/>
      </rPr>
      <t>Cheese : Parmesan Cubes : ESM</t>
    </r>
  </si>
  <si>
    <r>
      <rPr>
        <sz val="8"/>
        <rFont val="Arial"/>
        <family val="2"/>
      </rPr>
      <t>$ 13.64</t>
    </r>
  </si>
  <si>
    <r>
      <rPr>
        <sz val="8"/>
        <rFont val="Arial"/>
        <family val="2"/>
      </rPr>
      <t>Cheese : Provolone Sliced : ESM</t>
    </r>
  </si>
  <si>
    <r>
      <rPr>
        <sz val="8"/>
        <rFont val="Arial"/>
        <family val="2"/>
      </rPr>
      <t>Each = 250 GM</t>
    </r>
  </si>
  <si>
    <r>
      <rPr>
        <sz val="8"/>
        <rFont val="Arial"/>
        <family val="2"/>
      </rPr>
      <t>$ 4.06</t>
    </r>
  </si>
  <si>
    <r>
      <rPr>
        <sz val="8"/>
        <rFont val="Arial"/>
        <family val="2"/>
      </rPr>
      <t>Coffee : Decaf : ESM</t>
    </r>
  </si>
  <si>
    <r>
      <rPr>
        <sz val="8"/>
        <rFont val="Arial"/>
        <family val="2"/>
      </rPr>
      <t>$ 1.03</t>
    </r>
  </si>
  <si>
    <r>
      <rPr>
        <sz val="8"/>
        <rFont val="Arial"/>
        <family val="2"/>
      </rPr>
      <t>Cream : Sour : ESM</t>
    </r>
  </si>
  <si>
    <r>
      <rPr>
        <sz val="8"/>
        <rFont val="Arial"/>
        <family val="2"/>
      </rPr>
      <t>$ 4.42</t>
    </r>
  </si>
  <si>
    <r>
      <rPr>
        <sz val="8"/>
        <rFont val="Arial"/>
        <family val="2"/>
      </rPr>
      <t>Bottle = 1 LT</t>
    </r>
  </si>
  <si>
    <r>
      <rPr>
        <sz val="8"/>
        <rFont val="Arial"/>
        <family val="2"/>
      </rPr>
      <t>Dressing Balsamic : ESM</t>
    </r>
  </si>
  <si>
    <r>
      <rPr>
        <sz val="8"/>
        <rFont val="Arial"/>
        <family val="2"/>
      </rPr>
      <t>$ 12.93</t>
    </r>
  </si>
  <si>
    <r>
      <rPr>
        <sz val="8"/>
        <rFont val="Arial"/>
        <family val="2"/>
      </rPr>
      <t>Garlic Crostini : ESM</t>
    </r>
  </si>
  <si>
    <r>
      <rPr>
        <sz val="8"/>
        <rFont val="Arial"/>
        <family val="2"/>
      </rPr>
      <t>$ 0.09</t>
    </r>
  </si>
  <si>
    <r>
      <rPr>
        <sz val="8"/>
        <rFont val="Arial"/>
        <family val="2"/>
      </rPr>
      <t>Garlic Spread : PB</t>
    </r>
  </si>
  <si>
    <r>
      <rPr>
        <sz val="8"/>
        <rFont val="Arial"/>
        <family val="2"/>
      </rPr>
      <t>Case = 1 X 10 KG</t>
    </r>
  </si>
  <si>
    <r>
      <rPr>
        <sz val="8"/>
        <rFont val="Arial"/>
        <family val="2"/>
      </rPr>
      <t>IO Pina Colada : ESM</t>
    </r>
  </si>
  <si>
    <r>
      <rPr>
        <sz val="8"/>
        <rFont val="Arial"/>
        <family val="2"/>
      </rPr>
      <t>$ 6.48</t>
    </r>
  </si>
  <si>
    <r>
      <rPr>
        <sz val="8"/>
        <rFont val="Arial"/>
        <family val="2"/>
      </rPr>
      <t>Lollipop : ESM</t>
    </r>
  </si>
  <si>
    <r>
      <rPr>
        <sz val="8"/>
        <rFont val="Arial"/>
        <family val="2"/>
      </rPr>
      <t>$ 8.11</t>
    </r>
  </si>
  <si>
    <r>
      <rPr>
        <sz val="8"/>
        <rFont val="Arial"/>
        <family val="2"/>
      </rPr>
      <t>Bunch</t>
    </r>
  </si>
  <si>
    <r>
      <rPr>
        <sz val="8"/>
        <rFont val="Arial"/>
        <family val="2"/>
      </rPr>
      <t>Each = 1 X 17 OZ</t>
    </r>
  </si>
  <si>
    <r>
      <rPr>
        <sz val="8"/>
        <rFont val="Arial"/>
        <family val="2"/>
      </rPr>
      <t>Onions Spanish : ESM</t>
    </r>
  </si>
  <si>
    <r>
      <rPr>
        <sz val="8"/>
        <rFont val="Arial"/>
        <family val="2"/>
      </rPr>
      <t>Peppers : Roasted Red : ESM</t>
    </r>
  </si>
  <si>
    <r>
      <rPr>
        <sz val="8"/>
        <rFont val="Arial"/>
        <family val="2"/>
      </rPr>
      <t>Each = 2.5 KG</t>
    </r>
  </si>
  <si>
    <r>
      <rPr>
        <sz val="8"/>
        <rFont val="Arial"/>
        <family val="2"/>
      </rPr>
      <t>$ 10.43</t>
    </r>
  </si>
  <si>
    <r>
      <rPr>
        <sz val="8"/>
        <rFont val="Arial"/>
        <family val="2"/>
      </rPr>
      <t>$ 1.58</t>
    </r>
  </si>
  <si>
    <r>
      <rPr>
        <sz val="8"/>
        <rFont val="Arial"/>
        <family val="2"/>
      </rPr>
      <t>Sauce : Herb De Provence Base : ESM</t>
    </r>
  </si>
  <si>
    <r>
      <rPr>
        <sz val="8"/>
        <rFont val="Arial"/>
        <family val="2"/>
      </rPr>
      <t>Pail = 12.8 OZ</t>
    </r>
  </si>
  <si>
    <r>
      <rPr>
        <sz val="8"/>
        <rFont val="Arial"/>
        <family val="2"/>
      </rPr>
      <t>$ 11.33</t>
    </r>
  </si>
  <si>
    <r>
      <rPr>
        <sz val="8"/>
        <rFont val="Arial"/>
        <family val="2"/>
      </rPr>
      <t>Soup : Italian Wedding : ESM</t>
    </r>
  </si>
  <si>
    <r>
      <rPr>
        <sz val="8"/>
        <rFont val="Arial"/>
        <family val="2"/>
      </rPr>
      <t>Bag = 1 KG</t>
    </r>
  </si>
  <si>
    <r>
      <rPr>
        <sz val="8"/>
        <rFont val="Arial"/>
        <family val="2"/>
      </rPr>
      <t>Soup : Tomato : ESM</t>
    </r>
  </si>
  <si>
    <r>
      <rPr>
        <sz val="8"/>
        <rFont val="Arial"/>
        <family val="2"/>
      </rPr>
      <t>Case = 1 X 8 LB</t>
    </r>
  </si>
  <si>
    <r>
      <rPr>
        <sz val="8"/>
        <rFont val="Arial"/>
        <family val="2"/>
      </rPr>
      <t>$ 10.23</t>
    </r>
  </si>
  <si>
    <r>
      <rPr>
        <sz val="8"/>
        <rFont val="Arial"/>
        <family val="2"/>
      </rPr>
      <t>Spice : Lemon Pepper Seasoning : ESM</t>
    </r>
  </si>
  <si>
    <r>
      <rPr>
        <sz val="8"/>
        <rFont val="Arial"/>
        <family val="2"/>
      </rPr>
      <t>Each = 1 X 825 GM</t>
    </r>
  </si>
  <si>
    <r>
      <rPr>
        <sz val="8"/>
        <rFont val="Arial"/>
        <family val="2"/>
      </rPr>
      <t>$ 15.64</t>
    </r>
  </si>
  <si>
    <r>
      <rPr>
        <sz val="8"/>
        <rFont val="Arial"/>
        <family val="2"/>
      </rPr>
      <t>Tea : Chamomile : ESM</t>
    </r>
  </si>
  <si>
    <r>
      <rPr>
        <sz val="8"/>
        <rFont val="Arial"/>
        <family val="2"/>
      </rPr>
      <t>Tea : Earl Grey : ESM</t>
    </r>
  </si>
  <si>
    <r>
      <rPr>
        <sz val="8"/>
        <rFont val="Arial"/>
        <family val="2"/>
      </rPr>
      <t>Tea : Green : ESM</t>
    </r>
  </si>
  <si>
    <r>
      <rPr>
        <sz val="8"/>
        <rFont val="Arial"/>
        <family val="2"/>
      </rPr>
      <t>Tea : Peppermint : ESM</t>
    </r>
  </si>
  <si>
    <r>
      <rPr>
        <sz val="8"/>
        <rFont val="Arial"/>
        <family val="2"/>
      </rPr>
      <t>Box = 20 EA</t>
    </r>
  </si>
  <si>
    <r>
      <rPr>
        <sz val="8"/>
        <rFont val="Arial"/>
        <family val="2"/>
      </rPr>
      <t>$ 7.11</t>
    </r>
  </si>
  <si>
    <r>
      <rPr>
        <sz val="8"/>
        <rFont val="Arial"/>
        <family val="2"/>
      </rPr>
      <t>Tomatoes Roma : PUB</t>
    </r>
  </si>
  <si>
    <r>
      <rPr>
        <sz val="8"/>
        <rFont val="Arial"/>
        <family val="2"/>
      </rPr>
      <t>Each = 1.5 LT</t>
    </r>
  </si>
  <si>
    <r>
      <rPr>
        <sz val="8"/>
        <rFont val="Arial"/>
        <family val="2"/>
      </rPr>
      <t>Shrimp 51/60 : ESM</t>
    </r>
  </si>
  <si>
    <r>
      <rPr>
        <sz val="8"/>
        <rFont val="Arial"/>
        <family val="2"/>
      </rPr>
      <t>$ 7.17</t>
    </r>
  </si>
  <si>
    <r>
      <rPr>
        <sz val="8"/>
        <rFont val="Arial"/>
        <family val="2"/>
      </rPr>
      <t>Onions Green : ESM</t>
    </r>
  </si>
  <si>
    <r>
      <rPr>
        <sz val="8"/>
        <rFont val="Arial"/>
        <family val="2"/>
      </rPr>
      <t>Each = 100</t>
    </r>
  </si>
  <si>
    <r>
      <rPr>
        <sz val="8"/>
        <rFont val="Arial"/>
        <family val="2"/>
      </rPr>
      <t>$ 5.34</t>
    </r>
  </si>
  <si>
    <r>
      <rPr>
        <sz val="8"/>
        <rFont val="Arial"/>
        <family val="2"/>
      </rPr>
      <t>Mayonnaise : ESM</t>
    </r>
  </si>
  <si>
    <r>
      <rPr>
        <sz val="8"/>
        <rFont val="Arial"/>
        <family val="2"/>
      </rPr>
      <t>$ 5.90</t>
    </r>
  </si>
  <si>
    <r>
      <rPr>
        <sz val="8"/>
        <rFont val="Arial"/>
        <family val="2"/>
      </rPr>
      <t>Milkettes : ESM</t>
    </r>
  </si>
  <si>
    <r>
      <rPr>
        <sz val="8"/>
        <rFont val="Arial"/>
        <family val="2"/>
      </rPr>
      <t>Case = 160 EA</t>
    </r>
  </si>
  <si>
    <r>
      <rPr>
        <sz val="8"/>
        <rFont val="Arial"/>
        <family val="2"/>
      </rPr>
      <t>$ 7.43</t>
    </r>
  </si>
  <si>
    <r>
      <rPr>
        <sz val="8"/>
        <rFont val="Arial"/>
        <family val="2"/>
      </rPr>
      <t>IO Margarita Mix : ESM</t>
    </r>
  </si>
  <si>
    <r>
      <rPr>
        <sz val="8"/>
        <rFont val="Arial"/>
        <family val="2"/>
      </rPr>
      <t>$ 4.85</t>
    </r>
  </si>
  <si>
    <r>
      <rPr>
        <sz val="8"/>
        <rFont val="Arial"/>
        <family val="2"/>
      </rPr>
      <t>$ 0.23</t>
    </r>
  </si>
  <si>
    <r>
      <rPr>
        <sz val="8"/>
        <rFont val="Arial"/>
        <family val="2"/>
      </rPr>
      <t>Case = 1 X 3000 EA</t>
    </r>
  </si>
  <si>
    <r>
      <rPr>
        <sz val="8"/>
        <rFont val="Arial"/>
        <family val="2"/>
      </rPr>
      <t>$ 32.30</t>
    </r>
  </si>
  <si>
    <r>
      <rPr>
        <sz val="8"/>
        <rFont val="Arial"/>
        <family val="2"/>
      </rPr>
      <t>Sauce : Mild Wing : ESM</t>
    </r>
  </si>
  <si>
    <r>
      <rPr>
        <sz val="8"/>
        <rFont val="Arial"/>
        <family val="2"/>
      </rPr>
      <t>$ 3.53</t>
    </r>
  </si>
  <si>
    <r>
      <rPr>
        <sz val="8"/>
        <rFont val="Arial"/>
        <family val="2"/>
      </rPr>
      <t>$ 2.01</t>
    </r>
  </si>
  <si>
    <r>
      <rPr>
        <sz val="8"/>
        <rFont val="Arial"/>
        <family val="2"/>
      </rPr>
      <t>Creamers : ESM</t>
    </r>
  </si>
  <si>
    <r>
      <rPr>
        <sz val="8"/>
        <rFont val="Arial"/>
        <family val="2"/>
      </rPr>
      <t>$ 9.21</t>
    </r>
  </si>
  <si>
    <r>
      <rPr>
        <sz val="8"/>
        <rFont val="Arial"/>
        <family val="2"/>
      </rPr>
      <t>Each = 10 FL OZ</t>
    </r>
  </si>
  <si>
    <r>
      <rPr>
        <sz val="8"/>
        <rFont val="Arial"/>
        <family val="2"/>
      </rPr>
      <t>$ 0.75</t>
    </r>
  </si>
  <si>
    <r>
      <rPr>
        <sz val="8"/>
        <rFont val="Arial"/>
        <family val="2"/>
      </rPr>
      <t>Btl : Diet Pepsi : ESM</t>
    </r>
  </si>
  <si>
    <r>
      <rPr>
        <sz val="8"/>
        <rFont val="Arial"/>
        <family val="2"/>
      </rPr>
      <t>Btl : Root Beer : ESM</t>
    </r>
  </si>
  <si>
    <r>
      <rPr>
        <sz val="8"/>
        <rFont val="Arial"/>
        <family val="2"/>
      </rPr>
      <t>$ 24.06</t>
    </r>
  </si>
  <si>
    <r>
      <rPr>
        <sz val="8"/>
        <rFont val="Arial"/>
        <family val="2"/>
      </rPr>
      <t>Butter : Salted : ESM</t>
    </r>
  </si>
  <si>
    <r>
      <rPr>
        <sz val="8"/>
        <rFont val="Arial"/>
        <family val="2"/>
      </rPr>
      <t>$ 5.45</t>
    </r>
  </si>
  <si>
    <r>
      <rPr>
        <sz val="8"/>
        <rFont val="Arial"/>
        <family val="2"/>
      </rPr>
      <t>Each = 340 GM</t>
    </r>
  </si>
  <si>
    <r>
      <rPr>
        <sz val="8"/>
        <rFont val="Arial"/>
        <family val="2"/>
      </rPr>
      <t>$ 2.66</t>
    </r>
  </si>
  <si>
    <r>
      <rPr>
        <sz val="8"/>
        <rFont val="Arial"/>
        <family val="2"/>
      </rPr>
      <t>$ 37.32</t>
    </r>
  </si>
  <si>
    <r>
      <rPr>
        <sz val="8"/>
        <rFont val="Arial"/>
        <family val="2"/>
      </rPr>
      <t>$ 1.42</t>
    </r>
  </si>
  <si>
    <r>
      <rPr>
        <sz val="8"/>
        <rFont val="Arial"/>
        <family val="2"/>
      </rPr>
      <t>Sprinkles : ESM</t>
    </r>
  </si>
  <si>
    <r>
      <rPr>
        <sz val="8"/>
        <rFont val="Arial"/>
        <family val="2"/>
      </rPr>
      <t>Each = 113 GM</t>
    </r>
  </si>
  <si>
    <r>
      <rPr>
        <sz val="8"/>
        <rFont val="Arial"/>
        <family val="2"/>
      </rPr>
      <t>$ 1.87</t>
    </r>
  </si>
  <si>
    <r>
      <rPr>
        <sz val="8"/>
        <rFont val="Arial"/>
        <family val="2"/>
      </rPr>
      <t>Milk : 2% : ESM</t>
    </r>
  </si>
  <si>
    <r>
      <rPr>
        <sz val="8"/>
        <rFont val="Arial"/>
        <family val="2"/>
      </rPr>
      <t>Caesar Rimmer : ESM</t>
    </r>
  </si>
  <si>
    <r>
      <rPr>
        <sz val="8"/>
        <rFont val="Arial"/>
        <family val="2"/>
      </rPr>
      <t>Container = 750GM</t>
    </r>
  </si>
  <si>
    <r>
      <rPr>
        <sz val="8"/>
        <rFont val="Arial"/>
        <family val="2"/>
      </rPr>
      <t>$ 13.74</t>
    </r>
  </si>
  <si>
    <r>
      <rPr>
        <sz val="8"/>
        <rFont val="Arial"/>
        <family val="2"/>
      </rPr>
      <t>Margarine : ESM</t>
    </r>
  </si>
  <si>
    <r>
      <rPr>
        <sz val="8"/>
        <rFont val="Arial"/>
        <family val="2"/>
      </rPr>
      <t>$ 2.54</t>
    </r>
  </si>
  <si>
    <r>
      <rPr>
        <sz val="8"/>
        <rFont val="Arial"/>
        <family val="2"/>
      </rPr>
      <t>$ 2.87</t>
    </r>
  </si>
  <si>
    <r>
      <rPr>
        <sz val="8"/>
        <rFont val="Arial"/>
        <family val="2"/>
      </rPr>
      <t>$ 4.41</t>
    </r>
  </si>
  <si>
    <r>
      <rPr>
        <sz val="8"/>
        <rFont val="Arial"/>
        <family val="2"/>
      </rPr>
      <t>Squid Rings : ESM</t>
    </r>
  </si>
  <si>
    <r>
      <rPr>
        <sz val="8"/>
        <rFont val="Arial"/>
        <family val="2"/>
      </rPr>
      <t>$ 4.70</t>
    </r>
  </si>
  <si>
    <r>
      <rPr>
        <sz val="8"/>
        <rFont val="Arial"/>
        <family val="2"/>
      </rPr>
      <t>Syrup : Grenadine : ESM</t>
    </r>
  </si>
  <si>
    <r>
      <rPr>
        <sz val="8"/>
        <rFont val="Arial"/>
        <family val="2"/>
      </rPr>
      <t>$ 4.78</t>
    </r>
  </si>
  <si>
    <r>
      <rPr>
        <sz val="8"/>
        <rFont val="Arial"/>
        <family val="2"/>
      </rPr>
      <t>Sauce : Plum : ESM</t>
    </r>
  </si>
  <si>
    <r>
      <rPr>
        <sz val="8"/>
        <rFont val="Arial"/>
        <family val="2"/>
      </rPr>
      <t>$ 2.45</t>
    </r>
  </si>
  <si>
    <r>
      <rPr>
        <sz val="8"/>
        <rFont val="Arial"/>
        <family val="2"/>
      </rPr>
      <t>Case = 1 x 1 KG</t>
    </r>
  </si>
  <si>
    <r>
      <rPr>
        <sz val="8"/>
        <rFont val="Arial"/>
        <family val="2"/>
      </rPr>
      <t>$ 9.30</t>
    </r>
  </si>
  <si>
    <r>
      <rPr>
        <sz val="8"/>
        <rFont val="Arial"/>
        <family val="2"/>
      </rPr>
      <t>Dough : 16oz : ESM</t>
    </r>
  </si>
  <si>
    <r>
      <rPr>
        <sz val="8"/>
        <rFont val="Arial"/>
        <family val="2"/>
      </rPr>
      <t>$ 1.08</t>
    </r>
  </si>
  <si>
    <r>
      <rPr>
        <sz val="8"/>
        <rFont val="Arial"/>
        <family val="2"/>
      </rPr>
      <t>Dressing Blue Cheese : ESM</t>
    </r>
  </si>
  <si>
    <r>
      <rPr>
        <sz val="8"/>
        <rFont val="Arial"/>
        <family val="2"/>
      </rPr>
      <t>$ 3.61</t>
    </r>
  </si>
  <si>
    <r>
      <rPr>
        <sz val="8"/>
        <rFont val="Arial"/>
        <family val="2"/>
      </rPr>
      <t>Parsley : ESM</t>
    </r>
  </si>
  <si>
    <r>
      <rPr>
        <sz val="8"/>
        <rFont val="Arial"/>
        <family val="2"/>
      </rPr>
      <t>$ 3.58</t>
    </r>
  </si>
  <si>
    <r>
      <rPr>
        <sz val="8"/>
        <rFont val="Arial"/>
        <family val="2"/>
      </rPr>
      <t>Case = 1 X 715 EA</t>
    </r>
  </si>
  <si>
    <r>
      <rPr>
        <sz val="8"/>
        <rFont val="Arial"/>
        <family val="2"/>
      </rPr>
      <t>$ 43.41</t>
    </r>
  </si>
  <si>
    <r>
      <rPr>
        <sz val="8"/>
        <rFont val="Arial"/>
        <family val="2"/>
      </rPr>
      <t>$ 1.78</t>
    </r>
  </si>
  <si>
    <r>
      <rPr>
        <sz val="8"/>
        <rFont val="Arial"/>
        <family val="2"/>
      </rPr>
      <t>$ 0.52</t>
    </r>
  </si>
  <si>
    <r>
      <rPr>
        <sz val="8"/>
        <rFont val="Arial"/>
        <family val="2"/>
      </rPr>
      <t>Pasta : Penne : ESM</t>
    </r>
  </si>
  <si>
    <r>
      <rPr>
        <sz val="8"/>
        <rFont val="Arial"/>
        <family val="2"/>
      </rPr>
      <t>Dressing House Portion : ESM</t>
    </r>
  </si>
  <si>
    <r>
      <rPr>
        <sz val="8"/>
        <rFont val="Arial"/>
        <family val="2"/>
      </rPr>
      <t>Case = 100 EA</t>
    </r>
  </si>
  <si>
    <r>
      <rPr>
        <sz val="8"/>
        <rFont val="Arial"/>
        <family val="2"/>
      </rPr>
      <t>$ 27.44</t>
    </r>
  </si>
  <si>
    <r>
      <rPr>
        <sz val="8"/>
        <rFont val="Arial"/>
        <family val="2"/>
      </rPr>
      <t>Btl : Mountain Dew : ESM</t>
    </r>
  </si>
  <si>
    <r>
      <rPr>
        <sz val="8"/>
        <rFont val="Arial"/>
        <family val="2"/>
      </rPr>
      <t>Oranges : ESM</t>
    </r>
  </si>
  <si>
    <r>
      <rPr>
        <sz val="8"/>
        <rFont val="Arial"/>
        <family val="2"/>
      </rPr>
      <t>$ 1.34</t>
    </r>
  </si>
  <si>
    <r>
      <rPr>
        <sz val="8"/>
        <rFont val="Arial"/>
        <family val="2"/>
      </rPr>
      <t>$ 17.51</t>
    </r>
  </si>
  <si>
    <r>
      <rPr>
        <sz val="8"/>
        <rFont val="Arial"/>
        <family val="2"/>
      </rPr>
      <t>Packet : Ketchup : ESM</t>
    </r>
  </si>
  <si>
    <r>
      <rPr>
        <sz val="8"/>
        <rFont val="Arial"/>
        <family val="2"/>
      </rPr>
      <t>Case = 1 X 1500 EA</t>
    </r>
  </si>
  <si>
    <r>
      <rPr>
        <sz val="8"/>
        <rFont val="Arial"/>
        <family val="2"/>
      </rPr>
      <t>$ 29.38</t>
    </r>
  </si>
  <si>
    <r>
      <rPr>
        <sz val="8"/>
        <rFont val="Arial"/>
        <family val="2"/>
      </rPr>
      <t>$ 32.72</t>
    </r>
  </si>
  <si>
    <r>
      <rPr>
        <sz val="8"/>
        <rFont val="Arial"/>
        <family val="2"/>
      </rPr>
      <t>Bun : Burger Mini : ESM</t>
    </r>
  </si>
  <si>
    <r>
      <rPr>
        <sz val="8"/>
        <rFont val="Arial"/>
        <family val="2"/>
      </rPr>
      <t>$ 0.20</t>
    </r>
  </si>
  <si>
    <r>
      <rPr>
        <sz val="8"/>
        <rFont val="Arial"/>
        <family val="2"/>
      </rPr>
      <t>Topping : Chocolate : ESM</t>
    </r>
  </si>
  <si>
    <r>
      <rPr>
        <sz val="8"/>
        <rFont val="Arial"/>
        <family val="2"/>
      </rPr>
      <t>$ 5.06</t>
    </r>
  </si>
  <si>
    <r>
      <rPr>
        <sz val="8"/>
        <rFont val="Arial"/>
        <family val="2"/>
      </rPr>
      <t>Salsa : ESM</t>
    </r>
  </si>
  <si>
    <r>
      <rPr>
        <sz val="8"/>
        <rFont val="Arial"/>
        <family val="2"/>
      </rPr>
      <t>$ 3.57</t>
    </r>
  </si>
  <si>
    <r>
      <rPr>
        <sz val="8"/>
        <rFont val="Arial"/>
        <family val="2"/>
      </rPr>
      <t>Cheese : Parmesan Romano : ESM</t>
    </r>
  </si>
  <si>
    <r>
      <rPr>
        <sz val="8"/>
        <rFont val="Arial"/>
        <family val="2"/>
      </rPr>
      <t>$ 14.78</t>
    </r>
  </si>
  <si>
    <r>
      <rPr>
        <sz val="8"/>
        <rFont val="Arial"/>
        <family val="2"/>
      </rPr>
      <t>Topping : Cream Vanilla on Top : ESM</t>
    </r>
  </si>
  <si>
    <r>
      <rPr>
        <sz val="8"/>
        <rFont val="Arial"/>
        <family val="2"/>
      </rPr>
      <t>$ 3.38</t>
    </r>
  </si>
  <si>
    <r>
      <rPr>
        <sz val="8"/>
        <rFont val="Arial"/>
        <family val="2"/>
      </rPr>
      <t>$ 12.29</t>
    </r>
  </si>
  <si>
    <r>
      <rPr>
        <sz val="8"/>
        <rFont val="Arial"/>
        <family val="2"/>
      </rPr>
      <t>$ 2.85</t>
    </r>
  </si>
  <si>
    <r>
      <rPr>
        <sz val="8"/>
        <rFont val="Arial"/>
        <family val="2"/>
      </rPr>
      <t>Bread : Crumbs Panko : ESM</t>
    </r>
  </si>
  <si>
    <r>
      <rPr>
        <sz val="8"/>
        <rFont val="Arial"/>
        <family val="2"/>
      </rPr>
      <t>Pasta : Rigatoni : ESM</t>
    </r>
  </si>
  <si>
    <r>
      <rPr>
        <sz val="8"/>
        <rFont val="Arial"/>
        <family val="2"/>
      </rPr>
      <t>$ 43.65</t>
    </r>
  </si>
  <si>
    <r>
      <rPr>
        <sz val="8"/>
        <rFont val="Arial"/>
        <family val="2"/>
      </rPr>
      <t>Chicken : Breast 3.5oz : ESM</t>
    </r>
  </si>
  <si>
    <r>
      <rPr>
        <sz val="8"/>
        <rFont val="Arial"/>
        <family val="2"/>
      </rPr>
      <t>$ 11.43</t>
    </r>
  </si>
  <si>
    <r>
      <rPr>
        <sz val="8"/>
        <rFont val="Arial"/>
        <family val="2"/>
      </rPr>
      <t>Beef : Meatballs : ESM</t>
    </r>
  </si>
  <si>
    <r>
      <rPr>
        <sz val="8"/>
        <rFont val="Arial"/>
        <family val="2"/>
      </rPr>
      <t>Each = 1 X 5 LB</t>
    </r>
  </si>
  <si>
    <r>
      <rPr>
        <sz val="8"/>
        <rFont val="Arial"/>
        <family val="2"/>
      </rPr>
      <t>$ 5.68</t>
    </r>
  </si>
  <si>
    <r>
      <rPr>
        <sz val="8"/>
        <rFont val="Arial"/>
        <family val="2"/>
      </rPr>
      <t>Pork : Bacon Chipped : ESM</t>
    </r>
  </si>
  <si>
    <r>
      <rPr>
        <sz val="8"/>
        <rFont val="Arial"/>
        <family val="2"/>
      </rPr>
      <t>$ 19.06</t>
    </r>
  </si>
  <si>
    <r>
      <rPr>
        <b/>
        <sz val="8"/>
        <rFont val="Arial"/>
        <family val="2"/>
      </rPr>
      <t>Total</t>
    </r>
  </si>
  <si>
    <r>
      <rPr>
        <b/>
        <sz val="8"/>
        <rFont val="Arial"/>
        <family val="2"/>
      </rPr>
      <t>$ 0.00</t>
    </r>
  </si>
  <si>
    <r>
      <rPr>
        <b/>
        <sz val="10"/>
        <rFont val="Arial"/>
        <family val="2"/>
      </rPr>
      <t>Total Food Sales:                      1. TOTAL FOOD</t>
    </r>
  </si>
  <si>
    <r>
      <rPr>
        <b/>
        <sz val="8"/>
        <rFont val="Arial"/>
        <family val="2"/>
      </rPr>
      <t>Amount</t>
    </r>
  </si>
  <si>
    <r>
      <rPr>
        <b/>
        <sz val="8"/>
        <rFont val="Arial"/>
        <family val="2"/>
      </rPr>
      <t>Percentage</t>
    </r>
  </si>
  <si>
    <r>
      <rPr>
        <sz val="8"/>
        <rFont val="Arial"/>
        <family val="2"/>
      </rPr>
      <t>Total Net Sales</t>
    </r>
  </si>
  <si>
    <r>
      <rPr>
        <sz val="8"/>
        <rFont val="Arial"/>
        <family val="2"/>
      </rPr>
      <t>Theoretical Cost of Sales</t>
    </r>
  </si>
  <si>
    <r>
      <rPr>
        <sz val="8"/>
        <rFont val="Arial"/>
        <family val="2"/>
      </rPr>
      <t>Actual Cost of Sales</t>
    </r>
  </si>
  <si>
    <r>
      <rPr>
        <sz val="8"/>
        <rFont val="Arial"/>
        <family val="2"/>
      </rPr>
      <t>Variance</t>
    </r>
  </si>
  <si>
    <t>Take out Butter Pods</t>
  </si>
  <si>
    <t>Arribiata</t>
  </si>
  <si>
    <t>Roasted Garlic</t>
  </si>
  <si>
    <t>Green Olive</t>
  </si>
  <si>
    <t>Pepperoncini</t>
  </si>
  <si>
    <t>Spray Oil</t>
  </si>
  <si>
    <t>House Dressing Bottle</t>
  </si>
  <si>
    <t>Crushed Chilli</t>
  </si>
  <si>
    <t>Lemon MPS</t>
  </si>
  <si>
    <t>BNCH</t>
  </si>
  <si>
    <t>Broccoli</t>
  </si>
  <si>
    <t>Chopped Romain</t>
  </si>
  <si>
    <t>Margarita Mix</t>
  </si>
  <si>
    <t>Oasis Raspberry</t>
  </si>
  <si>
    <t>Cesar Rimmer</t>
  </si>
  <si>
    <t>Cranberry Cocktail</t>
  </si>
  <si>
    <t>PAR</t>
  </si>
  <si>
    <t>26/30 Shrimp</t>
  </si>
  <si>
    <t>Berry Compote</t>
  </si>
  <si>
    <t>slv</t>
  </si>
  <si>
    <t>crayons</t>
  </si>
  <si>
    <r>
      <rPr>
        <b/>
        <sz val="10"/>
        <rFont val="Arial"/>
        <family val="2"/>
      </rPr>
      <t>1145794  - 10-10-2021 23:22:00.000   Weekly Food Count</t>
    </r>
  </si>
  <si>
    <r>
      <rPr>
        <b/>
        <sz val="10"/>
        <rFont val="Arial"/>
        <family val="2"/>
      </rPr>
      <t>1146834  - 10-17-2021 23:59:00.000   Weekly Food Count</t>
    </r>
  </si>
  <si>
    <r>
      <rPr>
        <b/>
        <sz val="10"/>
        <rFont val="Arial"/>
        <family val="2"/>
      </rPr>
      <t>Report Time:          2021-10-19 9:16 AM</t>
    </r>
  </si>
  <si>
    <r>
      <rPr>
        <b/>
        <sz val="10"/>
        <rFont val="Arial"/>
        <family val="2"/>
      </rPr>
      <t>ExecutionTime:     0 m 0.16 s</t>
    </r>
  </si>
  <si>
    <r>
      <rPr>
        <sz val="8"/>
        <rFont val="Arial"/>
        <family val="2"/>
      </rPr>
      <t>$ 8.64</t>
    </r>
  </si>
  <si>
    <r>
      <rPr>
        <sz val="8"/>
        <color indexed="10"/>
        <rFont val="Arial"/>
        <family val="2"/>
      </rPr>
      <t>-$ 808.29</t>
    </r>
  </si>
  <si>
    <r>
      <rPr>
        <sz val="8"/>
        <color indexed="10"/>
        <rFont val="Arial"/>
        <family val="2"/>
      </rPr>
      <t>-75.01 %</t>
    </r>
  </si>
  <si>
    <r>
      <rPr>
        <sz val="8"/>
        <rFont val="Arial"/>
        <family val="2"/>
      </rPr>
      <t>Lettuce : Romaine Chopped : ESM</t>
    </r>
  </si>
  <si>
    <r>
      <rPr>
        <sz val="8"/>
        <color indexed="10"/>
        <rFont val="Arial"/>
        <family val="2"/>
      </rPr>
      <t>-$ 267.58</t>
    </r>
  </si>
  <si>
    <r>
      <rPr>
        <sz val="8"/>
        <color indexed="10"/>
        <rFont val="Arial"/>
        <family val="2"/>
      </rPr>
      <t>-57.29 %</t>
    </r>
  </si>
  <si>
    <r>
      <rPr>
        <sz val="8"/>
        <rFont val="Arial"/>
        <family val="2"/>
      </rPr>
      <t>Sauce : Tomato Mother : ESM</t>
    </r>
  </si>
  <si>
    <r>
      <rPr>
        <sz val="8"/>
        <color indexed="10"/>
        <rFont val="Arial"/>
        <family val="2"/>
      </rPr>
      <t>-$ 259.61</t>
    </r>
  </si>
  <si>
    <r>
      <rPr>
        <sz val="8"/>
        <color indexed="10"/>
        <rFont val="Arial"/>
        <family val="2"/>
      </rPr>
      <t>-54.60 %</t>
    </r>
  </si>
  <si>
    <r>
      <rPr>
        <sz val="8"/>
        <color indexed="10"/>
        <rFont val="Arial"/>
        <family val="2"/>
      </rPr>
      <t>-$ 241.36</t>
    </r>
  </si>
  <si>
    <r>
      <rPr>
        <sz val="8"/>
        <color indexed="10"/>
        <rFont val="Arial"/>
        <family val="2"/>
      </rPr>
      <t>-65.36 %</t>
    </r>
  </si>
  <si>
    <r>
      <rPr>
        <sz val="8"/>
        <rFont val="Arial"/>
        <family val="2"/>
      </rPr>
      <t>Pasta : Cappelletti : ESM</t>
    </r>
  </si>
  <si>
    <r>
      <rPr>
        <sz val="8"/>
        <color indexed="10"/>
        <rFont val="Arial"/>
        <family val="2"/>
      </rPr>
      <t>-$ 175.60</t>
    </r>
  </si>
  <si>
    <r>
      <rPr>
        <sz val="8"/>
        <color indexed="10"/>
        <rFont val="Arial"/>
        <family val="2"/>
      </rPr>
      <t>-60.54 %</t>
    </r>
  </si>
  <si>
    <r>
      <rPr>
        <sz val="8"/>
        <color indexed="10"/>
        <rFont val="Arial"/>
        <family val="2"/>
      </rPr>
      <t>-$ 168.21</t>
    </r>
  </si>
  <si>
    <r>
      <rPr>
        <sz val="8"/>
        <color indexed="10"/>
        <rFont val="Arial"/>
        <family val="2"/>
      </rPr>
      <t>-100.00 %</t>
    </r>
  </si>
  <si>
    <r>
      <rPr>
        <sz val="8"/>
        <rFont val="Arial"/>
        <family val="2"/>
      </rPr>
      <t>Scallops : ESM</t>
    </r>
  </si>
  <si>
    <r>
      <rPr>
        <sz val="8"/>
        <color indexed="10"/>
        <rFont val="Arial"/>
        <family val="2"/>
      </rPr>
      <t>-$ 153.28</t>
    </r>
  </si>
  <si>
    <r>
      <rPr>
        <sz val="8"/>
        <color indexed="10"/>
        <rFont val="Arial"/>
        <family val="2"/>
      </rPr>
      <t>-73.72 %</t>
    </r>
  </si>
  <si>
    <r>
      <rPr>
        <sz val="8"/>
        <color indexed="10"/>
        <rFont val="Arial"/>
        <family val="2"/>
      </rPr>
      <t>-$ 148.88</t>
    </r>
  </si>
  <si>
    <r>
      <rPr>
        <sz val="8"/>
        <color indexed="10"/>
        <rFont val="Arial"/>
        <family val="2"/>
      </rPr>
      <t>-82.13 %</t>
    </r>
  </si>
  <si>
    <r>
      <rPr>
        <sz val="8"/>
        <color indexed="10"/>
        <rFont val="Arial"/>
        <family val="2"/>
      </rPr>
      <t>-$ 140.36</t>
    </r>
  </si>
  <si>
    <r>
      <rPr>
        <sz val="8"/>
        <color indexed="10"/>
        <rFont val="Arial"/>
        <family val="2"/>
      </rPr>
      <t>-38.96 %</t>
    </r>
  </si>
  <si>
    <r>
      <rPr>
        <sz val="8"/>
        <color indexed="10"/>
        <rFont val="Arial"/>
        <family val="2"/>
      </rPr>
      <t>-$ 131.72</t>
    </r>
  </si>
  <si>
    <r>
      <rPr>
        <sz val="8"/>
        <color indexed="10"/>
        <rFont val="Arial"/>
        <family val="2"/>
      </rPr>
      <t>-83.18 %</t>
    </r>
  </si>
  <si>
    <r>
      <rPr>
        <sz val="8"/>
        <color indexed="10"/>
        <rFont val="Arial"/>
        <family val="2"/>
      </rPr>
      <t>-$ 126.37</t>
    </r>
  </si>
  <si>
    <r>
      <rPr>
        <sz val="8"/>
        <color indexed="10"/>
        <rFont val="Arial"/>
        <family val="2"/>
      </rPr>
      <t>-63.86 %</t>
    </r>
  </si>
  <si>
    <r>
      <rPr>
        <sz val="8"/>
        <color indexed="10"/>
        <rFont val="Arial"/>
        <family val="2"/>
      </rPr>
      <t>-$ 121.32</t>
    </r>
  </si>
  <si>
    <r>
      <rPr>
        <sz val="8"/>
        <color indexed="10"/>
        <rFont val="Arial"/>
        <family val="2"/>
      </rPr>
      <t>-46.32 %</t>
    </r>
  </si>
  <si>
    <r>
      <rPr>
        <sz val="8"/>
        <rFont val="Arial"/>
        <family val="2"/>
      </rPr>
      <t>Breaded Mozzarella Sticks : ESM</t>
    </r>
  </si>
  <si>
    <r>
      <rPr>
        <sz val="8"/>
        <color indexed="10"/>
        <rFont val="Arial"/>
        <family val="2"/>
      </rPr>
      <t>-$ 98.91</t>
    </r>
  </si>
  <si>
    <r>
      <rPr>
        <sz val="8"/>
        <color indexed="10"/>
        <rFont val="Arial"/>
        <family val="2"/>
      </rPr>
      <t>-57.48 %</t>
    </r>
  </si>
  <si>
    <r>
      <rPr>
        <sz val="8"/>
        <color indexed="10"/>
        <rFont val="Arial"/>
        <family val="2"/>
      </rPr>
      <t>-$ 97.40</t>
    </r>
  </si>
  <si>
    <r>
      <rPr>
        <sz val="8"/>
        <color indexed="10"/>
        <rFont val="Arial"/>
        <family val="2"/>
      </rPr>
      <t>-33.85 %</t>
    </r>
  </si>
  <si>
    <r>
      <rPr>
        <sz val="8"/>
        <color indexed="10"/>
        <rFont val="Arial"/>
        <family val="2"/>
      </rPr>
      <t>-$ 96.05</t>
    </r>
  </si>
  <si>
    <r>
      <rPr>
        <sz val="8"/>
        <color indexed="10"/>
        <rFont val="Arial"/>
        <family val="2"/>
      </rPr>
      <t>-99.72 %</t>
    </r>
  </si>
  <si>
    <r>
      <rPr>
        <sz val="8"/>
        <color indexed="10"/>
        <rFont val="Arial"/>
        <family val="2"/>
      </rPr>
      <t>-$ 92.77</t>
    </r>
  </si>
  <si>
    <r>
      <rPr>
        <sz val="8"/>
        <color indexed="10"/>
        <rFont val="Arial"/>
        <family val="2"/>
      </rPr>
      <t>-60.78 %</t>
    </r>
  </si>
  <si>
    <r>
      <rPr>
        <sz val="8"/>
        <rFont val="Arial"/>
        <family val="2"/>
      </rPr>
      <t>Sausage : Hot Italian (Coins) : ESM</t>
    </r>
  </si>
  <si>
    <r>
      <rPr>
        <sz val="8"/>
        <rFont val="Arial"/>
        <family val="2"/>
      </rPr>
      <t>$ 3.85</t>
    </r>
  </si>
  <si>
    <r>
      <rPr>
        <sz val="8"/>
        <color indexed="10"/>
        <rFont val="Arial"/>
        <family val="2"/>
      </rPr>
      <t>-$ 91.40</t>
    </r>
  </si>
  <si>
    <r>
      <rPr>
        <sz val="8"/>
        <color indexed="10"/>
        <rFont val="Arial"/>
        <family val="2"/>
      </rPr>
      <t>-62.30 %</t>
    </r>
  </si>
  <si>
    <r>
      <rPr>
        <sz val="8"/>
        <color indexed="10"/>
        <rFont val="Arial"/>
        <family val="2"/>
      </rPr>
      <t>-$ 85.19</t>
    </r>
  </si>
  <si>
    <r>
      <rPr>
        <sz val="8"/>
        <color indexed="10"/>
        <rFont val="Arial"/>
        <family val="2"/>
      </rPr>
      <t>-54.75 %</t>
    </r>
  </si>
  <si>
    <r>
      <rPr>
        <sz val="8"/>
        <color indexed="10"/>
        <rFont val="Arial"/>
        <family val="2"/>
      </rPr>
      <t>-$ 83.40</t>
    </r>
  </si>
  <si>
    <r>
      <rPr>
        <sz val="8"/>
        <rFont val="Arial"/>
        <family val="2"/>
      </rPr>
      <t>Tomatoes Roma : ESM</t>
    </r>
  </si>
  <si>
    <r>
      <rPr>
        <sz val="8"/>
        <rFont val="Arial"/>
        <family val="2"/>
      </rPr>
      <t>$ 3.09</t>
    </r>
  </si>
  <si>
    <r>
      <rPr>
        <sz val="8"/>
        <color indexed="10"/>
        <rFont val="Arial"/>
        <family val="2"/>
      </rPr>
      <t>-$ 83.04</t>
    </r>
  </si>
  <si>
    <r>
      <rPr>
        <sz val="8"/>
        <color indexed="10"/>
        <rFont val="Arial"/>
        <family val="2"/>
      </rPr>
      <t>-67.20 %</t>
    </r>
  </si>
  <si>
    <r>
      <rPr>
        <sz val="8"/>
        <color indexed="10"/>
        <rFont val="Arial"/>
        <family val="2"/>
      </rPr>
      <t>-$ 74.37</t>
    </r>
  </si>
  <si>
    <r>
      <rPr>
        <sz val="8"/>
        <color indexed="10"/>
        <rFont val="Arial"/>
        <family val="2"/>
      </rPr>
      <t>-90.08 %</t>
    </r>
  </si>
  <si>
    <r>
      <rPr>
        <sz val="8"/>
        <color indexed="10"/>
        <rFont val="Arial"/>
        <family val="2"/>
      </rPr>
      <t>-$ 74.21</t>
    </r>
  </si>
  <si>
    <r>
      <rPr>
        <sz val="8"/>
        <color indexed="10"/>
        <rFont val="Arial"/>
        <family val="2"/>
      </rPr>
      <t>-54.25 %</t>
    </r>
  </si>
  <si>
    <r>
      <rPr>
        <sz val="8"/>
        <rFont val="Arial"/>
        <family val="2"/>
      </rPr>
      <t>Sauce : Bolognese : ESM</t>
    </r>
  </si>
  <si>
    <r>
      <rPr>
        <sz val="8"/>
        <color indexed="10"/>
        <rFont val="Arial"/>
        <family val="2"/>
      </rPr>
      <t>-$ 73.57</t>
    </r>
  </si>
  <si>
    <r>
      <rPr>
        <sz val="8"/>
        <color indexed="10"/>
        <rFont val="Arial"/>
        <family val="2"/>
      </rPr>
      <t>-72.58 %</t>
    </r>
  </si>
  <si>
    <r>
      <rPr>
        <sz val="8"/>
        <color indexed="10"/>
        <rFont val="Arial"/>
        <family val="2"/>
      </rPr>
      <t>-$ 63.45</t>
    </r>
  </si>
  <si>
    <r>
      <rPr>
        <sz val="8"/>
        <color indexed="10"/>
        <rFont val="Arial"/>
        <family val="2"/>
      </rPr>
      <t>-64.69 %</t>
    </r>
  </si>
  <si>
    <r>
      <rPr>
        <sz val="8"/>
        <color indexed="10"/>
        <rFont val="Arial"/>
        <family val="2"/>
      </rPr>
      <t>-$ 61.68</t>
    </r>
  </si>
  <si>
    <r>
      <rPr>
        <sz val="8"/>
        <color indexed="10"/>
        <rFont val="Arial"/>
        <family val="2"/>
      </rPr>
      <t>-81.02 %</t>
    </r>
  </si>
  <si>
    <r>
      <rPr>
        <sz val="8"/>
        <color indexed="10"/>
        <rFont val="Arial"/>
        <family val="2"/>
      </rPr>
      <t>-$ 56.06</t>
    </r>
  </si>
  <si>
    <r>
      <rPr>
        <sz val="8"/>
        <color indexed="10"/>
        <rFont val="Arial"/>
        <family val="2"/>
      </rPr>
      <t>-91.33 %</t>
    </r>
  </si>
  <si>
    <r>
      <rPr>
        <sz val="8"/>
        <color indexed="10"/>
        <rFont val="Arial"/>
        <family val="2"/>
      </rPr>
      <t>-$ 55.72</t>
    </r>
  </si>
  <si>
    <r>
      <rPr>
        <sz val="8"/>
        <color indexed="10"/>
        <rFont val="Arial"/>
        <family val="2"/>
      </rPr>
      <t>-59.83 %</t>
    </r>
  </si>
  <si>
    <r>
      <rPr>
        <sz val="8"/>
        <rFont val="Arial"/>
        <family val="2"/>
      </rPr>
      <t>Peppers Red : ESM</t>
    </r>
  </si>
  <si>
    <r>
      <rPr>
        <sz val="8"/>
        <rFont val="Arial"/>
        <family val="2"/>
      </rPr>
      <t>$ 1.88</t>
    </r>
  </si>
  <si>
    <r>
      <rPr>
        <sz val="8"/>
        <color indexed="10"/>
        <rFont val="Arial"/>
        <family val="2"/>
      </rPr>
      <t>-$ 53.76</t>
    </r>
  </si>
  <si>
    <r>
      <rPr>
        <sz val="8"/>
        <color indexed="10"/>
        <rFont val="Arial"/>
        <family val="2"/>
      </rPr>
      <t>-87.82 %</t>
    </r>
  </si>
  <si>
    <r>
      <rPr>
        <sz val="8"/>
        <rFont val="Arial"/>
        <family val="2"/>
      </rPr>
      <t>$ 21.35</t>
    </r>
  </si>
  <si>
    <r>
      <rPr>
        <sz val="8"/>
        <color indexed="10"/>
        <rFont val="Arial"/>
        <family val="2"/>
      </rPr>
      <t>-$ 48.79</t>
    </r>
  </si>
  <si>
    <r>
      <rPr>
        <sz val="8"/>
        <color indexed="10"/>
        <rFont val="Arial"/>
        <family val="2"/>
      </rPr>
      <t>-38.74 %</t>
    </r>
  </si>
  <si>
    <r>
      <rPr>
        <sz val="8"/>
        <color indexed="10"/>
        <rFont val="Arial"/>
        <family val="2"/>
      </rPr>
      <t>-$ 47.46</t>
    </r>
  </si>
  <si>
    <r>
      <rPr>
        <sz val="8"/>
        <color indexed="10"/>
        <rFont val="Arial"/>
        <family val="2"/>
      </rPr>
      <t>-63.52 %</t>
    </r>
  </si>
  <si>
    <r>
      <rPr>
        <sz val="8"/>
        <rFont val="Arial"/>
        <family val="2"/>
      </rPr>
      <t>Sauce : Pizza : ESM</t>
    </r>
  </si>
  <si>
    <r>
      <rPr>
        <sz val="8"/>
        <color indexed="10"/>
        <rFont val="Arial"/>
        <family val="2"/>
      </rPr>
      <t>-$ 43.51</t>
    </r>
  </si>
  <si>
    <r>
      <rPr>
        <sz val="8"/>
        <color indexed="10"/>
        <rFont val="Arial"/>
        <family val="2"/>
      </rPr>
      <t>-74.31 %</t>
    </r>
  </si>
  <si>
    <r>
      <rPr>
        <sz val="8"/>
        <rFont val="Arial"/>
        <family val="2"/>
      </rPr>
      <t>BIB : 7 Up : ESM</t>
    </r>
  </si>
  <si>
    <r>
      <rPr>
        <sz val="8"/>
        <color indexed="10"/>
        <rFont val="Arial"/>
        <family val="2"/>
      </rPr>
      <t>-$ 42.86</t>
    </r>
  </si>
  <si>
    <r>
      <rPr>
        <sz val="8"/>
        <color indexed="10"/>
        <rFont val="Arial"/>
        <family val="2"/>
      </rPr>
      <t>-89.31 %</t>
    </r>
  </si>
  <si>
    <r>
      <rPr>
        <sz val="8"/>
        <rFont val="Arial"/>
        <family val="2"/>
      </rPr>
      <t>Juice : Clamato : ESM</t>
    </r>
  </si>
  <si>
    <r>
      <rPr>
        <sz val="8"/>
        <color indexed="10"/>
        <rFont val="Arial"/>
        <family val="2"/>
      </rPr>
      <t>-$ 42.68</t>
    </r>
  </si>
  <si>
    <r>
      <rPr>
        <sz val="8"/>
        <color indexed="10"/>
        <rFont val="Arial"/>
        <family val="2"/>
      </rPr>
      <t>-69.76 %</t>
    </r>
  </si>
  <si>
    <r>
      <rPr>
        <sz val="8"/>
        <rFont val="Arial"/>
        <family val="2"/>
      </rPr>
      <t>Pasta : Linguine : ESM</t>
    </r>
  </si>
  <si>
    <r>
      <rPr>
        <sz val="8"/>
        <color indexed="10"/>
        <rFont val="Arial"/>
        <family val="2"/>
      </rPr>
      <t>-$ 42.03</t>
    </r>
  </si>
  <si>
    <r>
      <rPr>
        <sz val="8"/>
        <color indexed="10"/>
        <rFont val="Arial"/>
        <family val="2"/>
      </rPr>
      <t>-50.55 %</t>
    </r>
  </si>
  <si>
    <r>
      <rPr>
        <sz val="8"/>
        <color indexed="10"/>
        <rFont val="Arial"/>
        <family val="2"/>
      </rPr>
      <t>-$ 39.09</t>
    </r>
  </si>
  <si>
    <r>
      <rPr>
        <sz val="8"/>
        <color indexed="10"/>
        <rFont val="Arial"/>
        <family val="2"/>
      </rPr>
      <t>-$ 38.76</t>
    </r>
  </si>
  <si>
    <r>
      <rPr>
        <sz val="8"/>
        <color indexed="10"/>
        <rFont val="Arial"/>
        <family val="2"/>
      </rPr>
      <t>-14.85 %</t>
    </r>
  </si>
  <si>
    <r>
      <rPr>
        <sz val="8"/>
        <rFont val="Arial"/>
        <family val="2"/>
      </rPr>
      <t>$ 2.40</t>
    </r>
  </si>
  <si>
    <r>
      <rPr>
        <sz val="8"/>
        <color indexed="10"/>
        <rFont val="Arial"/>
        <family val="2"/>
      </rPr>
      <t>-$ 37.57</t>
    </r>
  </si>
  <si>
    <r>
      <rPr>
        <sz val="8"/>
        <color indexed="10"/>
        <rFont val="Arial"/>
        <family val="2"/>
      </rPr>
      <t>-66.20 %</t>
    </r>
  </si>
  <si>
    <r>
      <rPr>
        <sz val="8"/>
        <rFont val="Arial"/>
        <family val="2"/>
      </rPr>
      <t>Mushrooms Button : ESM</t>
    </r>
  </si>
  <si>
    <r>
      <rPr>
        <sz val="8"/>
        <rFont val="Arial"/>
        <family val="2"/>
      </rPr>
      <t>$ 2.16</t>
    </r>
  </si>
  <si>
    <r>
      <rPr>
        <sz val="8"/>
        <color indexed="10"/>
        <rFont val="Arial"/>
        <family val="2"/>
      </rPr>
      <t>-$ 36.95</t>
    </r>
  </si>
  <si>
    <r>
      <rPr>
        <sz val="8"/>
        <color indexed="10"/>
        <rFont val="Arial"/>
        <family val="2"/>
      </rPr>
      <t>-44.43 %</t>
    </r>
  </si>
  <si>
    <r>
      <rPr>
        <sz val="8"/>
        <rFont val="Arial"/>
        <family val="2"/>
      </rPr>
      <t>$ 11.71</t>
    </r>
  </si>
  <si>
    <r>
      <rPr>
        <sz val="8"/>
        <color indexed="10"/>
        <rFont val="Arial"/>
        <family val="2"/>
      </rPr>
      <t>-$ 35.99</t>
    </r>
  </si>
  <si>
    <r>
      <rPr>
        <sz val="8"/>
        <color indexed="10"/>
        <rFont val="Arial"/>
        <family val="2"/>
      </rPr>
      <t>-28.85 %</t>
    </r>
  </si>
  <si>
    <r>
      <rPr>
        <sz val="8"/>
        <rFont val="Arial"/>
        <family val="2"/>
      </rPr>
      <t>Sauce : Calamari : ESM</t>
    </r>
  </si>
  <si>
    <r>
      <rPr>
        <sz val="8"/>
        <color indexed="10"/>
        <rFont val="Arial"/>
        <family val="2"/>
      </rPr>
      <t>-$ 34.81</t>
    </r>
  </si>
  <si>
    <r>
      <rPr>
        <sz val="8"/>
        <color indexed="10"/>
        <rFont val="Arial"/>
        <family val="2"/>
      </rPr>
      <t>-70.39 %</t>
    </r>
  </si>
  <si>
    <r>
      <rPr>
        <sz val="8"/>
        <color indexed="10"/>
        <rFont val="Arial"/>
        <family val="2"/>
      </rPr>
      <t>-$ 34.24</t>
    </r>
  </si>
  <si>
    <r>
      <rPr>
        <sz val="8"/>
        <color indexed="10"/>
        <rFont val="Arial"/>
        <family val="2"/>
      </rPr>
      <t>-86.22 %</t>
    </r>
  </si>
  <si>
    <r>
      <rPr>
        <sz val="8"/>
        <color indexed="10"/>
        <rFont val="Arial"/>
        <family val="2"/>
      </rPr>
      <t>-$ 33.12</t>
    </r>
  </si>
  <si>
    <r>
      <rPr>
        <sz val="8"/>
        <color indexed="10"/>
        <rFont val="Arial"/>
        <family val="2"/>
      </rPr>
      <t>-73.25 %</t>
    </r>
  </si>
  <si>
    <r>
      <rPr>
        <sz val="8"/>
        <rFont val="Arial"/>
        <family val="2"/>
      </rPr>
      <t>$ 1.05</t>
    </r>
  </si>
  <si>
    <r>
      <rPr>
        <sz val="8"/>
        <color indexed="10"/>
        <rFont val="Arial"/>
        <family val="2"/>
      </rPr>
      <t>-$ 33.02</t>
    </r>
  </si>
  <si>
    <r>
      <rPr>
        <sz val="8"/>
        <color indexed="10"/>
        <rFont val="Arial"/>
        <family val="2"/>
      </rPr>
      <t>-76.22 %</t>
    </r>
  </si>
  <si>
    <r>
      <rPr>
        <sz val="8"/>
        <rFont val="Arial"/>
        <family val="2"/>
      </rPr>
      <t>Boba : Strawberry Popping : ESM</t>
    </r>
  </si>
  <si>
    <r>
      <rPr>
        <sz val="8"/>
        <color indexed="10"/>
        <rFont val="Arial"/>
        <family val="2"/>
      </rPr>
      <t>-$ 32.48</t>
    </r>
  </si>
  <si>
    <r>
      <rPr>
        <sz val="8"/>
        <color indexed="10"/>
        <rFont val="Arial"/>
        <family val="2"/>
      </rPr>
      <t>-76.44 %</t>
    </r>
  </si>
  <si>
    <r>
      <rPr>
        <sz val="8"/>
        <rFont val="Arial"/>
        <family val="2"/>
      </rPr>
      <t>Pepper : Hot Cherry : ESM</t>
    </r>
  </si>
  <si>
    <r>
      <rPr>
        <sz val="8"/>
        <color indexed="10"/>
        <rFont val="Arial"/>
        <family val="2"/>
      </rPr>
      <t>-$ 32.39</t>
    </r>
  </si>
  <si>
    <r>
      <rPr>
        <sz val="8"/>
        <color indexed="10"/>
        <rFont val="Arial"/>
        <family val="2"/>
      </rPr>
      <t>-78.93 %</t>
    </r>
  </si>
  <si>
    <r>
      <rPr>
        <sz val="8"/>
        <rFont val="Arial"/>
        <family val="2"/>
      </rPr>
      <t>Pasta : Fettuccine : ESM</t>
    </r>
  </si>
  <si>
    <r>
      <rPr>
        <sz val="8"/>
        <color indexed="10"/>
        <rFont val="Arial"/>
        <family val="2"/>
      </rPr>
      <t>-$ 32.18</t>
    </r>
  </si>
  <si>
    <r>
      <rPr>
        <sz val="8"/>
        <color indexed="10"/>
        <rFont val="Arial"/>
        <family val="2"/>
      </rPr>
      <t>-50.21 %</t>
    </r>
  </si>
  <si>
    <r>
      <rPr>
        <sz val="8"/>
        <rFont val="Arial"/>
        <family val="2"/>
      </rPr>
      <t>$ 31.19</t>
    </r>
  </si>
  <si>
    <r>
      <rPr>
        <sz val="8"/>
        <color indexed="10"/>
        <rFont val="Arial"/>
        <family val="2"/>
      </rPr>
      <t>-$ 31.19</t>
    </r>
  </si>
  <si>
    <r>
      <rPr>
        <sz val="8"/>
        <rFont val="Arial"/>
        <family val="2"/>
      </rPr>
      <t>Pepperoncini : ESM</t>
    </r>
  </si>
  <si>
    <r>
      <rPr>
        <sz val="8"/>
        <color indexed="10"/>
        <rFont val="Arial"/>
        <family val="2"/>
      </rPr>
      <t>-$ 29.03</t>
    </r>
  </si>
  <si>
    <r>
      <rPr>
        <sz val="8"/>
        <color indexed="10"/>
        <rFont val="Arial"/>
        <family val="2"/>
      </rPr>
      <t>-71.13 %</t>
    </r>
  </si>
  <si>
    <r>
      <rPr>
        <sz val="8"/>
        <rFont val="Arial"/>
        <family val="2"/>
      </rPr>
      <t>Juice : Cranberry Cktl : ESM</t>
    </r>
  </si>
  <si>
    <r>
      <rPr>
        <sz val="8"/>
        <color indexed="10"/>
        <rFont val="Arial"/>
        <family val="2"/>
      </rPr>
      <t>-$ 27.19</t>
    </r>
  </si>
  <si>
    <r>
      <rPr>
        <sz val="8"/>
        <color indexed="10"/>
        <rFont val="Arial"/>
        <family val="2"/>
      </rPr>
      <t>-90.11 %</t>
    </r>
  </si>
  <si>
    <r>
      <rPr>
        <sz val="8"/>
        <color indexed="10"/>
        <rFont val="Arial"/>
        <family val="2"/>
      </rPr>
      <t>-$ 27.12</t>
    </r>
  </si>
  <si>
    <r>
      <rPr>
        <sz val="8"/>
        <color indexed="10"/>
        <rFont val="Arial"/>
        <family val="2"/>
      </rPr>
      <t>-59.52 %</t>
    </r>
  </si>
  <si>
    <r>
      <rPr>
        <sz val="8"/>
        <color indexed="10"/>
        <rFont val="Arial"/>
        <family val="2"/>
      </rPr>
      <t>-$ 26.48</t>
    </r>
  </si>
  <si>
    <r>
      <rPr>
        <sz val="8"/>
        <color indexed="10"/>
        <rFont val="Arial"/>
        <family val="2"/>
      </rPr>
      <t>-64.81 %</t>
    </r>
  </si>
  <si>
    <r>
      <rPr>
        <sz val="8"/>
        <rFont val="Arial"/>
        <family val="2"/>
      </rPr>
      <t>BIB : Ginger Ale : ESM</t>
    </r>
  </si>
  <si>
    <r>
      <rPr>
        <sz val="8"/>
        <color indexed="10"/>
        <rFont val="Arial"/>
        <family val="2"/>
      </rPr>
      <t>-$ 26.45</t>
    </r>
  </si>
  <si>
    <r>
      <rPr>
        <sz val="8"/>
        <color indexed="10"/>
        <rFont val="Arial"/>
        <family val="2"/>
      </rPr>
      <t>-85.16 %</t>
    </r>
  </si>
  <si>
    <r>
      <rPr>
        <sz val="8"/>
        <rFont val="Arial"/>
        <family val="2"/>
      </rPr>
      <t>French Fries : ESM</t>
    </r>
  </si>
  <si>
    <r>
      <rPr>
        <sz val="8"/>
        <rFont val="Arial"/>
        <family val="2"/>
      </rPr>
      <t>$ 0.81</t>
    </r>
  </si>
  <si>
    <r>
      <rPr>
        <sz val="8"/>
        <color indexed="10"/>
        <rFont val="Arial"/>
        <family val="2"/>
      </rPr>
      <t>-$ 26.38</t>
    </r>
  </si>
  <si>
    <r>
      <rPr>
        <sz val="8"/>
        <color indexed="10"/>
        <rFont val="Arial"/>
        <family val="2"/>
      </rPr>
      <t>-38.09 %</t>
    </r>
  </si>
  <si>
    <r>
      <rPr>
        <sz val="8"/>
        <rFont val="Arial"/>
        <family val="2"/>
      </rPr>
      <t>Zucchini : ESM</t>
    </r>
  </si>
  <si>
    <r>
      <rPr>
        <sz val="8"/>
        <color indexed="10"/>
        <rFont val="Arial"/>
        <family val="2"/>
      </rPr>
      <t>-$ 26.32</t>
    </r>
  </si>
  <si>
    <r>
      <rPr>
        <sz val="8"/>
        <color indexed="10"/>
        <rFont val="Arial"/>
        <family val="2"/>
      </rPr>
      <t>-79.92 %</t>
    </r>
  </si>
  <si>
    <r>
      <rPr>
        <sz val="8"/>
        <color indexed="10"/>
        <rFont val="Arial"/>
        <family val="2"/>
      </rPr>
      <t>-$ 26.11</t>
    </r>
  </si>
  <si>
    <r>
      <rPr>
        <sz val="8"/>
        <color indexed="10"/>
        <rFont val="Arial"/>
        <family val="2"/>
      </rPr>
      <t>-58.64 %</t>
    </r>
  </si>
  <si>
    <r>
      <rPr>
        <sz val="8"/>
        <color indexed="10"/>
        <rFont val="Arial"/>
        <family val="2"/>
      </rPr>
      <t>-$ 25.60</t>
    </r>
  </si>
  <si>
    <r>
      <rPr>
        <sz val="8"/>
        <color indexed="10"/>
        <rFont val="Arial"/>
        <family val="2"/>
      </rPr>
      <t>-60.13 %</t>
    </r>
  </si>
  <si>
    <r>
      <rPr>
        <sz val="8"/>
        <color indexed="10"/>
        <rFont val="Arial"/>
        <family val="2"/>
      </rPr>
      <t>-$ 25.18</t>
    </r>
  </si>
  <si>
    <r>
      <rPr>
        <sz val="8"/>
        <color indexed="10"/>
        <rFont val="Arial"/>
        <family val="2"/>
      </rPr>
      <t>-89.16 %</t>
    </r>
  </si>
  <si>
    <r>
      <rPr>
        <sz val="8"/>
        <rFont val="Arial"/>
        <family val="2"/>
      </rPr>
      <t>Spinach : ESM</t>
    </r>
  </si>
  <si>
    <r>
      <rPr>
        <sz val="8"/>
        <color indexed="10"/>
        <rFont val="Arial"/>
        <family val="2"/>
      </rPr>
      <t>-$ 24.24</t>
    </r>
  </si>
  <si>
    <r>
      <rPr>
        <sz val="8"/>
        <color indexed="10"/>
        <rFont val="Arial"/>
        <family val="2"/>
      </rPr>
      <t>-90.34 %</t>
    </r>
  </si>
  <si>
    <r>
      <rPr>
        <sz val="8"/>
        <color indexed="10"/>
        <rFont val="Arial"/>
        <family val="2"/>
      </rPr>
      <t>-$ 24.09</t>
    </r>
  </si>
  <si>
    <r>
      <rPr>
        <sz val="8"/>
        <color indexed="10"/>
        <rFont val="Arial"/>
        <family val="2"/>
      </rPr>
      <t>-74.23 %</t>
    </r>
  </si>
  <si>
    <r>
      <rPr>
        <sz val="8"/>
        <rFont val="Arial"/>
        <family val="2"/>
      </rPr>
      <t>Onions Red : ESM</t>
    </r>
  </si>
  <si>
    <r>
      <rPr>
        <sz val="8"/>
        <rFont val="Arial"/>
        <family val="2"/>
      </rPr>
      <t>$ 0.96</t>
    </r>
  </si>
  <si>
    <r>
      <rPr>
        <sz val="8"/>
        <color indexed="10"/>
        <rFont val="Arial"/>
        <family val="2"/>
      </rPr>
      <t>-$ 23.97</t>
    </r>
  </si>
  <si>
    <r>
      <rPr>
        <sz val="8"/>
        <color indexed="10"/>
        <rFont val="Arial"/>
        <family val="2"/>
      </rPr>
      <t>-81.94 %</t>
    </r>
  </si>
  <si>
    <r>
      <rPr>
        <sz val="8"/>
        <color indexed="10"/>
        <rFont val="Arial"/>
        <family val="2"/>
      </rPr>
      <t>-$ 22.78</t>
    </r>
  </si>
  <si>
    <r>
      <rPr>
        <sz val="8"/>
        <color indexed="10"/>
        <rFont val="Arial"/>
        <family val="2"/>
      </rPr>
      <t>-75.45 %</t>
    </r>
  </si>
  <si>
    <r>
      <rPr>
        <sz val="8"/>
        <rFont val="Arial"/>
        <family val="2"/>
      </rPr>
      <t>Ice Cream : Vanilla : ESM</t>
    </r>
  </si>
  <si>
    <r>
      <rPr>
        <sz val="8"/>
        <color indexed="10"/>
        <rFont val="Arial"/>
        <family val="2"/>
      </rPr>
      <t>-$ 22.28</t>
    </r>
  </si>
  <si>
    <r>
      <rPr>
        <sz val="8"/>
        <color indexed="10"/>
        <rFont val="Arial"/>
        <family val="2"/>
      </rPr>
      <t>-87.97 %</t>
    </r>
  </si>
  <si>
    <r>
      <rPr>
        <sz val="8"/>
        <rFont val="Arial"/>
        <family val="2"/>
      </rPr>
      <t>Pasta : Gluten Free : ESM</t>
    </r>
  </si>
  <si>
    <r>
      <rPr>
        <sz val="8"/>
        <color indexed="10"/>
        <rFont val="Arial"/>
        <family val="2"/>
      </rPr>
      <t>-$ 21.63</t>
    </r>
  </si>
  <si>
    <r>
      <rPr>
        <sz val="8"/>
        <color indexed="10"/>
        <rFont val="Arial"/>
        <family val="2"/>
      </rPr>
      <t>-73.83 %</t>
    </r>
  </si>
  <si>
    <r>
      <rPr>
        <sz val="8"/>
        <rFont val="Arial"/>
        <family val="2"/>
      </rPr>
      <t>Pasta : Lasagna : ESM</t>
    </r>
  </si>
  <si>
    <r>
      <rPr>
        <sz val="8"/>
        <color indexed="10"/>
        <rFont val="Arial"/>
        <family val="2"/>
      </rPr>
      <t>-$ 21.39</t>
    </r>
  </si>
  <si>
    <r>
      <rPr>
        <sz val="8"/>
        <color indexed="10"/>
        <rFont val="Arial"/>
        <family val="2"/>
      </rPr>
      <t>-82.10 %</t>
    </r>
  </si>
  <si>
    <r>
      <rPr>
        <sz val="8"/>
        <rFont val="Arial"/>
        <family val="2"/>
      </rPr>
      <t>Pasta : Cellentani/Cavatappi  : ESM</t>
    </r>
  </si>
  <si>
    <r>
      <rPr>
        <sz val="8"/>
        <color indexed="10"/>
        <rFont val="Arial"/>
        <family val="2"/>
      </rPr>
      <t>-$ 20.62</t>
    </r>
  </si>
  <si>
    <r>
      <rPr>
        <sz val="8"/>
        <color indexed="10"/>
        <rFont val="Arial"/>
        <family val="2"/>
      </rPr>
      <t>-86.61 %</t>
    </r>
  </si>
  <si>
    <r>
      <rPr>
        <sz val="8"/>
        <color indexed="10"/>
        <rFont val="Arial"/>
        <family val="2"/>
      </rPr>
      <t>-$ 19.91</t>
    </r>
  </si>
  <si>
    <r>
      <rPr>
        <sz val="8"/>
        <color indexed="10"/>
        <rFont val="Arial"/>
        <family val="2"/>
      </rPr>
      <t>-19.82 %</t>
    </r>
  </si>
  <si>
    <r>
      <rPr>
        <sz val="8"/>
        <color indexed="10"/>
        <rFont val="Arial"/>
        <family val="2"/>
      </rPr>
      <t>-$ 19.89</t>
    </r>
  </si>
  <si>
    <r>
      <rPr>
        <sz val="8"/>
        <color indexed="10"/>
        <rFont val="Arial"/>
        <family val="2"/>
      </rPr>
      <t>-92.24 %</t>
    </r>
  </si>
  <si>
    <r>
      <rPr>
        <sz val="8"/>
        <rFont val="Arial"/>
        <family val="2"/>
      </rPr>
      <t>Cake : Peanut Butter Stacker : ESM</t>
    </r>
  </si>
  <si>
    <r>
      <rPr>
        <sz val="8"/>
        <color indexed="10"/>
        <rFont val="Arial"/>
        <family val="2"/>
      </rPr>
      <t>-$ 18.70</t>
    </r>
  </si>
  <si>
    <r>
      <rPr>
        <sz val="8"/>
        <color indexed="10"/>
        <rFont val="Arial"/>
        <family val="2"/>
      </rPr>
      <t>-39.53 %</t>
    </r>
  </si>
  <si>
    <r>
      <rPr>
        <sz val="8"/>
        <rFont val="Arial"/>
        <family val="2"/>
      </rPr>
      <t>Juice : Berry/Pomegranate : ESM</t>
    </r>
  </si>
  <si>
    <r>
      <rPr>
        <sz val="8"/>
        <color indexed="10"/>
        <rFont val="Arial"/>
        <family val="2"/>
      </rPr>
      <t>-$ 18.23</t>
    </r>
  </si>
  <si>
    <r>
      <rPr>
        <sz val="8"/>
        <color indexed="10"/>
        <rFont val="Arial"/>
        <family val="2"/>
      </rPr>
      <t>-96.65 %</t>
    </r>
  </si>
  <si>
    <r>
      <rPr>
        <sz val="8"/>
        <color indexed="10"/>
        <rFont val="Arial"/>
        <family val="2"/>
      </rPr>
      <t>-$ 17.96</t>
    </r>
  </si>
  <si>
    <r>
      <rPr>
        <sz val="8"/>
        <color indexed="10"/>
        <rFont val="Arial"/>
        <family val="2"/>
      </rPr>
      <t>-81.25 %</t>
    </r>
  </si>
  <si>
    <r>
      <rPr>
        <sz val="8"/>
        <rFont val="Arial"/>
        <family val="2"/>
      </rPr>
      <t>Bottle : House Dressing : ESM</t>
    </r>
  </si>
  <si>
    <r>
      <rPr>
        <sz val="8"/>
        <color indexed="10"/>
        <rFont val="Arial"/>
        <family val="2"/>
      </rPr>
      <t>-$ 17.23</t>
    </r>
  </si>
  <si>
    <r>
      <rPr>
        <sz val="8"/>
        <rFont val="Arial"/>
        <family val="2"/>
      </rPr>
      <t>Sauce : Primavera : ESM</t>
    </r>
  </si>
  <si>
    <r>
      <rPr>
        <sz val="8"/>
        <color indexed="10"/>
        <rFont val="Arial"/>
        <family val="2"/>
      </rPr>
      <t>-$ 14.27</t>
    </r>
  </si>
  <si>
    <r>
      <rPr>
        <sz val="8"/>
        <color indexed="10"/>
        <rFont val="Arial"/>
        <family val="2"/>
      </rPr>
      <t>-54.93 %</t>
    </r>
  </si>
  <si>
    <r>
      <rPr>
        <sz val="8"/>
        <rFont val="Arial"/>
        <family val="2"/>
      </rPr>
      <t>Juice : Apple Juice Box : ESM</t>
    </r>
  </si>
  <si>
    <r>
      <rPr>
        <sz val="8"/>
        <color indexed="10"/>
        <rFont val="Arial"/>
        <family val="2"/>
      </rPr>
      <t>-$ 13.49</t>
    </r>
  </si>
  <si>
    <r>
      <rPr>
        <sz val="8"/>
        <color indexed="10"/>
        <rFont val="Arial"/>
        <family val="2"/>
      </rPr>
      <t>-76.74 %</t>
    </r>
  </si>
  <si>
    <r>
      <rPr>
        <sz val="8"/>
        <rFont val="Arial"/>
        <family val="2"/>
      </rPr>
      <t>Sauce : Pesto : ESM</t>
    </r>
  </si>
  <si>
    <r>
      <rPr>
        <sz val="8"/>
        <color indexed="10"/>
        <rFont val="Arial"/>
        <family val="2"/>
      </rPr>
      <t>-$ 13.18</t>
    </r>
  </si>
  <si>
    <r>
      <rPr>
        <sz val="8"/>
        <color indexed="10"/>
        <rFont val="Arial"/>
        <family val="2"/>
      </rPr>
      <t>-59.82 %</t>
    </r>
  </si>
  <si>
    <r>
      <rPr>
        <sz val="8"/>
        <color indexed="10"/>
        <rFont val="Arial"/>
        <family val="2"/>
      </rPr>
      <t>-$ 13.16</t>
    </r>
  </si>
  <si>
    <r>
      <rPr>
        <sz val="8"/>
        <color indexed="10"/>
        <rFont val="Arial"/>
        <family val="2"/>
      </rPr>
      <t>-93.22 %</t>
    </r>
  </si>
  <si>
    <r>
      <rPr>
        <sz val="8"/>
        <rFont val="Arial"/>
        <family val="2"/>
      </rPr>
      <t>$ 2.52</t>
    </r>
  </si>
  <si>
    <r>
      <rPr>
        <sz val="8"/>
        <color indexed="10"/>
        <rFont val="Arial"/>
        <family val="2"/>
      </rPr>
      <t>-$ 13.08</t>
    </r>
  </si>
  <si>
    <r>
      <rPr>
        <sz val="8"/>
        <color indexed="10"/>
        <rFont val="Arial"/>
        <family val="2"/>
      </rPr>
      <t>-$ 12.91</t>
    </r>
  </si>
  <si>
    <r>
      <rPr>
        <sz val="8"/>
        <color indexed="10"/>
        <rFont val="Arial"/>
        <family val="2"/>
      </rPr>
      <t>-76.92 %</t>
    </r>
  </si>
  <si>
    <r>
      <rPr>
        <sz val="8"/>
        <color indexed="10"/>
        <rFont val="Arial"/>
        <family val="2"/>
      </rPr>
      <t>-$ 12.26</t>
    </r>
  </si>
  <si>
    <r>
      <rPr>
        <sz val="8"/>
        <color indexed="10"/>
        <rFont val="Arial"/>
        <family val="2"/>
      </rPr>
      <t>-76.00 %</t>
    </r>
  </si>
  <si>
    <r>
      <rPr>
        <sz val="8"/>
        <rFont val="Arial"/>
        <family val="2"/>
      </rPr>
      <t>BIB : Iced Tea : ESM</t>
    </r>
  </si>
  <si>
    <r>
      <rPr>
        <sz val="8"/>
        <color indexed="10"/>
        <rFont val="Arial"/>
        <family val="2"/>
      </rPr>
      <t>-$ 12.02</t>
    </r>
  </si>
  <si>
    <r>
      <rPr>
        <sz val="8"/>
        <color indexed="10"/>
        <rFont val="Arial"/>
        <family val="2"/>
      </rPr>
      <t>-58.11 %</t>
    </r>
  </si>
  <si>
    <r>
      <rPr>
        <sz val="8"/>
        <rFont val="Arial"/>
        <family val="2"/>
      </rPr>
      <t>BIB : Diet Pepsi : ESM</t>
    </r>
  </si>
  <si>
    <r>
      <rPr>
        <sz val="8"/>
        <color indexed="10"/>
        <rFont val="Arial"/>
        <family val="2"/>
      </rPr>
      <t>-$ 11.28</t>
    </r>
  </si>
  <si>
    <r>
      <rPr>
        <sz val="8"/>
        <color indexed="10"/>
        <rFont val="Arial"/>
        <family val="2"/>
      </rPr>
      <t>-49.94 %</t>
    </r>
  </si>
  <si>
    <r>
      <rPr>
        <sz val="8"/>
        <rFont val="Arial"/>
        <family val="2"/>
      </rPr>
      <t>Btl : Pepsi : ESM</t>
    </r>
  </si>
  <si>
    <r>
      <rPr>
        <sz val="8"/>
        <color indexed="10"/>
        <rFont val="Arial"/>
        <family val="2"/>
      </rPr>
      <t>-$ 10.33</t>
    </r>
  </si>
  <si>
    <r>
      <rPr>
        <sz val="8"/>
        <color indexed="10"/>
        <rFont val="Arial"/>
        <family val="2"/>
      </rPr>
      <t>-57.14 %</t>
    </r>
  </si>
  <si>
    <r>
      <rPr>
        <sz val="8"/>
        <color indexed="10"/>
        <rFont val="Arial"/>
        <family val="2"/>
      </rPr>
      <t>-$ 10.31</t>
    </r>
  </si>
  <si>
    <r>
      <rPr>
        <sz val="8"/>
        <color indexed="10"/>
        <rFont val="Arial"/>
        <family val="2"/>
      </rPr>
      <t>-$ 10.15</t>
    </r>
  </si>
  <si>
    <r>
      <rPr>
        <sz val="8"/>
        <color indexed="10"/>
        <rFont val="Arial"/>
        <family val="2"/>
      </rPr>
      <t>-$ 9.64</t>
    </r>
  </si>
  <si>
    <r>
      <rPr>
        <sz val="8"/>
        <color indexed="10"/>
        <rFont val="Arial"/>
        <family val="2"/>
      </rPr>
      <t>-77.95 %</t>
    </r>
  </si>
  <si>
    <r>
      <rPr>
        <sz val="8"/>
        <rFont val="Arial"/>
        <family val="2"/>
      </rPr>
      <t>Margarita Mix Premium : ESM</t>
    </r>
  </si>
  <si>
    <r>
      <rPr>
        <sz val="8"/>
        <color indexed="10"/>
        <rFont val="Arial"/>
        <family val="2"/>
      </rPr>
      <t>-$ 8.75</t>
    </r>
  </si>
  <si>
    <r>
      <rPr>
        <sz val="8"/>
        <color indexed="10"/>
        <rFont val="Arial"/>
        <family val="2"/>
      </rPr>
      <t>-79.20 %</t>
    </r>
  </si>
  <si>
    <r>
      <rPr>
        <sz val="8"/>
        <rFont val="Arial"/>
        <family val="2"/>
      </rPr>
      <t>Vinegar : White : ESM</t>
    </r>
  </si>
  <si>
    <r>
      <rPr>
        <sz val="8"/>
        <rFont val="Arial"/>
        <family val="2"/>
      </rPr>
      <t>$ 19.02</t>
    </r>
  </si>
  <si>
    <r>
      <rPr>
        <sz val="8"/>
        <color indexed="10"/>
        <rFont val="Arial"/>
        <family val="2"/>
      </rPr>
      <t>-$ 8.41</t>
    </r>
  </si>
  <si>
    <r>
      <rPr>
        <sz val="8"/>
        <color indexed="10"/>
        <rFont val="Arial"/>
        <family val="2"/>
      </rPr>
      <t>-$ 8.31</t>
    </r>
  </si>
  <si>
    <r>
      <rPr>
        <sz val="8"/>
        <color indexed="10"/>
        <rFont val="Arial"/>
        <family val="2"/>
      </rPr>
      <t>-9.30 %</t>
    </r>
  </si>
  <si>
    <r>
      <rPr>
        <sz val="8"/>
        <rFont val="Arial"/>
        <family val="2"/>
      </rPr>
      <t>Peppers Green : ESM</t>
    </r>
  </si>
  <si>
    <r>
      <rPr>
        <sz val="8"/>
        <color indexed="10"/>
        <rFont val="Arial"/>
        <family val="2"/>
      </rPr>
      <t>-$ 8.25</t>
    </r>
  </si>
  <si>
    <r>
      <rPr>
        <sz val="8"/>
        <color indexed="10"/>
        <rFont val="Arial"/>
        <family val="2"/>
      </rPr>
      <t>-48.72 %</t>
    </r>
  </si>
  <si>
    <r>
      <rPr>
        <sz val="8"/>
        <rFont val="Arial"/>
        <family val="2"/>
      </rPr>
      <t>Potato Wedges : ESM</t>
    </r>
  </si>
  <si>
    <r>
      <rPr>
        <sz val="8"/>
        <color indexed="10"/>
        <rFont val="Arial"/>
        <family val="2"/>
      </rPr>
      <t>-$ 7.43</t>
    </r>
  </si>
  <si>
    <r>
      <rPr>
        <sz val="8"/>
        <color indexed="10"/>
        <rFont val="Arial"/>
        <family val="2"/>
      </rPr>
      <t>-45.65 %</t>
    </r>
  </si>
  <si>
    <r>
      <rPr>
        <sz val="8"/>
        <rFont val="Arial"/>
        <family val="2"/>
      </rPr>
      <t>$ 2.34</t>
    </r>
  </si>
  <si>
    <r>
      <rPr>
        <sz val="8"/>
        <color indexed="10"/>
        <rFont val="Arial"/>
        <family val="2"/>
      </rPr>
      <t>-$ 6.12</t>
    </r>
  </si>
  <si>
    <r>
      <rPr>
        <sz val="8"/>
        <color indexed="10"/>
        <rFont val="Arial"/>
        <family val="2"/>
      </rPr>
      <t>-40.30 %</t>
    </r>
  </si>
  <si>
    <r>
      <rPr>
        <sz val="8"/>
        <rFont val="Arial"/>
        <family val="2"/>
      </rPr>
      <t>Buttery Garlic Flavour Glaze : ESM</t>
    </r>
  </si>
  <si>
    <r>
      <rPr>
        <sz val="8"/>
        <color indexed="10"/>
        <rFont val="Arial"/>
        <family val="2"/>
      </rPr>
      <t>-$ 5.56</t>
    </r>
  </si>
  <si>
    <r>
      <rPr>
        <sz val="8"/>
        <color indexed="10"/>
        <rFont val="Arial"/>
        <family val="2"/>
      </rPr>
      <t>-23.97 %</t>
    </r>
  </si>
  <si>
    <r>
      <rPr>
        <sz val="8"/>
        <color indexed="10"/>
        <rFont val="Arial"/>
        <family val="2"/>
      </rPr>
      <t>-$ 5.47</t>
    </r>
  </si>
  <si>
    <r>
      <rPr>
        <sz val="8"/>
        <color indexed="10"/>
        <rFont val="Arial"/>
        <family val="2"/>
      </rPr>
      <t>-76.39 %</t>
    </r>
  </si>
  <si>
    <r>
      <rPr>
        <sz val="8"/>
        <color indexed="10"/>
        <rFont val="Arial"/>
        <family val="2"/>
      </rPr>
      <t>-$ 5.46</t>
    </r>
  </si>
  <si>
    <r>
      <rPr>
        <sz val="8"/>
        <color indexed="10"/>
        <rFont val="Arial"/>
        <family val="2"/>
      </rPr>
      <t>-$ 5.29</t>
    </r>
  </si>
  <si>
    <r>
      <rPr>
        <sz val="8"/>
        <color indexed="10"/>
        <rFont val="Arial"/>
        <family val="2"/>
      </rPr>
      <t>-58.96 %</t>
    </r>
  </si>
  <si>
    <r>
      <rPr>
        <sz val="8"/>
        <rFont val="Arial"/>
        <family val="2"/>
      </rPr>
      <t>Brownie : Caramel : ESM</t>
    </r>
  </si>
  <si>
    <r>
      <rPr>
        <sz val="8"/>
        <color indexed="10"/>
        <rFont val="Arial"/>
        <family val="2"/>
      </rPr>
      <t>-$ 4.22</t>
    </r>
  </si>
  <si>
    <r>
      <rPr>
        <sz val="8"/>
        <color indexed="10"/>
        <rFont val="Arial"/>
        <family val="2"/>
      </rPr>
      <t>-21.57 %</t>
    </r>
  </si>
  <si>
    <r>
      <rPr>
        <sz val="8"/>
        <rFont val="Arial"/>
        <family val="2"/>
      </rPr>
      <t>Bottle : Ketchup : ESM</t>
    </r>
  </si>
  <si>
    <r>
      <rPr>
        <sz val="8"/>
        <color indexed="10"/>
        <rFont val="Arial"/>
        <family val="2"/>
      </rPr>
      <t>-$ 3.57</t>
    </r>
  </si>
  <si>
    <r>
      <rPr>
        <sz val="8"/>
        <color indexed="10"/>
        <rFont val="Arial"/>
        <family val="2"/>
      </rPr>
      <t>-$ 3.53</t>
    </r>
  </si>
  <si>
    <r>
      <rPr>
        <sz val="8"/>
        <color indexed="10"/>
        <rFont val="Arial"/>
        <family val="2"/>
      </rPr>
      <t>-27.78 %</t>
    </r>
  </si>
  <si>
    <r>
      <rPr>
        <sz val="8"/>
        <color indexed="10"/>
        <rFont val="Arial"/>
        <family val="2"/>
      </rPr>
      <t>-$ 2.80</t>
    </r>
  </si>
  <si>
    <r>
      <rPr>
        <sz val="8"/>
        <color indexed="10"/>
        <rFont val="Arial"/>
        <family val="2"/>
      </rPr>
      <t>-35.77 %</t>
    </r>
  </si>
  <si>
    <r>
      <rPr>
        <sz val="8"/>
        <color indexed="10"/>
        <rFont val="Arial"/>
        <family val="2"/>
      </rPr>
      <t>-$ 2.76</t>
    </r>
  </si>
  <si>
    <r>
      <rPr>
        <sz val="8"/>
        <color indexed="10"/>
        <rFont val="Arial"/>
        <family val="2"/>
      </rPr>
      <t>-7.79 %</t>
    </r>
  </si>
  <si>
    <r>
      <rPr>
        <sz val="8"/>
        <color indexed="10"/>
        <rFont val="Arial"/>
        <family val="2"/>
      </rPr>
      <t>-$ 2.64</t>
    </r>
  </si>
  <si>
    <r>
      <rPr>
        <sz val="8"/>
        <color indexed="10"/>
        <rFont val="Arial"/>
        <family val="2"/>
      </rPr>
      <t>-$ 2.58</t>
    </r>
  </si>
  <si>
    <r>
      <rPr>
        <sz val="8"/>
        <rFont val="Arial"/>
        <family val="2"/>
      </rPr>
      <t>Juice : Orange : ESM</t>
    </r>
  </si>
  <si>
    <r>
      <rPr>
        <sz val="8"/>
        <color indexed="10"/>
        <rFont val="Arial"/>
        <family val="2"/>
      </rPr>
      <t>-$ 2.54</t>
    </r>
  </si>
  <si>
    <r>
      <rPr>
        <sz val="8"/>
        <color indexed="10"/>
        <rFont val="Arial"/>
        <family val="2"/>
      </rPr>
      <t>-40.81 %</t>
    </r>
  </si>
  <si>
    <r>
      <rPr>
        <sz val="8"/>
        <rFont val="Arial"/>
        <family val="2"/>
      </rPr>
      <t>Juice : Orange Juice Box : ESM</t>
    </r>
  </si>
  <si>
    <r>
      <rPr>
        <sz val="8"/>
        <color indexed="10"/>
        <rFont val="Arial"/>
        <family val="2"/>
      </rPr>
      <t>-$ 2.35</t>
    </r>
  </si>
  <si>
    <r>
      <rPr>
        <sz val="8"/>
        <color indexed="10"/>
        <rFont val="Arial"/>
        <family val="2"/>
      </rPr>
      <t>-83.33 %</t>
    </r>
  </si>
  <si>
    <r>
      <rPr>
        <sz val="8"/>
        <rFont val="Arial"/>
        <family val="2"/>
      </rPr>
      <t>Sauce : Worchestershire : ESM</t>
    </r>
  </si>
  <si>
    <r>
      <rPr>
        <sz val="8"/>
        <color indexed="10"/>
        <rFont val="Arial"/>
        <family val="2"/>
      </rPr>
      <t>-$ 1.80</t>
    </r>
  </si>
  <si>
    <r>
      <rPr>
        <sz val="8"/>
        <color indexed="10"/>
        <rFont val="Arial"/>
        <family val="2"/>
      </rPr>
      <t>-71.59 %</t>
    </r>
  </si>
  <si>
    <r>
      <rPr>
        <sz val="8"/>
        <color indexed="10"/>
        <rFont val="Arial"/>
        <family val="2"/>
      </rPr>
      <t>-$ 1.56</t>
    </r>
  </si>
  <si>
    <r>
      <rPr>
        <sz val="8"/>
        <color indexed="10"/>
        <rFont val="Arial"/>
        <family val="2"/>
      </rPr>
      <t>-52.70 %</t>
    </r>
  </si>
  <si>
    <r>
      <rPr>
        <sz val="8"/>
        <color indexed="10"/>
        <rFont val="Arial"/>
        <family val="2"/>
      </rPr>
      <t>-$ 1.53</t>
    </r>
  </si>
  <si>
    <r>
      <rPr>
        <sz val="8"/>
        <color indexed="10"/>
        <rFont val="Arial"/>
        <family val="2"/>
      </rPr>
      <t>-$ 1.37</t>
    </r>
  </si>
  <si>
    <r>
      <rPr>
        <sz val="8"/>
        <color indexed="10"/>
        <rFont val="Arial"/>
        <family val="2"/>
      </rPr>
      <t>-$ 1.04</t>
    </r>
  </si>
  <si>
    <r>
      <rPr>
        <sz val="8"/>
        <color indexed="10"/>
        <rFont val="Arial"/>
        <family val="2"/>
      </rPr>
      <t>-28.23 %</t>
    </r>
  </si>
  <si>
    <r>
      <rPr>
        <sz val="8"/>
        <color indexed="10"/>
        <rFont val="Arial"/>
        <family val="2"/>
      </rPr>
      <t>-$ 0.93</t>
    </r>
  </si>
  <si>
    <r>
      <rPr>
        <sz val="8"/>
        <color indexed="10"/>
        <rFont val="Arial"/>
        <family val="2"/>
      </rPr>
      <t>-$ 0.84</t>
    </r>
  </si>
  <si>
    <r>
      <rPr>
        <sz val="8"/>
        <color indexed="10"/>
        <rFont val="Arial"/>
        <family val="2"/>
      </rPr>
      <t>-8.13 %</t>
    </r>
  </si>
  <si>
    <r>
      <rPr>
        <sz val="8"/>
        <color indexed="10"/>
        <rFont val="Arial"/>
        <family val="2"/>
      </rPr>
      <t>-$ 0.38</t>
    </r>
  </si>
  <si>
    <r>
      <rPr>
        <sz val="8"/>
        <color indexed="10"/>
        <rFont val="Arial"/>
        <family val="2"/>
      </rPr>
      <t>-67.55 %</t>
    </r>
  </si>
  <si>
    <r>
      <rPr>
        <sz val="8"/>
        <color indexed="10"/>
        <rFont val="Arial"/>
        <family val="2"/>
      </rPr>
      <t>-$ 0.24</t>
    </r>
  </si>
  <si>
    <r>
      <rPr>
        <sz val="8"/>
        <rFont val="Arial"/>
        <family val="2"/>
      </rPr>
      <t>Sugar Cones : ESM</t>
    </r>
  </si>
  <si>
    <r>
      <rPr>
        <sz val="8"/>
        <color indexed="10"/>
        <rFont val="Arial"/>
        <family val="2"/>
      </rPr>
      <t>-$ 0.23</t>
    </r>
  </si>
  <si>
    <r>
      <rPr>
        <sz val="8"/>
        <color indexed="10"/>
        <rFont val="Arial"/>
        <family val="2"/>
      </rPr>
      <t>-8.33 %</t>
    </r>
  </si>
  <si>
    <r>
      <rPr>
        <sz val="8"/>
        <rFont val="Arial"/>
        <family val="2"/>
      </rPr>
      <t>IO Raspberry : ESM</t>
    </r>
  </si>
  <si>
    <r>
      <rPr>
        <sz val="8"/>
        <color indexed="10"/>
        <rFont val="Arial"/>
        <family val="2"/>
      </rPr>
      <t>-$ 0.14</t>
    </r>
  </si>
  <si>
    <r>
      <rPr>
        <sz val="8"/>
        <color indexed="10"/>
        <rFont val="Arial"/>
        <family val="2"/>
      </rPr>
      <t>-14.77 %</t>
    </r>
  </si>
  <si>
    <r>
      <rPr>
        <sz val="8"/>
        <rFont val="Arial"/>
        <family val="2"/>
      </rPr>
      <t>Juice : Passion Fruit : ESM</t>
    </r>
  </si>
  <si>
    <r>
      <rPr>
        <sz val="8"/>
        <color indexed="10"/>
        <rFont val="Arial"/>
        <family val="2"/>
      </rPr>
      <t>-$ 0.10</t>
    </r>
  </si>
  <si>
    <r>
      <rPr>
        <sz val="8"/>
        <color indexed="10"/>
        <rFont val="Arial"/>
        <family val="2"/>
      </rPr>
      <t>-20.45 %</t>
    </r>
  </si>
  <si>
    <r>
      <rPr>
        <sz val="8"/>
        <rFont val="Arial"/>
        <family val="2"/>
      </rPr>
      <t>Cheesecake : Mascarpone : ESM</t>
    </r>
  </si>
  <si>
    <r>
      <rPr>
        <sz val="8"/>
        <color indexed="10"/>
        <rFont val="Arial"/>
        <family val="2"/>
      </rPr>
      <t>$ 0.00</t>
    </r>
  </si>
  <si>
    <r>
      <rPr>
        <sz val="8"/>
        <color indexed="8"/>
        <rFont val="Arial"/>
        <family val="2"/>
      </rPr>
      <t>0.00 %</t>
    </r>
  </si>
  <si>
    <r>
      <rPr>
        <sz val="8"/>
        <color indexed="8"/>
        <rFont val="Arial"/>
        <family val="2"/>
      </rPr>
      <t>$ 0.00</t>
    </r>
  </si>
  <si>
    <r>
      <rPr>
        <sz val="8"/>
        <rFont val="Arial"/>
        <family val="2"/>
      </rPr>
      <t>Beef : Sirloin Burger 6oz : ESM **</t>
    </r>
  </si>
  <si>
    <r>
      <rPr>
        <sz val="8"/>
        <rFont val="Arial"/>
        <family val="2"/>
      </rPr>
      <t>Can : 7 Up : ESM **</t>
    </r>
  </si>
  <si>
    <r>
      <rPr>
        <sz val="8"/>
        <rFont val="Arial"/>
        <family val="2"/>
      </rPr>
      <t>Can : Diet Pepsi : ESM **</t>
    </r>
  </si>
  <si>
    <r>
      <rPr>
        <sz val="8"/>
        <rFont val="Arial"/>
        <family val="2"/>
      </rPr>
      <t>Can : Iced Tea : ESM **</t>
    </r>
  </si>
  <si>
    <r>
      <rPr>
        <sz val="8"/>
        <rFont val="Arial"/>
        <family val="2"/>
      </rPr>
      <t>Can : Pepsi : ESM **</t>
    </r>
  </si>
  <si>
    <r>
      <rPr>
        <sz val="8"/>
        <rFont val="Arial"/>
        <family val="2"/>
      </rPr>
      <t>Cheese : Parmesan Cube Shredded : ESM</t>
    </r>
  </si>
  <si>
    <r>
      <rPr>
        <sz val="8"/>
        <rFont val="Arial"/>
        <family val="2"/>
      </rPr>
      <t>Garlic Roasted : ESM **</t>
    </r>
  </si>
  <si>
    <r>
      <rPr>
        <sz val="8"/>
        <rFont val="Arial"/>
        <family val="2"/>
      </rPr>
      <t>$ 10.17</t>
    </r>
  </si>
  <si>
    <r>
      <rPr>
        <sz val="8"/>
        <rFont val="Arial"/>
        <family val="2"/>
      </rPr>
      <t>Oil : Canola Frying : ESM</t>
    </r>
  </si>
  <si>
    <r>
      <rPr>
        <sz val="8"/>
        <rFont val="Arial"/>
        <family val="2"/>
      </rPr>
      <t>Oil : Canola Spray : ESM</t>
    </r>
  </si>
  <si>
    <r>
      <rPr>
        <sz val="8"/>
        <rFont val="Arial"/>
        <family val="2"/>
      </rPr>
      <t>Oil : EVOO : ESM</t>
    </r>
  </si>
  <si>
    <r>
      <rPr>
        <sz val="8"/>
        <rFont val="Arial"/>
        <family val="2"/>
      </rPr>
      <t>$ 23.21</t>
    </r>
  </si>
  <si>
    <r>
      <rPr>
        <sz val="8"/>
        <rFont val="Arial"/>
        <family val="2"/>
      </rPr>
      <t>Olives : Green Stuffed : ESM</t>
    </r>
  </si>
  <si>
    <r>
      <rPr>
        <sz val="8"/>
        <rFont val="Arial"/>
        <family val="2"/>
      </rPr>
      <t>Pepper Grinder : ESM</t>
    </r>
  </si>
  <si>
    <r>
      <rPr>
        <sz val="8"/>
        <rFont val="Arial"/>
        <family val="2"/>
      </rPr>
      <t>Salt Grinder : ESM</t>
    </r>
  </si>
  <si>
    <r>
      <rPr>
        <sz val="8"/>
        <rFont val="Arial"/>
        <family val="2"/>
      </rPr>
      <t>$ 9.82</t>
    </r>
  </si>
  <si>
    <r>
      <rPr>
        <sz val="8"/>
        <rFont val="Arial"/>
        <family val="2"/>
      </rPr>
      <t>Spice : Cajun : ESM</t>
    </r>
  </si>
  <si>
    <r>
      <rPr>
        <sz val="8"/>
        <rFont val="Arial"/>
        <family val="2"/>
      </rPr>
      <t>Syrup : Stone Fruit : ESM **</t>
    </r>
  </si>
  <si>
    <r>
      <rPr>
        <sz val="8"/>
        <color indexed="8"/>
        <rFont val="Arial"/>
        <family val="2"/>
      </rPr>
      <t>$ 0.03</t>
    </r>
  </si>
  <si>
    <r>
      <rPr>
        <sz val="8"/>
        <rFont val="Arial"/>
        <family val="2"/>
      </rPr>
      <t>Juice : Apple : ESM</t>
    </r>
  </si>
  <si>
    <r>
      <rPr>
        <sz val="8"/>
        <color indexed="8"/>
        <rFont val="Arial"/>
        <family val="2"/>
      </rPr>
      <t>$ 0.09</t>
    </r>
  </si>
  <si>
    <r>
      <rPr>
        <sz val="8"/>
        <color indexed="8"/>
        <rFont val="Arial"/>
        <family val="2"/>
      </rPr>
      <t>6.54 %</t>
    </r>
  </si>
  <si>
    <r>
      <rPr>
        <sz val="8"/>
        <rFont val="Arial"/>
        <family val="2"/>
      </rPr>
      <t>Pineapple Tidbit : ESM</t>
    </r>
  </si>
  <si>
    <r>
      <rPr>
        <sz val="8"/>
        <color indexed="8"/>
        <rFont val="Arial"/>
        <family val="2"/>
      </rPr>
      <t>$ 0.11</t>
    </r>
  </si>
  <si>
    <r>
      <rPr>
        <sz val="8"/>
        <rFont val="Arial"/>
        <family val="2"/>
      </rPr>
      <t>Butter : Potted : ESM</t>
    </r>
  </si>
  <si>
    <r>
      <rPr>
        <sz val="8"/>
        <color indexed="8"/>
        <rFont val="Arial"/>
        <family val="2"/>
      </rPr>
      <t>$ 0.30</t>
    </r>
  </si>
  <si>
    <r>
      <rPr>
        <sz val="8"/>
        <color indexed="8"/>
        <rFont val="Arial"/>
        <family val="2"/>
      </rPr>
      <t>1.20 %</t>
    </r>
  </si>
  <si>
    <r>
      <rPr>
        <sz val="8"/>
        <rFont val="Arial"/>
        <family val="2"/>
      </rPr>
      <t>Olives : Black Pitted : ESM</t>
    </r>
  </si>
  <si>
    <r>
      <rPr>
        <sz val="8"/>
        <color indexed="8"/>
        <rFont val="Arial"/>
        <family val="2"/>
      </rPr>
      <t>$ 0.44</t>
    </r>
  </si>
  <si>
    <r>
      <rPr>
        <sz val="8"/>
        <color indexed="8"/>
        <rFont val="Arial"/>
        <family val="2"/>
      </rPr>
      <t>13.63 %</t>
    </r>
  </si>
  <si>
    <r>
      <rPr>
        <sz val="8"/>
        <rFont val="Arial"/>
        <family val="2"/>
      </rPr>
      <t>IO Strawberry : ESM</t>
    </r>
  </si>
  <si>
    <r>
      <rPr>
        <sz val="8"/>
        <color indexed="8"/>
        <rFont val="Arial"/>
        <family val="2"/>
      </rPr>
      <t>$ 0.45</t>
    </r>
  </si>
  <si>
    <r>
      <rPr>
        <sz val="8"/>
        <color indexed="8"/>
        <rFont val="Arial"/>
        <family val="2"/>
      </rPr>
      <t>7.33 %</t>
    </r>
  </si>
  <si>
    <r>
      <rPr>
        <sz val="8"/>
        <rFont val="Arial"/>
        <family val="2"/>
      </rPr>
      <t>Juice : Tomato : ESM</t>
    </r>
  </si>
  <si>
    <r>
      <rPr>
        <sz val="8"/>
        <color indexed="8"/>
        <rFont val="Arial"/>
        <family val="2"/>
      </rPr>
      <t>$ 0.72</t>
    </r>
  </si>
  <si>
    <r>
      <rPr>
        <sz val="8"/>
        <rFont val="Arial"/>
        <family val="2"/>
      </rPr>
      <t>Gravy : Beef : ESM</t>
    </r>
  </si>
  <si>
    <r>
      <rPr>
        <sz val="8"/>
        <color indexed="8"/>
        <rFont val="Arial"/>
        <family val="2"/>
      </rPr>
      <t>$ 0.85</t>
    </r>
  </si>
  <si>
    <r>
      <rPr>
        <sz val="8"/>
        <color indexed="8"/>
        <rFont val="Arial"/>
        <family val="2"/>
      </rPr>
      <t>$ 1.01</t>
    </r>
  </si>
  <si>
    <r>
      <rPr>
        <sz val="8"/>
        <color indexed="8"/>
        <rFont val="Arial"/>
        <family val="2"/>
      </rPr>
      <t>184.10 %</t>
    </r>
  </si>
  <si>
    <r>
      <rPr>
        <sz val="8"/>
        <rFont val="Arial"/>
        <family val="2"/>
      </rPr>
      <t>Sauce : Hells Kitchen : ESM</t>
    </r>
  </si>
  <si>
    <r>
      <rPr>
        <sz val="8"/>
        <color indexed="8"/>
        <rFont val="Arial"/>
        <family val="2"/>
      </rPr>
      <t>$ 1.10</t>
    </r>
  </si>
  <si>
    <r>
      <rPr>
        <sz val="8"/>
        <color indexed="8"/>
        <rFont val="Arial"/>
        <family val="2"/>
      </rPr>
      <t>13.24 %</t>
    </r>
  </si>
  <si>
    <r>
      <rPr>
        <sz val="8"/>
        <color indexed="8"/>
        <rFont val="Arial"/>
        <family val="2"/>
      </rPr>
      <t>$ 1.24</t>
    </r>
  </si>
  <si>
    <r>
      <rPr>
        <sz val="8"/>
        <color indexed="8"/>
        <rFont val="Arial"/>
        <family val="2"/>
      </rPr>
      <t>$ 1.26</t>
    </r>
  </si>
  <si>
    <r>
      <rPr>
        <sz val="8"/>
        <color indexed="8"/>
        <rFont val="Arial"/>
        <family val="2"/>
      </rPr>
      <t>$ 1.29</t>
    </r>
  </si>
  <si>
    <r>
      <rPr>
        <sz val="8"/>
        <rFont val="Arial"/>
        <family val="2"/>
      </rPr>
      <t>Sugar : Cinnamon : ESM</t>
    </r>
  </si>
  <si>
    <r>
      <rPr>
        <sz val="8"/>
        <color indexed="8"/>
        <rFont val="Arial"/>
        <family val="2"/>
      </rPr>
      <t>$ 1.40</t>
    </r>
  </si>
  <si>
    <r>
      <rPr>
        <sz val="8"/>
        <rFont val="Arial"/>
        <family val="2"/>
      </rPr>
      <t>Sauce : Tabasco : ESM</t>
    </r>
  </si>
  <si>
    <r>
      <rPr>
        <sz val="8"/>
        <color indexed="8"/>
        <rFont val="Arial"/>
        <family val="2"/>
      </rPr>
      <t>$ 1.56</t>
    </r>
  </si>
  <si>
    <r>
      <rPr>
        <sz val="8"/>
        <rFont val="Arial"/>
        <family val="2"/>
      </rPr>
      <t>Spice : Black Pepper Cracked : ESM</t>
    </r>
  </si>
  <si>
    <r>
      <rPr>
        <sz val="8"/>
        <color indexed="8"/>
        <rFont val="Arial"/>
        <family val="2"/>
      </rPr>
      <t>$ 1.63</t>
    </r>
  </si>
  <si>
    <r>
      <rPr>
        <sz val="8"/>
        <color indexed="8"/>
        <rFont val="Arial"/>
        <family val="2"/>
      </rPr>
      <t>$ 1.73</t>
    </r>
  </si>
  <si>
    <r>
      <rPr>
        <sz val="8"/>
        <color indexed="8"/>
        <rFont val="Arial"/>
        <family val="2"/>
      </rPr>
      <t>58.62 %</t>
    </r>
  </si>
  <si>
    <r>
      <rPr>
        <sz val="8"/>
        <rFont val="Arial"/>
        <family val="2"/>
      </rPr>
      <t>Basil : ESM</t>
    </r>
  </si>
  <si>
    <r>
      <rPr>
        <sz val="8"/>
        <color indexed="8"/>
        <rFont val="Arial"/>
        <family val="2"/>
      </rPr>
      <t>$ 1.74</t>
    </r>
  </si>
  <si>
    <r>
      <rPr>
        <sz val="8"/>
        <color indexed="8"/>
        <rFont val="Arial"/>
        <family val="2"/>
      </rPr>
      <t>14.15 %</t>
    </r>
  </si>
  <si>
    <r>
      <rPr>
        <sz val="8"/>
        <color indexed="8"/>
        <rFont val="Arial"/>
        <family val="2"/>
      </rPr>
      <t>$ 1.76</t>
    </r>
  </si>
  <si>
    <r>
      <rPr>
        <sz val="8"/>
        <color indexed="8"/>
        <rFont val="Arial"/>
        <family val="2"/>
      </rPr>
      <t>368.76 %</t>
    </r>
  </si>
  <si>
    <r>
      <rPr>
        <sz val="8"/>
        <rFont val="Arial"/>
        <family val="2"/>
      </rPr>
      <t>Carrots Large : ESM</t>
    </r>
  </si>
  <si>
    <r>
      <rPr>
        <sz val="8"/>
        <color indexed="8"/>
        <rFont val="Arial"/>
        <family val="2"/>
      </rPr>
      <t>$ 1.77</t>
    </r>
  </si>
  <si>
    <r>
      <rPr>
        <sz val="8"/>
        <color indexed="8"/>
        <rFont val="Arial"/>
        <family val="2"/>
      </rPr>
      <t>79.17 %</t>
    </r>
  </si>
  <si>
    <r>
      <rPr>
        <sz val="8"/>
        <rFont val="Arial"/>
        <family val="2"/>
      </rPr>
      <t>Sauce : Arrabbiata Base : ESM</t>
    </r>
  </si>
  <si>
    <r>
      <rPr>
        <sz val="8"/>
        <color indexed="8"/>
        <rFont val="Arial"/>
        <family val="2"/>
      </rPr>
      <t>$ 1.84</t>
    </r>
  </si>
  <si>
    <r>
      <rPr>
        <sz val="8"/>
        <color indexed="8"/>
        <rFont val="Arial"/>
        <family val="2"/>
      </rPr>
      <t>20.93 %</t>
    </r>
  </si>
  <si>
    <r>
      <rPr>
        <sz val="8"/>
        <color indexed="8"/>
        <rFont val="Arial"/>
        <family val="2"/>
      </rPr>
      <t>$ 1.98</t>
    </r>
  </si>
  <si>
    <r>
      <rPr>
        <sz val="8"/>
        <color indexed="8"/>
        <rFont val="Arial"/>
        <family val="2"/>
      </rPr>
      <t>20.69 %</t>
    </r>
  </si>
  <si>
    <r>
      <rPr>
        <sz val="8"/>
        <color indexed="8"/>
        <rFont val="Arial"/>
        <family val="2"/>
      </rPr>
      <t>$ 2.58</t>
    </r>
  </si>
  <si>
    <r>
      <rPr>
        <sz val="8"/>
        <color indexed="8"/>
        <rFont val="Arial"/>
        <family val="2"/>
      </rPr>
      <t>$ 2.65</t>
    </r>
  </si>
  <si>
    <r>
      <rPr>
        <sz val="8"/>
        <color indexed="8"/>
        <rFont val="Arial"/>
        <family val="2"/>
      </rPr>
      <t>$ 2.76</t>
    </r>
  </si>
  <si>
    <r>
      <rPr>
        <sz val="8"/>
        <color indexed="10"/>
        <rFont val="Arial"/>
        <family val="2"/>
      </rPr>
      <t>-114.20 %</t>
    </r>
  </si>
  <si>
    <r>
      <rPr>
        <sz val="8"/>
        <rFont val="Arial"/>
        <family val="2"/>
      </rPr>
      <t>Spice : Black Pepper Ground : ESM</t>
    </r>
  </si>
  <si>
    <r>
      <rPr>
        <sz val="8"/>
        <color indexed="8"/>
        <rFont val="Arial"/>
        <family val="2"/>
      </rPr>
      <t>$ 3.03</t>
    </r>
  </si>
  <si>
    <r>
      <rPr>
        <sz val="8"/>
        <color indexed="10"/>
        <rFont val="Arial"/>
        <family val="2"/>
      </rPr>
      <t>-185.00 %</t>
    </r>
  </si>
  <si>
    <r>
      <rPr>
        <sz val="8"/>
        <rFont val="Arial"/>
        <family val="2"/>
      </rPr>
      <t>Topping : Caramel : ESM</t>
    </r>
  </si>
  <si>
    <r>
      <rPr>
        <sz val="8"/>
        <color indexed="8"/>
        <rFont val="Arial"/>
        <family val="2"/>
      </rPr>
      <t>$ 3.11</t>
    </r>
  </si>
  <si>
    <r>
      <rPr>
        <sz val="8"/>
        <color indexed="8"/>
        <rFont val="Arial"/>
        <family val="2"/>
      </rPr>
      <t>94.05 %</t>
    </r>
  </si>
  <si>
    <r>
      <rPr>
        <sz val="8"/>
        <rFont val="Arial"/>
        <family val="2"/>
      </rPr>
      <t>Btl : 7 Up : ESM</t>
    </r>
  </si>
  <si>
    <r>
      <rPr>
        <sz val="8"/>
        <color indexed="8"/>
        <rFont val="Arial"/>
        <family val="2"/>
      </rPr>
      <t>$ 3.23</t>
    </r>
  </si>
  <si>
    <r>
      <rPr>
        <sz val="8"/>
        <rFont val="Arial"/>
        <family val="2"/>
      </rPr>
      <t>Tea : Orange Pekoe : ESM</t>
    </r>
  </si>
  <si>
    <r>
      <rPr>
        <sz val="8"/>
        <color indexed="8"/>
        <rFont val="Arial"/>
        <family val="2"/>
      </rPr>
      <t>$ 3.26</t>
    </r>
  </si>
  <si>
    <r>
      <rPr>
        <sz val="8"/>
        <color indexed="10"/>
        <rFont val="Arial"/>
        <family val="2"/>
      </rPr>
      <t>-122.00 %</t>
    </r>
  </si>
  <si>
    <r>
      <rPr>
        <sz val="8"/>
        <color indexed="8"/>
        <rFont val="Arial"/>
        <family val="2"/>
      </rPr>
      <t>$ 3.45</t>
    </r>
  </si>
  <si>
    <r>
      <rPr>
        <sz val="8"/>
        <color indexed="10"/>
        <rFont val="Arial"/>
        <family val="2"/>
      </rPr>
      <t>-681.54 %</t>
    </r>
  </si>
  <si>
    <r>
      <rPr>
        <sz val="8"/>
        <rFont val="Arial"/>
        <family val="2"/>
      </rPr>
      <t>Baby Arugula : ESM</t>
    </r>
  </si>
  <si>
    <r>
      <rPr>
        <sz val="8"/>
        <color indexed="8"/>
        <rFont val="Arial"/>
        <family val="2"/>
      </rPr>
      <t>$ 3.71</t>
    </r>
  </si>
  <si>
    <r>
      <rPr>
        <sz val="8"/>
        <color indexed="8"/>
        <rFont val="Arial"/>
        <family val="2"/>
      </rPr>
      <t>$ 3.91</t>
    </r>
  </si>
  <si>
    <r>
      <rPr>
        <sz val="8"/>
        <color indexed="8"/>
        <rFont val="Arial"/>
        <family val="2"/>
      </rPr>
      <t>9.95 %</t>
    </r>
  </si>
  <si>
    <r>
      <rPr>
        <sz val="8"/>
        <rFont val="Arial"/>
        <family val="2"/>
      </rPr>
      <t>Cheese : Ricotta : ESM</t>
    </r>
  </si>
  <si>
    <r>
      <rPr>
        <sz val="8"/>
        <color indexed="8"/>
        <rFont val="Arial"/>
        <family val="2"/>
      </rPr>
      <t>$ 4.29</t>
    </r>
  </si>
  <si>
    <r>
      <rPr>
        <sz val="8"/>
        <color indexed="8"/>
        <rFont val="Arial"/>
        <family val="2"/>
      </rPr>
      <t>92.78 %</t>
    </r>
  </si>
  <si>
    <r>
      <rPr>
        <sz val="8"/>
        <color indexed="8"/>
        <rFont val="Arial"/>
        <family val="2"/>
      </rPr>
      <t>$ 4.52</t>
    </r>
  </si>
  <si>
    <r>
      <rPr>
        <sz val="8"/>
        <color indexed="10"/>
        <rFont val="Arial"/>
        <family val="2"/>
      </rPr>
      <t>-700.00 %</t>
    </r>
  </si>
  <si>
    <r>
      <rPr>
        <sz val="8"/>
        <color indexed="8"/>
        <rFont val="Arial"/>
        <family val="2"/>
      </rPr>
      <t>$ 4.77</t>
    </r>
  </si>
  <si>
    <r>
      <rPr>
        <sz val="8"/>
        <color indexed="8"/>
        <rFont val="Arial"/>
        <family val="2"/>
      </rPr>
      <t>$ 5.16</t>
    </r>
  </si>
  <si>
    <r>
      <rPr>
        <sz val="8"/>
        <color indexed="10"/>
        <rFont val="Arial"/>
        <family val="2"/>
      </rPr>
      <t>-133.33 %</t>
    </r>
  </si>
  <si>
    <r>
      <rPr>
        <sz val="8"/>
        <rFont val="Arial"/>
        <family val="2"/>
      </rPr>
      <t>Salt : Table : ESM</t>
    </r>
  </si>
  <si>
    <r>
      <rPr>
        <sz val="8"/>
        <color indexed="8"/>
        <rFont val="Arial"/>
        <family val="2"/>
      </rPr>
      <t>$ 5.25</t>
    </r>
  </si>
  <si>
    <r>
      <rPr>
        <sz val="8"/>
        <color indexed="10"/>
        <rFont val="Arial"/>
        <family val="2"/>
      </rPr>
      <t>-295.15 %</t>
    </r>
  </si>
  <si>
    <r>
      <rPr>
        <sz val="8"/>
        <color indexed="8"/>
        <rFont val="Arial"/>
        <family val="2"/>
      </rPr>
      <t>$ 5.31</t>
    </r>
  </si>
  <si>
    <r>
      <rPr>
        <sz val="8"/>
        <color indexed="8"/>
        <rFont val="Arial"/>
        <family val="2"/>
      </rPr>
      <t>12.92 %</t>
    </r>
  </si>
  <si>
    <r>
      <rPr>
        <sz val="8"/>
        <rFont val="Arial"/>
        <family val="2"/>
      </rPr>
      <t>Wine : Cooking White : ESM</t>
    </r>
  </si>
  <si>
    <r>
      <rPr>
        <sz val="8"/>
        <color indexed="8"/>
        <rFont val="Arial"/>
        <family val="2"/>
      </rPr>
      <t>$ 5.81</t>
    </r>
  </si>
  <si>
    <r>
      <rPr>
        <sz val="8"/>
        <color indexed="10"/>
        <rFont val="Arial"/>
        <family val="2"/>
      </rPr>
      <t>-118.94 %</t>
    </r>
  </si>
  <si>
    <r>
      <rPr>
        <sz val="8"/>
        <rFont val="Arial"/>
        <family val="2"/>
      </rPr>
      <t>Spice : MPS Blend : ESM</t>
    </r>
  </si>
  <si>
    <r>
      <rPr>
        <sz val="8"/>
        <color indexed="8"/>
        <rFont val="Arial"/>
        <family val="2"/>
      </rPr>
      <t>$ 5.82</t>
    </r>
  </si>
  <si>
    <r>
      <rPr>
        <sz val="8"/>
        <color indexed="8"/>
        <rFont val="Arial"/>
        <family val="2"/>
      </rPr>
      <t>130.91 %</t>
    </r>
  </si>
  <si>
    <r>
      <rPr>
        <sz val="8"/>
        <color indexed="8"/>
        <rFont val="Arial"/>
        <family val="2"/>
      </rPr>
      <t>$ 6.37</t>
    </r>
  </si>
  <si>
    <r>
      <rPr>
        <sz val="8"/>
        <color indexed="10"/>
        <rFont val="Arial"/>
        <family val="2"/>
      </rPr>
      <t>-202.32 %</t>
    </r>
  </si>
  <si>
    <r>
      <rPr>
        <sz val="8"/>
        <color indexed="8"/>
        <rFont val="Arial"/>
        <family val="2"/>
      </rPr>
      <t>$ 6.84</t>
    </r>
  </si>
  <si>
    <r>
      <rPr>
        <sz val="8"/>
        <color indexed="8"/>
        <rFont val="Arial"/>
        <family val="2"/>
      </rPr>
      <t>72.27 %</t>
    </r>
  </si>
  <si>
    <r>
      <rPr>
        <sz val="8"/>
        <color indexed="8"/>
        <rFont val="Arial"/>
        <family val="2"/>
      </rPr>
      <t>$ 6.92</t>
    </r>
  </si>
  <si>
    <r>
      <rPr>
        <sz val="8"/>
        <rFont val="Arial"/>
        <family val="2"/>
      </rPr>
      <t>Croutons Ptn : ESM</t>
    </r>
  </si>
  <si>
    <r>
      <rPr>
        <sz val="8"/>
        <rFont val="Arial"/>
        <family val="2"/>
      </rPr>
      <t>Case = 1 X 250 EA</t>
    </r>
  </si>
  <si>
    <r>
      <rPr>
        <sz val="8"/>
        <rFont val="Arial"/>
        <family val="2"/>
      </rPr>
      <t>$ 31.46</t>
    </r>
  </si>
  <si>
    <r>
      <rPr>
        <sz val="8"/>
        <color indexed="8"/>
        <rFont val="Arial"/>
        <family val="2"/>
      </rPr>
      <t>$ 8.05</t>
    </r>
  </si>
  <si>
    <r>
      <rPr>
        <sz val="8"/>
        <color indexed="8"/>
        <rFont val="Arial"/>
        <family val="2"/>
      </rPr>
      <t>128.00 %</t>
    </r>
  </si>
  <si>
    <r>
      <rPr>
        <sz val="8"/>
        <color indexed="8"/>
        <rFont val="Arial"/>
        <family val="2"/>
      </rPr>
      <t>$ 9.80</t>
    </r>
  </si>
  <si>
    <r>
      <rPr>
        <sz val="8"/>
        <color indexed="8"/>
        <rFont val="Arial"/>
        <family val="2"/>
      </rPr>
      <t>$ 11.27</t>
    </r>
  </si>
  <si>
    <r>
      <rPr>
        <sz val="8"/>
        <color indexed="10"/>
        <rFont val="Arial"/>
        <family val="2"/>
      </rPr>
      <t>-138.30 %</t>
    </r>
  </si>
  <si>
    <r>
      <rPr>
        <sz val="8"/>
        <rFont val="Arial"/>
        <family val="2"/>
      </rPr>
      <t>Sugar : Sweet N Low : ESM</t>
    </r>
  </si>
  <si>
    <r>
      <rPr>
        <sz val="8"/>
        <color indexed="8"/>
        <rFont val="Arial"/>
        <family val="2"/>
      </rPr>
      <t>$ 12.34</t>
    </r>
  </si>
  <si>
    <r>
      <rPr>
        <sz val="8"/>
        <color indexed="10"/>
        <rFont val="Arial"/>
        <family val="2"/>
      </rPr>
      <t>-103.24 %</t>
    </r>
  </si>
  <si>
    <r>
      <rPr>
        <sz val="8"/>
        <rFont val="Arial"/>
        <family val="2"/>
      </rPr>
      <t>Dough : Cauliflower Crust : ESM</t>
    </r>
  </si>
  <si>
    <r>
      <rPr>
        <sz val="8"/>
        <color indexed="8"/>
        <rFont val="Arial"/>
        <family val="2"/>
      </rPr>
      <t>$ 12.43</t>
    </r>
  </si>
  <si>
    <r>
      <rPr>
        <sz val="8"/>
        <color indexed="8"/>
        <rFont val="Arial"/>
        <family val="2"/>
      </rPr>
      <t>133.33 %</t>
    </r>
  </si>
  <si>
    <r>
      <rPr>
        <sz val="8"/>
        <rFont val="Arial"/>
        <family val="2"/>
      </rPr>
      <t>Drink Mix : Cotton Candy : ESM</t>
    </r>
  </si>
  <si>
    <r>
      <rPr>
        <sz val="8"/>
        <color indexed="8"/>
        <rFont val="Arial"/>
        <family val="2"/>
      </rPr>
      <t>$ 12.76</t>
    </r>
  </si>
  <si>
    <r>
      <rPr>
        <sz val="8"/>
        <color indexed="10"/>
        <rFont val="Arial"/>
        <family val="2"/>
      </rPr>
      <t>-347.03 %</t>
    </r>
  </si>
  <si>
    <r>
      <rPr>
        <sz val="8"/>
        <rFont val="Arial"/>
        <family val="2"/>
      </rPr>
      <t>Pasta : Spaghettini : ESM</t>
    </r>
  </si>
  <si>
    <r>
      <rPr>
        <sz val="8"/>
        <color indexed="8"/>
        <rFont val="Arial"/>
        <family val="2"/>
      </rPr>
      <t>$ 14.44</t>
    </r>
  </si>
  <si>
    <r>
      <rPr>
        <sz val="8"/>
        <color indexed="8"/>
        <rFont val="Arial"/>
        <family val="2"/>
      </rPr>
      <t>52.52 %</t>
    </r>
  </si>
  <si>
    <r>
      <rPr>
        <sz val="8"/>
        <rFont val="Arial"/>
        <family val="2"/>
      </rPr>
      <t>IO Yogurt Non Fat : ESM</t>
    </r>
  </si>
  <si>
    <r>
      <rPr>
        <sz val="8"/>
        <color indexed="8"/>
        <rFont val="Arial"/>
        <family val="2"/>
      </rPr>
      <t>$ 15.25</t>
    </r>
  </si>
  <si>
    <r>
      <rPr>
        <sz val="8"/>
        <color indexed="10"/>
        <rFont val="Arial"/>
        <family val="2"/>
      </rPr>
      <t>-193.07 %</t>
    </r>
  </si>
  <si>
    <r>
      <rPr>
        <sz val="8"/>
        <color indexed="8"/>
        <rFont val="Arial"/>
        <family val="2"/>
      </rPr>
      <t>$ 18.05</t>
    </r>
  </si>
  <si>
    <r>
      <rPr>
        <sz val="8"/>
        <color indexed="10"/>
        <rFont val="Arial"/>
        <family val="2"/>
      </rPr>
      <t>-132.47 %</t>
    </r>
  </si>
  <si>
    <r>
      <rPr>
        <sz val="8"/>
        <rFont val="Arial"/>
        <family val="2"/>
      </rPr>
      <t>Maraschino Cherries : ESM</t>
    </r>
  </si>
  <si>
    <r>
      <rPr>
        <sz val="8"/>
        <color indexed="8"/>
        <rFont val="Arial"/>
        <family val="2"/>
      </rPr>
      <t>$ 18.36</t>
    </r>
  </si>
  <si>
    <r>
      <rPr>
        <sz val="8"/>
        <color indexed="10"/>
        <rFont val="Arial"/>
        <family val="2"/>
      </rPr>
      <t>-104.98 %</t>
    </r>
  </si>
  <si>
    <r>
      <rPr>
        <sz val="8"/>
        <color indexed="8"/>
        <rFont val="Arial"/>
        <family val="2"/>
      </rPr>
      <t>$ 18.89</t>
    </r>
  </si>
  <si>
    <r>
      <rPr>
        <sz val="8"/>
        <color indexed="10"/>
        <rFont val="Arial"/>
        <family val="2"/>
      </rPr>
      <t>-574.86 %</t>
    </r>
  </si>
  <si>
    <r>
      <rPr>
        <sz val="8"/>
        <rFont val="Arial"/>
        <family val="2"/>
      </rPr>
      <t>Syrup : Blackberry : ESM</t>
    </r>
  </si>
  <si>
    <r>
      <rPr>
        <sz val="8"/>
        <color indexed="8"/>
        <rFont val="Arial"/>
        <family val="2"/>
      </rPr>
      <t>$ 21.90</t>
    </r>
  </si>
  <si>
    <r>
      <rPr>
        <sz val="8"/>
        <color indexed="10"/>
        <rFont val="Arial"/>
        <family val="2"/>
      </rPr>
      <t>-114.94 %</t>
    </r>
  </si>
  <si>
    <r>
      <rPr>
        <sz val="8"/>
        <color indexed="8"/>
        <rFont val="Arial"/>
        <family val="2"/>
      </rPr>
      <t>$ 23.00</t>
    </r>
  </si>
  <si>
    <r>
      <rPr>
        <sz val="8"/>
        <color indexed="10"/>
        <rFont val="Arial"/>
        <family val="2"/>
      </rPr>
      <t>-103.60 %</t>
    </r>
  </si>
  <si>
    <r>
      <rPr>
        <sz val="8"/>
        <color indexed="8"/>
        <rFont val="Arial"/>
        <family val="2"/>
      </rPr>
      <t>$ 23.21</t>
    </r>
  </si>
  <si>
    <r>
      <rPr>
        <sz val="8"/>
        <color indexed="10"/>
        <rFont val="Arial"/>
        <family val="2"/>
      </rPr>
      <t>-102.76 %</t>
    </r>
  </si>
  <si>
    <r>
      <rPr>
        <sz val="8"/>
        <color indexed="8"/>
        <rFont val="Arial"/>
        <family val="2"/>
      </rPr>
      <t>$ 23.37</t>
    </r>
  </si>
  <si>
    <r>
      <rPr>
        <sz val="8"/>
        <color indexed="10"/>
        <rFont val="Arial"/>
        <family val="2"/>
      </rPr>
      <t>-129.76 %</t>
    </r>
  </si>
  <si>
    <r>
      <rPr>
        <sz val="8"/>
        <color indexed="8"/>
        <rFont val="Arial"/>
        <family val="2"/>
      </rPr>
      <t>$ 24.31</t>
    </r>
  </si>
  <si>
    <r>
      <rPr>
        <sz val="8"/>
        <color indexed="10"/>
        <rFont val="Arial"/>
        <family val="2"/>
      </rPr>
      <t>-166.67 %</t>
    </r>
  </si>
  <si>
    <r>
      <rPr>
        <sz val="8"/>
        <rFont val="Arial"/>
        <family val="2"/>
      </rPr>
      <t>Spinach Dip : ESM</t>
    </r>
  </si>
  <si>
    <r>
      <rPr>
        <sz val="8"/>
        <color indexed="8"/>
        <rFont val="Arial"/>
        <family val="2"/>
      </rPr>
      <t>$ 24.46</t>
    </r>
  </si>
  <si>
    <r>
      <rPr>
        <sz val="8"/>
        <color indexed="10"/>
        <rFont val="Arial"/>
        <family val="2"/>
      </rPr>
      <t>-172.90 %</t>
    </r>
  </si>
  <si>
    <r>
      <rPr>
        <sz val="8"/>
        <rFont val="Arial"/>
        <family val="2"/>
      </rPr>
      <t>$ 1.26</t>
    </r>
  </si>
  <si>
    <r>
      <rPr>
        <sz val="8"/>
        <color indexed="8"/>
        <rFont val="Arial"/>
        <family val="2"/>
      </rPr>
      <t>$ 29.37</t>
    </r>
  </si>
  <si>
    <r>
      <rPr>
        <sz val="8"/>
        <color indexed="8"/>
        <rFont val="Arial"/>
        <family val="2"/>
      </rPr>
      <t>387.27 %</t>
    </r>
  </si>
  <si>
    <r>
      <rPr>
        <sz val="8"/>
        <rFont val="Arial"/>
        <family val="2"/>
      </rPr>
      <t>Ice Cream : Popup Gelato Strawberry : ESM</t>
    </r>
  </si>
  <si>
    <r>
      <rPr>
        <sz val="8"/>
        <color indexed="8"/>
        <rFont val="Arial"/>
        <family val="2"/>
      </rPr>
      <t>$ 44.97</t>
    </r>
  </si>
  <si>
    <r>
      <rPr>
        <sz val="8"/>
        <color indexed="10"/>
        <rFont val="Arial"/>
        <family val="2"/>
      </rPr>
      <t>-111.72 %</t>
    </r>
  </si>
  <si>
    <r>
      <rPr>
        <sz val="8"/>
        <rFont val="Arial"/>
        <family val="2"/>
      </rPr>
      <t>$ 18.50</t>
    </r>
  </si>
  <si>
    <r>
      <rPr>
        <sz val="8"/>
        <color indexed="8"/>
        <rFont val="Arial"/>
        <family val="2"/>
      </rPr>
      <t>$ 53.58</t>
    </r>
  </si>
  <si>
    <r>
      <rPr>
        <sz val="8"/>
        <color indexed="8"/>
        <rFont val="Arial"/>
        <family val="2"/>
      </rPr>
      <t>89.14 %</t>
    </r>
  </si>
  <si>
    <r>
      <rPr>
        <sz val="8"/>
        <rFont val="Arial"/>
        <family val="2"/>
      </rPr>
      <t>Lettuce Separated : ESM</t>
    </r>
  </si>
  <si>
    <r>
      <rPr>
        <sz val="8"/>
        <color indexed="8"/>
        <rFont val="Arial"/>
        <family val="2"/>
      </rPr>
      <t>$ 56.47</t>
    </r>
  </si>
  <si>
    <r>
      <rPr>
        <sz val="8"/>
        <color indexed="8"/>
        <rFont val="Arial"/>
        <family val="2"/>
      </rPr>
      <t>809.20 %</t>
    </r>
  </si>
  <si>
    <r>
      <rPr>
        <b/>
        <sz val="8"/>
        <rFont val="Arial"/>
        <family val="2"/>
      </rPr>
      <t>$ 8,456.27</t>
    </r>
  </si>
  <si>
    <r>
      <rPr>
        <b/>
        <sz val="8"/>
        <rFont val="Arial"/>
        <family val="2"/>
      </rPr>
      <t>$ 10,462.83</t>
    </r>
  </si>
  <si>
    <r>
      <rPr>
        <b/>
        <sz val="8"/>
        <color indexed="63"/>
        <rFont val="Arial"/>
        <family val="2"/>
      </rPr>
      <t>$ 0.00</t>
    </r>
  </si>
  <si>
    <r>
      <rPr>
        <b/>
        <sz val="8"/>
        <rFont val="Arial"/>
        <family val="2"/>
      </rPr>
      <t>$ 8,890.01</t>
    </r>
  </si>
  <si>
    <r>
      <rPr>
        <b/>
        <sz val="8"/>
        <rFont val="Arial"/>
        <family val="2"/>
      </rPr>
      <t>$ 10,029.09</t>
    </r>
  </si>
  <si>
    <r>
      <rPr>
        <b/>
        <sz val="8"/>
        <rFont val="Arial"/>
        <family val="2"/>
      </rPr>
      <t>$ 5,098.83</t>
    </r>
  </si>
  <si>
    <r>
      <rPr>
        <b/>
        <sz val="8"/>
        <color indexed="10"/>
        <rFont val="Arial"/>
        <family val="2"/>
      </rPr>
      <t>-$ 4,930.26</t>
    </r>
  </si>
  <si>
    <r>
      <rPr>
        <b/>
        <sz val="8"/>
        <color indexed="10"/>
        <rFont val="Arial"/>
        <family val="2"/>
      </rPr>
      <t>-$ 4,930.26</t>
    </r>
  </si>
  <si>
    <r>
      <rPr>
        <b/>
        <sz val="8"/>
        <color indexed="10"/>
        <rFont val="Arial"/>
        <family val="2"/>
      </rPr>
      <t>-49.16 %</t>
    </r>
  </si>
  <si>
    <r>
      <rPr>
        <sz val="8"/>
        <rFont val="Arial"/>
        <family val="2"/>
      </rPr>
      <t>$ 17,879.75</t>
    </r>
  </si>
  <si>
    <r>
      <rPr>
        <sz val="8"/>
        <rFont val="Arial"/>
        <family val="2"/>
      </rPr>
      <t>$ 5,098.83</t>
    </r>
  </si>
  <si>
    <r>
      <rPr>
        <sz val="8"/>
        <rFont val="Arial"/>
        <family val="2"/>
      </rPr>
      <t>28.52%</t>
    </r>
  </si>
  <si>
    <r>
      <rPr>
        <sz val="8"/>
        <rFont val="Arial"/>
        <family val="2"/>
      </rPr>
      <t>$ 10,029.09</t>
    </r>
  </si>
  <si>
    <r>
      <rPr>
        <sz val="8"/>
        <rFont val="Arial"/>
        <family val="2"/>
      </rPr>
      <t>56.09%</t>
    </r>
  </si>
  <si>
    <r>
      <rPr>
        <sz val="8"/>
        <rFont val="Arial"/>
        <family val="2"/>
      </rPr>
      <t>-$ 4,930.26</t>
    </r>
  </si>
  <si>
    <r>
      <rPr>
        <sz val="8"/>
        <rFont val="Arial"/>
        <family val="2"/>
      </rPr>
      <t>-27.57%</t>
    </r>
  </si>
  <si>
    <t>Roasted Garlic Aioli</t>
  </si>
  <si>
    <t>CAKE</t>
  </si>
  <si>
    <t>MONDAY</t>
  </si>
  <si>
    <t>WEDNESDAY</t>
  </si>
  <si>
    <t>Bowtie</t>
  </si>
  <si>
    <t>8 OZ</t>
  </si>
  <si>
    <t>6OZ</t>
  </si>
  <si>
    <t>Blush Sauce</t>
  </si>
  <si>
    <t>Breaded Veal</t>
  </si>
  <si>
    <t>2 oz</t>
  </si>
  <si>
    <t>Julienne Pepproncini</t>
  </si>
  <si>
    <t>3Days</t>
  </si>
  <si>
    <t>Tilapia</t>
  </si>
  <si>
    <t>Italian Bun</t>
  </si>
  <si>
    <t>Salad Chicken ADD ON</t>
  </si>
  <si>
    <t>Br Flatbread</t>
  </si>
  <si>
    <t>Br Flatbread 2</t>
  </si>
  <si>
    <t>Hawaiin Heat</t>
  </si>
  <si>
    <t>Burger</t>
  </si>
  <si>
    <t>Burger 2</t>
  </si>
  <si>
    <t>5oz Bow</t>
  </si>
  <si>
    <t>8oz Bow</t>
  </si>
  <si>
    <t>5 oz Bow</t>
  </si>
  <si>
    <t>C.P:arm 3</t>
  </si>
  <si>
    <t>Hells 3</t>
  </si>
  <si>
    <t>Marinated Chicken</t>
  </si>
  <si>
    <t>Milano</t>
  </si>
  <si>
    <t>Milano 2</t>
  </si>
  <si>
    <t>Veal Limone</t>
  </si>
  <si>
    <t>Veal Limone 2</t>
  </si>
  <si>
    <t>Roasted Pepper Mix</t>
  </si>
  <si>
    <t>Veal Sammy</t>
  </si>
  <si>
    <t>Pesto Penne</t>
  </si>
  <si>
    <t>Zucchini Pack</t>
  </si>
  <si>
    <t>Pesto Penne 2</t>
  </si>
  <si>
    <t># - Ttl</t>
  </si>
  <si>
    <t>Large BYO ZA</t>
  </si>
  <si>
    <t>Large BYO ZA 2</t>
  </si>
  <si>
    <t>Bowtie 5oz</t>
  </si>
  <si>
    <t>Bowtie 8oz</t>
  </si>
  <si>
    <t>COUNT BOWTIE, CAPPALETTI AND PENNE IN POUNDS</t>
  </si>
  <si>
    <t>L Arrabbiata.ESM</t>
  </si>
  <si>
    <t>Arrabbiata.ESM</t>
  </si>
  <si>
    <t>Veg Stock</t>
  </si>
  <si>
    <t>SPAG PRIMA 3</t>
  </si>
  <si>
    <t>SPAG PRIMA 4</t>
  </si>
  <si>
    <t>Spag Balls 3</t>
  </si>
  <si>
    <t>CAPPAM</t>
  </si>
  <si>
    <t>KEF CAPP</t>
  </si>
  <si>
    <t>s&amp;p 3</t>
  </si>
  <si>
    <t>shrimp alf</t>
  </si>
  <si>
    <t>kef bowtie</t>
  </si>
  <si>
    <t>k bowtie</t>
  </si>
  <si>
    <t>Ravioli</t>
  </si>
  <si>
    <t>8oz</t>
  </si>
  <si>
    <t>Sampler</t>
  </si>
  <si>
    <t>Parm</t>
  </si>
  <si>
    <t>Sampler Fett</t>
  </si>
  <si>
    <t>Sampler Lasagna</t>
  </si>
  <si>
    <t>Garlic Twist</t>
  </si>
  <si>
    <t>7oz Chicken</t>
  </si>
  <si>
    <t>Lunch S &amp; P</t>
  </si>
  <si>
    <t>1.5 Sausage</t>
  </si>
  <si>
    <t>MB Twist</t>
  </si>
  <si>
    <t>L Sausage</t>
  </si>
  <si>
    <t>Chicken Parm (6 oz)</t>
  </si>
  <si>
    <t>Add Twist</t>
  </si>
  <si>
    <t>Monday Parm</t>
  </si>
  <si>
    <t>6piece</t>
  </si>
  <si>
    <t>Veg Packs</t>
  </si>
  <si>
    <t>4 oz</t>
  </si>
  <si>
    <t>Marinated Roma Toms</t>
  </si>
  <si>
    <t>Celery Sticks</t>
  </si>
  <si>
    <t>PROTEINS</t>
  </si>
  <si>
    <t>VEGTABLES</t>
  </si>
  <si>
    <t>DAIRY</t>
  </si>
  <si>
    <t>Mozerlla Cheese</t>
  </si>
  <si>
    <t>BRICK</t>
  </si>
  <si>
    <t>SAUCES</t>
  </si>
  <si>
    <t>Pesto Mayo</t>
  </si>
  <si>
    <t>FROZEN</t>
  </si>
  <si>
    <t>Marios Potatos</t>
  </si>
  <si>
    <t>8 per</t>
  </si>
  <si>
    <t>Chopped Roma TOM</t>
  </si>
  <si>
    <t>FRIDAY</t>
  </si>
  <si>
    <t>Sealing Cal</t>
  </si>
  <si>
    <t>2oz</t>
  </si>
  <si>
    <t>Bkd Salmon</t>
  </si>
  <si>
    <t>FS MOZZA</t>
  </si>
  <si>
    <t>2 Oz</t>
  </si>
  <si>
    <t>8 oZ</t>
  </si>
  <si>
    <t>DOUGH PULLS (TO BE COMPLETED NIGHTLY)</t>
  </si>
  <si>
    <t>VEGTABLE PREP</t>
  </si>
  <si>
    <t>Sliced Tomatoes</t>
  </si>
  <si>
    <t>Sliced Red Onions</t>
  </si>
  <si>
    <t>Caramalized Onions</t>
  </si>
  <si>
    <t>PROTEIN PREP</t>
  </si>
  <si>
    <t>2.5 KG</t>
  </si>
  <si>
    <t>7 oz prtn</t>
  </si>
  <si>
    <t>STOCKED CHECKLIST</t>
  </si>
  <si>
    <t>Tirimisu</t>
  </si>
  <si>
    <t>Mini Chocolate</t>
  </si>
  <si>
    <t>Cheese Cake</t>
  </si>
  <si>
    <t>Whipped Topping</t>
  </si>
  <si>
    <t>BREADS</t>
  </si>
  <si>
    <t>Flatbreads</t>
  </si>
  <si>
    <t>Pizza Boxes (ALL SIZE)</t>
  </si>
  <si>
    <t>Clamshell Take outs</t>
  </si>
  <si>
    <t>Large Clear Take outs</t>
  </si>
  <si>
    <t>14 day</t>
  </si>
  <si>
    <t>14 Day</t>
  </si>
  <si>
    <t>Pizza Cheese</t>
  </si>
  <si>
    <t>AYCE CAESAR</t>
  </si>
  <si>
    <t>$5.99 Caesar</t>
  </si>
  <si>
    <t>GC Flat</t>
  </si>
  <si>
    <t>Pesto Pizza</t>
  </si>
  <si>
    <t>Flatbread LN</t>
  </si>
  <si>
    <t>FREEZER PULL (TO BE COMPLETED AFTER PREP)</t>
  </si>
  <si>
    <t>PULL AMOUNT</t>
  </si>
  <si>
    <t>BAGUETTE</t>
  </si>
  <si>
    <t>BURGER BUN</t>
  </si>
  <si>
    <t>BURGERS</t>
  </si>
  <si>
    <t>CHICKEN BREAST</t>
  </si>
  <si>
    <t>VEAL</t>
  </si>
  <si>
    <t>SHRIMP</t>
  </si>
  <si>
    <t>CALAMARI</t>
  </si>
  <si>
    <t>MINI MEATBALLS</t>
  </si>
  <si>
    <t>Baguette</t>
  </si>
  <si>
    <t>Chk Parm Hero.ESM</t>
  </si>
  <si>
    <t>Meatball sam 1</t>
  </si>
  <si>
    <t>1/2 hoagie</t>
  </si>
  <si>
    <t>Grilled Club</t>
  </si>
  <si>
    <t>C.FINGERS</t>
  </si>
  <si>
    <t>1</t>
  </si>
  <si>
    <t>TUESDAY</t>
  </si>
  <si>
    <t>THURSDAY</t>
  </si>
  <si>
    <t>SATURDAY</t>
  </si>
  <si>
    <t>SUNDAY</t>
  </si>
  <si>
    <t/>
  </si>
  <si>
    <t>8pack</t>
  </si>
  <si>
    <t>3days</t>
  </si>
  <si>
    <t>3pack</t>
  </si>
  <si>
    <t>Arab Sauce</t>
  </si>
  <si>
    <t>10 OZ</t>
  </si>
  <si>
    <t>JULIENNE CHIX</t>
  </si>
  <si>
    <t>*** MAKE SURE YOU ARE ROTATING PRODUCT FIRST IN FIRST OUT*****</t>
  </si>
  <si>
    <t>*** NO NEW PULLS ON TOP OF OLD***</t>
  </si>
  <si>
    <t>*** PULLS NEED LABELS OR DATE DOTS***</t>
  </si>
  <si>
    <t>*** MINUS WHAT IS ALREADY PULL AGAINST PAR TO DETERMINE WHAT TO PULL***</t>
  </si>
  <si>
    <t>DOUBLE CHECK THAT ALL ITEMS ARE LABELLED PROPERLY MAKE SURE LINE IS STOCKED CHECK WITH MOD OR KM PRIOR TO LEAVING</t>
  </si>
  <si>
    <t>mon</t>
  </si>
  <si>
    <t>tues</t>
  </si>
  <si>
    <t>wed</t>
  </si>
  <si>
    <t>thurs</t>
  </si>
  <si>
    <t>fri</t>
  </si>
  <si>
    <t>sat</t>
  </si>
  <si>
    <t>Sunday</t>
  </si>
  <si>
    <t>penne</t>
  </si>
  <si>
    <t>bowtie</t>
  </si>
  <si>
    <t>Ling</t>
  </si>
  <si>
    <t>Spag</t>
  </si>
  <si>
    <t>Fett</t>
  </si>
  <si>
    <t>Capp</t>
  </si>
  <si>
    <t>PASTA (PASTA PARS ARE COOKED WEIGHT)</t>
  </si>
  <si>
    <t>1/27/2025 - 2/2/2025</t>
  </si>
  <si>
    <t>8679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</si>
</sst>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$&quot;* #,##0.00_-;\-&quot;$&quot;* #,##0.00_-;_-&quot;$&quot;* &quot;-&quot;??_-;_-@_-"/>
    <numFmt numFmtId="166" formatCode="&quot;$&quot;#,##0.00_);\(&quot;$&quot;#,##0.00\)"/>
    <numFmt numFmtId="167" formatCode="&quot;$&quot;#,##0.00_);[Red]\(&quot;$&quot;#,##0.00\)"/>
    <numFmt numFmtId="170" formatCode="_(&quot;$&quot;* #,##0.00_);_(&quot;$&quot;* \(#,##0.00\);_(&quot;$&quot;* &quot;-&quot;??_);_(@_)"/>
    <numFmt numFmtId="172" formatCode="0.0"/>
    <numFmt numFmtId="173" formatCode="0_)"/>
    <numFmt numFmtId="175" formatCode="0.00_)"/>
    <numFmt numFmtId="176" formatCode="&quot;$&quot;#,##0.00"/>
    <numFmt numFmtId="177" formatCode="#,##0.0_);\(#,##0.0\)"/>
    <numFmt numFmtId="178" formatCode="_-[$$-1009]* #,##0.00_-;\-[$$-1009]* #,##0.00_-;_-[$$-1009]* &quot;-&quot;??_-;_-@_-"/>
    <numFmt numFmtId="179" formatCode="0.0_)"/>
    <numFmt numFmtId="180" formatCode="#,##0.00;\(#,##0.00\)"/>
    <numFmt numFmtId="205" formatCode="\$###0.00;\$###0.00"/>
    <numFmt numFmtId="206" formatCode="###0.00;###0.00"/>
    <numFmt numFmtId="208" formatCode="###0.00"/>
    <numFmt numFmtId="209" formatCode="#,##0.00;#,##0.00"/>
    <numFmt numFmtId="210" formatCode="dd\-mm\-yyyy;@"/>
  </numFmts>
  <fonts count="9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0"/>
      <color indexed="9"/>
      <name val="Calibri"/>
      <family val="2"/>
    </font>
    <font>
      <sz val="12"/>
      <name val="Calibri"/>
      <family val="2"/>
    </font>
    <font>
      <sz val="10"/>
      <name val="Calibri"/>
      <family val="2"/>
    </font>
    <font>
      <sz val="8"/>
      <name val="Calibri"/>
      <family val="2"/>
    </font>
    <font>
      <b/>
      <sz val="10"/>
      <name val="Calibri"/>
      <family val="2"/>
    </font>
    <font>
      <sz val="10"/>
      <color indexed="12"/>
      <name val="Calibri"/>
      <family val="2"/>
    </font>
    <font>
      <sz val="12"/>
      <color indexed="13"/>
      <name val="Calibri"/>
      <family val="2"/>
    </font>
    <font>
      <b/>
      <sz val="8"/>
      <name val="Calibri"/>
      <family val="2"/>
    </font>
    <font>
      <sz val="10"/>
      <color indexed="16"/>
      <name val="Calibri"/>
      <family val="2"/>
    </font>
    <font>
      <sz val="10"/>
      <color indexed="9"/>
      <name val="Calibri"/>
      <family val="2"/>
    </font>
    <font>
      <b/>
      <sz val="11"/>
      <color indexed="8"/>
      <name val="Calibri"/>
      <family val="2"/>
    </font>
    <font>
      <b/>
      <sz val="10"/>
      <color indexed="57"/>
      <name val="Calibri"/>
      <family val="2"/>
    </font>
    <font>
      <b/>
      <sz val="12"/>
      <color indexed="57"/>
      <name val="Calibri"/>
      <family val="2"/>
    </font>
    <font>
      <sz val="10"/>
      <color indexed="9"/>
      <name val="Calibri"/>
      <family val="2"/>
    </font>
    <font>
      <b/>
      <sz val="9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b/>
      <sz val="16"/>
      <name val="Calibri"/>
      <family val="2"/>
    </font>
    <font>
      <b/>
      <sz val="9"/>
      <name val="Tahoma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indexed="1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10"/>
      <name val="Calibri"/>
      <family val="2"/>
    </font>
    <font>
      <b/>
      <sz val="10"/>
      <color indexed="9"/>
      <name val="Calibri"/>
      <family val="2"/>
    </font>
    <font>
      <b/>
      <sz val="12"/>
      <color indexed="8"/>
      <name val="Calibri"/>
      <family val="2"/>
    </font>
    <font>
      <b/>
      <sz val="10"/>
      <color indexed="8"/>
      <name val="Arial"/>
      <family val="2"/>
    </font>
    <font>
      <b/>
      <i/>
      <sz val="11"/>
      <color indexed="8"/>
      <name val="Calibri"/>
      <family val="2"/>
    </font>
    <font>
      <b/>
      <i/>
      <sz val="10"/>
      <name val="Calibri"/>
      <family val="2"/>
    </font>
    <font>
      <b/>
      <u/>
      <sz val="11"/>
      <color indexed="12"/>
      <name val="Calibri"/>
      <family val="2"/>
    </font>
    <font>
      <b/>
      <sz val="10"/>
      <color indexed="17"/>
      <name val="Verdana"/>
      <family val="2"/>
    </font>
    <font>
      <sz val="16"/>
      <color indexed="8"/>
      <name val="Calibri"/>
      <family val="2"/>
    </font>
    <font>
      <b/>
      <sz val="16"/>
      <color indexed="8"/>
      <name val="Calibri"/>
      <family val="2"/>
    </font>
    <font>
      <sz val="14"/>
      <color indexed="8"/>
      <name val="Calibri"/>
      <family val="2"/>
    </font>
    <font>
      <b/>
      <sz val="16"/>
      <name val="Arial"/>
      <family val="2"/>
    </font>
    <font>
      <sz val="16"/>
      <name val="Arial"/>
      <family val="2"/>
    </font>
    <font>
      <b/>
      <sz val="10"/>
      <name val="Helvetica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2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b/>
      <sz val="8"/>
      <color indexed="63"/>
      <name val="Arial"/>
      <family val="2"/>
    </font>
    <font>
      <sz val="8"/>
      <color indexed="10"/>
      <name val="Arial"/>
      <family val="2"/>
    </font>
    <font>
      <b/>
      <sz val="8"/>
      <color indexed="10"/>
      <name val="Arial"/>
      <family val="2"/>
    </font>
    <font>
      <b/>
      <sz val="8"/>
      <color indexed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Helvetica"/>
    </font>
    <font>
      <sz val="8"/>
      <color rgb="FF0C0C0C"/>
      <name val="Arial"/>
      <family val="2"/>
    </font>
    <font>
      <sz val="8"/>
      <color rgb="FF000000"/>
      <name val="Arial"/>
      <family val="2"/>
    </font>
    <font>
      <sz val="8"/>
      <color rgb="FF2B2828"/>
      <name val="Arial"/>
      <family val="2"/>
    </font>
    <font>
      <sz val="8"/>
      <color rgb="FF050404"/>
      <name val="Arial"/>
      <family val="2"/>
    </font>
    <font>
      <sz val="8"/>
      <color rgb="FF201E1E"/>
      <name val="Arial"/>
      <family val="2"/>
    </font>
    <font>
      <sz val="8"/>
      <color rgb="FFF71813"/>
      <name val="Arial"/>
      <family val="2"/>
    </font>
    <font>
      <sz val="8"/>
      <color rgb="FFF40805"/>
      <name val="Arial"/>
      <family val="2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8"/>
      <color rgb="FF201E1E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56"/>
      </patternFill>
    </fill>
    <fill>
      <patternFill patternType="solid">
        <fgColor indexed="31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solid">
        <fgColor indexed="13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6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D7979"/>
      </patternFill>
    </fill>
    <fill>
      <patternFill patternType="solid">
        <fgColor rgb="FF99CCFF"/>
      </patternFill>
    </fill>
    <fill>
      <patternFill patternType="solid">
        <fgColor rgb="FFFFFDFC"/>
      </patternFill>
    </fill>
    <fill>
      <patternFill patternType="solid">
        <fgColor rgb="FFA7A3A3"/>
      </patternFill>
    </fill>
    <fill>
      <patternFill patternType="solid">
        <fgColor rgb="FFC6BDBD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39997558519241921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201E1E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201E1E"/>
      </left>
      <right style="thin">
        <color rgb="FF201E1E"/>
      </right>
      <top style="thin">
        <color rgb="FF201E1E"/>
      </top>
      <bottom style="thin">
        <color rgb="FF201E1E"/>
      </bottom>
      <diagonal/>
    </border>
    <border>
      <left style="thin">
        <color rgb="FF000000"/>
      </left>
      <right style="thin">
        <color rgb="FF201E1E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201E1E"/>
      </top>
      <bottom style="thin">
        <color rgb="FF201E1E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201E1E"/>
      </bottom>
      <diagonal/>
    </border>
    <border>
      <left style="thin">
        <color rgb="FF000000"/>
      </left>
      <right style="thin">
        <color rgb="FF000000"/>
      </right>
      <top style="thin">
        <color rgb="FF201E1E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201E1E"/>
      </right>
      <top style="thin">
        <color rgb="FF000000"/>
      </top>
      <bottom/>
      <diagonal/>
    </border>
    <border>
      <left style="thin">
        <color rgb="FF000000"/>
      </left>
      <right style="thin">
        <color rgb="FF201E1E"/>
      </right>
      <top/>
      <bottom style="thin">
        <color rgb="FF000000"/>
      </bottom>
      <diagonal/>
    </border>
    <border>
      <left style="thin">
        <color rgb="FF201E1E"/>
      </left>
      <right style="thin">
        <color rgb="FF000000"/>
      </right>
      <top style="thin">
        <color rgb="FF000000"/>
      </top>
      <bottom/>
      <diagonal/>
    </border>
    <border>
      <left style="thin">
        <color rgb="FF201E1E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97">
    <xf numFmtId="0" fontId="0" fillId="0" borderId="0" applyAlignment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2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3" fillId="0" borderId="0" applyFont="0" applyBorder="0" applyAlignment="0" applyProtection="0"/>
    <xf numFmtId="0" fontId="34" fillId="0" borderId="0" applyFont="0" applyBorder="0" applyAlignment="0" applyProtection="0"/>
    <xf numFmtId="0" fontId="35" fillId="0" borderId="0" applyFont="0" applyAlignment="0" applyProtection="0"/>
    <xf numFmtId="0" fontId="36" fillId="0" borderId="0" applyFont="0" applyAlignment="0" applyProtection="0"/>
    <xf numFmtId="3" fontId="4" fillId="0" borderId="0" applyNumberFormat="0" applyFont="0" applyBorder="0" applyAlignment="0" applyProtection="0"/>
    <xf numFmtId="170" fontId="7" fillId="0" borderId="0" applyNumberFormat="0" applyFont="0" applyBorder="0" applyAlignment="0" applyProtection="0"/>
    <xf numFmtId="170" fontId="1" fillId="0" borderId="0" applyNumberFormat="0" applyFont="0" applyBorder="0" applyAlignment="0" applyProtection="0"/>
    <xf numFmtId="0" fontId="4" fillId="0" borderId="0" applyFont="0" applyBorder="0" applyAlignment="0" applyProtection="0"/>
    <xf numFmtId="0" fontId="37" fillId="0" borderId="0" applyFont="0" applyBorder="0" applyAlignment="0" applyProtection="0"/>
    <xf numFmtId="0" fontId="38" fillId="0" borderId="0" applyFont="0" applyBorder="0" applyAlignment="0" applyProtection="0"/>
    <xf numFmtId="0" fontId="39" fillId="0" borderId="0" applyFont="0" applyAlignment="0" applyProtection="0"/>
    <xf numFmtId="0" fontId="40" fillId="0" borderId="0" applyFont="0" applyAlignment="0" applyProtection="0"/>
    <xf numFmtId="0" fontId="41" fillId="0" borderId="0" applyFont="0" applyAlignment="0" applyProtection="0"/>
    <xf numFmtId="0" fontId="41" fillId="0" borderId="0" applyFont="0" applyBorder="0" applyAlignment="0" applyProtection="0"/>
    <xf numFmtId="0" fontId="42" fillId="0" borderId="0" applyFont="0" applyBorder="0" applyAlignment="0" applyProtection="0"/>
    <xf numFmtId="0" fontId="43" fillId="0" borderId="0" applyFont="0" applyAlignment="0" applyProtection="0"/>
    <xf numFmtId="0" fontId="44" fillId="0" borderId="0" applyFont="0" applyAlignment="0" applyProtection="0"/>
    <xf numFmtId="0" fontId="45" fillId="0" borderId="0" applyFont="0" applyBorder="0" applyAlignment="0" applyProtection="0"/>
    <xf numFmtId="0" fontId="50" fillId="0" borderId="0">
      <alignment vertical="top"/>
    </xf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3" fillId="0" borderId="0" applyFont="0" applyAlignment="0"/>
    <xf numFmtId="0" fontId="81" fillId="0" borderId="0" applyAlignment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4" fillId="0" borderId="0" applyFont="0" applyAlignment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52" fillId="0" borderId="0">
      <alignment vertical="top"/>
    </xf>
    <xf numFmtId="0" fontId="74" fillId="0" borderId="0"/>
    <xf numFmtId="0" fontId="4" fillId="0" borderId="0" applyFont="0" applyAlignment="0">
      <alignment vertical="top"/>
    </xf>
    <xf numFmtId="0" fontId="4" fillId="0" borderId="0" applyFont="0" applyAlignment="0"/>
    <xf numFmtId="0" fontId="32" fillId="0" borderId="0" applyFont="0" applyAlignment="0"/>
    <xf numFmtId="0" fontId="2" fillId="0" borderId="0" applyFont="0" applyAlignment="0"/>
    <xf numFmtId="0" fontId="1" fillId="0" borderId="0" applyFont="0" applyAlignment="0"/>
    <xf numFmtId="0" fontId="32" fillId="0" borderId="0" applyFont="0" applyAlignment="0"/>
    <xf numFmtId="0" fontId="2" fillId="0" borderId="0" applyFont="0" applyAlignment="0"/>
    <xf numFmtId="0" fontId="1" fillId="0" borderId="0" applyFont="0" applyAlignment="0"/>
    <xf numFmtId="0" fontId="1" fillId="0" borderId="0" applyFont="0" applyAlignment="0"/>
    <xf numFmtId="0" fontId="32" fillId="0" borderId="0" applyFont="0" applyAlignment="0"/>
    <xf numFmtId="0" fontId="2" fillId="0" borderId="0" applyFont="0" applyAlignment="0"/>
    <xf numFmtId="0" fontId="1" fillId="0" borderId="0" applyFont="0" applyAlignment="0"/>
    <xf numFmtId="0" fontId="1" fillId="0" borderId="0" applyFont="0" applyAlignment="0"/>
    <xf numFmtId="0" fontId="32" fillId="0" borderId="0" applyFont="0" applyAlignment="0"/>
    <xf numFmtId="0" fontId="2" fillId="0" borderId="0" applyFont="0" applyAlignment="0"/>
    <xf numFmtId="0" fontId="1" fillId="0" borderId="0" applyFont="0" applyAlignment="0"/>
    <xf numFmtId="0" fontId="1" fillId="0" borderId="0" applyFont="0" applyAlignment="0"/>
    <xf numFmtId="0" fontId="3" fillId="0" borderId="0" applyFont="0" applyAlignment="0"/>
    <xf numFmtId="0" fontId="31" fillId="0" borderId="0" applyFont="0" applyAlignment="0" applyProtection="0"/>
    <xf numFmtId="0" fontId="46" fillId="0" borderId="0" applyFont="0" applyAlignment="0" applyProtection="0"/>
    <xf numFmtId="9" fontId="7" fillId="0" borderId="0" applyNumberFormat="0" applyFont="0" applyBorder="0" applyAlignment="0" applyProtection="0"/>
    <xf numFmtId="0" fontId="47" fillId="0" borderId="0" applyFont="0" applyBorder="0" applyAlignment="0" applyProtection="0"/>
    <xf numFmtId="0" fontId="48" fillId="0" borderId="0" applyFont="0" applyAlignment="0" applyProtection="0"/>
    <xf numFmtId="0" fontId="49" fillId="0" borderId="0" applyFont="0" applyBorder="0" applyAlignment="0" applyProtection="0"/>
  </cellStyleXfs>
  <cellXfs count="995">
    <xf numFmtId="0" fontId="0" fillId="0" borderId="0" xfId="0"/>
    <xf numFmtId="0" fontId="32" fillId="0" borderId="0" xfId="75"/>
    <xf numFmtId="0" fontId="32" fillId="0" borderId="1" xfId="75" applyBorder="1"/>
    <xf numFmtId="0" fontId="13" fillId="0" borderId="0" xfId="78" applyFont="1" applyProtection="1">
      <protection locked="0"/>
    </xf>
    <xf numFmtId="0" fontId="13" fillId="0" borderId="0" xfId="78" applyFont="1"/>
    <xf numFmtId="0" fontId="14" fillId="0" borderId="0" xfId="78" applyFont="1"/>
    <xf numFmtId="0" fontId="14" fillId="0" borderId="0" xfId="78" applyFont="1" applyProtection="1">
      <protection locked="0"/>
    </xf>
    <xf numFmtId="175" fontId="14" fillId="0" borderId="0" xfId="78" applyNumberFormat="1" applyFont="1"/>
    <xf numFmtId="175" fontId="17" fillId="0" borderId="0" xfId="78" applyNumberFormat="1" applyFont="1" applyAlignment="1">
      <alignment horizontal="center"/>
    </xf>
    <xf numFmtId="175" fontId="14" fillId="0" borderId="0" xfId="78" applyNumberFormat="1" applyFont="1" applyAlignment="1">
      <alignment horizontal="left"/>
    </xf>
    <xf numFmtId="0" fontId="17" fillId="0" borderId="0" xfId="78" applyFont="1"/>
    <xf numFmtId="0" fontId="14" fillId="0" borderId="0" xfId="78" applyFont="1" applyAlignment="1" applyProtection="1">
      <alignment horizontal="centerContinuous"/>
      <protection locked="0"/>
    </xf>
    <xf numFmtId="0" fontId="14" fillId="0" borderId="0" xfId="78" applyFont="1" applyAlignment="1" applyProtection="1">
      <alignment horizontal="left"/>
      <protection locked="0"/>
    </xf>
    <xf numFmtId="0" fontId="14" fillId="0" borderId="0" xfId="78" quotePrefix="1" applyFont="1" applyAlignment="1" applyProtection="1">
      <alignment horizontal="left"/>
      <protection locked="0"/>
    </xf>
    <xf numFmtId="0" fontId="21" fillId="0" borderId="0" xfId="78" applyFont="1" applyProtection="1">
      <protection locked="0"/>
    </xf>
    <xf numFmtId="0" fontId="14" fillId="0" borderId="2" xfId="78" applyFont="1" applyBorder="1" applyProtection="1">
      <protection locked="0"/>
    </xf>
    <xf numFmtId="0" fontId="14" fillId="2" borderId="1" xfId="78" applyFont="1" applyFill="1" applyBorder="1" applyAlignment="1">
      <alignment horizontal="center"/>
    </xf>
    <xf numFmtId="175" fontId="14" fillId="2" borderId="1" xfId="78" applyNumberFormat="1" applyFont="1" applyFill="1" applyBorder="1"/>
    <xf numFmtId="175" fontId="23" fillId="0" borderId="1" xfId="78" applyNumberFormat="1" applyFont="1" applyBorder="1" applyAlignment="1">
      <alignment horizontal="center"/>
    </xf>
    <xf numFmtId="0" fontId="13" fillId="0" borderId="0" xfId="78" applyFont="1" applyAlignment="1">
      <alignment horizontal="center"/>
    </xf>
    <xf numFmtId="170" fontId="24" fillId="0" borderId="3" xfId="29" applyFont="1" applyBorder="1" applyAlignment="1" applyProtection="1">
      <alignment horizontal="center"/>
      <protection locked="0"/>
    </xf>
    <xf numFmtId="0" fontId="14" fillId="0" borderId="4" xfId="78" applyFont="1" applyBorder="1" applyProtection="1">
      <protection locked="0"/>
    </xf>
    <xf numFmtId="0" fontId="14" fillId="2" borderId="5" xfId="78" applyFont="1" applyFill="1" applyBorder="1" applyAlignment="1">
      <alignment horizontal="center"/>
    </xf>
    <xf numFmtId="0" fontId="5" fillId="0" borderId="1" xfId="75" applyFont="1" applyBorder="1" applyAlignment="1">
      <alignment horizontal="center"/>
    </xf>
    <xf numFmtId="0" fontId="32" fillId="3" borderId="0" xfId="75" applyFill="1"/>
    <xf numFmtId="0" fontId="9" fillId="0" borderId="6" xfId="75" applyFont="1" applyBorder="1" applyProtection="1">
      <protection locked="0"/>
    </xf>
    <xf numFmtId="0" fontId="9" fillId="0" borderId="6" xfId="75" applyFont="1" applyBorder="1" applyAlignment="1">
      <alignment horizontal="center"/>
    </xf>
    <xf numFmtId="2" fontId="32" fillId="0" borderId="1" xfId="75" applyNumberFormat="1" applyBorder="1" applyAlignment="1" applyProtection="1">
      <alignment horizontal="center"/>
      <protection locked="0"/>
    </xf>
    <xf numFmtId="0" fontId="9" fillId="0" borderId="6" xfId="75" quotePrefix="1" applyFont="1" applyBorder="1" applyAlignment="1" applyProtection="1">
      <alignment horizontal="left"/>
      <protection locked="0"/>
    </xf>
    <xf numFmtId="0" fontId="9" fillId="0" borderId="6" xfId="75" applyFont="1" applyBorder="1" applyAlignment="1" applyProtection="1">
      <alignment horizontal="left"/>
      <protection locked="0"/>
    </xf>
    <xf numFmtId="0" fontId="9" fillId="0" borderId="7" xfId="75" applyFont="1" applyBorder="1" applyAlignment="1" applyProtection="1">
      <alignment horizontal="left"/>
      <protection locked="0"/>
    </xf>
    <xf numFmtId="0" fontId="9" fillId="0" borderId="6" xfId="75" applyFont="1" applyBorder="1" applyAlignment="1" applyProtection="1">
      <alignment horizontal="center"/>
      <protection locked="0"/>
    </xf>
    <xf numFmtId="0" fontId="9" fillId="0" borderId="7" xfId="75" applyFont="1" applyBorder="1" applyProtection="1">
      <protection locked="0"/>
    </xf>
    <xf numFmtId="0" fontId="9" fillId="0" borderId="1" xfId="75" applyFont="1" applyBorder="1" applyProtection="1">
      <protection locked="0"/>
    </xf>
    <xf numFmtId="0" fontId="9" fillId="0" borderId="0" xfId="75" applyFont="1" applyAlignment="1" applyProtection="1">
      <alignment horizontal="center"/>
      <protection locked="0"/>
    </xf>
    <xf numFmtId="0" fontId="9" fillId="0" borderId="1" xfId="75" applyFont="1" applyBorder="1" applyAlignment="1" applyProtection="1">
      <alignment horizontal="left"/>
      <protection locked="0"/>
    </xf>
    <xf numFmtId="0" fontId="9" fillId="0" borderId="8" xfId="75" applyFont="1" applyBorder="1" applyAlignment="1" applyProtection="1">
      <alignment horizontal="center"/>
      <protection locked="0"/>
    </xf>
    <xf numFmtId="0" fontId="9" fillId="0" borderId="7" xfId="75" applyFont="1" applyBorder="1" applyAlignment="1" applyProtection="1">
      <alignment horizontal="center"/>
      <protection locked="0"/>
    </xf>
    <xf numFmtId="0" fontId="9" fillId="0" borderId="9" xfId="75" applyFont="1" applyBorder="1" applyAlignment="1">
      <alignment horizontal="center"/>
    </xf>
    <xf numFmtId="0" fontId="9" fillId="0" borderId="9" xfId="75" applyFont="1" applyBorder="1" applyAlignment="1" applyProtection="1">
      <alignment horizontal="center"/>
      <protection locked="0"/>
    </xf>
    <xf numFmtId="0" fontId="9" fillId="4" borderId="6" xfId="75" applyFont="1" applyFill="1" applyBorder="1" applyAlignment="1" applyProtection="1">
      <alignment horizontal="left"/>
      <protection locked="0"/>
    </xf>
    <xf numFmtId="0" fontId="9" fillId="4" borderId="6" xfId="75" applyFont="1" applyFill="1" applyBorder="1" applyAlignment="1">
      <alignment horizontal="center"/>
    </xf>
    <xf numFmtId="0" fontId="9" fillId="0" borderId="1" xfId="75" applyFont="1" applyBorder="1" applyAlignment="1">
      <alignment horizontal="left"/>
    </xf>
    <xf numFmtId="0" fontId="8" fillId="0" borderId="0" xfId="75" applyFont="1"/>
    <xf numFmtId="0" fontId="11" fillId="0" borderId="0" xfId="75" applyFont="1"/>
    <xf numFmtId="0" fontId="16" fillId="5" borderId="10" xfId="78" applyFont="1" applyFill="1" applyBorder="1" applyAlignment="1">
      <alignment horizontal="center"/>
    </xf>
    <xf numFmtId="0" fontId="16" fillId="5" borderId="11" xfId="78" applyFont="1" applyFill="1" applyBorder="1" applyAlignment="1">
      <alignment horizontal="center"/>
    </xf>
    <xf numFmtId="0" fontId="19" fillId="0" borderId="0" xfId="78" applyFont="1" applyAlignment="1">
      <alignment horizontal="center"/>
    </xf>
    <xf numFmtId="0" fontId="14" fillId="2" borderId="12" xfId="78" applyFont="1" applyFill="1" applyBorder="1" applyProtection="1">
      <protection locked="0"/>
    </xf>
    <xf numFmtId="0" fontId="14" fillId="0" borderId="13" xfId="78" applyFont="1" applyBorder="1" applyProtection="1">
      <protection locked="0"/>
    </xf>
    <xf numFmtId="0" fontId="14" fillId="2" borderId="1" xfId="78" applyFont="1" applyFill="1" applyBorder="1" applyAlignment="1" applyProtection="1">
      <alignment horizontal="center"/>
      <protection locked="0"/>
    </xf>
    <xf numFmtId="0" fontId="14" fillId="2" borderId="5" xfId="78" applyFont="1" applyFill="1" applyBorder="1" applyAlignment="1" applyProtection="1">
      <alignment horizontal="center"/>
      <protection locked="0"/>
    </xf>
    <xf numFmtId="0" fontId="14" fillId="2" borderId="5" xfId="78" applyFont="1" applyFill="1" applyBorder="1" applyProtection="1">
      <protection locked="0"/>
    </xf>
    <xf numFmtId="175" fontId="14" fillId="2" borderId="5" xfId="78" applyNumberFormat="1" applyFont="1" applyFill="1" applyBorder="1"/>
    <xf numFmtId="0" fontId="14" fillId="2" borderId="14" xfId="78" applyFont="1" applyFill="1" applyBorder="1" applyAlignment="1" applyProtection="1">
      <alignment horizontal="center"/>
      <protection locked="0"/>
    </xf>
    <xf numFmtId="0" fontId="14" fillId="2" borderId="14" xfId="78" quotePrefix="1" applyFont="1" applyFill="1" applyBorder="1" applyAlignment="1" applyProtection="1">
      <alignment horizontal="center"/>
      <protection locked="0"/>
    </xf>
    <xf numFmtId="175" fontId="14" fillId="6" borderId="1" xfId="78" applyNumberFormat="1" applyFont="1" applyFill="1" applyBorder="1"/>
    <xf numFmtId="175" fontId="14" fillId="6" borderId="15" xfId="78" applyNumberFormat="1" applyFont="1" applyFill="1" applyBorder="1"/>
    <xf numFmtId="0" fontId="6" fillId="7" borderId="0" xfId="78" applyFont="1" applyFill="1" applyProtection="1">
      <protection locked="0"/>
    </xf>
    <xf numFmtId="0" fontId="6" fillId="7" borderId="0" xfId="78" applyFont="1" applyFill="1"/>
    <xf numFmtId="0" fontId="16" fillId="2" borderId="12" xfId="78" applyFont="1" applyFill="1" applyBorder="1" applyAlignment="1" applyProtection="1">
      <alignment horizontal="center"/>
      <protection locked="0"/>
    </xf>
    <xf numFmtId="0" fontId="26" fillId="2" borderId="12" xfId="78" applyFont="1" applyFill="1" applyBorder="1"/>
    <xf numFmtId="0" fontId="6" fillId="7" borderId="0" xfId="78" applyFont="1" applyFill="1" applyAlignment="1">
      <alignment horizontal="left"/>
    </xf>
    <xf numFmtId="10" fontId="6" fillId="0" borderId="12" xfId="93" applyNumberFormat="1" applyFont="1" applyBorder="1" applyAlignment="1" applyProtection="1">
      <alignment horizontal="center"/>
      <protection locked="0"/>
    </xf>
    <xf numFmtId="176" fontId="6" fillId="0" borderId="12" xfId="29" applyNumberFormat="1" applyFont="1" applyBorder="1" applyAlignment="1">
      <alignment horizontal="center"/>
    </xf>
    <xf numFmtId="0" fontId="26" fillId="2" borderId="12" xfId="78" applyFont="1" applyFill="1" applyBorder="1" applyAlignment="1">
      <alignment horizontal="center"/>
    </xf>
    <xf numFmtId="10" fontId="14" fillId="0" borderId="12" xfId="93" applyNumberFormat="1" applyFont="1" applyBorder="1" applyAlignment="1" applyProtection="1">
      <alignment horizontal="center"/>
      <protection locked="0"/>
    </xf>
    <xf numFmtId="0" fontId="25" fillId="8" borderId="8" xfId="75" applyFont="1" applyFill="1" applyBorder="1" applyProtection="1">
      <protection locked="0"/>
    </xf>
    <xf numFmtId="0" fontId="12" fillId="8" borderId="7" xfId="75" applyFont="1" applyFill="1" applyBorder="1" applyAlignment="1" applyProtection="1">
      <alignment horizontal="left"/>
      <protection locked="0"/>
    </xf>
    <xf numFmtId="0" fontId="12" fillId="8" borderId="15" xfId="75" applyFont="1" applyFill="1" applyBorder="1" applyProtection="1">
      <protection locked="0"/>
    </xf>
    <xf numFmtId="2" fontId="32" fillId="8" borderId="1" xfId="75" applyNumberFormat="1" applyFill="1" applyBorder="1" applyAlignment="1" applyProtection="1">
      <alignment horizontal="center"/>
      <protection locked="0"/>
    </xf>
    <xf numFmtId="0" fontId="12" fillId="8" borderId="8" xfId="75" applyFont="1" applyFill="1" applyBorder="1" applyProtection="1">
      <protection locked="0"/>
    </xf>
    <xf numFmtId="0" fontId="12" fillId="8" borderId="8" xfId="75" applyFont="1" applyFill="1" applyBorder="1" applyAlignment="1" applyProtection="1">
      <alignment horizontal="centerContinuous"/>
      <protection locked="0"/>
    </xf>
    <xf numFmtId="0" fontId="12" fillId="8" borderId="6" xfId="75" applyFont="1" applyFill="1" applyBorder="1" applyProtection="1">
      <protection locked="0"/>
    </xf>
    <xf numFmtId="0" fontId="9" fillId="8" borderId="6" xfId="75" applyFont="1" applyFill="1" applyBorder="1" applyAlignment="1">
      <alignment horizontal="center"/>
    </xf>
    <xf numFmtId="0" fontId="12" fillId="8" borderId="6" xfId="75" applyFont="1" applyFill="1" applyBorder="1" applyAlignment="1" applyProtection="1">
      <alignment horizontal="left"/>
      <protection locked="0"/>
    </xf>
    <xf numFmtId="0" fontId="12" fillId="8" borderId="7" xfId="75" applyFont="1" applyFill="1" applyBorder="1" applyProtection="1">
      <protection locked="0"/>
    </xf>
    <xf numFmtId="0" fontId="9" fillId="8" borderId="7" xfId="75" applyFont="1" applyFill="1" applyBorder="1" applyAlignment="1" applyProtection="1">
      <alignment horizontal="center"/>
      <protection locked="0"/>
    </xf>
    <xf numFmtId="0" fontId="9" fillId="8" borderId="6" xfId="75" applyFont="1" applyFill="1" applyBorder="1" applyAlignment="1" applyProtection="1">
      <alignment horizontal="left"/>
      <protection locked="0"/>
    </xf>
    <xf numFmtId="0" fontId="9" fillId="8" borderId="1" xfId="75" applyFont="1" applyFill="1" applyBorder="1" applyAlignment="1">
      <alignment horizontal="left"/>
    </xf>
    <xf numFmtId="0" fontId="11" fillId="8" borderId="1" xfId="75" applyFont="1" applyFill="1" applyBorder="1"/>
    <xf numFmtId="0" fontId="32" fillId="8" borderId="1" xfId="75" applyFill="1" applyBorder="1"/>
    <xf numFmtId="0" fontId="14" fillId="2" borderId="1" xfId="78" quotePrefix="1" applyFont="1" applyFill="1" applyBorder="1" applyAlignment="1" applyProtection="1">
      <alignment horizontal="center"/>
      <protection locked="0"/>
    </xf>
    <xf numFmtId="0" fontId="4" fillId="0" borderId="0" xfId="86" applyFont="1"/>
    <xf numFmtId="0" fontId="4" fillId="0" borderId="0" xfId="86" applyFont="1" applyAlignment="1">
      <alignment horizontal="center"/>
    </xf>
    <xf numFmtId="0" fontId="27" fillId="0" borderId="1" xfId="86" applyFont="1" applyBorder="1"/>
    <xf numFmtId="0" fontId="27" fillId="0" borderId="1" xfId="86" applyFont="1" applyBorder="1" applyAlignment="1">
      <alignment horizontal="center"/>
    </xf>
    <xf numFmtId="0" fontId="28" fillId="0" borderId="0" xfId="86" applyFont="1" applyAlignment="1">
      <alignment horizontal="center"/>
    </xf>
    <xf numFmtId="0" fontId="27" fillId="0" borderId="6" xfId="86" applyFont="1" applyBorder="1" applyProtection="1">
      <protection locked="0"/>
    </xf>
    <xf numFmtId="0" fontId="27" fillId="0" borderId="6" xfId="86" applyFont="1" applyBorder="1" applyAlignment="1" applyProtection="1">
      <alignment horizontal="center"/>
      <protection locked="0"/>
    </xf>
    <xf numFmtId="0" fontId="27" fillId="0" borderId="6" xfId="86" applyFont="1" applyBorder="1" applyAlignment="1" applyProtection="1">
      <alignment horizontal="left"/>
      <protection locked="0"/>
    </xf>
    <xf numFmtId="0" fontId="27" fillId="0" borderId="6" xfId="86" quotePrefix="1" applyFont="1" applyBorder="1" applyProtection="1">
      <protection locked="0"/>
    </xf>
    <xf numFmtId="0" fontId="28" fillId="0" borderId="1" xfId="86" applyFont="1" applyBorder="1" applyAlignment="1">
      <alignment horizontal="center"/>
    </xf>
    <xf numFmtId="0" fontId="27" fillId="0" borderId="16" xfId="86" applyFont="1" applyBorder="1" applyAlignment="1" applyProtection="1">
      <alignment horizontal="left"/>
      <protection locked="0"/>
    </xf>
    <xf numFmtId="0" fontId="27" fillId="0" borderId="16" xfId="86" applyFont="1" applyBorder="1" applyAlignment="1" applyProtection="1">
      <alignment horizontal="center"/>
      <protection locked="0"/>
    </xf>
    <xf numFmtId="0" fontId="16" fillId="5" borderId="0" xfId="78" applyFont="1" applyFill="1" applyAlignment="1" applyProtection="1">
      <alignment horizontal="center" vertical="center"/>
      <protection locked="0"/>
    </xf>
    <xf numFmtId="0" fontId="16" fillId="5" borderId="17" xfId="78" applyFont="1" applyFill="1" applyBorder="1" applyAlignment="1">
      <alignment horizontal="center"/>
    </xf>
    <xf numFmtId="0" fontId="29" fillId="5" borderId="0" xfId="78" applyFont="1" applyFill="1" applyAlignment="1" applyProtection="1">
      <alignment horizontal="center" vertical="center"/>
      <protection locked="0"/>
    </xf>
    <xf numFmtId="178" fontId="27" fillId="0" borderId="1" xfId="29" applyNumberFormat="1" applyFont="1" applyBorder="1" applyAlignment="1" applyProtection="1">
      <alignment horizontal="center"/>
      <protection locked="0"/>
    </xf>
    <xf numFmtId="178" fontId="27" fillId="0" borderId="1" xfId="29" applyNumberFormat="1" applyFont="1" applyBorder="1" applyAlignment="1">
      <alignment horizontal="center"/>
    </xf>
    <xf numFmtId="0" fontId="29" fillId="5" borderId="18" xfId="78" applyFont="1" applyFill="1" applyBorder="1" applyAlignment="1" applyProtection="1">
      <alignment horizontal="center" vertical="center"/>
      <protection locked="0"/>
    </xf>
    <xf numFmtId="0" fontId="16" fillId="5" borderId="19" xfId="78" applyFont="1" applyFill="1" applyBorder="1" applyAlignment="1" applyProtection="1">
      <alignment horizontal="center" vertical="center"/>
      <protection locked="0"/>
    </xf>
    <xf numFmtId="0" fontId="27" fillId="0" borderId="20" xfId="86" applyFont="1" applyBorder="1" applyProtection="1">
      <protection locked="0"/>
    </xf>
    <xf numFmtId="0" fontId="27" fillId="0" borderId="20" xfId="86" applyFont="1" applyBorder="1" applyAlignment="1" applyProtection="1">
      <alignment horizontal="left"/>
      <protection locked="0"/>
    </xf>
    <xf numFmtId="0" fontId="27" fillId="0" borderId="20" xfId="86" quotePrefix="1" applyFont="1" applyBorder="1" applyProtection="1">
      <protection locked="0"/>
    </xf>
    <xf numFmtId="0" fontId="27" fillId="0" borderId="21" xfId="86" applyFont="1" applyBorder="1" applyAlignment="1" applyProtection="1">
      <alignment horizontal="center"/>
      <protection locked="0"/>
    </xf>
    <xf numFmtId="0" fontId="27" fillId="0" borderId="22" xfId="86" applyFont="1" applyBorder="1" applyAlignment="1" applyProtection="1">
      <alignment horizontal="center"/>
      <protection locked="0"/>
    </xf>
    <xf numFmtId="0" fontId="27" fillId="0" borderId="22" xfId="86" applyFont="1" applyBorder="1" applyAlignment="1">
      <alignment horizontal="center"/>
    </xf>
    <xf numFmtId="0" fontId="27" fillId="0" borderId="23" xfId="86" applyFont="1" applyBorder="1" applyAlignment="1">
      <alignment horizontal="center"/>
    </xf>
    <xf numFmtId="0" fontId="28" fillId="0" borderId="24" xfId="86" applyFont="1" applyBorder="1" applyAlignment="1">
      <alignment horizontal="center"/>
    </xf>
    <xf numFmtId="0" fontId="28" fillId="0" borderId="9" xfId="86" applyFont="1" applyBorder="1" applyAlignment="1">
      <alignment horizontal="center"/>
    </xf>
    <xf numFmtId="0" fontId="27" fillId="0" borderId="25" xfId="86" applyFont="1" applyBorder="1" applyProtection="1">
      <protection locked="0"/>
    </xf>
    <xf numFmtId="0" fontId="27" fillId="0" borderId="20" xfId="86" applyFont="1" applyBorder="1"/>
    <xf numFmtId="0" fontId="27" fillId="0" borderId="26" xfId="86" applyFont="1" applyBorder="1"/>
    <xf numFmtId="0" fontId="27" fillId="0" borderId="27" xfId="86" applyFont="1" applyBorder="1" applyAlignment="1" applyProtection="1">
      <alignment horizontal="center"/>
      <protection locked="0"/>
    </xf>
    <xf numFmtId="0" fontId="8" fillId="0" borderId="1" xfId="75" applyFont="1" applyBorder="1" applyAlignment="1">
      <alignment horizontal="center"/>
    </xf>
    <xf numFmtId="0" fontId="10" fillId="2" borderId="1" xfId="78" applyFont="1" applyFill="1" applyBorder="1" applyAlignment="1">
      <alignment horizontal="center"/>
    </xf>
    <xf numFmtId="0" fontId="42" fillId="0" borderId="0" xfId="38"/>
    <xf numFmtId="0" fontId="10" fillId="0" borderId="2" xfId="78" applyFont="1" applyBorder="1" applyProtection="1">
      <protection locked="0"/>
    </xf>
    <xf numFmtId="10" fontId="14" fillId="0" borderId="28" xfId="93" applyNumberFormat="1" applyFont="1" applyBorder="1" applyAlignment="1" applyProtection="1">
      <alignment horizontal="center"/>
      <protection locked="0"/>
    </xf>
    <xf numFmtId="176" fontId="9" fillId="0" borderId="0" xfId="29" applyNumberFormat="1" applyFont="1" applyAlignment="1">
      <alignment horizontal="center"/>
    </xf>
    <xf numFmtId="176" fontId="9" fillId="0" borderId="29" xfId="29" applyNumberFormat="1" applyFont="1" applyBorder="1" applyAlignment="1">
      <alignment horizontal="center"/>
    </xf>
    <xf numFmtId="176" fontId="9" fillId="9" borderId="30" xfId="29" applyNumberFormat="1" applyFont="1" applyFill="1" applyBorder="1" applyAlignment="1">
      <alignment horizontal="center"/>
    </xf>
    <xf numFmtId="0" fontId="10" fillId="0" borderId="4" xfId="78" applyFont="1" applyBorder="1" applyProtection="1">
      <protection locked="0"/>
    </xf>
    <xf numFmtId="0" fontId="10" fillId="2" borderId="5" xfId="78" applyFont="1" applyFill="1" applyBorder="1" applyAlignment="1">
      <alignment horizontal="center"/>
    </xf>
    <xf numFmtId="0" fontId="10" fillId="2" borderId="5" xfId="78" applyFont="1" applyFill="1" applyBorder="1" applyAlignment="1" applyProtection="1">
      <alignment horizontal="center"/>
      <protection locked="0"/>
    </xf>
    <xf numFmtId="0" fontId="10" fillId="2" borderId="1" xfId="78" applyFont="1" applyFill="1" applyBorder="1" applyAlignment="1" applyProtection="1">
      <alignment horizontal="center"/>
      <protection locked="0"/>
    </xf>
    <xf numFmtId="0" fontId="10" fillId="2" borderId="1" xfId="78" quotePrefix="1" applyFont="1" applyFill="1" applyBorder="1" applyAlignment="1" applyProtection="1">
      <alignment horizontal="center"/>
      <protection locked="0"/>
    </xf>
    <xf numFmtId="0" fontId="14" fillId="0" borderId="20" xfId="78" applyFont="1" applyBorder="1" applyProtection="1">
      <protection locked="0"/>
    </xf>
    <xf numFmtId="0" fontId="14" fillId="0" borderId="20" xfId="78" quotePrefix="1" applyFont="1" applyBorder="1" applyProtection="1">
      <protection locked="0"/>
    </xf>
    <xf numFmtId="175" fontId="14" fillId="0" borderId="13" xfId="78" applyNumberFormat="1" applyFont="1" applyBorder="1"/>
    <xf numFmtId="176" fontId="9" fillId="0" borderId="13" xfId="29" applyNumberFormat="1" applyFont="1" applyBorder="1" applyAlignment="1">
      <alignment horizontal="center"/>
    </xf>
    <xf numFmtId="176" fontId="9" fillId="0" borderId="31" xfId="29" applyNumberFormat="1" applyFont="1" applyBorder="1" applyAlignment="1">
      <alignment horizontal="center"/>
    </xf>
    <xf numFmtId="0" fontId="14" fillId="0" borderId="32" xfId="78" applyFont="1" applyBorder="1" applyProtection="1">
      <protection locked="0"/>
    </xf>
    <xf numFmtId="0" fontId="14" fillId="2" borderId="14" xfId="78" applyFont="1" applyFill="1" applyBorder="1" applyAlignment="1">
      <alignment horizontal="center"/>
    </xf>
    <xf numFmtId="175" fontId="14" fillId="2" borderId="14" xfId="78" applyNumberFormat="1" applyFont="1" applyFill="1" applyBorder="1"/>
    <xf numFmtId="176" fontId="9" fillId="0" borderId="33" xfId="29" applyNumberFormat="1" applyFont="1" applyBorder="1" applyAlignment="1">
      <alignment horizontal="center"/>
    </xf>
    <xf numFmtId="0" fontId="21" fillId="0" borderId="0" xfId="78" quotePrefix="1" applyFont="1" applyProtection="1">
      <protection locked="0"/>
    </xf>
    <xf numFmtId="176" fontId="9" fillId="10" borderId="33" xfId="29" applyNumberFormat="1" applyFont="1" applyFill="1" applyBorder="1" applyAlignment="1">
      <alignment horizontal="center"/>
    </xf>
    <xf numFmtId="0" fontId="10" fillId="0" borderId="32" xfId="78" applyFont="1" applyBorder="1" applyProtection="1">
      <protection locked="0"/>
    </xf>
    <xf numFmtId="0" fontId="10" fillId="2" borderId="14" xfId="78" applyFont="1" applyFill="1" applyBorder="1" applyAlignment="1">
      <alignment horizontal="center"/>
    </xf>
    <xf numFmtId="0" fontId="10" fillId="0" borderId="34" xfId="78" applyFont="1" applyBorder="1" applyProtection="1">
      <protection locked="0"/>
    </xf>
    <xf numFmtId="0" fontId="14" fillId="0" borderId="32" xfId="78" quotePrefix="1" applyFont="1" applyBorder="1" applyProtection="1">
      <protection locked="0"/>
    </xf>
    <xf numFmtId="176" fontId="9" fillId="10" borderId="33" xfId="29" applyNumberFormat="1" applyFont="1" applyFill="1" applyBorder="1" applyAlignment="1">
      <alignment horizontal="left"/>
    </xf>
    <xf numFmtId="176" fontId="9" fillId="9" borderId="35" xfId="29" applyNumberFormat="1" applyFont="1" applyFill="1" applyBorder="1" applyAlignment="1">
      <alignment horizontal="center"/>
    </xf>
    <xf numFmtId="0" fontId="10" fillId="2" borderId="5" xfId="78" quotePrefix="1" applyFont="1" applyFill="1" applyBorder="1" applyAlignment="1" applyProtection="1">
      <alignment horizontal="center"/>
      <protection locked="0"/>
    </xf>
    <xf numFmtId="178" fontId="4" fillId="0" borderId="0" xfId="86" applyNumberFormat="1" applyFont="1"/>
    <xf numFmtId="0" fontId="27" fillId="0" borderId="1" xfId="87" applyFont="1" applyBorder="1"/>
    <xf numFmtId="0" fontId="27" fillId="0" borderId="1" xfId="87" applyFont="1" applyBorder="1" applyAlignment="1">
      <alignment horizontal="center"/>
    </xf>
    <xf numFmtId="0" fontId="6" fillId="10" borderId="28" xfId="78" applyFont="1" applyFill="1" applyBorder="1" applyProtection="1">
      <protection locked="0"/>
    </xf>
    <xf numFmtId="0" fontId="6" fillId="10" borderId="36" xfId="78" applyFont="1" applyFill="1" applyBorder="1" applyProtection="1">
      <protection locked="0"/>
    </xf>
    <xf numFmtId="0" fontId="16" fillId="10" borderId="37" xfId="78" applyFont="1" applyFill="1" applyBorder="1" applyProtection="1">
      <protection locked="0"/>
    </xf>
    <xf numFmtId="170" fontId="16" fillId="10" borderId="38" xfId="29" applyFont="1" applyFill="1" applyBorder="1" applyProtection="1">
      <protection locked="0"/>
    </xf>
    <xf numFmtId="170" fontId="16" fillId="10" borderId="39" xfId="29" applyFont="1" applyFill="1" applyBorder="1" applyAlignment="1" applyProtection="1">
      <alignment horizontal="centerContinuous"/>
      <protection locked="0"/>
    </xf>
    <xf numFmtId="175" fontId="13" fillId="10" borderId="36" xfId="78" applyNumberFormat="1" applyFont="1" applyFill="1" applyBorder="1"/>
    <xf numFmtId="170" fontId="16" fillId="10" borderId="33" xfId="29" applyFont="1" applyFill="1" applyBorder="1" applyProtection="1">
      <protection locked="0"/>
    </xf>
    <xf numFmtId="178" fontId="9" fillId="9" borderId="5" xfId="78" applyNumberFormat="1" applyFont="1" applyFill="1" applyBorder="1" applyAlignment="1">
      <alignment horizontal="center"/>
    </xf>
    <xf numFmtId="178" fontId="9" fillId="9" borderId="14" xfId="78" applyNumberFormat="1" applyFont="1" applyFill="1" applyBorder="1" applyAlignment="1">
      <alignment horizontal="center"/>
    </xf>
    <xf numFmtId="178" fontId="26" fillId="2" borderId="12" xfId="78" applyNumberFormat="1" applyFont="1" applyFill="1" applyBorder="1" applyAlignment="1">
      <alignment horizontal="center"/>
    </xf>
    <xf numFmtId="178" fontId="9" fillId="9" borderId="19" xfId="78" applyNumberFormat="1" applyFont="1" applyFill="1" applyBorder="1" applyAlignment="1">
      <alignment horizontal="center"/>
    </xf>
    <xf numFmtId="178" fontId="9" fillId="9" borderId="0" xfId="78" applyNumberFormat="1" applyFont="1" applyFill="1" applyAlignment="1">
      <alignment horizontal="center"/>
    </xf>
    <xf numFmtId="178" fontId="9" fillId="0" borderId="0" xfId="78" applyNumberFormat="1" applyFont="1"/>
    <xf numFmtId="178" fontId="9" fillId="10" borderId="13" xfId="78" applyNumberFormat="1" applyFont="1" applyFill="1" applyBorder="1"/>
    <xf numFmtId="178" fontId="9" fillId="0" borderId="40" xfId="78" applyNumberFormat="1" applyFont="1" applyBorder="1"/>
    <xf numFmtId="178" fontId="9" fillId="10" borderId="36" xfId="78" applyNumberFormat="1" applyFont="1" applyFill="1" applyBorder="1"/>
    <xf numFmtId="178" fontId="9" fillId="0" borderId="13" xfId="78" applyNumberFormat="1" applyFont="1" applyBorder="1"/>
    <xf numFmtId="178" fontId="9" fillId="0" borderId="0" xfId="78" applyNumberFormat="1" applyFont="1" applyAlignment="1">
      <alignment horizontal="left"/>
    </xf>
    <xf numFmtId="178" fontId="9" fillId="10" borderId="41" xfId="78" applyNumberFormat="1" applyFont="1" applyFill="1" applyBorder="1"/>
    <xf numFmtId="178" fontId="9" fillId="10" borderId="41" xfId="78" applyNumberFormat="1" applyFont="1" applyFill="1" applyBorder="1" applyAlignment="1">
      <alignment horizontal="left"/>
    </xf>
    <xf numFmtId="178" fontId="8" fillId="0" borderId="0" xfId="78" applyNumberFormat="1" applyFont="1"/>
    <xf numFmtId="178" fontId="9" fillId="0" borderId="0" xfId="78" applyNumberFormat="1" applyFont="1" applyAlignment="1">
      <alignment horizontal="center"/>
    </xf>
    <xf numFmtId="178" fontId="9" fillId="10" borderId="42" xfId="78" applyNumberFormat="1" applyFont="1" applyFill="1" applyBorder="1" applyAlignment="1">
      <alignment horizontal="center"/>
    </xf>
    <xf numFmtId="178" fontId="9" fillId="0" borderId="6" xfId="78" applyNumberFormat="1" applyFont="1" applyBorder="1" applyAlignment="1">
      <alignment horizontal="center"/>
    </xf>
    <xf numFmtId="178" fontId="9" fillId="0" borderId="13" xfId="78" applyNumberFormat="1" applyFont="1" applyBorder="1" applyAlignment="1">
      <alignment horizontal="center"/>
    </xf>
    <xf numFmtId="178" fontId="9" fillId="10" borderId="43" xfId="78" applyNumberFormat="1" applyFont="1" applyFill="1" applyBorder="1" applyAlignment="1">
      <alignment horizontal="center"/>
    </xf>
    <xf numFmtId="178" fontId="9" fillId="10" borderId="42" xfId="78" applyNumberFormat="1" applyFont="1" applyFill="1" applyBorder="1" applyAlignment="1">
      <alignment horizontal="left"/>
    </xf>
    <xf numFmtId="178" fontId="9" fillId="0" borderId="17" xfId="78" applyNumberFormat="1" applyFont="1" applyBorder="1" applyAlignment="1">
      <alignment horizontal="center"/>
    </xf>
    <xf numFmtId="178" fontId="8" fillId="0" borderId="0" xfId="78" applyNumberFormat="1" applyFont="1" applyAlignment="1">
      <alignment horizontal="center"/>
    </xf>
    <xf numFmtId="178" fontId="51" fillId="0" borderId="24" xfId="0" applyNumberFormat="1" applyFont="1" applyBorder="1"/>
    <xf numFmtId="0" fontId="5" fillId="0" borderId="1" xfId="76" applyFont="1" applyBorder="1" applyAlignment="1">
      <alignment horizontal="center"/>
    </xf>
    <xf numFmtId="2" fontId="2" fillId="0" borderId="1" xfId="76" applyNumberFormat="1" applyBorder="1" applyAlignment="1" applyProtection="1">
      <alignment horizontal="center"/>
      <protection locked="0"/>
    </xf>
    <xf numFmtId="2" fontId="2" fillId="8" borderId="1" xfId="76" applyNumberFormat="1" applyFill="1" applyBorder="1" applyAlignment="1" applyProtection="1">
      <alignment horizontal="center"/>
      <protection locked="0"/>
    </xf>
    <xf numFmtId="0" fontId="2" fillId="0" borderId="1" xfId="76" applyBorder="1"/>
    <xf numFmtId="0" fontId="2" fillId="8" borderId="1" xfId="76" applyFill="1" applyBorder="1"/>
    <xf numFmtId="0" fontId="2" fillId="0" borderId="0" xfId="76"/>
    <xf numFmtId="175" fontId="14" fillId="10" borderId="13" xfId="78" applyNumberFormat="1" applyFont="1" applyFill="1" applyBorder="1"/>
    <xf numFmtId="178" fontId="9" fillId="10" borderId="44" xfId="78" applyNumberFormat="1" applyFont="1" applyFill="1" applyBorder="1"/>
    <xf numFmtId="176" fontId="9" fillId="10" borderId="45" xfId="29" applyNumberFormat="1" applyFont="1" applyFill="1" applyBorder="1" applyAlignment="1">
      <alignment horizontal="center"/>
    </xf>
    <xf numFmtId="0" fontId="8" fillId="0" borderId="1" xfId="75" applyFont="1" applyBorder="1"/>
    <xf numFmtId="0" fontId="11" fillId="0" borderId="1" xfId="75" applyFont="1" applyBorder="1"/>
    <xf numFmtId="173" fontId="10" fillId="0" borderId="0" xfId="79" applyNumberFormat="1" applyFont="1" applyProtection="1">
      <protection locked="0"/>
    </xf>
    <xf numFmtId="173" fontId="10" fillId="6" borderId="1" xfId="79" applyNumberFormat="1" applyFont="1" applyFill="1" applyBorder="1" applyProtection="1">
      <protection locked="0"/>
    </xf>
    <xf numFmtId="173" fontId="10" fillId="6" borderId="5" xfId="79" applyNumberFormat="1" applyFont="1" applyFill="1" applyBorder="1" applyProtection="1">
      <protection locked="0"/>
    </xf>
    <xf numFmtId="0" fontId="10" fillId="0" borderId="46" xfId="78" applyFont="1" applyBorder="1" applyProtection="1">
      <protection locked="0"/>
    </xf>
    <xf numFmtId="179" fontId="10" fillId="0" borderId="1" xfId="79" applyNumberFormat="1" applyFont="1" applyBorder="1" applyProtection="1">
      <protection locked="0"/>
    </xf>
    <xf numFmtId="179" fontId="10" fillId="0" borderId="0" xfId="79" applyNumberFormat="1" applyFont="1" applyProtection="1">
      <protection locked="0"/>
    </xf>
    <xf numFmtId="179" fontId="6" fillId="10" borderId="36" xfId="79" applyNumberFormat="1" applyFont="1" applyFill="1" applyBorder="1" applyProtection="1">
      <protection locked="0"/>
    </xf>
    <xf numFmtId="179" fontId="10" fillId="0" borderId="5" xfId="79" applyNumberFormat="1" applyFont="1" applyBorder="1" applyProtection="1">
      <protection locked="0"/>
    </xf>
    <xf numFmtId="179" fontId="10" fillId="10" borderId="42" xfId="79" applyNumberFormat="1" applyFont="1" applyFill="1" applyBorder="1"/>
    <xf numFmtId="179" fontId="10" fillId="0" borderId="14" xfId="79" applyNumberFormat="1" applyFont="1" applyBorder="1" applyProtection="1">
      <protection locked="0"/>
    </xf>
    <xf numFmtId="2" fontId="2" fillId="0" borderId="1" xfId="75" applyNumberFormat="1" applyFont="1" applyBorder="1" applyAlignment="1" applyProtection="1">
      <alignment horizontal="center"/>
      <protection locked="0"/>
    </xf>
    <xf numFmtId="0" fontId="32" fillId="0" borderId="1" xfId="75" applyBorder="1" applyAlignment="1">
      <alignment horizontal="center"/>
    </xf>
    <xf numFmtId="0" fontId="32" fillId="8" borderId="1" xfId="75" applyFill="1" applyBorder="1" applyAlignment="1">
      <alignment horizontal="center"/>
    </xf>
    <xf numFmtId="0" fontId="8" fillId="0" borderId="6" xfId="75" applyFont="1" applyBorder="1"/>
    <xf numFmtId="0" fontId="11" fillId="0" borderId="14" xfId="75" applyFont="1" applyBorder="1"/>
    <xf numFmtId="0" fontId="2" fillId="0" borderId="14" xfId="76" applyBorder="1"/>
    <xf numFmtId="0" fontId="11" fillId="0" borderId="6" xfId="75" applyFont="1" applyBorder="1"/>
    <xf numFmtId="0" fontId="2" fillId="0" borderId="1" xfId="75" applyFont="1" applyBorder="1" applyAlignment="1">
      <alignment horizontal="center"/>
    </xf>
    <xf numFmtId="0" fontId="54" fillId="8" borderId="6" xfId="75" applyFont="1" applyFill="1" applyBorder="1" applyAlignment="1" applyProtection="1">
      <alignment horizontal="left"/>
      <protection locked="0"/>
    </xf>
    <xf numFmtId="0" fontId="54" fillId="8" borderId="16" xfId="75" applyFont="1" applyFill="1" applyBorder="1" applyAlignment="1" applyProtection="1">
      <alignment horizontal="left"/>
      <protection locked="0"/>
    </xf>
    <xf numFmtId="0" fontId="12" fillId="8" borderId="16" xfId="75" applyFont="1" applyFill="1" applyBorder="1" applyAlignment="1" applyProtection="1">
      <alignment horizontal="left"/>
      <protection locked="0"/>
    </xf>
    <xf numFmtId="0" fontId="9" fillId="5" borderId="19" xfId="79" applyFont="1" applyFill="1" applyBorder="1" applyAlignment="1" applyProtection="1">
      <alignment horizontal="center"/>
      <protection locked="0"/>
    </xf>
    <xf numFmtId="2" fontId="27" fillId="0" borderId="21" xfId="87" applyNumberFormat="1" applyFont="1" applyBorder="1" applyAlignment="1">
      <alignment horizontal="center"/>
    </xf>
    <xf numFmtId="2" fontId="27" fillId="0" borderId="0" xfId="87" applyNumberFormat="1" applyFont="1" applyAlignment="1">
      <alignment horizontal="center" vertical="center"/>
    </xf>
    <xf numFmtId="0" fontId="9" fillId="5" borderId="0" xfId="79" applyFont="1" applyFill="1" applyAlignment="1" applyProtection="1">
      <alignment horizontal="center"/>
      <protection locked="0"/>
    </xf>
    <xf numFmtId="172" fontId="27" fillId="0" borderId="21" xfId="87" applyNumberFormat="1" applyFont="1" applyBorder="1" applyAlignment="1">
      <alignment horizontal="center"/>
    </xf>
    <xf numFmtId="2" fontId="4" fillId="0" borderId="0" xfId="87" applyNumberFormat="1" applyFont="1"/>
    <xf numFmtId="0" fontId="6" fillId="5" borderId="30" xfId="79" applyFont="1" applyFill="1" applyBorder="1" applyAlignment="1">
      <alignment horizontal="center"/>
    </xf>
    <xf numFmtId="170" fontId="27" fillId="0" borderId="21" xfId="87" applyNumberFormat="1" applyFont="1" applyBorder="1" applyProtection="1">
      <protection locked="0"/>
    </xf>
    <xf numFmtId="170" fontId="27" fillId="0" borderId="22" xfId="87" applyNumberFormat="1" applyFont="1" applyBorder="1" applyProtection="1">
      <protection locked="0"/>
    </xf>
    <xf numFmtId="170" fontId="27" fillId="0" borderId="22" xfId="87" applyNumberFormat="1" applyFont="1" applyBorder="1"/>
    <xf numFmtId="170" fontId="27" fillId="0" borderId="23" xfId="87" applyNumberFormat="1" applyFont="1" applyBorder="1"/>
    <xf numFmtId="170" fontId="27" fillId="0" borderId="1" xfId="87" applyNumberFormat="1" applyFont="1" applyBorder="1"/>
    <xf numFmtId="0" fontId="4" fillId="0" borderId="0" xfId="87" applyFont="1"/>
    <xf numFmtId="0" fontId="6" fillId="5" borderId="29" xfId="79" applyFont="1" applyFill="1" applyBorder="1" applyAlignment="1">
      <alignment horizontal="center"/>
    </xf>
    <xf numFmtId="170" fontId="27" fillId="0" borderId="1" xfId="87" applyNumberFormat="1" applyFont="1" applyBorder="1" applyProtection="1">
      <protection locked="0"/>
    </xf>
    <xf numFmtId="167" fontId="27" fillId="0" borderId="1" xfId="87" applyNumberFormat="1" applyFont="1" applyBorder="1" applyAlignment="1">
      <alignment horizontal="center"/>
    </xf>
    <xf numFmtId="0" fontId="10" fillId="0" borderId="0" xfId="79" applyFont="1" applyProtection="1">
      <protection locked="0"/>
    </xf>
    <xf numFmtId="0" fontId="11" fillId="0" borderId="0" xfId="79" applyFont="1" applyProtection="1">
      <protection locked="0"/>
    </xf>
    <xf numFmtId="179" fontId="10" fillId="10" borderId="36" xfId="79" applyNumberFormat="1" applyFont="1" applyFill="1" applyBorder="1"/>
    <xf numFmtId="179" fontId="10" fillId="10" borderId="13" xfId="79" applyNumberFormat="1" applyFont="1" applyFill="1" applyBorder="1" applyProtection="1">
      <protection locked="0"/>
    </xf>
    <xf numFmtId="179" fontId="11" fillId="10" borderId="36" xfId="79" applyNumberFormat="1" applyFont="1" applyFill="1" applyBorder="1" applyProtection="1">
      <protection locked="0"/>
    </xf>
    <xf numFmtId="0" fontId="10" fillId="2" borderId="0" xfId="79" applyFont="1" applyFill="1"/>
    <xf numFmtId="0" fontId="10" fillId="11" borderId="0" xfId="79" applyFont="1" applyFill="1"/>
    <xf numFmtId="0" fontId="10" fillId="0" borderId="0" xfId="79" applyFont="1"/>
    <xf numFmtId="0" fontId="22" fillId="9" borderId="0" xfId="0" applyFont="1" applyFill="1"/>
    <xf numFmtId="170" fontId="4" fillId="0" borderId="0" xfId="86" applyNumberFormat="1" applyFont="1"/>
    <xf numFmtId="2" fontId="1" fillId="0" borderId="1" xfId="76" applyNumberFormat="1" applyFont="1" applyBorder="1" applyAlignment="1" applyProtection="1">
      <alignment horizontal="center"/>
      <protection locked="0"/>
    </xf>
    <xf numFmtId="0" fontId="9" fillId="5" borderId="29" xfId="79" applyFont="1" applyFill="1" applyBorder="1" applyAlignment="1" applyProtection="1">
      <alignment horizontal="center"/>
      <protection locked="0"/>
    </xf>
    <xf numFmtId="173" fontId="10" fillId="6" borderId="15" xfId="79" applyNumberFormat="1" applyFont="1" applyFill="1" applyBorder="1" applyProtection="1">
      <protection locked="0"/>
    </xf>
    <xf numFmtId="175" fontId="10" fillId="10" borderId="13" xfId="79" applyNumberFormat="1" applyFont="1" applyFill="1" applyBorder="1"/>
    <xf numFmtId="0" fontId="9" fillId="5" borderId="47" xfId="79" applyFont="1" applyFill="1" applyBorder="1" applyAlignment="1" applyProtection="1">
      <alignment horizontal="centerContinuous"/>
      <protection locked="0"/>
    </xf>
    <xf numFmtId="2" fontId="27" fillId="0" borderId="48" xfId="87" applyNumberFormat="1" applyFont="1" applyBorder="1" applyAlignment="1">
      <alignment horizontal="center"/>
    </xf>
    <xf numFmtId="177" fontId="27" fillId="0" borderId="48" xfId="87" applyNumberFormat="1" applyFont="1" applyBorder="1" applyAlignment="1">
      <alignment horizontal="center"/>
    </xf>
    <xf numFmtId="2" fontId="27" fillId="0" borderId="48" xfId="87" applyNumberFormat="1" applyFont="1" applyBorder="1"/>
    <xf numFmtId="172" fontId="27" fillId="0" borderId="48" xfId="87" applyNumberFormat="1" applyFont="1" applyBorder="1" applyAlignment="1">
      <alignment horizontal="center"/>
    </xf>
    <xf numFmtId="172" fontId="27" fillId="0" borderId="48" xfId="87" applyNumberFormat="1" applyFont="1" applyBorder="1"/>
    <xf numFmtId="0" fontId="9" fillId="5" borderId="49" xfId="79" applyFont="1" applyFill="1" applyBorder="1" applyAlignment="1">
      <alignment horizontal="centerContinuous"/>
    </xf>
    <xf numFmtId="0" fontId="9" fillId="5" borderId="50" xfId="79" applyFont="1" applyFill="1" applyBorder="1" applyAlignment="1">
      <alignment horizontal="center"/>
    </xf>
    <xf numFmtId="0" fontId="6" fillId="10" borderId="36" xfId="79" applyFont="1" applyFill="1" applyBorder="1"/>
    <xf numFmtId="179" fontId="10" fillId="0" borderId="1" xfId="79" applyNumberFormat="1" applyFont="1" applyBorder="1"/>
    <xf numFmtId="179" fontId="10" fillId="0" borderId="0" xfId="79" applyNumberFormat="1" applyFont="1"/>
    <xf numFmtId="179" fontId="6" fillId="10" borderId="36" xfId="79" applyNumberFormat="1" applyFont="1" applyFill="1" applyBorder="1"/>
    <xf numFmtId="179" fontId="10" fillId="0" borderId="5" xfId="79" applyNumberFormat="1" applyFont="1" applyBorder="1"/>
    <xf numFmtId="173" fontId="10" fillId="0" borderId="0" xfId="79" applyNumberFormat="1" applyFont="1"/>
    <xf numFmtId="173" fontId="10" fillId="6" borderId="1" xfId="79" applyNumberFormat="1" applyFont="1" applyFill="1" applyBorder="1"/>
    <xf numFmtId="173" fontId="10" fillId="6" borderId="5" xfId="79" applyNumberFormat="1" applyFont="1" applyFill="1" applyBorder="1"/>
    <xf numFmtId="179" fontId="11" fillId="10" borderId="42" xfId="79" applyNumberFormat="1" applyFont="1" applyFill="1" applyBorder="1"/>
    <xf numFmtId="0" fontId="11" fillId="0" borderId="0" xfId="79" applyFont="1"/>
    <xf numFmtId="0" fontId="9" fillId="2" borderId="0" xfId="79" applyFont="1" applyFill="1"/>
    <xf numFmtId="0" fontId="9" fillId="11" borderId="0" xfId="79" applyFont="1" applyFill="1"/>
    <xf numFmtId="0" fontId="9" fillId="5" borderId="51" xfId="79" applyFont="1" applyFill="1" applyBorder="1" applyAlignment="1">
      <alignment horizontal="centerContinuous"/>
    </xf>
    <xf numFmtId="0" fontId="9" fillId="5" borderId="16" xfId="79" applyFont="1" applyFill="1" applyBorder="1" applyAlignment="1">
      <alignment horizontal="center"/>
    </xf>
    <xf numFmtId="179" fontId="10" fillId="10" borderId="13" xfId="79" applyNumberFormat="1" applyFont="1" applyFill="1" applyBorder="1"/>
    <xf numFmtId="179" fontId="11" fillId="10" borderId="36" xfId="79" applyNumberFormat="1" applyFont="1" applyFill="1" applyBorder="1"/>
    <xf numFmtId="0" fontId="6" fillId="10" borderId="36" xfId="78" applyFont="1" applyFill="1" applyBorder="1"/>
    <xf numFmtId="173" fontId="14" fillId="10" borderId="36" xfId="78" applyNumberFormat="1" applyFont="1" applyFill="1" applyBorder="1"/>
    <xf numFmtId="173" fontId="14" fillId="10" borderId="13" xfId="78" applyNumberFormat="1" applyFont="1" applyFill="1" applyBorder="1"/>
    <xf numFmtId="170" fontId="14" fillId="0" borderId="12" xfId="29" applyFont="1" applyBorder="1" applyAlignment="1">
      <alignment horizontal="center"/>
    </xf>
    <xf numFmtId="0" fontId="14" fillId="11" borderId="0" xfId="78" applyFont="1" applyFill="1"/>
    <xf numFmtId="170" fontId="14" fillId="0" borderId="0" xfId="78" applyNumberFormat="1" applyFont="1"/>
    <xf numFmtId="0" fontId="14" fillId="0" borderId="0" xfId="78" applyFont="1" applyAlignment="1">
      <alignment horizontal="center"/>
    </xf>
    <xf numFmtId="0" fontId="14" fillId="2" borderId="0" xfId="78" applyFont="1" applyFill="1" applyAlignment="1">
      <alignment horizontal="center"/>
    </xf>
    <xf numFmtId="0" fontId="14" fillId="11" borderId="0" xfId="78" applyFont="1" applyFill="1" applyAlignment="1">
      <alignment horizontal="center"/>
    </xf>
    <xf numFmtId="178" fontId="9" fillId="0" borderId="12" xfId="29" applyNumberFormat="1" applyFont="1" applyBorder="1" applyAlignment="1">
      <alignment horizontal="center"/>
    </xf>
    <xf numFmtId="176" fontId="9" fillId="0" borderId="0" xfId="29" applyNumberFormat="1" applyFont="1"/>
    <xf numFmtId="175" fontId="20" fillId="0" borderId="1" xfId="79" applyNumberFormat="1" applyFont="1" applyBorder="1" applyAlignment="1">
      <alignment horizontal="center"/>
    </xf>
    <xf numFmtId="175" fontId="17" fillId="0" borderId="0" xfId="79" applyNumberFormat="1" applyFont="1" applyAlignment="1">
      <alignment horizontal="center"/>
    </xf>
    <xf numFmtId="175" fontId="10" fillId="10" borderId="52" xfId="79" applyNumberFormat="1" applyFont="1" applyFill="1" applyBorder="1" applyAlignment="1">
      <alignment horizontal="center"/>
    </xf>
    <xf numFmtId="175" fontId="20" fillId="0" borderId="5" xfId="79" applyNumberFormat="1" applyFont="1" applyBorder="1" applyAlignment="1">
      <alignment horizontal="center"/>
    </xf>
    <xf numFmtId="175" fontId="17" fillId="0" borderId="14" xfId="79" applyNumberFormat="1" applyFont="1" applyBorder="1" applyAlignment="1">
      <alignment horizontal="center"/>
    </xf>
    <xf numFmtId="175" fontId="17" fillId="0" borderId="1" xfId="79" applyNumberFormat="1" applyFont="1" applyBorder="1" applyAlignment="1">
      <alignment horizontal="center"/>
    </xf>
    <xf numFmtId="175" fontId="10" fillId="10" borderId="44" xfId="79" applyNumberFormat="1" applyFont="1" applyFill="1" applyBorder="1" applyAlignment="1">
      <alignment horizontal="center"/>
    </xf>
    <xf numFmtId="175" fontId="17" fillId="0" borderId="17" xfId="79" applyNumberFormat="1" applyFont="1" applyBorder="1" applyAlignment="1">
      <alignment horizontal="center"/>
    </xf>
    <xf numFmtId="175" fontId="10" fillId="10" borderId="36" xfId="79" applyNumberFormat="1" applyFont="1" applyFill="1" applyBorder="1" applyAlignment="1">
      <alignment horizontal="center"/>
    </xf>
    <xf numFmtId="0" fontId="14" fillId="2" borderId="0" xfId="78" applyFont="1" applyFill="1"/>
    <xf numFmtId="176" fontId="14" fillId="0" borderId="24" xfId="78" applyNumberFormat="1" applyFont="1" applyBorder="1"/>
    <xf numFmtId="175" fontId="14" fillId="0" borderId="24" xfId="78" applyNumberFormat="1" applyFont="1" applyBorder="1"/>
    <xf numFmtId="0" fontId="16" fillId="5" borderId="53" xfId="78" applyFont="1" applyFill="1" applyBorder="1" applyAlignment="1">
      <alignment horizontal="center"/>
    </xf>
    <xf numFmtId="0" fontId="9" fillId="5" borderId="19" xfId="79" applyFont="1" applyFill="1" applyBorder="1" applyAlignment="1">
      <alignment horizontal="center"/>
    </xf>
    <xf numFmtId="172" fontId="27" fillId="2" borderId="21" xfId="86" applyNumberFormat="1" applyFont="1" applyFill="1" applyBorder="1" applyAlignment="1">
      <alignment horizontal="center"/>
    </xf>
    <xf numFmtId="172" fontId="27" fillId="2" borderId="48" xfId="86" applyNumberFormat="1" applyFont="1" applyFill="1" applyBorder="1" applyAlignment="1">
      <alignment horizontal="center"/>
    </xf>
    <xf numFmtId="2" fontId="27" fillId="0" borderId="22" xfId="87" applyNumberFormat="1" applyFont="1" applyBorder="1"/>
    <xf numFmtId="167" fontId="30" fillId="0" borderId="24" xfId="86" applyNumberFormat="1" applyFont="1" applyBorder="1"/>
    <xf numFmtId="170" fontId="27" fillId="0" borderId="0" xfId="86" applyNumberFormat="1" applyFont="1"/>
    <xf numFmtId="0" fontId="16" fillId="5" borderId="29" xfId="78" applyFont="1" applyFill="1" applyBorder="1" applyAlignment="1">
      <alignment horizontal="center"/>
    </xf>
    <xf numFmtId="0" fontId="9" fillId="5" borderId="0" xfId="79" applyFont="1" applyFill="1" applyAlignment="1">
      <alignment horizontal="center"/>
    </xf>
    <xf numFmtId="172" fontId="27" fillId="0" borderId="22" xfId="87" applyNumberFormat="1" applyFont="1" applyBorder="1" applyAlignment="1">
      <alignment horizontal="center"/>
    </xf>
    <xf numFmtId="167" fontId="30" fillId="0" borderId="1" xfId="86" applyNumberFormat="1" applyFont="1" applyBorder="1"/>
    <xf numFmtId="172" fontId="27" fillId="2" borderId="1" xfId="86" applyNumberFormat="1" applyFont="1" applyFill="1" applyBorder="1" applyAlignment="1">
      <alignment horizontal="center"/>
    </xf>
    <xf numFmtId="172" fontId="27" fillId="0" borderId="22" xfId="87" applyNumberFormat="1" applyFont="1" applyBorder="1"/>
    <xf numFmtId="172" fontId="27" fillId="0" borderId="1" xfId="87" applyNumberFormat="1" applyFont="1" applyBorder="1" applyAlignment="1">
      <alignment horizontal="center"/>
    </xf>
    <xf numFmtId="172" fontId="27" fillId="0" borderId="1" xfId="87" applyNumberFormat="1" applyFont="1" applyBorder="1"/>
    <xf numFmtId="177" fontId="27" fillId="2" borderId="21" xfId="86" applyNumberFormat="1" applyFont="1" applyFill="1" applyBorder="1" applyAlignment="1">
      <alignment horizontal="center"/>
    </xf>
    <xf numFmtId="177" fontId="27" fillId="0" borderId="21" xfId="86" applyNumberFormat="1" applyFont="1" applyBorder="1" applyAlignment="1">
      <alignment horizontal="center"/>
    </xf>
    <xf numFmtId="170" fontId="27" fillId="0" borderId="0" xfId="86" applyNumberFormat="1" applyFont="1" applyAlignment="1">
      <alignment horizontal="center" vertical="center"/>
    </xf>
    <xf numFmtId="177" fontId="27" fillId="0" borderId="0" xfId="86" applyNumberFormat="1" applyFont="1" applyAlignment="1">
      <alignment horizontal="center"/>
    </xf>
    <xf numFmtId="0" fontId="6" fillId="5" borderId="30" xfId="78" applyFont="1" applyFill="1" applyBorder="1" applyAlignment="1">
      <alignment horizontal="center"/>
    </xf>
    <xf numFmtId="0" fontId="6" fillId="5" borderId="54" xfId="78" applyFont="1" applyFill="1" applyBorder="1" applyAlignment="1">
      <alignment horizontal="center"/>
    </xf>
    <xf numFmtId="170" fontId="27" fillId="0" borderId="21" xfId="86" applyNumberFormat="1" applyFont="1" applyBorder="1"/>
    <xf numFmtId="0" fontId="6" fillId="5" borderId="29" xfId="78" applyFont="1" applyFill="1" applyBorder="1" applyAlignment="1">
      <alignment horizontal="center"/>
    </xf>
    <xf numFmtId="0" fontId="26" fillId="2" borderId="0" xfId="78" applyFont="1" applyFill="1" applyAlignment="1">
      <alignment horizontal="center"/>
    </xf>
    <xf numFmtId="170" fontId="14" fillId="0" borderId="0" xfId="29" applyFont="1" applyAlignment="1">
      <alignment horizontal="center"/>
    </xf>
    <xf numFmtId="170" fontId="27" fillId="0" borderId="48" xfId="87" applyNumberFormat="1" applyFont="1" applyBorder="1" applyProtection="1">
      <protection locked="0"/>
    </xf>
    <xf numFmtId="170" fontId="27" fillId="0" borderId="48" xfId="87" applyNumberFormat="1" applyFont="1" applyBorder="1"/>
    <xf numFmtId="170" fontId="27" fillId="0" borderId="15" xfId="87" applyNumberFormat="1" applyFont="1" applyBorder="1"/>
    <xf numFmtId="170" fontId="27" fillId="0" borderId="15" xfId="87" applyNumberFormat="1" applyFont="1" applyBorder="1" applyProtection="1">
      <protection locked="0"/>
    </xf>
    <xf numFmtId="178" fontId="81" fillId="0" borderId="48" xfId="29" applyNumberFormat="1" applyFont="1" applyBorder="1" applyAlignment="1">
      <alignment horizontal="center"/>
    </xf>
    <xf numFmtId="2" fontId="27" fillId="0" borderId="15" xfId="87" applyNumberFormat="1" applyFont="1" applyBorder="1"/>
    <xf numFmtId="172" fontId="27" fillId="0" borderId="15" xfId="87" applyNumberFormat="1" applyFont="1" applyBorder="1" applyAlignment="1">
      <alignment horizontal="center"/>
    </xf>
    <xf numFmtId="172" fontId="27" fillId="0" borderId="15" xfId="87" applyNumberFormat="1" applyFont="1" applyBorder="1"/>
    <xf numFmtId="175" fontId="20" fillId="0" borderId="1" xfId="79" applyNumberFormat="1" applyFont="1" applyBorder="1" applyAlignment="1" applyProtection="1">
      <alignment horizontal="center"/>
      <protection locked="0"/>
    </xf>
    <xf numFmtId="175" fontId="53" fillId="0" borderId="1" xfId="79" applyNumberFormat="1" applyFont="1" applyBorder="1" applyAlignment="1" applyProtection="1">
      <alignment horizontal="center"/>
      <protection locked="0"/>
    </xf>
    <xf numFmtId="175" fontId="20" fillId="0" borderId="14" xfId="79" applyNumberFormat="1" applyFont="1" applyBorder="1" applyAlignment="1" applyProtection="1">
      <alignment horizontal="center"/>
      <protection locked="0"/>
    </xf>
    <xf numFmtId="175" fontId="20" fillId="0" borderId="5" xfId="79" applyNumberFormat="1" applyFont="1" applyBorder="1" applyAlignment="1" applyProtection="1">
      <alignment horizontal="center"/>
      <protection locked="0"/>
    </xf>
    <xf numFmtId="175" fontId="10" fillId="0" borderId="1" xfId="79" applyNumberFormat="1" applyFont="1" applyBorder="1" applyAlignment="1" applyProtection="1">
      <alignment horizontal="center"/>
      <protection locked="0"/>
    </xf>
    <xf numFmtId="172" fontId="27" fillId="2" borderId="21" xfId="86" applyNumberFormat="1" applyFont="1" applyFill="1" applyBorder="1" applyAlignment="1" applyProtection="1">
      <alignment horizontal="center"/>
      <protection locked="0"/>
    </xf>
    <xf numFmtId="172" fontId="27" fillId="2" borderId="22" xfId="86" applyNumberFormat="1" applyFont="1" applyFill="1" applyBorder="1" applyAlignment="1" applyProtection="1">
      <alignment horizontal="center"/>
      <protection locked="0"/>
    </xf>
    <xf numFmtId="172" fontId="27" fillId="2" borderId="27" xfId="86" applyNumberFormat="1" applyFont="1" applyFill="1" applyBorder="1" applyAlignment="1" applyProtection="1">
      <alignment horizontal="center"/>
      <protection locked="0"/>
    </xf>
    <xf numFmtId="172" fontId="27" fillId="2" borderId="48" xfId="86" applyNumberFormat="1" applyFont="1" applyFill="1" applyBorder="1" applyAlignment="1" applyProtection="1">
      <alignment horizontal="center"/>
      <protection locked="0"/>
    </xf>
    <xf numFmtId="172" fontId="27" fillId="2" borderId="22" xfId="86" applyNumberFormat="1" applyFont="1" applyFill="1" applyBorder="1" applyAlignment="1">
      <alignment horizontal="center"/>
    </xf>
    <xf numFmtId="172" fontId="27" fillId="2" borderId="23" xfId="86" applyNumberFormat="1" applyFont="1" applyFill="1" applyBorder="1" applyAlignment="1">
      <alignment horizontal="center"/>
    </xf>
    <xf numFmtId="2" fontId="27" fillId="2" borderId="1" xfId="86" applyNumberFormat="1" applyFont="1" applyFill="1" applyBorder="1" applyAlignment="1">
      <alignment horizontal="center"/>
    </xf>
    <xf numFmtId="2" fontId="27" fillId="2" borderId="1" xfId="86" applyNumberFormat="1" applyFont="1" applyFill="1" applyBorder="1" applyAlignment="1" applyProtection="1">
      <alignment horizontal="center"/>
      <protection locked="0"/>
    </xf>
    <xf numFmtId="172" fontId="27" fillId="2" borderId="1" xfId="86" applyNumberFormat="1" applyFont="1" applyFill="1" applyBorder="1" applyAlignment="1" applyProtection="1">
      <alignment horizontal="center"/>
      <protection locked="0"/>
    </xf>
    <xf numFmtId="179" fontId="10" fillId="25" borderId="1" xfId="79" applyNumberFormat="1" applyFont="1" applyFill="1" applyBorder="1"/>
    <xf numFmtId="2" fontId="27" fillId="25" borderId="21" xfId="87" applyNumberFormat="1" applyFont="1" applyFill="1" applyBorder="1" applyAlignment="1">
      <alignment horizontal="center"/>
    </xf>
    <xf numFmtId="172" fontId="27" fillId="25" borderId="1" xfId="87" applyNumberFormat="1" applyFont="1" applyFill="1" applyBorder="1" applyAlignment="1">
      <alignment horizontal="center"/>
    </xf>
    <xf numFmtId="172" fontId="27" fillId="25" borderId="1" xfId="87" applyNumberFormat="1" applyFont="1" applyFill="1" applyBorder="1"/>
    <xf numFmtId="0" fontId="82" fillId="0" borderId="46" xfId="0" applyFont="1" applyBorder="1" applyAlignment="1">
      <alignment horizontal="center"/>
    </xf>
    <xf numFmtId="0" fontId="82" fillId="0" borderId="55" xfId="0" applyFont="1" applyBorder="1" applyAlignment="1">
      <alignment horizontal="center"/>
    </xf>
    <xf numFmtId="178" fontId="9" fillId="0" borderId="46" xfId="78" applyNumberFormat="1" applyFont="1" applyBorder="1" applyAlignment="1">
      <alignment horizontal="center"/>
    </xf>
    <xf numFmtId="0" fontId="82" fillId="0" borderId="56" xfId="0" applyFont="1" applyBorder="1" applyAlignment="1">
      <alignment horizontal="center"/>
    </xf>
    <xf numFmtId="178" fontId="82" fillId="0" borderId="57" xfId="29" applyNumberFormat="1" applyFont="1" applyBorder="1"/>
    <xf numFmtId="178" fontId="82" fillId="0" borderId="58" xfId="29" applyNumberFormat="1" applyFont="1" applyBorder="1"/>
    <xf numFmtId="178" fontId="82" fillId="0" borderId="58" xfId="0" applyNumberFormat="1" applyFont="1" applyBorder="1"/>
    <xf numFmtId="178" fontId="82" fillId="0" borderId="59" xfId="0" applyNumberFormat="1" applyFont="1" applyBorder="1"/>
    <xf numFmtId="172" fontId="27" fillId="2" borderId="6" xfId="86" applyNumberFormat="1" applyFont="1" applyFill="1" applyBorder="1" applyAlignment="1" applyProtection="1">
      <alignment horizontal="center"/>
      <protection locked="0"/>
    </xf>
    <xf numFmtId="172" fontId="27" fillId="2" borderId="16" xfId="86" applyNumberFormat="1" applyFont="1" applyFill="1" applyBorder="1" applyAlignment="1" applyProtection="1">
      <alignment horizontal="center"/>
      <protection locked="0"/>
    </xf>
    <xf numFmtId="2" fontId="27" fillId="2" borderId="6" xfId="86" applyNumberFormat="1" applyFont="1" applyFill="1" applyBorder="1" applyAlignment="1" applyProtection="1">
      <alignment horizontal="center"/>
      <protection locked="0"/>
    </xf>
    <xf numFmtId="176" fontId="4" fillId="0" borderId="0" xfId="29" applyNumberFormat="1" applyFont="1"/>
    <xf numFmtId="44" fontId="4" fillId="0" borderId="0" xfId="86" applyNumberFormat="1" applyFont="1"/>
    <xf numFmtId="0" fontId="1" fillId="0" borderId="1" xfId="76" applyFont="1" applyBorder="1"/>
    <xf numFmtId="170" fontId="4" fillId="0" borderId="0" xfId="87" applyNumberFormat="1" applyFont="1"/>
    <xf numFmtId="178" fontId="4" fillId="0" borderId="0" xfId="87" applyNumberFormat="1" applyFont="1"/>
    <xf numFmtId="44" fontId="4" fillId="0" borderId="0" xfId="87" applyNumberFormat="1" applyFont="1"/>
    <xf numFmtId="175" fontId="20" fillId="0" borderId="40" xfId="79" applyNumberFormat="1" applyFont="1" applyBorder="1" applyAlignment="1" applyProtection="1">
      <alignment horizontal="center"/>
      <protection locked="0"/>
    </xf>
    <xf numFmtId="0" fontId="10" fillId="2" borderId="40" xfId="78" applyFont="1" applyFill="1" applyBorder="1" applyAlignment="1">
      <alignment horizontal="center"/>
    </xf>
    <xf numFmtId="176" fontId="6" fillId="0" borderId="60" xfId="29" applyNumberFormat="1" applyFont="1" applyBorder="1" applyAlignment="1">
      <alignment horizontal="center"/>
    </xf>
    <xf numFmtId="176" fontId="82" fillId="0" borderId="24" xfId="29" applyNumberFormat="1" applyFont="1" applyBorder="1" applyAlignment="1">
      <alignment horizontal="center"/>
    </xf>
    <xf numFmtId="0" fontId="82" fillId="26" borderId="0" xfId="0" applyFont="1" applyFill="1"/>
    <xf numFmtId="166" fontId="6" fillId="0" borderId="60" xfId="29" applyNumberFormat="1" applyFont="1" applyBorder="1" applyAlignment="1" applyProtection="1">
      <alignment horizontal="center"/>
      <protection locked="0"/>
    </xf>
    <xf numFmtId="166" fontId="6" fillId="0" borderId="61" xfId="29" applyNumberFormat="1" applyFont="1" applyBorder="1" applyAlignment="1" applyProtection="1">
      <alignment horizontal="center"/>
      <protection locked="0"/>
    </xf>
    <xf numFmtId="166" fontId="6" fillId="0" borderId="24" xfId="29" applyNumberFormat="1" applyFont="1" applyBorder="1" applyAlignment="1" applyProtection="1">
      <alignment horizontal="center"/>
      <protection locked="0"/>
    </xf>
    <xf numFmtId="178" fontId="27" fillId="0" borderId="14" xfId="29" applyNumberFormat="1" applyFont="1" applyBorder="1" applyAlignment="1" applyProtection="1">
      <alignment horizontal="center"/>
      <protection locked="0"/>
    </xf>
    <xf numFmtId="170" fontId="27" fillId="0" borderId="62" xfId="86" applyNumberFormat="1" applyFont="1" applyBorder="1"/>
    <xf numFmtId="0" fontId="5" fillId="0" borderId="1" xfId="75" applyFont="1" applyBorder="1" applyAlignment="1">
      <alignment horizontal="center" vertical="center"/>
    </xf>
    <xf numFmtId="2" fontId="57" fillId="0" borderId="1" xfId="75" applyNumberFormat="1" applyFont="1" applyBorder="1" applyAlignment="1" applyProtection="1">
      <alignment horizontal="center"/>
      <protection locked="0"/>
    </xf>
    <xf numFmtId="2" fontId="57" fillId="8" borderId="1" xfId="75" applyNumberFormat="1" applyFont="1" applyFill="1" applyBorder="1" applyAlignment="1" applyProtection="1">
      <alignment horizontal="center"/>
      <protection locked="0"/>
    </xf>
    <xf numFmtId="0" fontId="57" fillId="8" borderId="1" xfId="75" applyFont="1" applyFill="1" applyBorder="1"/>
    <xf numFmtId="0" fontId="57" fillId="0" borderId="1" xfId="75" applyFont="1" applyBorder="1"/>
    <xf numFmtId="0" fontId="6" fillId="5" borderId="63" xfId="79" applyFont="1" applyFill="1" applyBorder="1" applyAlignment="1">
      <alignment horizontal="center" vertical="center"/>
    </xf>
    <xf numFmtId="0" fontId="6" fillId="5" borderId="64" xfId="79" applyFont="1" applyFill="1" applyBorder="1" applyAlignment="1">
      <alignment horizontal="center" vertical="center"/>
    </xf>
    <xf numFmtId="2" fontId="2" fillId="8" borderId="14" xfId="76" applyNumberFormat="1" applyFill="1" applyBorder="1" applyAlignment="1" applyProtection="1">
      <alignment horizontal="center"/>
      <protection locked="0"/>
    </xf>
    <xf numFmtId="2" fontId="32" fillId="8" borderId="14" xfId="75" applyNumberFormat="1" applyFill="1" applyBorder="1" applyAlignment="1" applyProtection="1">
      <alignment horizontal="center"/>
      <protection locked="0"/>
    </xf>
    <xf numFmtId="2" fontId="57" fillId="8" borderId="14" xfId="75" applyNumberFormat="1" applyFont="1" applyFill="1" applyBorder="1" applyAlignment="1" applyProtection="1">
      <alignment horizontal="center"/>
      <protection locked="0"/>
    </xf>
    <xf numFmtId="0" fontId="1" fillId="3" borderId="0" xfId="75" applyFont="1" applyFill="1"/>
    <xf numFmtId="2" fontId="1" fillId="4" borderId="1" xfId="76" applyNumberFormat="1" applyFont="1" applyFill="1" applyBorder="1" applyAlignment="1" applyProtection="1">
      <alignment horizontal="center"/>
      <protection locked="0"/>
    </xf>
    <xf numFmtId="179" fontId="10" fillId="25" borderId="5" xfId="79" applyNumberFormat="1" applyFont="1" applyFill="1" applyBorder="1"/>
    <xf numFmtId="179" fontId="10" fillId="10" borderId="43" xfId="79" applyNumberFormat="1" applyFont="1" applyFill="1" applyBorder="1"/>
    <xf numFmtId="0" fontId="16" fillId="10" borderId="65" xfId="78" applyFont="1" applyFill="1" applyBorder="1" applyProtection="1">
      <protection locked="0"/>
    </xf>
    <xf numFmtId="170" fontId="16" fillId="10" borderId="66" xfId="29" applyFont="1" applyFill="1" applyBorder="1" applyProtection="1">
      <protection locked="0"/>
    </xf>
    <xf numFmtId="0" fontId="10" fillId="0" borderId="20" xfId="78" applyFont="1" applyBorder="1" applyProtection="1">
      <protection locked="0"/>
    </xf>
    <xf numFmtId="0" fontId="22" fillId="0" borderId="0" xfId="0" applyFont="1"/>
    <xf numFmtId="0" fontId="22" fillId="2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53" applyFont="1"/>
    <xf numFmtId="0" fontId="22" fillId="0" borderId="0" xfId="53" applyFont="1" applyAlignment="1">
      <alignment vertical="top"/>
    </xf>
    <xf numFmtId="0" fontId="22" fillId="0" borderId="6" xfId="0" applyFont="1" applyBorder="1"/>
    <xf numFmtId="0" fontId="22" fillId="2" borderId="1" xfId="0" applyFont="1" applyFill="1" applyBorder="1"/>
    <xf numFmtId="0" fontId="22" fillId="0" borderId="1" xfId="0" applyFont="1" applyBorder="1"/>
    <xf numFmtId="0" fontId="22" fillId="2" borderId="0" xfId="0" applyFont="1" applyFill="1"/>
    <xf numFmtId="0" fontId="22" fillId="12" borderId="0" xfId="0" applyFont="1" applyFill="1" applyAlignment="1">
      <alignment horizontal="center"/>
    </xf>
    <xf numFmtId="0" fontId="59" fillId="13" borderId="0" xfId="38" applyFont="1" applyFill="1" applyAlignment="1">
      <alignment horizontal="center" vertical="center"/>
    </xf>
    <xf numFmtId="0" fontId="42" fillId="14" borderId="0" xfId="38" applyFill="1" applyAlignment="1">
      <alignment horizontal="center"/>
    </xf>
    <xf numFmtId="0" fontId="42" fillId="15" borderId="0" xfId="38" applyFill="1" applyAlignment="1">
      <alignment horizontal="center"/>
    </xf>
    <xf numFmtId="0" fontId="42" fillId="16" borderId="0" xfId="38" applyFill="1" applyAlignment="1">
      <alignment horizontal="center"/>
    </xf>
    <xf numFmtId="0" fontId="42" fillId="17" borderId="0" xfId="38" applyFill="1" applyAlignment="1">
      <alignment horizontal="center"/>
    </xf>
    <xf numFmtId="0" fontId="42" fillId="7" borderId="0" xfId="38" applyFill="1" applyAlignment="1">
      <alignment horizontal="center"/>
    </xf>
    <xf numFmtId="0" fontId="42" fillId="18" borderId="0" xfId="38" applyFill="1" applyAlignment="1">
      <alignment horizontal="center"/>
    </xf>
    <xf numFmtId="0" fontId="42" fillId="13" borderId="0" xfId="38" applyFill="1" applyAlignment="1">
      <alignment horizontal="center"/>
    </xf>
    <xf numFmtId="0" fontId="42" fillId="19" borderId="0" xfId="38" applyFill="1" applyAlignment="1">
      <alignment horizontal="center"/>
    </xf>
    <xf numFmtId="0" fontId="42" fillId="20" borderId="0" xfId="38" applyFill="1" applyAlignment="1">
      <alignment horizontal="center"/>
    </xf>
    <xf numFmtId="0" fontId="42" fillId="21" borderId="0" xfId="38" applyFill="1" applyAlignment="1">
      <alignment horizontal="center"/>
    </xf>
    <xf numFmtId="0" fontId="42" fillId="0" borderId="0" xfId="38" applyAlignment="1">
      <alignment horizontal="center"/>
    </xf>
    <xf numFmtId="0" fontId="5" fillId="0" borderId="0" xfId="52" applyFont="1" applyAlignment="1">
      <alignment horizontal="center" vertical="top"/>
    </xf>
    <xf numFmtId="0" fontId="22" fillId="2" borderId="67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center"/>
    </xf>
    <xf numFmtId="3" fontId="6" fillId="2" borderId="24" xfId="52" applyNumberFormat="1" applyFont="1" applyFill="1" applyBorder="1" applyAlignment="1">
      <alignment horizontal="center" vertical="top"/>
    </xf>
    <xf numFmtId="0" fontId="22" fillId="0" borderId="68" xfId="0" applyFont="1" applyBorder="1" applyAlignment="1">
      <alignment horizontal="center" vertical="center"/>
    </xf>
    <xf numFmtId="0" fontId="22" fillId="2" borderId="16" xfId="0" applyFont="1" applyFill="1" applyBorder="1" applyAlignment="1">
      <alignment horizontal="center" vertical="center"/>
    </xf>
    <xf numFmtId="0" fontId="22" fillId="27" borderId="0" xfId="0" applyFont="1" applyFill="1" applyAlignment="1">
      <alignment horizontal="center" vertical="center"/>
    </xf>
    <xf numFmtId="0" fontId="22" fillId="2" borderId="69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173" fontId="60" fillId="0" borderId="70" xfId="90" applyNumberFormat="1" applyFont="1" applyBorder="1" applyProtection="1">
      <protection locked="0"/>
    </xf>
    <xf numFmtId="173" fontId="60" fillId="0" borderId="70" xfId="90" applyNumberFormat="1" applyFont="1" applyBorder="1"/>
    <xf numFmtId="172" fontId="0" fillId="0" borderId="71" xfId="0" applyNumberFormat="1" applyBorder="1"/>
    <xf numFmtId="0" fontId="22" fillId="0" borderId="7" xfId="0" applyFont="1" applyBorder="1"/>
    <xf numFmtId="0" fontId="0" fillId="0" borderId="48" xfId="0" applyBorder="1" applyAlignment="1">
      <alignment horizontal="center"/>
    </xf>
    <xf numFmtId="173" fontId="60" fillId="0" borderId="14" xfId="90" applyNumberFormat="1" applyFont="1" applyBorder="1" applyProtection="1">
      <protection locked="0"/>
    </xf>
    <xf numFmtId="172" fontId="0" fillId="0" borderId="14" xfId="0" applyNumberFormat="1" applyBorder="1"/>
    <xf numFmtId="0" fontId="0" fillId="0" borderId="22" xfId="0" applyBorder="1" applyAlignment="1">
      <alignment horizontal="center"/>
    </xf>
    <xf numFmtId="172" fontId="0" fillId="0" borderId="1" xfId="0" applyNumberFormat="1" applyBorder="1"/>
    <xf numFmtId="0" fontId="6" fillId="2" borderId="24" xfId="52" applyFont="1" applyFill="1" applyBorder="1" applyAlignment="1">
      <alignment horizontal="center" vertical="top"/>
    </xf>
    <xf numFmtId="0" fontId="22" fillId="2" borderId="29" xfId="0" applyFont="1" applyFill="1" applyBorder="1" applyAlignment="1">
      <alignment horizontal="center" vertical="center"/>
    </xf>
    <xf numFmtId="3" fontId="6" fillId="2" borderId="24" xfId="52" applyNumberFormat="1" applyFont="1" applyFill="1" applyBorder="1" applyAlignment="1">
      <alignment horizontal="center" vertical="top" wrapText="1"/>
    </xf>
    <xf numFmtId="3" fontId="6" fillId="10" borderId="24" xfId="52" applyNumberFormat="1" applyFont="1" applyFill="1" applyBorder="1" applyAlignment="1">
      <alignment horizontal="center" vertical="top"/>
    </xf>
    <xf numFmtId="0" fontId="22" fillId="2" borderId="18" xfId="0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3" fontId="22" fillId="2" borderId="69" xfId="0" applyNumberFormat="1" applyFont="1" applyFill="1" applyBorder="1" applyAlignment="1">
      <alignment horizontal="center"/>
    </xf>
    <xf numFmtId="3" fontId="22" fillId="10" borderId="69" xfId="0" applyNumberFormat="1" applyFont="1" applyFill="1" applyBorder="1" applyAlignment="1">
      <alignment horizontal="center"/>
    </xf>
    <xf numFmtId="3" fontId="22" fillId="28" borderId="69" xfId="0" applyNumberFormat="1" applyFont="1" applyFill="1" applyBorder="1" applyAlignment="1">
      <alignment horizontal="center"/>
    </xf>
    <xf numFmtId="0" fontId="22" fillId="28" borderId="69" xfId="0" applyFont="1" applyFill="1" applyBorder="1" applyAlignment="1">
      <alignment horizontal="center"/>
    </xf>
    <xf numFmtId="3" fontId="22" fillId="24" borderId="69" xfId="0" applyNumberFormat="1" applyFont="1" applyFill="1" applyBorder="1" applyAlignment="1">
      <alignment horizontal="center"/>
    </xf>
    <xf numFmtId="0" fontId="22" fillId="24" borderId="69" xfId="0" applyFont="1" applyFill="1" applyBorder="1" applyAlignment="1">
      <alignment horizontal="center"/>
    </xf>
    <xf numFmtId="0" fontId="22" fillId="10" borderId="69" xfId="0" applyFont="1" applyFill="1" applyBorder="1" applyAlignment="1">
      <alignment horizontal="center"/>
    </xf>
    <xf numFmtId="0" fontId="83" fillId="27" borderId="0" xfId="0" applyFont="1" applyFill="1"/>
    <xf numFmtId="0" fontId="0" fillId="0" borderId="1" xfId="0" applyBorder="1" applyAlignment="1">
      <alignment horizontal="center"/>
    </xf>
    <xf numFmtId="0" fontId="0" fillId="27" borderId="0" xfId="0" applyFill="1"/>
    <xf numFmtId="0" fontId="22" fillId="0" borderId="1" xfId="53" applyFont="1" applyBorder="1"/>
    <xf numFmtId="0" fontId="0" fillId="0" borderId="74" xfId="0" applyBorder="1" applyAlignment="1">
      <alignment horizontal="center"/>
    </xf>
    <xf numFmtId="173" fontId="60" fillId="0" borderId="75" xfId="90" applyNumberFormat="1" applyFont="1" applyBorder="1" applyProtection="1">
      <protection locked="0"/>
    </xf>
    <xf numFmtId="173" fontId="60" fillId="0" borderId="17" xfId="90" applyNumberFormat="1" applyFont="1" applyBorder="1" applyProtection="1">
      <protection locked="0"/>
    </xf>
    <xf numFmtId="172" fontId="0" fillId="0" borderId="5" xfId="0" applyNumberFormat="1" applyBorder="1"/>
    <xf numFmtId="3" fontId="22" fillId="10" borderId="24" xfId="0" applyNumberFormat="1" applyFont="1" applyFill="1" applyBorder="1" applyAlignment="1">
      <alignment horizontal="center" vertical="top"/>
    </xf>
    <xf numFmtId="0" fontId="22" fillId="10" borderId="24" xfId="0" applyFont="1" applyFill="1" applyBorder="1" applyAlignment="1">
      <alignment horizontal="center" vertical="top"/>
    </xf>
    <xf numFmtId="3" fontId="22" fillId="0" borderId="6" xfId="0" applyNumberFormat="1" applyFont="1" applyBorder="1"/>
    <xf numFmtId="0" fontId="22" fillId="0" borderId="1" xfId="53" applyFont="1" applyBorder="1" applyAlignment="1">
      <alignment vertical="top"/>
    </xf>
    <xf numFmtId="0" fontId="22" fillId="2" borderId="68" xfId="0" applyFont="1" applyFill="1" applyBorder="1" applyAlignment="1">
      <alignment horizontal="center"/>
    </xf>
    <xf numFmtId="173" fontId="60" fillId="0" borderId="76" xfId="90" applyNumberFormat="1" applyFont="1" applyBorder="1" applyProtection="1">
      <protection locked="0"/>
    </xf>
    <xf numFmtId="3" fontId="84" fillId="0" borderId="0" xfId="0" applyNumberFormat="1" applyFont="1" applyAlignment="1">
      <alignment horizontal="right" vertical="center"/>
    </xf>
    <xf numFmtId="0" fontId="61" fillId="0" borderId="0" xfId="85" applyFont="1"/>
    <xf numFmtId="0" fontId="22" fillId="0" borderId="0" xfId="0" applyFont="1" applyAlignment="1">
      <alignment horizontal="center"/>
    </xf>
    <xf numFmtId="1" fontId="22" fillId="2" borderId="1" xfId="0" applyNumberFormat="1" applyFont="1" applyFill="1" applyBorder="1" applyAlignment="1">
      <alignment horizontal="center"/>
    </xf>
    <xf numFmtId="1" fontId="22" fillId="0" borderId="1" xfId="0" applyNumberFormat="1" applyFont="1" applyBorder="1" applyAlignment="1">
      <alignment horizontal="center"/>
    </xf>
    <xf numFmtId="172" fontId="22" fillId="2" borderId="1" xfId="0" applyNumberFormat="1" applyFont="1" applyFill="1" applyBorder="1" applyAlignment="1">
      <alignment horizontal="center"/>
    </xf>
    <xf numFmtId="172" fontId="22" fillId="0" borderId="1" xfId="0" applyNumberFormat="1" applyFont="1" applyBorder="1" applyAlignment="1">
      <alignment horizontal="center"/>
    </xf>
    <xf numFmtId="0" fontId="62" fillId="0" borderId="0" xfId="85" applyFont="1"/>
    <xf numFmtId="0" fontId="22" fillId="0" borderId="5" xfId="0" applyFont="1" applyBorder="1"/>
    <xf numFmtId="0" fontId="22" fillId="0" borderId="5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61" fillId="0" borderId="0" xfId="85" applyNumberFormat="1" applyFont="1"/>
    <xf numFmtId="0" fontId="61" fillId="0" borderId="0" xfId="85" applyFont="1" applyAlignment="1">
      <alignment vertical="center"/>
    </xf>
    <xf numFmtId="0" fontId="62" fillId="0" borderId="0" xfId="85" applyFont="1" applyAlignment="1">
      <alignment horizontal="center" vertical="center"/>
    </xf>
    <xf numFmtId="0" fontId="61" fillId="0" borderId="0" xfId="84" applyFont="1"/>
    <xf numFmtId="0" fontId="65" fillId="0" borderId="5" xfId="84" applyFont="1" applyBorder="1"/>
    <xf numFmtId="0" fontId="65" fillId="0" borderId="5" xfId="84" applyFont="1" applyBorder="1" applyAlignment="1">
      <alignment horizontal="center"/>
    </xf>
    <xf numFmtId="0" fontId="65" fillId="0" borderId="1" xfId="84" applyFont="1" applyBorder="1"/>
    <xf numFmtId="0" fontId="65" fillId="0" borderId="1" xfId="84" applyFont="1" applyBorder="1" applyAlignment="1">
      <alignment horizontal="center"/>
    </xf>
    <xf numFmtId="0" fontId="64" fillId="0" borderId="1" xfId="84" applyFont="1" applyBorder="1" applyAlignment="1">
      <alignment horizontal="center"/>
    </xf>
    <xf numFmtId="0" fontId="65" fillId="0" borderId="14" xfId="84" applyFont="1" applyBorder="1"/>
    <xf numFmtId="0" fontId="65" fillId="0" borderId="14" xfId="84" applyFont="1" applyBorder="1" applyAlignment="1">
      <alignment horizontal="center"/>
    </xf>
    <xf numFmtId="1" fontId="64" fillId="0" borderId="1" xfId="84" applyNumberFormat="1" applyFont="1" applyBorder="1" applyAlignment="1">
      <alignment horizontal="center"/>
    </xf>
    <xf numFmtId="0" fontId="65" fillId="0" borderId="8" xfId="84" applyFont="1" applyBorder="1" applyAlignment="1">
      <alignment horizontal="center"/>
    </xf>
    <xf numFmtId="0" fontId="65" fillId="0" borderId="8" xfId="84" applyFont="1" applyBorder="1"/>
    <xf numFmtId="1" fontId="64" fillId="0" borderId="1" xfId="84" quotePrefix="1" applyNumberFormat="1" applyFont="1" applyBorder="1" applyAlignment="1">
      <alignment horizontal="center"/>
    </xf>
    <xf numFmtId="0" fontId="65" fillId="0" borderId="1" xfId="84" applyFont="1" applyBorder="1" applyAlignment="1">
      <alignment horizontal="center" vertical="center"/>
    </xf>
    <xf numFmtId="0" fontId="65" fillId="0" borderId="5" xfId="84" applyFont="1" applyBorder="1" applyAlignment="1">
      <alignment horizontal="center" vertical="center"/>
    </xf>
    <xf numFmtId="1" fontId="64" fillId="0" borderId="5" xfId="84" applyNumberFormat="1" applyFont="1" applyBorder="1" applyAlignment="1">
      <alignment horizontal="center"/>
    </xf>
    <xf numFmtId="0" fontId="84" fillId="29" borderId="0" xfId="0" applyFont="1" applyFill="1" applyAlignment="1">
      <alignment horizontal="right" vertical="center"/>
    </xf>
    <xf numFmtId="180" fontId="66" fillId="0" borderId="0" xfId="0" applyNumberFormat="1" applyFont="1" applyAlignment="1">
      <alignment horizontal="right" vertical="center"/>
    </xf>
    <xf numFmtId="3" fontId="66" fillId="0" borderId="0" xfId="0" applyNumberFormat="1" applyFont="1" applyAlignment="1">
      <alignment horizontal="right" vertical="center"/>
    </xf>
    <xf numFmtId="180" fontId="84" fillId="0" borderId="0" xfId="0" applyNumberFormat="1" applyFont="1" applyAlignment="1">
      <alignment horizontal="right" vertical="center"/>
    </xf>
    <xf numFmtId="0" fontId="9" fillId="5" borderId="10" xfId="81" applyFont="1" applyFill="1" applyBorder="1" applyAlignment="1">
      <alignment horizontal="center"/>
    </xf>
    <xf numFmtId="0" fontId="6" fillId="5" borderId="30" xfId="81" applyFont="1" applyFill="1" applyBorder="1" applyAlignment="1">
      <alignment horizontal="center"/>
    </xf>
    <xf numFmtId="0" fontId="4" fillId="0" borderId="0" xfId="89" applyFont="1"/>
    <xf numFmtId="0" fontId="9" fillId="5" borderId="11" xfId="81" applyFont="1" applyFill="1" applyBorder="1" applyAlignment="1">
      <alignment horizontal="center"/>
    </xf>
    <xf numFmtId="0" fontId="6" fillId="5" borderId="54" xfId="81" applyFont="1" applyFill="1" applyBorder="1" applyAlignment="1">
      <alignment horizontal="center"/>
    </xf>
    <xf numFmtId="0" fontId="29" fillId="5" borderId="18" xfId="81" applyFont="1" applyFill="1" applyBorder="1" applyAlignment="1" applyProtection="1">
      <alignment horizontal="center" vertical="center"/>
      <protection locked="0"/>
    </xf>
    <xf numFmtId="0" fontId="9" fillId="5" borderId="19" xfId="81" applyFont="1" applyFill="1" applyBorder="1" applyAlignment="1" applyProtection="1">
      <alignment horizontal="center" vertical="center"/>
      <protection locked="0"/>
    </xf>
    <xf numFmtId="0" fontId="9" fillId="5" borderId="53" xfId="81" applyFont="1" applyFill="1" applyBorder="1" applyAlignment="1">
      <alignment horizontal="center"/>
    </xf>
    <xf numFmtId="0" fontId="9" fillId="5" borderId="19" xfId="80" applyFont="1" applyFill="1" applyBorder="1" applyAlignment="1">
      <alignment horizontal="center"/>
    </xf>
    <xf numFmtId="0" fontId="6" fillId="5" borderId="30" xfId="80" applyFont="1" applyFill="1" applyBorder="1" applyAlignment="1">
      <alignment horizontal="center"/>
    </xf>
    <xf numFmtId="0" fontId="27" fillId="0" borderId="25" xfId="89" applyFont="1" applyBorder="1" applyProtection="1">
      <protection locked="0"/>
    </xf>
    <xf numFmtId="0" fontId="27" fillId="0" borderId="21" xfId="89" applyFont="1" applyBorder="1" applyAlignment="1" applyProtection="1">
      <alignment horizontal="center"/>
      <protection locked="0"/>
    </xf>
    <xf numFmtId="172" fontId="27" fillId="2" borderId="21" xfId="89" applyNumberFormat="1" applyFont="1" applyFill="1" applyBorder="1" applyAlignment="1" applyProtection="1">
      <alignment horizontal="center"/>
      <protection locked="0"/>
    </xf>
    <xf numFmtId="179" fontId="10" fillId="0" borderId="1" xfId="80" applyNumberFormat="1" applyFont="1" applyBorder="1"/>
    <xf numFmtId="177" fontId="27" fillId="2" borderId="21" xfId="89" applyNumberFormat="1" applyFont="1" applyFill="1" applyBorder="1" applyAlignment="1">
      <alignment horizontal="center"/>
    </xf>
    <xf numFmtId="177" fontId="27" fillId="30" borderId="21" xfId="89" applyNumberFormat="1" applyFont="1" applyFill="1" applyBorder="1" applyAlignment="1">
      <alignment horizontal="center"/>
    </xf>
    <xf numFmtId="172" fontId="27" fillId="2" borderId="21" xfId="89" applyNumberFormat="1" applyFont="1" applyFill="1" applyBorder="1" applyAlignment="1">
      <alignment horizontal="center"/>
    </xf>
    <xf numFmtId="170" fontId="27" fillId="0" borderId="21" xfId="88" applyNumberFormat="1" applyFont="1" applyBorder="1" applyProtection="1">
      <protection locked="0"/>
    </xf>
    <xf numFmtId="170" fontId="27" fillId="0" borderId="48" xfId="88" applyNumberFormat="1" applyFont="1" applyBorder="1" applyProtection="1">
      <protection locked="0"/>
    </xf>
    <xf numFmtId="170" fontId="27" fillId="0" borderId="21" xfId="89" applyNumberFormat="1" applyFont="1" applyBorder="1"/>
    <xf numFmtId="0" fontId="27" fillId="0" borderId="20" xfId="89" applyFont="1" applyBorder="1" applyAlignment="1" applyProtection="1">
      <alignment horizontal="left"/>
      <protection locked="0"/>
    </xf>
    <xf numFmtId="0" fontId="27" fillId="0" borderId="22" xfId="89" applyFont="1" applyBorder="1" applyAlignment="1" applyProtection="1">
      <alignment horizontal="center"/>
      <protection locked="0"/>
    </xf>
    <xf numFmtId="170" fontId="27" fillId="0" borderId="22" xfId="88" applyNumberFormat="1" applyFont="1" applyBorder="1" applyProtection="1">
      <protection locked="0"/>
    </xf>
    <xf numFmtId="0" fontId="27" fillId="0" borderId="27" xfId="89" applyFont="1" applyBorder="1" applyAlignment="1" applyProtection="1">
      <alignment horizontal="center"/>
      <protection locked="0"/>
    </xf>
    <xf numFmtId="44" fontId="4" fillId="0" borderId="0" xfId="89" applyNumberFormat="1" applyFont="1"/>
    <xf numFmtId="0" fontId="27" fillId="0" borderId="20" xfId="89" applyFont="1" applyBorder="1" applyProtection="1">
      <protection locked="0"/>
    </xf>
    <xf numFmtId="0" fontId="27" fillId="0" borderId="20" xfId="89" quotePrefix="1" applyFont="1" applyBorder="1" applyProtection="1">
      <protection locked="0"/>
    </xf>
    <xf numFmtId="0" fontId="27" fillId="0" borderId="20" xfId="89" applyFont="1" applyBorder="1"/>
    <xf numFmtId="0" fontId="27" fillId="0" borderId="22" xfId="89" applyFont="1" applyBorder="1" applyAlignment="1">
      <alignment horizontal="center"/>
    </xf>
    <xf numFmtId="170" fontId="27" fillId="0" borderId="22" xfId="88" applyNumberFormat="1" applyFont="1" applyBorder="1"/>
    <xf numFmtId="0" fontId="27" fillId="0" borderId="1" xfId="88" applyFont="1" applyBorder="1"/>
    <xf numFmtId="0" fontId="27" fillId="0" borderId="1" xfId="88" applyFont="1" applyBorder="1" applyAlignment="1">
      <alignment horizontal="center"/>
    </xf>
    <xf numFmtId="2" fontId="27" fillId="0" borderId="22" xfId="88" applyNumberFormat="1" applyFont="1" applyBorder="1"/>
    <xf numFmtId="2" fontId="27" fillId="0" borderId="48" xfId="88" applyNumberFormat="1" applyFont="1" applyBorder="1"/>
    <xf numFmtId="0" fontId="27" fillId="0" borderId="26" xfId="89" applyFont="1" applyBorder="1"/>
    <xf numFmtId="0" fontId="27" fillId="0" borderId="23" xfId="89" applyFont="1" applyBorder="1" applyAlignment="1">
      <alignment horizontal="center"/>
    </xf>
    <xf numFmtId="170" fontId="27" fillId="0" borderId="23" xfId="88" applyNumberFormat="1" applyFont="1" applyBorder="1"/>
    <xf numFmtId="0" fontId="27" fillId="0" borderId="1" xfId="89" applyFont="1" applyBorder="1"/>
    <xf numFmtId="0" fontId="27" fillId="0" borderId="1" xfId="89" applyFont="1" applyBorder="1" applyAlignment="1">
      <alignment horizontal="center"/>
    </xf>
    <xf numFmtId="172" fontId="27" fillId="2" borderId="1" xfId="89" applyNumberFormat="1" applyFont="1" applyFill="1" applyBorder="1" applyAlignment="1">
      <alignment horizontal="center"/>
    </xf>
    <xf numFmtId="170" fontId="27" fillId="0" borderId="1" xfId="88" applyNumberFormat="1" applyFont="1" applyBorder="1"/>
    <xf numFmtId="0" fontId="28" fillId="0" borderId="24" xfId="89" applyFont="1" applyBorder="1" applyAlignment="1">
      <alignment horizontal="center"/>
    </xf>
    <xf numFmtId="0" fontId="28" fillId="0" borderId="9" xfId="89" applyFont="1" applyBorder="1" applyAlignment="1">
      <alignment horizontal="center"/>
    </xf>
    <xf numFmtId="167" fontId="30" fillId="0" borderId="24" xfId="89" applyNumberFormat="1" applyFont="1" applyBorder="1"/>
    <xf numFmtId="2" fontId="27" fillId="0" borderId="0" xfId="88" applyNumberFormat="1" applyFont="1" applyAlignment="1">
      <alignment horizontal="center" vertical="center"/>
    </xf>
    <xf numFmtId="170" fontId="27" fillId="0" borderId="0" xfId="89" applyNumberFormat="1" applyFont="1" applyAlignment="1">
      <alignment horizontal="center" vertical="center"/>
    </xf>
    <xf numFmtId="177" fontId="27" fillId="0" borderId="0" xfId="89" applyNumberFormat="1" applyFont="1" applyAlignment="1">
      <alignment horizontal="center"/>
    </xf>
    <xf numFmtId="0" fontId="4" fillId="0" borderId="0" xfId="88" applyFont="1"/>
    <xf numFmtId="170" fontId="4" fillId="0" borderId="0" xfId="88" applyNumberFormat="1" applyFont="1"/>
    <xf numFmtId="176" fontId="4" fillId="0" borderId="0" xfId="30" applyNumberFormat="1" applyFont="1"/>
    <xf numFmtId="0" fontId="28" fillId="0" borderId="0" xfId="89" applyFont="1" applyAlignment="1">
      <alignment horizontal="center"/>
    </xf>
    <xf numFmtId="170" fontId="27" fillId="0" borderId="0" xfId="89" applyNumberFormat="1" applyFont="1"/>
    <xf numFmtId="0" fontId="29" fillId="5" borderId="0" xfId="81" applyFont="1" applyFill="1" applyAlignment="1" applyProtection="1">
      <alignment horizontal="center" vertical="center"/>
      <protection locked="0"/>
    </xf>
    <xf numFmtId="0" fontId="9" fillId="5" borderId="0" xfId="81" applyFont="1" applyFill="1" applyAlignment="1" applyProtection="1">
      <alignment horizontal="center" vertical="center"/>
      <protection locked="0"/>
    </xf>
    <xf numFmtId="0" fontId="9" fillId="5" borderId="29" xfId="81" applyFont="1" applyFill="1" applyBorder="1" applyAlignment="1">
      <alignment horizontal="center"/>
    </xf>
    <xf numFmtId="0" fontId="9" fillId="5" borderId="0" xfId="80" applyFont="1" applyFill="1" applyAlignment="1">
      <alignment horizontal="center"/>
    </xf>
    <xf numFmtId="0" fontId="9" fillId="5" borderId="17" xfId="81" applyFont="1" applyFill="1" applyBorder="1" applyAlignment="1">
      <alignment horizontal="center"/>
    </xf>
    <xf numFmtId="0" fontId="6" fillId="5" borderId="29" xfId="80" applyFont="1" applyFill="1" applyBorder="1" applyAlignment="1">
      <alignment horizontal="center"/>
    </xf>
    <xf numFmtId="0" fontId="6" fillId="5" borderId="29" xfId="81" applyFont="1" applyFill="1" applyBorder="1" applyAlignment="1">
      <alignment horizontal="center"/>
    </xf>
    <xf numFmtId="0" fontId="27" fillId="0" borderId="6" xfId="89" applyFont="1" applyBorder="1" applyAlignment="1" applyProtection="1">
      <alignment horizontal="left"/>
      <protection locked="0"/>
    </xf>
    <xf numFmtId="0" fontId="27" fillId="0" borderId="6" xfId="89" applyFont="1" applyBorder="1" applyAlignment="1" applyProtection="1">
      <alignment horizontal="center"/>
      <protection locked="0"/>
    </xf>
    <xf numFmtId="170" fontId="27" fillId="0" borderId="1" xfId="88" applyNumberFormat="1" applyFont="1" applyBorder="1" applyProtection="1">
      <protection locked="0"/>
    </xf>
    <xf numFmtId="170" fontId="4" fillId="0" borderId="0" xfId="89" applyNumberFormat="1" applyFont="1"/>
    <xf numFmtId="0" fontId="27" fillId="0" borderId="6" xfId="89" applyFont="1" applyBorder="1" applyProtection="1">
      <protection locked="0"/>
    </xf>
    <xf numFmtId="0" fontId="27" fillId="0" borderId="6" xfId="89" quotePrefix="1" applyFont="1" applyBorder="1" applyProtection="1">
      <protection locked="0"/>
    </xf>
    <xf numFmtId="172" fontId="27" fillId="0" borderId="22" xfId="88" applyNumberFormat="1" applyFont="1" applyBorder="1" applyAlignment="1">
      <alignment horizontal="center"/>
    </xf>
    <xf numFmtId="172" fontId="27" fillId="0" borderId="48" xfId="88" applyNumberFormat="1" applyFont="1" applyBorder="1" applyAlignment="1">
      <alignment horizontal="center"/>
    </xf>
    <xf numFmtId="0" fontId="28" fillId="0" borderId="1" xfId="89" applyFont="1" applyBorder="1" applyAlignment="1">
      <alignment horizontal="center"/>
    </xf>
    <xf numFmtId="167" fontId="30" fillId="0" borderId="1" xfId="89" applyNumberFormat="1" applyFont="1" applyBorder="1"/>
    <xf numFmtId="178" fontId="27" fillId="0" borderId="1" xfId="30" applyNumberFormat="1" applyFont="1" applyBorder="1" applyAlignment="1" applyProtection="1">
      <alignment horizontal="center"/>
      <protection locked="0"/>
    </xf>
    <xf numFmtId="178" fontId="4" fillId="0" borderId="0" xfId="89" applyNumberFormat="1" applyFont="1"/>
    <xf numFmtId="178" fontId="27" fillId="0" borderId="1" xfId="30" applyNumberFormat="1" applyFont="1" applyBorder="1" applyAlignment="1">
      <alignment horizontal="center"/>
    </xf>
    <xf numFmtId="172" fontId="27" fillId="0" borderId="22" xfId="88" applyNumberFormat="1" applyFont="1" applyBorder="1"/>
    <xf numFmtId="172" fontId="27" fillId="0" borderId="48" xfId="88" applyNumberFormat="1" applyFont="1" applyBorder="1"/>
    <xf numFmtId="178" fontId="4" fillId="0" borderId="0" xfId="88" applyNumberFormat="1" applyFont="1"/>
    <xf numFmtId="167" fontId="27" fillId="0" borderId="1" xfId="88" applyNumberFormat="1" applyFont="1" applyBorder="1" applyAlignment="1">
      <alignment horizontal="center"/>
    </xf>
    <xf numFmtId="172" fontId="27" fillId="0" borderId="1" xfId="88" applyNumberFormat="1" applyFont="1" applyBorder="1" applyAlignment="1">
      <alignment horizontal="center"/>
    </xf>
    <xf numFmtId="0" fontId="27" fillId="0" borderId="16" xfId="89" applyFont="1" applyBorder="1" applyAlignment="1" applyProtection="1">
      <alignment horizontal="left"/>
      <protection locked="0"/>
    </xf>
    <xf numFmtId="0" fontId="27" fillId="0" borderId="16" xfId="89" applyFont="1" applyBorder="1" applyAlignment="1" applyProtection="1">
      <alignment horizontal="center"/>
      <protection locked="0"/>
    </xf>
    <xf numFmtId="172" fontId="27" fillId="0" borderId="1" xfId="88" applyNumberFormat="1" applyFont="1" applyBorder="1"/>
    <xf numFmtId="44" fontId="4" fillId="0" borderId="0" xfId="88" applyNumberFormat="1" applyFont="1"/>
    <xf numFmtId="0" fontId="4" fillId="0" borderId="0" xfId="89" applyFont="1" applyAlignment="1">
      <alignment horizontal="center"/>
    </xf>
    <xf numFmtId="2" fontId="4" fillId="0" borderId="0" xfId="88" applyNumberFormat="1" applyFont="1"/>
    <xf numFmtId="0" fontId="0" fillId="0" borderId="1" xfId="0" applyBorder="1"/>
    <xf numFmtId="0" fontId="82" fillId="0" borderId="77" xfId="0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0" fontId="82" fillId="0" borderId="30" xfId="0" applyFont="1" applyBorder="1" applyAlignment="1">
      <alignment horizontal="center" vertical="center"/>
    </xf>
    <xf numFmtId="0" fontId="82" fillId="0" borderId="56" xfId="0" applyFont="1" applyBorder="1" applyAlignment="1">
      <alignment horizontal="center" vertical="center"/>
    </xf>
    <xf numFmtId="0" fontId="82" fillId="0" borderId="46" xfId="0" applyFont="1" applyBorder="1" applyAlignment="1">
      <alignment horizontal="center" vertical="center"/>
    </xf>
    <xf numFmtId="2" fontId="0" fillId="0" borderId="47" xfId="0" applyNumberFormat="1" applyFont="1" applyBorder="1" applyAlignment="1">
      <alignment horizontal="center" vertical="center"/>
    </xf>
    <xf numFmtId="0" fontId="82" fillId="0" borderId="78" xfId="0" applyFont="1" applyBorder="1" applyAlignment="1">
      <alignment horizontal="center" vertical="center"/>
    </xf>
    <xf numFmtId="0" fontId="82" fillId="0" borderId="49" xfId="0" applyFont="1" applyBorder="1" applyAlignment="1">
      <alignment horizontal="center" vertical="center"/>
    </xf>
    <xf numFmtId="0" fontId="82" fillId="0" borderId="40" xfId="0" applyFont="1" applyBorder="1" applyAlignment="1">
      <alignment horizontal="center" vertical="center"/>
    </xf>
    <xf numFmtId="2" fontId="0" fillId="0" borderId="47" xfId="0" applyNumberFormat="1" applyBorder="1" applyAlignment="1">
      <alignment horizontal="center" vertical="center"/>
    </xf>
    <xf numFmtId="176" fontId="0" fillId="0" borderId="47" xfId="0" applyNumberFormat="1" applyFont="1" applyBorder="1" applyAlignment="1">
      <alignment horizontal="center" vertical="center"/>
    </xf>
    <xf numFmtId="176" fontId="0" fillId="0" borderId="57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82" fillId="0" borderId="67" xfId="0" applyFont="1" applyBorder="1" applyAlignment="1">
      <alignment horizontal="center" vertical="center"/>
    </xf>
    <xf numFmtId="0" fontId="82" fillId="0" borderId="50" xfId="0" applyFont="1" applyBorder="1" applyAlignment="1">
      <alignment horizontal="center" vertical="center"/>
    </xf>
    <xf numFmtId="2" fontId="0" fillId="0" borderId="10" xfId="0" applyNumberFormat="1" applyFont="1" applyBorder="1" applyAlignment="1">
      <alignment horizontal="center" vertical="center"/>
    </xf>
    <xf numFmtId="176" fontId="0" fillId="0" borderId="10" xfId="0" applyNumberFormat="1" applyFon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76" fontId="0" fillId="0" borderId="30" xfId="0" applyNumberFormat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76" fontId="0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5" xfId="0" applyBorder="1"/>
    <xf numFmtId="1" fontId="0" fillId="23" borderId="1" xfId="0" applyNumberFormat="1" applyFill="1" applyBorder="1" applyAlignment="1">
      <alignment horizontal="center" vertical="center"/>
    </xf>
    <xf numFmtId="1" fontId="0" fillId="31" borderId="1" xfId="0" applyNumberFormat="1" applyFill="1" applyBorder="1" applyAlignment="1">
      <alignment horizontal="center" vertical="center"/>
    </xf>
    <xf numFmtId="1" fontId="82" fillId="0" borderId="1" xfId="0" applyNumberFormat="1" applyFont="1" applyBorder="1" applyAlignment="1">
      <alignment horizontal="center"/>
    </xf>
    <xf numFmtId="172" fontId="82" fillId="0" borderId="1" xfId="0" applyNumberFormat="1" applyFont="1" applyBorder="1" applyAlignment="1">
      <alignment horizontal="center"/>
    </xf>
    <xf numFmtId="0" fontId="16" fillId="10" borderId="66" xfId="78" applyFont="1" applyFill="1" applyBorder="1" applyProtection="1">
      <protection locked="0"/>
    </xf>
    <xf numFmtId="0" fontId="6" fillId="10" borderId="79" xfId="78" applyFont="1" applyFill="1" applyBorder="1" applyProtection="1">
      <protection locked="0"/>
    </xf>
    <xf numFmtId="0" fontId="6" fillId="10" borderId="80" xfId="78" applyFont="1" applyFill="1" applyBorder="1" applyProtection="1">
      <protection locked="0"/>
    </xf>
    <xf numFmtId="0" fontId="6" fillId="10" borderId="80" xfId="79" applyFont="1" applyFill="1" applyBorder="1"/>
    <xf numFmtId="179" fontId="6" fillId="10" borderId="80" xfId="79" applyNumberFormat="1" applyFont="1" applyFill="1" applyBorder="1"/>
    <xf numFmtId="179" fontId="6" fillId="10" borderId="80" xfId="79" applyNumberFormat="1" applyFont="1" applyFill="1" applyBorder="1" applyProtection="1">
      <protection locked="0"/>
    </xf>
    <xf numFmtId="0" fontId="6" fillId="10" borderId="80" xfId="78" applyFont="1" applyFill="1" applyBorder="1"/>
    <xf numFmtId="178" fontId="9" fillId="10" borderId="80" xfId="78" applyNumberFormat="1" applyFont="1" applyFill="1" applyBorder="1"/>
    <xf numFmtId="178" fontId="9" fillId="10" borderId="81" xfId="78" applyNumberFormat="1" applyFont="1" applyFill="1" applyBorder="1" applyAlignment="1">
      <alignment horizontal="center"/>
    </xf>
    <xf numFmtId="176" fontId="9" fillId="10" borderId="82" xfId="29" applyNumberFormat="1" applyFont="1" applyFill="1" applyBorder="1" applyAlignment="1">
      <alignment horizontal="center"/>
    </xf>
    <xf numFmtId="170" fontId="16" fillId="10" borderId="83" xfId="29" applyFont="1" applyFill="1" applyBorder="1" applyProtection="1">
      <protection locked="0"/>
    </xf>
    <xf numFmtId="175" fontId="10" fillId="10" borderId="84" xfId="79" applyNumberFormat="1" applyFont="1" applyFill="1" applyBorder="1" applyAlignment="1">
      <alignment horizontal="center"/>
    </xf>
    <xf numFmtId="179" fontId="6" fillId="10" borderId="13" xfId="79" applyNumberFormat="1" applyFont="1" applyFill="1" applyBorder="1" applyProtection="1">
      <protection locked="0"/>
    </xf>
    <xf numFmtId="0" fontId="14" fillId="0" borderId="25" xfId="78" applyFont="1" applyBorder="1" applyProtection="1">
      <protection locked="0"/>
    </xf>
    <xf numFmtId="0" fontId="14" fillId="2" borderId="47" xfId="78" applyFont="1" applyFill="1" applyBorder="1" applyAlignment="1">
      <alignment horizontal="center"/>
    </xf>
    <xf numFmtId="175" fontId="20" fillId="0" borderId="47" xfId="79" applyNumberFormat="1" applyFont="1" applyBorder="1" applyAlignment="1" applyProtection="1">
      <alignment horizontal="center"/>
      <protection locked="0"/>
    </xf>
    <xf numFmtId="179" fontId="10" fillId="25" borderId="47" xfId="79" applyNumberFormat="1" applyFont="1" applyFill="1" applyBorder="1"/>
    <xf numFmtId="179" fontId="10" fillId="0" borderId="47" xfId="79" applyNumberFormat="1" applyFont="1" applyBorder="1" applyProtection="1">
      <protection locked="0"/>
    </xf>
    <xf numFmtId="175" fontId="14" fillId="2" borderId="47" xfId="78" applyNumberFormat="1" applyFont="1" applyFill="1" applyBorder="1"/>
    <xf numFmtId="175" fontId="23" fillId="0" borderId="47" xfId="78" applyNumberFormat="1" applyFont="1" applyBorder="1" applyAlignment="1">
      <alignment horizontal="center"/>
    </xf>
    <xf numFmtId="0" fontId="10" fillId="0" borderId="55" xfId="78" applyFont="1" applyBorder="1" applyProtection="1">
      <protection locked="0"/>
    </xf>
    <xf numFmtId="175" fontId="20" fillId="0" borderId="85" xfId="79" applyNumberFormat="1" applyFont="1" applyBorder="1" applyAlignment="1" applyProtection="1">
      <alignment horizontal="center"/>
      <protection locked="0"/>
    </xf>
    <xf numFmtId="179" fontId="10" fillId="25" borderId="85" xfId="79" applyNumberFormat="1" applyFont="1" applyFill="1" applyBorder="1"/>
    <xf numFmtId="179" fontId="10" fillId="0" borderId="85" xfId="79" applyNumberFormat="1" applyFont="1" applyBorder="1" applyProtection="1">
      <protection locked="0"/>
    </xf>
    <xf numFmtId="175" fontId="14" fillId="2" borderId="85" xfId="78" applyNumberFormat="1" applyFont="1" applyFill="1" applyBorder="1"/>
    <xf numFmtId="175" fontId="23" fillId="0" borderId="85" xfId="78" applyNumberFormat="1" applyFont="1" applyBorder="1" applyAlignment="1">
      <alignment horizontal="center"/>
    </xf>
    <xf numFmtId="0" fontId="10" fillId="0" borderId="20" xfId="78" quotePrefix="1" applyFont="1" applyBorder="1" applyProtection="1">
      <protection locked="0"/>
    </xf>
    <xf numFmtId="175" fontId="16" fillId="10" borderId="66" xfId="78" applyNumberFormat="1" applyFont="1" applyFill="1" applyBorder="1" applyAlignment="1" applyProtection="1">
      <alignment horizontal="centerContinuous"/>
      <protection locked="0"/>
    </xf>
    <xf numFmtId="175" fontId="20" fillId="10" borderId="13" xfId="78" applyNumberFormat="1" applyFont="1" applyFill="1" applyBorder="1"/>
    <xf numFmtId="175" fontId="11" fillId="10" borderId="43" xfId="79" applyNumberFormat="1" applyFont="1" applyFill="1" applyBorder="1"/>
    <xf numFmtId="175" fontId="11" fillId="10" borderId="13" xfId="79" applyNumberFormat="1" applyFont="1" applyFill="1" applyBorder="1"/>
    <xf numFmtId="175" fontId="13" fillId="10" borderId="13" xfId="78" applyNumberFormat="1" applyFont="1" applyFill="1" applyBorder="1"/>
    <xf numFmtId="0" fontId="16" fillId="10" borderId="79" xfId="78" applyFont="1" applyFill="1" applyBorder="1" applyProtection="1">
      <protection locked="0"/>
    </xf>
    <xf numFmtId="0" fontId="16" fillId="10" borderId="80" xfId="78" applyFont="1" applyFill="1" applyBorder="1" applyProtection="1">
      <protection locked="0"/>
    </xf>
    <xf numFmtId="0" fontId="9" fillId="10" borderId="80" xfId="79" applyFont="1" applyFill="1" applyBorder="1"/>
    <xf numFmtId="179" fontId="9" fillId="10" borderId="80" xfId="79" applyNumberFormat="1" applyFont="1" applyFill="1" applyBorder="1"/>
    <xf numFmtId="179" fontId="9" fillId="10" borderId="80" xfId="79" applyNumberFormat="1" applyFont="1" applyFill="1" applyBorder="1" applyProtection="1">
      <protection locked="0"/>
    </xf>
    <xf numFmtId="0" fontId="16" fillId="10" borderId="80" xfId="78" applyFont="1" applyFill="1" applyBorder="1"/>
    <xf numFmtId="176" fontId="8" fillId="10" borderId="82" xfId="29" applyNumberFormat="1" applyFont="1" applyFill="1" applyBorder="1" applyAlignment="1">
      <alignment horizontal="center"/>
    </xf>
    <xf numFmtId="0" fontId="10" fillId="0" borderId="25" xfId="78" applyFont="1" applyBorder="1" applyProtection="1">
      <protection locked="0"/>
    </xf>
    <xf numFmtId="0" fontId="10" fillId="2" borderId="47" xfId="78" applyFont="1" applyFill="1" applyBorder="1" applyAlignment="1" applyProtection="1">
      <alignment horizontal="center"/>
      <protection locked="0"/>
    </xf>
    <xf numFmtId="0" fontId="10" fillId="2" borderId="85" xfId="78" applyFont="1" applyFill="1" applyBorder="1" applyAlignment="1">
      <alignment horizontal="center"/>
    </xf>
    <xf numFmtId="175" fontId="20" fillId="0" borderId="85" xfId="79" applyNumberFormat="1" applyFont="1" applyBorder="1" applyAlignment="1">
      <alignment horizontal="center"/>
    </xf>
    <xf numFmtId="175" fontId="14" fillId="2" borderId="86" xfId="78" applyNumberFormat="1" applyFont="1" applyFill="1" applyBorder="1"/>
    <xf numFmtId="170" fontId="24" fillId="0" borderId="86" xfId="29" applyFont="1" applyBorder="1" applyAlignment="1" applyProtection="1">
      <alignment horizontal="center"/>
      <protection locked="0"/>
    </xf>
    <xf numFmtId="176" fontId="9" fillId="0" borderId="64" xfId="29" applyNumberFormat="1" applyFont="1" applyBorder="1" applyAlignment="1">
      <alignment horizontal="center"/>
    </xf>
    <xf numFmtId="0" fontId="16" fillId="10" borderId="65" xfId="78" quotePrefix="1" applyFont="1" applyFill="1" applyBorder="1" applyProtection="1">
      <protection locked="0"/>
    </xf>
    <xf numFmtId="170" fontId="16" fillId="10" borderId="66" xfId="29" applyFont="1" applyFill="1" applyBorder="1" applyAlignment="1" applyProtection="1">
      <alignment horizontal="center"/>
      <protection locked="0"/>
    </xf>
    <xf numFmtId="0" fontId="9" fillId="10" borderId="80" xfId="79" applyFont="1" applyFill="1" applyBorder="1" applyProtection="1">
      <protection locked="0"/>
    </xf>
    <xf numFmtId="178" fontId="9" fillId="10" borderId="87" xfId="78" applyNumberFormat="1" applyFont="1" applyFill="1" applyBorder="1" applyAlignment="1">
      <alignment horizontal="center"/>
    </xf>
    <xf numFmtId="176" fontId="9" fillId="10" borderId="88" xfId="29" applyNumberFormat="1" applyFont="1" applyFill="1" applyBorder="1" applyAlignment="1">
      <alignment horizontal="center"/>
    </xf>
    <xf numFmtId="0" fontId="14" fillId="0" borderId="20" xfId="78" applyFont="1" applyBorder="1" applyAlignment="1" applyProtection="1">
      <alignment horizontal="left"/>
      <protection locked="0"/>
    </xf>
    <xf numFmtId="0" fontId="14" fillId="0" borderId="34" xfId="78" applyFont="1" applyBorder="1" applyProtection="1">
      <protection locked="0"/>
    </xf>
    <xf numFmtId="0" fontId="14" fillId="0" borderId="46" xfId="78" applyFont="1" applyBorder="1" applyProtection="1">
      <protection locked="0"/>
    </xf>
    <xf numFmtId="0" fontId="14" fillId="0" borderId="55" xfId="78" applyFont="1" applyBorder="1" applyProtection="1">
      <protection locked="0"/>
    </xf>
    <xf numFmtId="0" fontId="14" fillId="2" borderId="85" xfId="78" applyFont="1" applyFill="1" applyBorder="1" applyAlignment="1">
      <alignment horizontal="center"/>
    </xf>
    <xf numFmtId="0" fontId="18" fillId="10" borderId="89" xfId="79" applyFont="1" applyFill="1" applyBorder="1"/>
    <xf numFmtId="0" fontId="6" fillId="10" borderId="80" xfId="79" applyFont="1" applyFill="1" applyBorder="1" applyProtection="1">
      <protection locked="0"/>
    </xf>
    <xf numFmtId="178" fontId="9" fillId="10" borderId="0" xfId="78" applyNumberFormat="1" applyFont="1" applyFill="1" applyBorder="1"/>
    <xf numFmtId="0" fontId="10" fillId="0" borderId="56" xfId="78" applyFont="1" applyBorder="1" applyProtection="1">
      <protection locked="0"/>
    </xf>
    <xf numFmtId="172" fontId="0" fillId="25" borderId="0" xfId="0" applyNumberFormat="1" applyFill="1" applyBorder="1"/>
    <xf numFmtId="0" fontId="16" fillId="10" borderId="89" xfId="78" applyFont="1" applyFill="1" applyBorder="1" applyProtection="1">
      <protection locked="0"/>
    </xf>
    <xf numFmtId="178" fontId="9" fillId="10" borderId="13" xfId="29" applyNumberFormat="1" applyFont="1" applyFill="1" applyBorder="1"/>
    <xf numFmtId="178" fontId="9" fillId="10" borderId="43" xfId="29" applyNumberFormat="1" applyFont="1" applyFill="1" applyBorder="1" applyAlignment="1">
      <alignment horizontal="center"/>
    </xf>
    <xf numFmtId="0" fontId="14" fillId="0" borderId="90" xfId="78" applyFont="1" applyBorder="1" applyProtection="1">
      <protection locked="0"/>
    </xf>
    <xf numFmtId="0" fontId="10" fillId="0" borderId="67" xfId="78" applyFont="1" applyBorder="1" applyProtection="1">
      <protection locked="0"/>
    </xf>
    <xf numFmtId="178" fontId="9" fillId="10" borderId="91" xfId="78" applyNumberFormat="1" applyFont="1" applyFill="1" applyBorder="1"/>
    <xf numFmtId="178" fontId="9" fillId="10" borderId="91" xfId="78" applyNumberFormat="1" applyFont="1" applyFill="1" applyBorder="1" applyAlignment="1">
      <alignment horizontal="center"/>
    </xf>
    <xf numFmtId="176" fontId="9" fillId="10" borderId="92" xfId="29" applyNumberFormat="1" applyFont="1" applyFill="1" applyBorder="1" applyAlignment="1">
      <alignment horizontal="center"/>
    </xf>
    <xf numFmtId="0" fontId="10" fillId="2" borderId="47" xfId="78" applyFont="1" applyFill="1" applyBorder="1" applyAlignment="1">
      <alignment horizontal="center"/>
    </xf>
    <xf numFmtId="0" fontId="10" fillId="0" borderId="90" xfId="78" applyFont="1" applyBorder="1" applyProtection="1">
      <protection locked="0"/>
    </xf>
    <xf numFmtId="175" fontId="9" fillId="10" borderId="44" xfId="79" applyNumberFormat="1" applyFont="1" applyFill="1" applyBorder="1" applyAlignment="1">
      <alignment horizontal="center"/>
    </xf>
    <xf numFmtId="179" fontId="9" fillId="10" borderId="43" xfId="79" applyNumberFormat="1" applyFont="1" applyFill="1" applyBorder="1"/>
    <xf numFmtId="179" fontId="9" fillId="10" borderId="13" xfId="79" applyNumberFormat="1" applyFont="1" applyFill="1" applyBorder="1"/>
    <xf numFmtId="173" fontId="16" fillId="10" borderId="13" xfId="78" applyNumberFormat="1" applyFont="1" applyFill="1" applyBorder="1"/>
    <xf numFmtId="178" fontId="9" fillId="10" borderId="44" xfId="29" applyNumberFormat="1" applyFont="1" applyFill="1" applyBorder="1"/>
    <xf numFmtId="0" fontId="10" fillId="2" borderId="85" xfId="78" applyFont="1" applyFill="1" applyBorder="1" applyAlignment="1" applyProtection="1">
      <alignment horizontal="center"/>
      <protection locked="0"/>
    </xf>
    <xf numFmtId="0" fontId="14" fillId="0" borderId="93" xfId="78" applyFont="1" applyBorder="1" applyProtection="1">
      <protection locked="0"/>
    </xf>
    <xf numFmtId="0" fontId="14" fillId="2" borderId="0" xfId="78" applyFont="1" applyFill="1" applyBorder="1" applyAlignment="1" applyProtection="1">
      <alignment horizontal="center"/>
      <protection locked="0"/>
    </xf>
    <xf numFmtId="0" fontId="14" fillId="2" borderId="85" xfId="78" applyFont="1" applyFill="1" applyBorder="1" applyAlignment="1" applyProtection="1">
      <alignment horizontal="center"/>
      <protection locked="0"/>
    </xf>
    <xf numFmtId="0" fontId="14" fillId="0" borderId="67" xfId="78" applyFont="1" applyBorder="1" applyProtection="1">
      <protection locked="0"/>
    </xf>
    <xf numFmtId="170" fontId="16" fillId="10" borderId="94" xfId="29" applyFont="1" applyFill="1" applyBorder="1" applyProtection="1">
      <protection locked="0"/>
    </xf>
    <xf numFmtId="173" fontId="10" fillId="10" borderId="43" xfId="79" applyNumberFormat="1" applyFont="1" applyFill="1" applyBorder="1"/>
    <xf numFmtId="173" fontId="10" fillId="10" borderId="13" xfId="79" applyNumberFormat="1" applyFont="1" applyFill="1" applyBorder="1"/>
    <xf numFmtId="173" fontId="10" fillId="10" borderId="13" xfId="79" applyNumberFormat="1" applyFont="1" applyFill="1" applyBorder="1" applyProtection="1">
      <protection locked="0"/>
    </xf>
    <xf numFmtId="175" fontId="10" fillId="10" borderId="43" xfId="79" applyNumberFormat="1" applyFont="1" applyFill="1" applyBorder="1"/>
    <xf numFmtId="178" fontId="9" fillId="10" borderId="80" xfId="78" applyNumberFormat="1" applyFont="1" applyFill="1" applyBorder="1" applyAlignment="1">
      <alignment horizontal="left"/>
    </xf>
    <xf numFmtId="175" fontId="17" fillId="0" borderId="47" xfId="79" applyNumberFormat="1" applyFont="1" applyBorder="1" applyAlignment="1">
      <alignment horizontal="center"/>
    </xf>
    <xf numFmtId="173" fontId="10" fillId="6" borderId="47" xfId="79" applyNumberFormat="1" applyFont="1" applyFill="1" applyBorder="1"/>
    <xf numFmtId="173" fontId="10" fillId="6" borderId="47" xfId="79" applyNumberFormat="1" applyFont="1" applyFill="1" applyBorder="1" applyProtection="1">
      <protection locked="0"/>
    </xf>
    <xf numFmtId="175" fontId="14" fillId="6" borderId="47" xfId="78" applyNumberFormat="1" applyFont="1" applyFill="1" applyBorder="1"/>
    <xf numFmtId="175" fontId="14" fillId="2" borderId="51" xfId="78" applyNumberFormat="1" applyFont="1" applyFill="1" applyBorder="1"/>
    <xf numFmtId="0" fontId="9" fillId="0" borderId="34" xfId="78" applyFont="1" applyBorder="1" applyProtection="1">
      <protection locked="0"/>
    </xf>
    <xf numFmtId="0" fontId="9" fillId="0" borderId="46" xfId="78" applyFont="1" applyBorder="1" applyProtection="1">
      <protection locked="0"/>
    </xf>
    <xf numFmtId="0" fontId="9" fillId="0" borderId="55" xfId="78" applyFont="1" applyBorder="1" applyProtection="1">
      <protection locked="0"/>
    </xf>
    <xf numFmtId="0" fontId="10" fillId="2" borderId="85" xfId="78" quotePrefix="1" applyFont="1" applyFill="1" applyBorder="1" applyAlignment="1" applyProtection="1">
      <alignment horizontal="center"/>
      <protection locked="0"/>
    </xf>
    <xf numFmtId="175" fontId="17" fillId="0" borderId="85" xfId="79" applyNumberFormat="1" applyFont="1" applyBorder="1" applyAlignment="1">
      <alignment horizontal="center"/>
    </xf>
    <xf numFmtId="173" fontId="10" fillId="6" borderId="85" xfId="79" applyNumberFormat="1" applyFont="1" applyFill="1" applyBorder="1"/>
    <xf numFmtId="173" fontId="10" fillId="6" borderId="85" xfId="79" applyNumberFormat="1" applyFont="1" applyFill="1" applyBorder="1" applyProtection="1">
      <protection locked="0"/>
    </xf>
    <xf numFmtId="175" fontId="14" fillId="6" borderId="85" xfId="78" applyNumberFormat="1" applyFont="1" applyFill="1" applyBorder="1"/>
    <xf numFmtId="170" fontId="24" fillId="0" borderId="51" xfId="29" applyFont="1" applyBorder="1" applyAlignment="1" applyProtection="1">
      <alignment horizontal="center"/>
      <protection locked="0"/>
    </xf>
    <xf numFmtId="170" fontId="24" fillId="0" borderId="6" xfId="29" applyFont="1" applyBorder="1" applyAlignment="1" applyProtection="1">
      <alignment horizontal="center"/>
      <protection locked="0"/>
    </xf>
    <xf numFmtId="170" fontId="24" fillId="0" borderId="16" xfId="29" applyFont="1" applyBorder="1" applyAlignment="1" applyProtection="1">
      <alignment horizontal="center"/>
      <protection locked="0"/>
    </xf>
    <xf numFmtId="170" fontId="24" fillId="0" borderId="95" xfId="29" applyFont="1" applyBorder="1" applyAlignment="1" applyProtection="1">
      <alignment horizontal="center"/>
      <protection locked="0"/>
    </xf>
    <xf numFmtId="176" fontId="9" fillId="0" borderId="62" xfId="29" applyNumberFormat="1" applyFont="1" applyBorder="1" applyAlignment="1">
      <alignment horizontal="center"/>
    </xf>
    <xf numFmtId="176" fontId="9" fillId="0" borderId="73" xfId="29" applyNumberFormat="1" applyFont="1" applyBorder="1" applyAlignment="1">
      <alignment horizontal="center"/>
    </xf>
    <xf numFmtId="176" fontId="9" fillId="0" borderId="96" xfId="29" applyNumberFormat="1" applyFont="1" applyBorder="1" applyAlignment="1">
      <alignment horizontal="center"/>
    </xf>
    <xf numFmtId="178" fontId="9" fillId="0" borderId="56" xfId="78" applyNumberFormat="1" applyFont="1" applyBorder="1"/>
    <xf numFmtId="178" fontId="9" fillId="0" borderId="57" xfId="78" applyNumberFormat="1" applyFont="1" applyBorder="1" applyAlignment="1">
      <alignment horizontal="center"/>
    </xf>
    <xf numFmtId="178" fontId="9" fillId="0" borderId="46" xfId="78" applyNumberFormat="1" applyFont="1" applyBorder="1"/>
    <xf numFmtId="178" fontId="9" fillId="0" borderId="58" xfId="78" applyNumberFormat="1" applyFont="1" applyBorder="1" applyAlignment="1">
      <alignment horizontal="center"/>
    </xf>
    <xf numFmtId="178" fontId="9" fillId="0" borderId="59" xfId="78" applyNumberFormat="1" applyFont="1" applyBorder="1" applyAlignment="1">
      <alignment horizontal="center"/>
    </xf>
    <xf numFmtId="175" fontId="14" fillId="2" borderId="95" xfId="78" applyNumberFormat="1" applyFont="1" applyFill="1" applyBorder="1"/>
    <xf numFmtId="176" fontId="9" fillId="0" borderId="72" xfId="29" applyNumberFormat="1" applyFont="1" applyBorder="1" applyAlignment="1">
      <alignment horizontal="center"/>
    </xf>
    <xf numFmtId="178" fontId="9" fillId="0" borderId="97" xfId="78" applyNumberFormat="1" applyFont="1" applyBorder="1"/>
    <xf numFmtId="178" fontId="9" fillId="0" borderId="54" xfId="78" applyNumberFormat="1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32" borderId="108" xfId="0" applyFill="1" applyBorder="1" applyAlignment="1">
      <alignment horizontal="left" vertical="top" wrapText="1"/>
    </xf>
    <xf numFmtId="0" fontId="0" fillId="33" borderId="108" xfId="0" applyFill="1" applyBorder="1" applyAlignment="1">
      <alignment horizontal="left" vertical="top" wrapText="1"/>
    </xf>
    <xf numFmtId="206" fontId="85" fillId="34" borderId="108" xfId="0" applyNumberFormat="1" applyFont="1" applyFill="1" applyBorder="1" applyAlignment="1">
      <alignment horizontal="left" vertical="top" wrapText="1"/>
    </xf>
    <xf numFmtId="206" fontId="86" fillId="0" borderId="108" xfId="0" applyNumberFormat="1" applyFont="1" applyBorder="1" applyAlignment="1">
      <alignment horizontal="left" vertical="top" wrapText="1"/>
    </xf>
    <xf numFmtId="206" fontId="87" fillId="0" borderId="108" xfId="0" applyNumberFormat="1" applyFont="1" applyBorder="1" applyAlignment="1">
      <alignment horizontal="left" vertical="top" wrapText="1"/>
    </xf>
    <xf numFmtId="206" fontId="88" fillId="0" borderId="109" xfId="0" applyNumberFormat="1" applyFont="1" applyBorder="1" applyAlignment="1">
      <alignment horizontal="right" vertical="top" wrapText="1"/>
    </xf>
    <xf numFmtId="206" fontId="89" fillId="0" borderId="110" xfId="0" applyNumberFormat="1" applyFont="1" applyBorder="1" applyAlignment="1">
      <alignment horizontal="right" vertical="top" wrapText="1"/>
    </xf>
    <xf numFmtId="206" fontId="86" fillId="0" borderId="111" xfId="0" applyNumberFormat="1" applyFont="1" applyBorder="1" applyAlignment="1">
      <alignment horizontal="right" vertical="top" wrapText="1"/>
    </xf>
    <xf numFmtId="206" fontId="88" fillId="0" borderId="109" xfId="0" applyNumberFormat="1" applyFont="1" applyBorder="1" applyAlignment="1">
      <alignment horizontal="left" vertical="top" wrapText="1"/>
    </xf>
    <xf numFmtId="206" fontId="87" fillId="0" borderId="108" xfId="0" applyNumberFormat="1" applyFont="1" applyBorder="1" applyAlignment="1">
      <alignment horizontal="right" vertical="top" wrapText="1"/>
    </xf>
    <xf numFmtId="206" fontId="85" fillId="34" borderId="108" xfId="0" applyNumberFormat="1" applyFont="1" applyFill="1" applyBorder="1" applyAlignment="1">
      <alignment horizontal="right" vertical="top" wrapText="1"/>
    </xf>
    <xf numFmtId="0" fontId="0" fillId="0" borderId="112" xfId="0" applyBorder="1" applyAlignment="1">
      <alignment horizontal="left" vertical="top" wrapText="1"/>
    </xf>
    <xf numFmtId="0" fontId="0" fillId="0" borderId="113" xfId="0" applyBorder="1" applyAlignment="1">
      <alignment horizontal="left" vertical="top" wrapText="1"/>
    </xf>
    <xf numFmtId="206" fontId="85" fillId="34" borderId="114" xfId="0" applyNumberFormat="1" applyFont="1" applyFill="1" applyBorder="1" applyAlignment="1">
      <alignment horizontal="left" vertical="top" wrapText="1"/>
    </xf>
    <xf numFmtId="208" fontId="90" fillId="0" borderId="108" xfId="0" applyNumberFormat="1" applyFont="1" applyBorder="1" applyAlignment="1">
      <alignment horizontal="left" vertical="top" wrapText="1"/>
    </xf>
    <xf numFmtId="206" fontId="86" fillId="0" borderId="108" xfId="0" applyNumberFormat="1" applyFont="1" applyBorder="1" applyAlignment="1">
      <alignment horizontal="right" vertical="top" wrapText="1"/>
    </xf>
    <xf numFmtId="206" fontId="85" fillId="34" borderId="114" xfId="0" applyNumberFormat="1" applyFont="1" applyFill="1" applyBorder="1" applyAlignment="1">
      <alignment horizontal="right" vertical="top" wrapText="1"/>
    </xf>
    <xf numFmtId="0" fontId="0" fillId="0" borderId="108" xfId="0" applyBorder="1" applyAlignment="1">
      <alignment horizontal="left" vertical="top" wrapText="1"/>
    </xf>
    <xf numFmtId="208" fontId="91" fillId="34" borderId="108" xfId="0" applyNumberFormat="1" applyFont="1" applyFill="1" applyBorder="1" applyAlignment="1">
      <alignment horizontal="left" vertical="top" wrapText="1"/>
    </xf>
    <xf numFmtId="209" fontId="86" fillId="0" borderId="108" xfId="0" applyNumberFormat="1" applyFont="1" applyBorder="1" applyAlignment="1">
      <alignment horizontal="left" vertical="top" wrapText="1"/>
    </xf>
    <xf numFmtId="209" fontId="87" fillId="0" borderId="108" xfId="0" applyNumberFormat="1" applyFont="1" applyBorder="1" applyAlignment="1">
      <alignment horizontal="left" vertical="top" wrapText="1"/>
    </xf>
    <xf numFmtId="208" fontId="91" fillId="34" borderId="114" xfId="0" applyNumberFormat="1" applyFont="1" applyFill="1" applyBorder="1" applyAlignment="1">
      <alignment horizontal="left" vertical="top" wrapText="1"/>
    </xf>
    <xf numFmtId="0" fontId="0" fillId="35" borderId="108" xfId="0" applyFill="1" applyBorder="1" applyAlignment="1">
      <alignment horizontal="center" vertical="top" wrapText="1"/>
    </xf>
    <xf numFmtId="0" fontId="1" fillId="0" borderId="0" xfId="77"/>
    <xf numFmtId="0" fontId="1" fillId="3" borderId="0" xfId="77" applyFill="1"/>
    <xf numFmtId="0" fontId="11" fillId="0" borderId="0" xfId="77" applyFont="1"/>
    <xf numFmtId="0" fontId="8" fillId="0" borderId="0" xfId="77" applyFont="1" applyAlignment="1">
      <alignment horizontal="center"/>
    </xf>
    <xf numFmtId="0" fontId="8" fillId="0" borderId="0" xfId="77" applyFont="1"/>
    <xf numFmtId="2" fontId="1" fillId="0" borderId="1" xfId="77" applyNumberFormat="1" applyFont="1" applyBorder="1" applyAlignment="1" applyProtection="1">
      <alignment horizontal="center"/>
      <protection locked="0"/>
    </xf>
    <xf numFmtId="2" fontId="1" fillId="0" borderId="1" xfId="77" applyNumberFormat="1" applyBorder="1" applyAlignment="1" applyProtection="1">
      <alignment horizontal="center"/>
      <protection locked="0"/>
    </xf>
    <xf numFmtId="0" fontId="9" fillId="0" borderId="1" xfId="77" applyFont="1" applyBorder="1" applyAlignment="1">
      <alignment horizontal="center"/>
    </xf>
    <xf numFmtId="0" fontId="9" fillId="8" borderId="1" xfId="77" applyFont="1" applyFill="1" applyBorder="1" applyAlignment="1">
      <alignment horizontal="center"/>
    </xf>
    <xf numFmtId="0" fontId="9" fillId="0" borderId="1" xfId="77" applyFont="1" applyBorder="1" applyAlignment="1" applyProtection="1">
      <alignment horizontal="center"/>
      <protection locked="0"/>
    </xf>
    <xf numFmtId="0" fontId="9" fillId="0" borderId="1" xfId="77" applyFont="1" applyBorder="1" applyAlignment="1" applyProtection="1">
      <alignment horizontal="left"/>
      <protection locked="0"/>
    </xf>
    <xf numFmtId="0" fontId="9" fillId="0" borderId="1" xfId="77" quotePrefix="1" applyFont="1" applyBorder="1" applyAlignment="1" applyProtection="1">
      <alignment horizontal="left"/>
      <protection locked="0"/>
    </xf>
    <xf numFmtId="0" fontId="9" fillId="0" borderId="5" xfId="77" applyFont="1" applyBorder="1" applyAlignment="1" applyProtection="1">
      <alignment horizontal="center"/>
      <protection locked="0"/>
    </xf>
    <xf numFmtId="0" fontId="9" fillId="0" borderId="17" xfId="77" applyFont="1" applyBorder="1" applyAlignment="1" applyProtection="1">
      <alignment horizontal="center"/>
      <protection locked="0"/>
    </xf>
    <xf numFmtId="2" fontId="1" fillId="8" borderId="1" xfId="77" applyNumberFormat="1" applyFill="1" applyBorder="1" applyAlignment="1" applyProtection="1">
      <alignment horizontal="center"/>
      <protection locked="0"/>
    </xf>
    <xf numFmtId="0" fontId="9" fillId="8" borderId="1" xfId="77" applyFont="1" applyFill="1" applyBorder="1" applyAlignment="1" applyProtection="1">
      <alignment horizontal="center"/>
      <protection locked="0"/>
    </xf>
    <xf numFmtId="0" fontId="9" fillId="8" borderId="1" xfId="77" applyFont="1" applyFill="1" applyBorder="1" applyProtection="1">
      <protection locked="0"/>
    </xf>
    <xf numFmtId="0" fontId="12" fillId="8" borderId="1" xfId="77" applyFont="1" applyFill="1" applyBorder="1" applyAlignment="1" applyProtection="1">
      <alignment horizontal="center"/>
      <protection locked="0"/>
    </xf>
    <xf numFmtId="0" fontId="12" fillId="8" borderId="1" xfId="77" applyFont="1" applyFill="1" applyBorder="1" applyAlignment="1" applyProtection="1">
      <alignment horizontal="left"/>
      <protection locked="0"/>
    </xf>
    <xf numFmtId="0" fontId="9" fillId="0" borderId="1" xfId="77" applyFont="1" applyBorder="1" applyProtection="1">
      <protection locked="0"/>
    </xf>
    <xf numFmtId="0" fontId="9" fillId="0" borderId="14" xfId="77" applyFont="1" applyBorder="1" applyAlignment="1" applyProtection="1">
      <alignment horizontal="center"/>
      <protection locked="0"/>
    </xf>
    <xf numFmtId="0" fontId="9" fillId="0" borderId="14" xfId="77" applyFont="1" applyBorder="1" applyProtection="1">
      <protection locked="0"/>
    </xf>
    <xf numFmtId="0" fontId="9" fillId="8" borderId="14" xfId="77" applyFont="1" applyFill="1" applyBorder="1" applyAlignment="1" applyProtection="1">
      <alignment horizontal="center"/>
      <protection locked="0"/>
    </xf>
    <xf numFmtId="0" fontId="12" fillId="8" borderId="14" xfId="77" applyFont="1" applyFill="1" applyBorder="1" applyAlignment="1" applyProtection="1">
      <alignment horizontal="center"/>
      <protection locked="0"/>
    </xf>
    <xf numFmtId="0" fontId="12" fillId="8" borderId="14" xfId="77" applyFont="1" applyFill="1" applyBorder="1" applyProtection="1">
      <protection locked="0"/>
    </xf>
    <xf numFmtId="0" fontId="9" fillId="0" borderId="1" xfId="77" quotePrefix="1" applyFont="1" applyBorder="1" applyAlignment="1" applyProtection="1">
      <alignment horizontal="center"/>
      <protection locked="0"/>
    </xf>
    <xf numFmtId="0" fontId="9" fillId="0" borderId="14" xfId="77" applyFont="1" applyBorder="1" applyAlignment="1" applyProtection="1">
      <alignment horizontal="left"/>
      <protection locked="0"/>
    </xf>
    <xf numFmtId="0" fontId="12" fillId="8" borderId="1" xfId="77" applyFont="1" applyFill="1" applyBorder="1" applyProtection="1">
      <protection locked="0"/>
    </xf>
    <xf numFmtId="0" fontId="12" fillId="8" borderId="14" xfId="77" applyFont="1" applyFill="1" applyBorder="1" applyAlignment="1" applyProtection="1">
      <alignment horizontal="left"/>
      <protection locked="0"/>
    </xf>
    <xf numFmtId="0" fontId="9" fillId="0" borderId="5" xfId="77" applyFont="1" applyBorder="1" applyAlignment="1">
      <alignment horizontal="center"/>
    </xf>
    <xf numFmtId="0" fontId="9" fillId="0" borderId="17" xfId="77" applyFont="1" applyBorder="1" applyProtection="1">
      <protection locked="0"/>
    </xf>
    <xf numFmtId="0" fontId="12" fillId="8" borderId="5" xfId="77" applyFont="1" applyFill="1" applyBorder="1" applyProtection="1">
      <protection locked="0"/>
    </xf>
    <xf numFmtId="0" fontId="12" fillId="8" borderId="5" xfId="77" applyFont="1" applyFill="1" applyBorder="1" applyAlignment="1" applyProtection="1">
      <alignment horizontal="center"/>
      <protection locked="0"/>
    </xf>
    <xf numFmtId="0" fontId="12" fillId="8" borderId="5" xfId="77" applyFont="1" applyFill="1" applyBorder="1" applyAlignment="1" applyProtection="1">
      <alignment horizontal="left"/>
      <protection locked="0"/>
    </xf>
    <xf numFmtId="0" fontId="10" fillId="0" borderId="17" xfId="77" applyFont="1" applyBorder="1" applyProtection="1">
      <protection locked="0"/>
    </xf>
    <xf numFmtId="0" fontId="9" fillId="0" borderId="40" xfId="77" applyFont="1" applyBorder="1" applyProtection="1">
      <protection locked="0"/>
    </xf>
    <xf numFmtId="0" fontId="9" fillId="0" borderId="14" xfId="77" applyFont="1" applyBorder="1" applyAlignment="1">
      <alignment horizontal="center"/>
    </xf>
    <xf numFmtId="0" fontId="12" fillId="8" borderId="5" xfId="77" applyFont="1" applyFill="1" applyBorder="1" applyAlignment="1" applyProtection="1">
      <alignment horizontal="centerContinuous"/>
      <protection locked="0"/>
    </xf>
    <xf numFmtId="0" fontId="9" fillId="0" borderId="50" xfId="77" applyFont="1" applyBorder="1" applyProtection="1">
      <protection locked="0"/>
    </xf>
    <xf numFmtId="0" fontId="9" fillId="0" borderId="1" xfId="77" quotePrefix="1" applyFont="1" applyBorder="1" applyProtection="1">
      <protection locked="0"/>
    </xf>
    <xf numFmtId="0" fontId="5" fillId="0" borderId="1" xfId="77" applyFont="1" applyBorder="1" applyAlignment="1">
      <alignment horizontal="center"/>
    </xf>
    <xf numFmtId="0" fontId="55" fillId="22" borderId="1" xfId="77" applyFont="1" applyFill="1" applyBorder="1" applyAlignment="1" applyProtection="1">
      <alignment horizontal="center"/>
      <protection locked="0"/>
    </xf>
    <xf numFmtId="0" fontId="56" fillId="22" borderId="5" xfId="77" applyFont="1" applyFill="1" applyBorder="1" applyAlignment="1" applyProtection="1">
      <alignment horizontal="center"/>
      <protection locked="0"/>
    </xf>
    <xf numFmtId="0" fontId="70" fillId="0" borderId="0" xfId="0" applyFont="1" applyAlignment="1">
      <alignment horizontal="left" vertical="top"/>
    </xf>
    <xf numFmtId="0" fontId="71" fillId="0" borderId="0" xfId="0" applyFont="1" applyAlignment="1">
      <alignment horizontal="left" vertical="top"/>
    </xf>
    <xf numFmtId="0" fontId="72" fillId="35" borderId="108" xfId="0" applyFont="1" applyFill="1" applyBorder="1" applyAlignment="1">
      <alignment horizontal="center" vertical="top" wrapText="1"/>
    </xf>
    <xf numFmtId="0" fontId="72" fillId="35" borderId="108" xfId="0" applyFont="1" applyFill="1" applyBorder="1" applyAlignment="1">
      <alignment horizontal="left" vertical="top" wrapText="1"/>
    </xf>
    <xf numFmtId="0" fontId="72" fillId="35" borderId="115" xfId="0" applyFont="1" applyFill="1" applyBorder="1" applyAlignment="1">
      <alignment horizontal="left" vertical="top" wrapText="1"/>
    </xf>
    <xf numFmtId="0" fontId="73" fillId="0" borderId="108" xfId="0" applyFont="1" applyBorder="1" applyAlignment="1">
      <alignment horizontal="left" vertical="top" wrapText="1"/>
    </xf>
    <xf numFmtId="0" fontId="73" fillId="34" borderId="108" xfId="0" applyFont="1" applyFill="1" applyBorder="1" applyAlignment="1">
      <alignment horizontal="left" vertical="top" wrapText="1"/>
    </xf>
    <xf numFmtId="0" fontId="73" fillId="34" borderId="114" xfId="0" applyFont="1" applyFill="1" applyBorder="1" applyAlignment="1">
      <alignment horizontal="left" vertical="top" wrapText="1"/>
    </xf>
    <xf numFmtId="0" fontId="72" fillId="33" borderId="108" xfId="0" applyFont="1" applyFill="1" applyBorder="1" applyAlignment="1">
      <alignment horizontal="left" vertical="top" wrapText="1"/>
    </xf>
    <xf numFmtId="0" fontId="72" fillId="33" borderId="116" xfId="0" applyFont="1" applyFill="1" applyBorder="1" applyAlignment="1">
      <alignment horizontal="left" vertical="top" wrapText="1"/>
    </xf>
    <xf numFmtId="0" fontId="73" fillId="36" borderId="108" xfId="0" applyFont="1" applyFill="1" applyBorder="1" applyAlignment="1">
      <alignment horizontal="left" vertical="top" wrapText="1"/>
    </xf>
    <xf numFmtId="210" fontId="86" fillId="0" borderId="108" xfId="0" applyNumberFormat="1" applyFont="1" applyBorder="1" applyAlignment="1">
      <alignment horizontal="left" vertical="top" wrapText="1"/>
    </xf>
    <xf numFmtId="206" fontId="91" fillId="34" borderId="108" xfId="0" applyNumberFormat="1" applyFont="1" applyFill="1" applyBorder="1" applyAlignment="1">
      <alignment horizontal="right" vertical="top" wrapText="1"/>
    </xf>
    <xf numFmtId="208" fontId="86" fillId="0" borderId="108" xfId="0" applyNumberFormat="1" applyFont="1" applyBorder="1" applyAlignment="1">
      <alignment horizontal="left" vertical="top" wrapText="1"/>
    </xf>
    <xf numFmtId="0" fontId="61" fillId="31" borderId="0" xfId="85" applyFont="1" applyFill="1" applyAlignment="1">
      <alignment horizontal="center"/>
    </xf>
    <xf numFmtId="0" fontId="0" fillId="0" borderId="9" xfId="0" applyBorder="1" applyAlignment="1">
      <alignment horizontal="center"/>
    </xf>
    <xf numFmtId="0" fontId="84" fillId="0" borderId="0" xfId="0" applyFont="1" applyAlignment="1">
      <alignment horizontal="left" vertical="center"/>
    </xf>
    <xf numFmtId="0" fontId="66" fillId="0" borderId="0" xfId="0" applyFont="1" applyAlignment="1">
      <alignment horizontal="right" vertical="center"/>
    </xf>
    <xf numFmtId="3" fontId="0" fillId="0" borderId="0" xfId="0" applyNumberFormat="1"/>
    <xf numFmtId="0" fontId="65" fillId="0" borderId="14" xfId="84" applyFont="1" applyBorder="1" applyAlignment="1">
      <alignment horizontal="center" vertical="center"/>
    </xf>
    <xf numFmtId="0" fontId="64" fillId="0" borderId="5" xfId="84" applyFont="1" applyBorder="1" applyAlignment="1">
      <alignment horizontal="center"/>
    </xf>
    <xf numFmtId="1" fontId="64" fillId="0" borderId="14" xfId="84" applyNumberFormat="1" applyFont="1" applyBorder="1" applyAlignment="1">
      <alignment horizontal="center"/>
    </xf>
    <xf numFmtId="0" fontId="65" fillId="0" borderId="7" xfId="84" applyFont="1" applyBorder="1"/>
    <xf numFmtId="0" fontId="65" fillId="0" borderId="15" xfId="84" applyFont="1" applyBorder="1" applyAlignment="1">
      <alignment horizontal="center"/>
    </xf>
    <xf numFmtId="2" fontId="64" fillId="0" borderId="1" xfId="84" applyNumberFormat="1" applyFont="1" applyBorder="1" applyAlignment="1">
      <alignment horizontal="center"/>
    </xf>
    <xf numFmtId="0" fontId="65" fillId="0" borderId="1" xfId="84" applyFont="1" applyBorder="1" applyAlignment="1">
      <alignment horizontal="left"/>
    </xf>
    <xf numFmtId="0" fontId="65" fillId="0" borderId="5" xfId="84" applyFont="1" applyBorder="1" applyAlignment="1">
      <alignment horizontal="left"/>
    </xf>
    <xf numFmtId="0" fontId="65" fillId="0" borderId="14" xfId="84" applyFont="1" applyBorder="1" applyAlignment="1">
      <alignment horizontal="left"/>
    </xf>
    <xf numFmtId="0" fontId="64" fillId="0" borderId="14" xfId="84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/>
    <xf numFmtId="0" fontId="16" fillId="5" borderId="56" xfId="78" applyFont="1" applyFill="1" applyBorder="1" applyAlignment="1" applyProtection="1">
      <alignment horizontal="center" vertical="center"/>
      <protection locked="0"/>
    </xf>
    <xf numFmtId="0" fontId="16" fillId="5" borderId="67" xfId="78" applyFont="1" applyFill="1" applyBorder="1" applyAlignment="1" applyProtection="1">
      <alignment horizontal="center" vertical="center"/>
      <protection locked="0"/>
    </xf>
    <xf numFmtId="0" fontId="16" fillId="5" borderId="51" xfId="78" applyFont="1" applyFill="1" applyBorder="1" applyAlignment="1" applyProtection="1">
      <alignment horizontal="center" vertical="center"/>
      <protection locked="0"/>
    </xf>
    <xf numFmtId="0" fontId="16" fillId="5" borderId="16" xfId="78" applyFont="1" applyFill="1" applyBorder="1" applyAlignment="1" applyProtection="1">
      <alignment horizontal="center" vertical="center"/>
      <protection locked="0"/>
    </xf>
    <xf numFmtId="0" fontId="6" fillId="5" borderId="30" xfId="79" applyFont="1" applyFill="1" applyBorder="1" applyAlignment="1">
      <alignment horizontal="center" vertical="center"/>
    </xf>
    <xf numFmtId="0" fontId="6" fillId="5" borderId="54" xfId="79" applyFont="1" applyFill="1" applyBorder="1" applyAlignment="1">
      <alignment horizontal="center" vertical="center"/>
    </xf>
    <xf numFmtId="0" fontId="9" fillId="5" borderId="10" xfId="78" applyFont="1" applyFill="1" applyBorder="1" applyAlignment="1">
      <alignment horizontal="center" vertical="center"/>
    </xf>
    <xf numFmtId="0" fontId="9" fillId="5" borderId="11" xfId="78" applyFont="1" applyFill="1" applyBorder="1" applyAlignment="1">
      <alignment horizontal="center" vertical="center"/>
    </xf>
    <xf numFmtId="0" fontId="16" fillId="5" borderId="98" xfId="78" applyFont="1" applyFill="1" applyBorder="1" applyAlignment="1" applyProtection="1">
      <alignment horizontal="center" vertical="center"/>
      <protection locked="0"/>
    </xf>
    <xf numFmtId="0" fontId="16" fillId="5" borderId="99" xfId="78" applyFont="1" applyFill="1" applyBorder="1" applyAlignment="1" applyProtection="1">
      <alignment horizontal="center" vertical="center"/>
      <protection locked="0"/>
    </xf>
    <xf numFmtId="0" fontId="16" fillId="5" borderId="100" xfId="78" applyFont="1" applyFill="1" applyBorder="1" applyAlignment="1" applyProtection="1">
      <alignment horizontal="center" vertical="center"/>
      <protection locked="0"/>
    </xf>
    <xf numFmtId="0" fontId="16" fillId="5" borderId="101" xfId="78" applyFont="1" applyFill="1" applyBorder="1" applyAlignment="1" applyProtection="1">
      <alignment horizontal="center" vertical="center"/>
      <protection locked="0"/>
    </xf>
    <xf numFmtId="0" fontId="9" fillId="5" borderId="10" xfId="79" applyFont="1" applyFill="1" applyBorder="1" applyAlignment="1">
      <alignment horizontal="center" vertical="center"/>
    </xf>
    <xf numFmtId="0" fontId="9" fillId="5" borderId="11" xfId="79" applyFont="1" applyFill="1" applyBorder="1" applyAlignment="1">
      <alignment horizontal="center" vertical="center"/>
    </xf>
    <xf numFmtId="0" fontId="6" fillId="5" borderId="68" xfId="79" applyFont="1" applyFill="1" applyBorder="1" applyAlignment="1">
      <alignment horizontal="center" vertical="center"/>
    </xf>
    <xf numFmtId="0" fontId="6" fillId="5" borderId="102" xfId="79" applyFont="1" applyFill="1" applyBorder="1" applyAlignment="1">
      <alignment horizontal="center" vertical="center"/>
    </xf>
    <xf numFmtId="0" fontId="9" fillId="5" borderId="10" xfId="79" applyFont="1" applyFill="1" applyBorder="1" applyAlignment="1" applyProtection="1">
      <alignment horizontal="center" vertical="center"/>
      <protection locked="0"/>
    </xf>
    <xf numFmtId="0" fontId="9" fillId="5" borderId="11" xfId="79" applyFont="1" applyFill="1" applyBorder="1" applyAlignment="1" applyProtection="1">
      <alignment horizontal="center" vertical="center"/>
      <protection locked="0"/>
    </xf>
    <xf numFmtId="0" fontId="82" fillId="0" borderId="69" xfId="0" applyFont="1" applyBorder="1" applyAlignment="1">
      <alignment horizontal="center" vertical="center"/>
    </xf>
    <xf numFmtId="0" fontId="82" fillId="0" borderId="103" xfId="0" applyFont="1" applyBorder="1" applyAlignment="1">
      <alignment horizontal="center" vertical="center"/>
    </xf>
    <xf numFmtId="0" fontId="82" fillId="0" borderId="104" xfId="0" applyFont="1" applyBorder="1" applyAlignment="1">
      <alignment horizontal="center" vertical="center"/>
    </xf>
    <xf numFmtId="176" fontId="82" fillId="0" borderId="69" xfId="0" applyNumberFormat="1" applyFont="1" applyBorder="1" applyAlignment="1">
      <alignment horizontal="center" vertical="center"/>
    </xf>
    <xf numFmtId="10" fontId="81" fillId="0" borderId="69" xfId="93" applyNumberFormat="1" applyFont="1" applyBorder="1" applyAlignment="1">
      <alignment horizontal="center"/>
    </xf>
    <xf numFmtId="10" fontId="81" fillId="0" borderId="104" xfId="93" applyNumberFormat="1" applyFont="1" applyBorder="1" applyAlignment="1">
      <alignment horizontal="center"/>
    </xf>
    <xf numFmtId="0" fontId="82" fillId="37" borderId="0" xfId="0" applyFont="1" applyFill="1" applyAlignment="1">
      <alignment horizontal="center"/>
    </xf>
    <xf numFmtId="0" fontId="82" fillId="38" borderId="0" xfId="0" applyFont="1" applyFill="1" applyAlignment="1">
      <alignment horizontal="center"/>
    </xf>
    <xf numFmtId="0" fontId="82" fillId="39" borderId="0" xfId="0" applyFont="1" applyFill="1" applyAlignment="1">
      <alignment horizontal="center"/>
    </xf>
    <xf numFmtId="0" fontId="92" fillId="37" borderId="0" xfId="0" applyFont="1" applyFill="1" applyAlignment="1">
      <alignment horizontal="center"/>
    </xf>
    <xf numFmtId="0" fontId="22" fillId="0" borderId="75" xfId="0" applyFont="1" applyBorder="1" applyAlignment="1">
      <alignment horizontal="left" vertical="center"/>
    </xf>
    <xf numFmtId="1" fontId="0" fillId="23" borderId="5" xfId="0" applyNumberFormat="1" applyFill="1" applyBorder="1" applyAlignment="1">
      <alignment horizontal="center" vertical="center"/>
    </xf>
    <xf numFmtId="1" fontId="0" fillId="23" borderId="14" xfId="0" applyNumberForma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82" fillId="0" borderId="5" xfId="0" applyNumberFormat="1" applyFont="1" applyBorder="1" applyAlignment="1">
      <alignment horizontal="center" vertical="center"/>
    </xf>
    <xf numFmtId="1" fontId="82" fillId="0" borderId="14" xfId="0" applyNumberFormat="1" applyFont="1" applyBorder="1" applyAlignment="1">
      <alignment horizontal="center" vertical="center"/>
    </xf>
    <xf numFmtId="0" fontId="61" fillId="0" borderId="69" xfId="85" applyFont="1" applyBorder="1" applyAlignment="1">
      <alignment horizontal="center"/>
    </xf>
    <xf numFmtId="0" fontId="61" fillId="0" borderId="103" xfId="85" applyFont="1" applyBorder="1" applyAlignment="1">
      <alignment horizontal="center"/>
    </xf>
    <xf numFmtId="0" fontId="61" fillId="0" borderId="104" xfId="85" applyFont="1" applyBorder="1" applyAlignment="1">
      <alignment horizontal="center"/>
    </xf>
    <xf numFmtId="0" fontId="63" fillId="0" borderId="69" xfId="85" applyFont="1" applyBorder="1" applyAlignment="1">
      <alignment horizontal="center"/>
    </xf>
    <xf numFmtId="0" fontId="63" fillId="0" borderId="103" xfId="85" applyFont="1" applyBorder="1" applyAlignment="1">
      <alignment horizontal="center"/>
    </xf>
    <xf numFmtId="0" fontId="63" fillId="0" borderId="104" xfId="85" applyFont="1" applyBorder="1" applyAlignment="1">
      <alignment horizontal="center"/>
    </xf>
    <xf numFmtId="0" fontId="64" fillId="0" borderId="69" xfId="84" applyFont="1" applyBorder="1" applyAlignment="1">
      <alignment horizontal="center"/>
    </xf>
    <xf numFmtId="0" fontId="64" fillId="0" borderId="103" xfId="84" applyFont="1" applyBorder="1" applyAlignment="1">
      <alignment horizontal="center"/>
    </xf>
    <xf numFmtId="0" fontId="64" fillId="0" borderId="104" xfId="84" applyFont="1" applyBorder="1" applyAlignment="1">
      <alignment horizontal="center"/>
    </xf>
    <xf numFmtId="0" fontId="65" fillId="0" borderId="53" xfId="84" applyFont="1" applyBorder="1" applyAlignment="1">
      <alignment horizontal="center"/>
    </xf>
    <xf numFmtId="0" fontId="65" fillId="0" borderId="19" xfId="84" applyFont="1" applyBorder="1" applyAlignment="1">
      <alignment horizontal="center"/>
    </xf>
    <xf numFmtId="0" fontId="65" fillId="0" borderId="78" xfId="84" applyFont="1" applyBorder="1" applyAlignment="1">
      <alignment horizontal="center"/>
    </xf>
    <xf numFmtId="0" fontId="65" fillId="0" borderId="29" xfId="84" applyFont="1" applyBorder="1" applyAlignment="1">
      <alignment horizontal="center"/>
    </xf>
    <xf numFmtId="0" fontId="65" fillId="0" borderId="0" xfId="84" applyFont="1" applyBorder="1" applyAlignment="1">
      <alignment horizontal="center"/>
    </xf>
    <xf numFmtId="0" fontId="65" fillId="0" borderId="75" xfId="84" applyFont="1" applyBorder="1" applyAlignment="1">
      <alignment horizontal="center"/>
    </xf>
    <xf numFmtId="0" fontId="64" fillId="0" borderId="18" xfId="84" applyFont="1" applyBorder="1" applyAlignment="1">
      <alignment horizontal="center" vertical="center"/>
    </xf>
    <xf numFmtId="0" fontId="64" fillId="0" borderId="19" xfId="84" applyFont="1" applyBorder="1" applyAlignment="1">
      <alignment horizontal="center" vertical="center"/>
    </xf>
    <xf numFmtId="0" fontId="64" fillId="0" borderId="63" xfId="84" applyFont="1" applyBorder="1" applyAlignment="1">
      <alignment horizontal="center" vertical="center"/>
    </xf>
    <xf numFmtId="0" fontId="64" fillId="0" borderId="93" xfId="84" applyFont="1" applyBorder="1" applyAlignment="1">
      <alignment horizontal="center" vertical="center"/>
    </xf>
    <xf numFmtId="0" fontId="64" fillId="0" borderId="0" xfId="84" applyFont="1" applyBorder="1" applyAlignment="1">
      <alignment horizontal="center" vertical="center"/>
    </xf>
    <xf numFmtId="0" fontId="64" fillId="0" borderId="105" xfId="84" applyFont="1" applyBorder="1" applyAlignment="1">
      <alignment horizontal="center" vertical="center"/>
    </xf>
    <xf numFmtId="0" fontId="64" fillId="0" borderId="106" xfId="84" applyFont="1" applyBorder="1" applyAlignment="1">
      <alignment horizontal="center" vertical="center"/>
    </xf>
    <xf numFmtId="0" fontId="64" fillId="0" borderId="86" xfId="84" applyFont="1" applyBorder="1" applyAlignment="1">
      <alignment horizontal="center" vertical="center"/>
    </xf>
    <xf numFmtId="0" fontId="64" fillId="0" borderId="64" xfId="84" applyFont="1" applyBorder="1" applyAlignment="1">
      <alignment horizontal="center" vertical="center"/>
    </xf>
    <xf numFmtId="0" fontId="64" fillId="0" borderId="18" xfId="84" applyFont="1" applyBorder="1" applyAlignment="1">
      <alignment horizontal="center"/>
    </xf>
    <xf numFmtId="0" fontId="64" fillId="0" borderId="19" xfId="84" applyFont="1" applyBorder="1" applyAlignment="1">
      <alignment horizontal="center"/>
    </xf>
    <xf numFmtId="0" fontId="64" fillId="0" borderId="63" xfId="84" applyFont="1" applyBorder="1" applyAlignment="1">
      <alignment horizontal="center"/>
    </xf>
    <xf numFmtId="0" fontId="65" fillId="0" borderId="5" xfId="84" applyFont="1" applyBorder="1" applyAlignment="1">
      <alignment horizontal="center"/>
    </xf>
    <xf numFmtId="0" fontId="65" fillId="0" borderId="14" xfId="84" applyFont="1" applyBorder="1" applyAlignment="1">
      <alignment horizontal="center"/>
    </xf>
    <xf numFmtId="0" fontId="65" fillId="0" borderId="5" xfId="84" applyFont="1" applyBorder="1" applyAlignment="1">
      <alignment horizontal="center" vertical="center"/>
    </xf>
    <xf numFmtId="0" fontId="65" fillId="0" borderId="14" xfId="84" applyFont="1" applyBorder="1" applyAlignment="1">
      <alignment horizontal="center" vertical="center"/>
    </xf>
    <xf numFmtId="1" fontId="64" fillId="0" borderId="5" xfId="84" quotePrefix="1" applyNumberFormat="1" applyFont="1" applyBorder="1" applyAlignment="1">
      <alignment horizontal="center" vertical="center"/>
    </xf>
    <xf numFmtId="1" fontId="64" fillId="0" borderId="14" xfId="84" quotePrefix="1" applyNumberFormat="1" applyFont="1" applyBorder="1" applyAlignment="1">
      <alignment horizontal="center" vertical="center"/>
    </xf>
    <xf numFmtId="0" fontId="65" fillId="0" borderId="10" xfId="84" applyFont="1" applyBorder="1" applyAlignment="1">
      <alignment horizontal="center" vertical="center"/>
    </xf>
    <xf numFmtId="1" fontId="64" fillId="0" borderId="10" xfId="84" quotePrefix="1" applyNumberFormat="1" applyFont="1" applyBorder="1" applyAlignment="1">
      <alignment horizontal="center" vertical="center"/>
    </xf>
    <xf numFmtId="0" fontId="65" fillId="0" borderId="10" xfId="84" applyFont="1" applyBorder="1" applyAlignment="1">
      <alignment horizontal="center"/>
    </xf>
    <xf numFmtId="0" fontId="64" fillId="0" borderId="107" xfId="84" applyFont="1" applyBorder="1" applyAlignment="1">
      <alignment horizontal="center"/>
    </xf>
    <xf numFmtId="0" fontId="64" fillId="0" borderId="70" xfId="84" applyFont="1" applyBorder="1" applyAlignment="1">
      <alignment horizontal="center"/>
    </xf>
    <xf numFmtId="0" fontId="64" fillId="0" borderId="71" xfId="84" applyFont="1" applyBorder="1" applyAlignment="1">
      <alignment horizontal="center"/>
    </xf>
    <xf numFmtId="0" fontId="64" fillId="0" borderId="16" xfId="84" applyFont="1" applyBorder="1" applyAlignment="1">
      <alignment horizontal="center" vertical="top" wrapText="1"/>
    </xf>
    <xf numFmtId="0" fontId="64" fillId="0" borderId="8" xfId="84" applyFont="1" applyBorder="1" applyAlignment="1">
      <alignment horizontal="center" vertical="top" wrapText="1"/>
    </xf>
    <xf numFmtId="0" fontId="64" fillId="0" borderId="50" xfId="84" applyFont="1" applyBorder="1" applyAlignment="1">
      <alignment horizontal="center" vertical="top" wrapText="1"/>
    </xf>
    <xf numFmtId="0" fontId="64" fillId="0" borderId="29" xfId="84" applyFont="1" applyBorder="1" applyAlignment="1">
      <alignment horizontal="center" vertical="top" wrapText="1"/>
    </xf>
    <xf numFmtId="0" fontId="64" fillId="0" borderId="0" xfId="84" applyFont="1" applyAlignment="1">
      <alignment horizontal="center" vertical="top" wrapText="1"/>
    </xf>
    <xf numFmtId="0" fontId="64" fillId="0" borderId="75" xfId="84" applyFont="1" applyBorder="1" applyAlignment="1">
      <alignment horizontal="center" vertical="top" wrapText="1"/>
    </xf>
    <xf numFmtId="0" fontId="64" fillId="0" borderId="7" xfId="84" applyFont="1" applyBorder="1" applyAlignment="1">
      <alignment horizontal="center" vertical="top" wrapText="1"/>
    </xf>
    <xf numFmtId="0" fontId="64" fillId="0" borderId="15" xfId="84" applyFont="1" applyBorder="1" applyAlignment="1">
      <alignment horizontal="center" vertical="top" wrapText="1"/>
    </xf>
    <xf numFmtId="0" fontId="64" fillId="0" borderId="76" xfId="84" applyFont="1" applyBorder="1" applyAlignment="1">
      <alignment horizontal="center" vertical="top" wrapText="1"/>
    </xf>
    <xf numFmtId="0" fontId="0" fillId="0" borderId="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82" fillId="0" borderId="18" xfId="0" applyFont="1" applyBorder="1" applyAlignment="1">
      <alignment horizontal="center" vertical="center"/>
    </xf>
    <xf numFmtId="0" fontId="82" fillId="0" borderId="19" xfId="0" applyFont="1" applyBorder="1" applyAlignment="1">
      <alignment horizontal="center" vertical="center"/>
    </xf>
    <xf numFmtId="0" fontId="82" fillId="0" borderId="63" xfId="0" applyFont="1" applyBorder="1" applyAlignment="1">
      <alignment horizontal="center" vertical="center"/>
    </xf>
    <xf numFmtId="0" fontId="82" fillId="0" borderId="106" xfId="0" applyFont="1" applyBorder="1" applyAlignment="1">
      <alignment horizontal="center" vertical="center"/>
    </xf>
    <xf numFmtId="0" fontId="82" fillId="0" borderId="86" xfId="0" applyFont="1" applyBorder="1" applyAlignment="1">
      <alignment horizontal="center" vertical="center"/>
    </xf>
    <xf numFmtId="0" fontId="82" fillId="0" borderId="64" xfId="0" applyFont="1" applyBorder="1" applyAlignment="1">
      <alignment horizontal="center" vertical="center"/>
    </xf>
    <xf numFmtId="0" fontId="82" fillId="0" borderId="18" xfId="0" applyFont="1" applyBorder="1" applyAlignment="1">
      <alignment horizontal="center"/>
    </xf>
    <xf numFmtId="0" fontId="82" fillId="0" borderId="19" xfId="0" applyFont="1" applyBorder="1" applyAlignment="1">
      <alignment horizontal="center"/>
    </xf>
    <xf numFmtId="0" fontId="82" fillId="0" borderId="63" xfId="0" applyFont="1" applyBorder="1" applyAlignment="1">
      <alignment horizontal="center"/>
    </xf>
    <xf numFmtId="0" fontId="93" fillId="0" borderId="0" xfId="0" applyFont="1" applyFill="1" applyBorder="1" applyAlignment="1">
      <alignment horizontal="center"/>
    </xf>
    <xf numFmtId="0" fontId="94" fillId="0" borderId="0" xfId="0" applyFont="1" applyAlignment="1">
      <alignment horizontal="center"/>
    </xf>
    <xf numFmtId="0" fontId="95" fillId="0" borderId="0" xfId="0" applyFont="1" applyAlignment="1">
      <alignment horizontal="center" wrapText="1"/>
    </xf>
    <xf numFmtId="0" fontId="9" fillId="5" borderId="98" xfId="81" applyFont="1" applyFill="1" applyBorder="1" applyAlignment="1" applyProtection="1">
      <alignment horizontal="center" vertical="center"/>
      <protection locked="0"/>
    </xf>
    <xf numFmtId="0" fontId="9" fillId="5" borderId="99" xfId="81" applyFont="1" applyFill="1" applyBorder="1" applyAlignment="1" applyProtection="1">
      <alignment horizontal="center" vertical="center"/>
      <protection locked="0"/>
    </xf>
    <xf numFmtId="0" fontId="9" fillId="5" borderId="100" xfId="81" applyFont="1" applyFill="1" applyBorder="1" applyAlignment="1" applyProtection="1">
      <alignment horizontal="center" vertical="center"/>
      <protection locked="0"/>
    </xf>
    <xf numFmtId="0" fontId="9" fillId="5" borderId="101" xfId="81" applyFont="1" applyFill="1" applyBorder="1" applyAlignment="1" applyProtection="1">
      <alignment horizontal="center" vertical="center"/>
      <protection locked="0"/>
    </xf>
    <xf numFmtId="0" fontId="9" fillId="5" borderId="10" xfId="80" applyFont="1" applyFill="1" applyBorder="1" applyAlignment="1">
      <alignment horizontal="center" vertical="center"/>
    </xf>
    <xf numFmtId="0" fontId="9" fillId="5" borderId="11" xfId="80" applyFont="1" applyFill="1" applyBorder="1" applyAlignment="1">
      <alignment horizontal="center" vertical="center"/>
    </xf>
    <xf numFmtId="0" fontId="6" fillId="5" borderId="30" xfId="80" applyFont="1" applyFill="1" applyBorder="1" applyAlignment="1">
      <alignment horizontal="center" vertical="center"/>
    </xf>
    <xf numFmtId="0" fontId="6" fillId="5" borderId="54" xfId="80" applyFont="1" applyFill="1" applyBorder="1" applyAlignment="1">
      <alignment horizontal="center" vertical="center"/>
    </xf>
    <xf numFmtId="0" fontId="6" fillId="5" borderId="68" xfId="80" applyFont="1" applyFill="1" applyBorder="1" applyAlignment="1">
      <alignment horizontal="center" vertical="center"/>
    </xf>
    <xf numFmtId="0" fontId="6" fillId="5" borderId="102" xfId="80" applyFont="1" applyFill="1" applyBorder="1" applyAlignment="1">
      <alignment horizontal="center" vertical="center"/>
    </xf>
    <xf numFmtId="0" fontId="0" fillId="36" borderId="117" xfId="0" applyFill="1" applyBorder="1" applyAlignment="1">
      <alignment horizontal="left" vertical="top" wrapText="1"/>
    </xf>
    <xf numFmtId="0" fontId="0" fillId="36" borderId="119" xfId="0" applyFill="1" applyBorder="1" applyAlignment="1">
      <alignment horizontal="left" vertical="top" wrapText="1"/>
    </xf>
    <xf numFmtId="0" fontId="0" fillId="36" borderId="118" xfId="0" applyFill="1" applyBorder="1" applyAlignment="1">
      <alignment horizontal="left" vertical="top" wrapText="1"/>
    </xf>
    <xf numFmtId="0" fontId="73" fillId="36" borderId="117" xfId="0" applyFont="1" applyFill="1" applyBorder="1" applyAlignment="1">
      <alignment horizontal="left" vertical="top" wrapText="1"/>
    </xf>
    <xf numFmtId="0" fontId="73" fillId="36" borderId="118" xfId="0" applyFont="1" applyFill="1" applyBorder="1" applyAlignment="1">
      <alignment horizontal="left" vertical="top" wrapText="1"/>
    </xf>
    <xf numFmtId="0" fontId="73" fillId="36" borderId="117" xfId="0" applyFont="1" applyFill="1" applyBorder="1" applyAlignment="1">
      <alignment horizontal="right" vertical="top" wrapText="1"/>
    </xf>
    <xf numFmtId="0" fontId="73" fillId="36" borderId="119" xfId="0" applyFont="1" applyFill="1" applyBorder="1" applyAlignment="1">
      <alignment horizontal="right" vertical="top" wrapText="1"/>
    </xf>
    <xf numFmtId="0" fontId="73" fillId="36" borderId="118" xfId="0" applyFont="1" applyFill="1" applyBorder="1" applyAlignment="1">
      <alignment horizontal="right" vertical="top" wrapText="1"/>
    </xf>
    <xf numFmtId="0" fontId="73" fillId="0" borderId="114" xfId="0" applyFont="1" applyBorder="1" applyAlignment="1">
      <alignment horizontal="left" vertical="top" wrapText="1"/>
    </xf>
    <xf numFmtId="0" fontId="73" fillId="0" borderId="112" xfId="0" applyFont="1" applyBorder="1" applyAlignment="1">
      <alignment horizontal="left" vertical="top" wrapText="1"/>
    </xf>
    <xf numFmtId="206" fontId="87" fillId="0" borderId="124" xfId="0" applyNumberFormat="1" applyFont="1" applyBorder="1" applyAlignment="1">
      <alignment horizontal="left" vertical="top" wrapText="1"/>
    </xf>
    <xf numFmtId="206" fontId="87" fillId="0" borderId="125" xfId="0" applyNumberFormat="1" applyFont="1" applyBorder="1" applyAlignment="1">
      <alignment horizontal="left" vertical="top" wrapText="1"/>
    </xf>
    <xf numFmtId="206" fontId="87" fillId="0" borderId="126" xfId="0" applyNumberFormat="1" applyFont="1" applyBorder="1" applyAlignment="1">
      <alignment horizontal="left" vertical="top" wrapText="1"/>
    </xf>
    <xf numFmtId="206" fontId="87" fillId="0" borderId="127" xfId="0" applyNumberFormat="1" applyFont="1" applyBorder="1" applyAlignment="1">
      <alignment horizontal="left" vertical="top" wrapText="1"/>
    </xf>
    <xf numFmtId="206" fontId="87" fillId="0" borderId="117" xfId="0" applyNumberFormat="1" applyFont="1" applyBorder="1" applyAlignment="1">
      <alignment horizontal="left" vertical="top" wrapText="1"/>
    </xf>
    <xf numFmtId="206" fontId="87" fillId="0" borderId="118" xfId="0" applyNumberFormat="1" applyFont="1" applyBorder="1" applyAlignment="1">
      <alignment horizontal="left" vertical="top" wrapText="1"/>
    </xf>
    <xf numFmtId="210" fontId="86" fillId="0" borderId="114" xfId="0" applyNumberFormat="1" applyFont="1" applyBorder="1" applyAlignment="1">
      <alignment horizontal="left" vertical="top" wrapText="1"/>
    </xf>
    <xf numFmtId="210" fontId="86" fillId="0" borderId="112" xfId="0" applyNumberFormat="1" applyFont="1" applyBorder="1" applyAlignment="1">
      <alignment horizontal="left" vertical="top" wrapText="1"/>
    </xf>
    <xf numFmtId="0" fontId="73" fillId="0" borderId="124" xfId="0" applyFont="1" applyBorder="1" applyAlignment="1">
      <alignment horizontal="left" vertical="top" wrapText="1"/>
    </xf>
    <xf numFmtId="0" fontId="73" fillId="0" borderId="125" xfId="0" applyFont="1" applyBorder="1" applyAlignment="1">
      <alignment horizontal="left" vertical="top" wrapText="1"/>
    </xf>
    <xf numFmtId="0" fontId="73" fillId="0" borderId="126" xfId="0" applyFont="1" applyBorder="1" applyAlignment="1">
      <alignment horizontal="left" vertical="top" wrapText="1"/>
    </xf>
    <xf numFmtId="0" fontId="73" fillId="0" borderId="127" xfId="0" applyFont="1" applyBorder="1" applyAlignment="1">
      <alignment horizontal="left" vertical="top" wrapText="1"/>
    </xf>
    <xf numFmtId="206" fontId="87" fillId="0" borderId="114" xfId="0" applyNumberFormat="1" applyFont="1" applyBorder="1" applyAlignment="1">
      <alignment horizontal="left" vertical="top" wrapText="1"/>
    </xf>
    <xf numFmtId="206" fontId="87" fillId="0" borderId="112" xfId="0" applyNumberFormat="1" applyFont="1" applyBorder="1" applyAlignment="1">
      <alignment horizontal="left" vertical="top" wrapText="1"/>
    </xf>
    <xf numFmtId="206" fontId="86" fillId="0" borderId="124" xfId="0" applyNumberFormat="1" applyFont="1" applyBorder="1" applyAlignment="1">
      <alignment horizontal="right" vertical="top" wrapText="1"/>
    </xf>
    <xf numFmtId="206" fontId="86" fillId="0" borderId="125" xfId="0" applyNumberFormat="1" applyFont="1" applyBorder="1" applyAlignment="1">
      <alignment horizontal="right" vertical="top" wrapText="1"/>
    </xf>
    <xf numFmtId="206" fontId="86" fillId="0" borderId="126" xfId="0" applyNumberFormat="1" applyFont="1" applyBorder="1" applyAlignment="1">
      <alignment horizontal="right" vertical="top" wrapText="1"/>
    </xf>
    <xf numFmtId="206" fontId="86" fillId="0" borderId="127" xfId="0" applyNumberFormat="1" applyFont="1" applyBorder="1" applyAlignment="1">
      <alignment horizontal="right" vertical="top" wrapText="1"/>
    </xf>
    <xf numFmtId="0" fontId="73" fillId="0" borderId="117" xfId="0" applyFont="1" applyBorder="1" applyAlignment="1">
      <alignment horizontal="left" vertical="top" wrapText="1"/>
    </xf>
    <xf numFmtId="0" fontId="73" fillId="0" borderId="118" xfId="0" applyFont="1" applyBorder="1" applyAlignment="1">
      <alignment horizontal="left" vertical="top" wrapText="1"/>
    </xf>
    <xf numFmtId="206" fontId="86" fillId="0" borderId="117" xfId="0" applyNumberFormat="1" applyFont="1" applyBorder="1" applyAlignment="1">
      <alignment horizontal="left" vertical="top" wrapText="1"/>
    </xf>
    <xf numFmtId="206" fontId="86" fillId="0" borderId="118" xfId="0" applyNumberFormat="1" applyFont="1" applyBorder="1" applyAlignment="1">
      <alignment horizontal="left" vertical="top" wrapText="1"/>
    </xf>
    <xf numFmtId="206" fontId="86" fillId="0" borderId="117" xfId="0" applyNumberFormat="1" applyFont="1" applyBorder="1" applyAlignment="1">
      <alignment horizontal="right" vertical="top" wrapText="1"/>
    </xf>
    <xf numFmtId="206" fontId="86" fillId="0" borderId="118" xfId="0" applyNumberFormat="1" applyFont="1" applyBorder="1" applyAlignment="1">
      <alignment horizontal="right" vertical="top" wrapText="1"/>
    </xf>
    <xf numFmtId="206" fontId="86" fillId="0" borderId="120" xfId="0" applyNumberFormat="1" applyFont="1" applyBorder="1" applyAlignment="1">
      <alignment horizontal="right" vertical="top" wrapText="1"/>
    </xf>
    <xf numFmtId="206" fontId="86" fillId="0" borderId="121" xfId="0" applyNumberFormat="1" applyFont="1" applyBorder="1" applyAlignment="1">
      <alignment horizontal="right" vertical="top" wrapText="1"/>
    </xf>
    <xf numFmtId="206" fontId="88" fillId="0" borderId="122" xfId="0" applyNumberFormat="1" applyFont="1" applyBorder="1" applyAlignment="1">
      <alignment horizontal="left" vertical="top" wrapText="1"/>
    </xf>
    <xf numFmtId="206" fontId="88" fillId="0" borderId="123" xfId="0" applyNumberFormat="1" applyFont="1" applyBorder="1" applyAlignment="1">
      <alignment horizontal="left" vertical="top" wrapText="1"/>
    </xf>
    <xf numFmtId="206" fontId="87" fillId="0" borderId="114" xfId="0" applyNumberFormat="1" applyFont="1" applyBorder="1" applyAlignment="1">
      <alignment horizontal="right" vertical="top" wrapText="1"/>
    </xf>
    <xf numFmtId="206" fontId="87" fillId="0" borderId="112" xfId="0" applyNumberFormat="1" applyFont="1" applyBorder="1" applyAlignment="1">
      <alignment horizontal="right" vertical="top" wrapText="1"/>
    </xf>
    <xf numFmtId="206" fontId="86" fillId="0" borderId="124" xfId="0" applyNumberFormat="1" applyFont="1" applyBorder="1" applyAlignment="1">
      <alignment horizontal="left" vertical="top" wrapText="1"/>
    </xf>
    <xf numFmtId="206" fontId="86" fillId="0" borderId="125" xfId="0" applyNumberFormat="1" applyFont="1" applyBorder="1" applyAlignment="1">
      <alignment horizontal="left" vertical="top" wrapText="1"/>
    </xf>
    <xf numFmtId="206" fontId="86" fillId="0" borderId="126" xfId="0" applyNumberFormat="1" applyFont="1" applyBorder="1" applyAlignment="1">
      <alignment horizontal="left" vertical="top" wrapText="1"/>
    </xf>
    <xf numFmtId="206" fontId="86" fillId="0" borderId="127" xfId="0" applyNumberFormat="1" applyFont="1" applyBorder="1" applyAlignment="1">
      <alignment horizontal="left" vertical="top" wrapText="1"/>
    </xf>
    <xf numFmtId="206" fontId="88" fillId="0" borderId="122" xfId="0" applyNumberFormat="1" applyFont="1" applyBorder="1" applyAlignment="1">
      <alignment horizontal="right" vertical="top" wrapText="1"/>
    </xf>
    <xf numFmtId="206" fontId="88" fillId="0" borderId="123" xfId="0" applyNumberFormat="1" applyFont="1" applyBorder="1" applyAlignment="1">
      <alignment horizontal="right" vertical="top" wrapText="1"/>
    </xf>
    <xf numFmtId="206" fontId="86" fillId="0" borderId="114" xfId="0" applyNumberFormat="1" applyFont="1" applyBorder="1" applyAlignment="1">
      <alignment horizontal="right" vertical="top" wrapText="1"/>
    </xf>
    <xf numFmtId="206" fontId="86" fillId="0" borderId="112" xfId="0" applyNumberFormat="1" applyFont="1" applyBorder="1" applyAlignment="1">
      <alignment horizontal="right" vertical="top" wrapText="1"/>
    </xf>
    <xf numFmtId="0" fontId="72" fillId="35" borderId="117" xfId="0" applyFont="1" applyFill="1" applyBorder="1" applyAlignment="1">
      <alignment horizontal="center" vertical="top" wrapText="1"/>
    </xf>
    <xf numFmtId="0" fontId="72" fillId="35" borderId="118" xfId="0" applyFont="1" applyFill="1" applyBorder="1" applyAlignment="1">
      <alignment horizontal="center" vertical="top" wrapText="1"/>
    </xf>
    <xf numFmtId="0" fontId="72" fillId="35" borderId="117" xfId="0" applyFont="1" applyFill="1" applyBorder="1" applyAlignment="1">
      <alignment horizontal="left" vertical="top" wrapText="1"/>
    </xf>
    <xf numFmtId="0" fontId="72" fillId="35" borderId="118" xfId="0" applyFont="1" applyFill="1" applyBorder="1" applyAlignment="1">
      <alignment horizontal="left" vertical="top" wrapText="1"/>
    </xf>
    <xf numFmtId="209" fontId="86" fillId="0" borderId="117" xfId="0" applyNumberFormat="1" applyFont="1" applyBorder="1" applyAlignment="1">
      <alignment horizontal="left" vertical="top" wrapText="1"/>
    </xf>
    <xf numFmtId="209" fontId="86" fillId="0" borderId="118" xfId="0" applyNumberFormat="1" applyFont="1" applyBorder="1" applyAlignment="1">
      <alignment horizontal="left" vertical="top" wrapText="1"/>
    </xf>
    <xf numFmtId="208" fontId="90" fillId="0" borderId="114" xfId="0" applyNumberFormat="1" applyFont="1" applyBorder="1" applyAlignment="1">
      <alignment horizontal="left" vertical="top" wrapText="1"/>
    </xf>
    <xf numFmtId="208" fontId="90" fillId="0" borderId="112" xfId="0" applyNumberFormat="1" applyFont="1" applyBorder="1" applyAlignment="1">
      <alignment horizontal="left" vertical="top" wrapText="1"/>
    </xf>
    <xf numFmtId="206" fontId="86" fillId="0" borderId="114" xfId="0" applyNumberFormat="1" applyFont="1" applyBorder="1" applyAlignment="1">
      <alignment horizontal="left" vertical="top" wrapText="1"/>
    </xf>
    <xf numFmtId="206" fontId="86" fillId="0" borderId="112" xfId="0" applyNumberFormat="1" applyFont="1" applyBorder="1" applyAlignment="1">
      <alignment horizontal="left" vertical="top" wrapText="1"/>
    </xf>
    <xf numFmtId="0" fontId="0" fillId="33" borderId="117" xfId="0" applyFill="1" applyBorder="1" applyAlignment="1">
      <alignment horizontal="left" vertical="top" wrapText="1"/>
    </xf>
    <xf numFmtId="0" fontId="0" fillId="33" borderId="118" xfId="0" applyFill="1" applyBorder="1" applyAlignment="1">
      <alignment horizontal="left" vertical="top" wrapText="1"/>
    </xf>
    <xf numFmtId="0" fontId="72" fillId="33" borderId="117" xfId="0" applyFont="1" applyFill="1" applyBorder="1" applyAlignment="1">
      <alignment horizontal="left" vertical="top" wrapText="1"/>
    </xf>
    <xf numFmtId="0" fontId="72" fillId="33" borderId="118" xfId="0" applyFont="1" applyFill="1" applyBorder="1" applyAlignment="1">
      <alignment horizontal="left" vertical="top" wrapText="1"/>
    </xf>
    <xf numFmtId="205" fontId="96" fillId="33" borderId="117" xfId="0" applyNumberFormat="1" applyFont="1" applyFill="1" applyBorder="1" applyAlignment="1">
      <alignment horizontal="left" vertical="top" wrapText="1"/>
    </xf>
    <xf numFmtId="205" fontId="96" fillId="33" borderId="118" xfId="0" applyNumberFormat="1" applyFont="1" applyFill="1" applyBorder="1" applyAlignment="1">
      <alignment horizontal="left" vertical="top" wrapText="1"/>
    </xf>
    <xf numFmtId="0" fontId="72" fillId="32" borderId="117" xfId="0" applyFont="1" applyFill="1" applyBorder="1" applyAlignment="1">
      <alignment horizontal="center" vertical="top" wrapText="1"/>
    </xf>
    <xf numFmtId="0" fontId="72" fillId="32" borderId="118" xfId="0" applyFont="1" applyFill="1" applyBorder="1" applyAlignment="1">
      <alignment horizontal="center" vertical="top" wrapText="1"/>
    </xf>
    <xf numFmtId="0" fontId="72" fillId="32" borderId="119" xfId="0" applyFont="1" applyFill="1" applyBorder="1" applyAlignment="1">
      <alignment horizontal="center" vertical="top" wrapText="1"/>
    </xf>
    <xf numFmtId="0" fontId="0" fillId="32" borderId="117" xfId="0" applyFill="1" applyBorder="1" applyAlignment="1">
      <alignment horizontal="left" vertical="top" wrapText="1"/>
    </xf>
    <xf numFmtId="0" fontId="0" fillId="32" borderId="119" xfId="0" applyFill="1" applyBorder="1" applyAlignment="1">
      <alignment horizontal="left" vertical="top" wrapText="1"/>
    </xf>
    <xf numFmtId="0" fontId="0" fillId="32" borderId="118" xfId="0" applyFill="1" applyBorder="1" applyAlignment="1">
      <alignment horizontal="left" vertical="top" wrapText="1"/>
    </xf>
  </cellXfs>
  <cellStyles count="9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9FE3C80-78FF-4299-920C-8A7257DEC4BF}"/>
    <cellStyle name="Currency" xfId="29" builtinId="4"/>
    <cellStyle name="Currency 2" xfId="30" xr:uid="{9A845E04-7610-4691-9D05-2A01A0453E38}"/>
    <cellStyle name="Currency0" xfId="31" xr:uid="{1DFDCF77-AFED-4C63-A196-7AB3DEC9E703}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Hyperlink" xfId="38" builtinId="8"/>
    <cellStyle name="Input" xfId="39" builtinId="20" customBuiltin="1"/>
    <cellStyle name="Linked Cell" xfId="40" builtinId="24" customBuiltin="1"/>
    <cellStyle name="Neutral" xfId="41" builtinId="28" customBuiltin="1"/>
    <cellStyle name="Normal" xfId="0" builtinId="0"/>
    <cellStyle name="Normal 10" xfId="42" xr:uid="{4A0CEF3F-A28F-462F-B335-7B1E0B88CA6B}"/>
    <cellStyle name="Normal 11" xfId="43" xr:uid="{0CC762E0-B3D9-4AF9-A9A8-8DDBA689F7F5}"/>
    <cellStyle name="Normal 12" xfId="44" xr:uid="{E552AC12-8D1E-4B92-A5F5-D77F6E542C9A}"/>
    <cellStyle name="Normal 13" xfId="45" xr:uid="{DEE9CA19-416E-465D-B660-54700538776C}"/>
    <cellStyle name="Normal 14" xfId="46" xr:uid="{3553B6FA-269A-41B9-8079-4CD23998BCCE}"/>
    <cellStyle name="Normal 15" xfId="47" xr:uid="{D062324E-7971-473B-B095-3950A0F3FE95}"/>
    <cellStyle name="Normal 16" xfId="48" xr:uid="{592325AC-00C4-40FF-B08D-59001E259794}"/>
    <cellStyle name="Normal 17" xfId="49" xr:uid="{A414E324-A495-4328-B0B5-A66A0C8EA2A9}"/>
    <cellStyle name="Normal 18" xfId="50" xr:uid="{D2D8049C-2687-4A09-B8FD-B1E7A92C4ABB}"/>
    <cellStyle name="Normal 19" xfId="51" xr:uid="{E4A1B422-A5F8-490F-8181-934ABE84985D}"/>
    <cellStyle name="Normal 2" xfId="52" xr:uid="{B90C7BAA-3542-40A1-8EE8-17E2FAE7D167}"/>
    <cellStyle name="Normal 2 2" xfId="53" xr:uid="{1FCBC55C-B340-4F99-800F-BC0B08FF93F9}"/>
    <cellStyle name="Normal 20" xfId="54" xr:uid="{AD7F162A-A610-4A7F-98BD-3A2D46C0DC8A}"/>
    <cellStyle name="Normal 21" xfId="55" xr:uid="{ED763922-A21A-459D-84D7-C57B4C5A0DA5}"/>
    <cellStyle name="Normal 22" xfId="56" xr:uid="{1CFFE42B-9526-4E82-B256-00B799302E2B}"/>
    <cellStyle name="Normal 23" xfId="57" xr:uid="{4ABC159C-56F0-41F9-9313-02C7FA308E18}"/>
    <cellStyle name="Normal 24" xfId="58" xr:uid="{36841FF1-C916-41F2-BA2C-4D6D22960D93}"/>
    <cellStyle name="Normal 25" xfId="59" xr:uid="{FDA944FF-37D2-4A3D-AFF3-C810BA30D016}"/>
    <cellStyle name="Normal 26" xfId="60" xr:uid="{DAD52618-CF3C-49F2-98D1-963F4E0A0E7A}"/>
    <cellStyle name="Normal 27" xfId="61" xr:uid="{94CC529F-573B-43EF-BC22-469282093711}"/>
    <cellStyle name="Normal 28" xfId="62" xr:uid="{B44A8DF7-1085-41CE-81C4-DA4603EE467F}"/>
    <cellStyle name="Normal 29" xfId="63" xr:uid="{46584AC0-7D49-4F23-8B44-28EC9E62A86A}"/>
    <cellStyle name="Normal 3" xfId="64" xr:uid="{9FB17B5D-F4F3-4398-8415-6575B6A7A058}"/>
    <cellStyle name="Normal 30" xfId="65" xr:uid="{F34A50C5-4CFC-45B9-A656-3BAFFF6C42D7}"/>
    <cellStyle name="Normal 31" xfId="66" xr:uid="{C5C7B6E8-8C29-4DBD-BB0B-EFE895F9A6DE}"/>
    <cellStyle name="Normal 32" xfId="67" xr:uid="{C9F4B9D6-D49B-4A93-86C1-EA62B3229C9F}"/>
    <cellStyle name="Normal 33" xfId="68" xr:uid="{A0984CB8-D545-4786-ABD3-85E19391D5FD}"/>
    <cellStyle name="Normal 34" xfId="69" xr:uid="{B9953BB8-E14C-49AD-9735-FBD381458216}"/>
    <cellStyle name="Normal 35" xfId="70" xr:uid="{22776F69-6487-4BAB-8069-78B86E14614E}"/>
    <cellStyle name="Normal 36" xfId="71" xr:uid="{7E96F6ED-8D1F-4A64-BD9D-09CD504A8D5F}"/>
    <cellStyle name="Normal 37" xfId="72" xr:uid="{8D6812A2-85DE-412F-AB1C-2E3A305C2034}"/>
    <cellStyle name="Normal 4" xfId="73" xr:uid="{17D878B2-9EA5-4033-A1C4-A1D269C4677C}"/>
    <cellStyle name="Normal 5" xfId="74" xr:uid="{FFF4B38F-1927-4946-83B9-04E0CD01DCE6}"/>
    <cellStyle name="Normal 6" xfId="75" xr:uid="{1DE01ADA-B112-4A72-8ED4-81BB1354857F}"/>
    <cellStyle name="Normal 6 2" xfId="76" xr:uid="{6A7E9BA8-D912-400A-94C7-A91827CD39C1}"/>
    <cellStyle name="Normal 6 3" xfId="77" xr:uid="{258101F1-1EF9-4BAB-97F5-80962C1D806D}"/>
    <cellStyle name="Normal 7" xfId="78" xr:uid="{FDEFE066-D87F-403E-A90B-FCA5832FB00A}"/>
    <cellStyle name="Normal 7 2" xfId="79" xr:uid="{A9CD53DA-CBD8-40D5-A723-2A1EE7541C25}"/>
    <cellStyle name="Normal 7 2 2" xfId="80" xr:uid="{C940DF6F-74C5-4A09-A4EA-C3A67A26647F}"/>
    <cellStyle name="Normal 7 3" xfId="81" xr:uid="{49C20F42-16D2-4A7E-8868-F184AE6190D4}"/>
    <cellStyle name="Normal 8" xfId="82" xr:uid="{D2300654-7447-4F29-895E-853A1B473F53}"/>
    <cellStyle name="Normal 8 2" xfId="83" xr:uid="{C1331F53-D5BC-4C8A-8677-E7E88C92D25A}"/>
    <cellStyle name="Normal 8 2 2" xfId="84" xr:uid="{9448EB29-2FB5-4608-8045-48EBED50FF8C}"/>
    <cellStyle name="Normal 8 3" xfId="85" xr:uid="{A026E611-824C-4CED-9503-B4A8A12EC453}"/>
    <cellStyle name="Normal 9" xfId="86" xr:uid="{035630E4-D6C3-499B-A3B4-F3792C5C4824}"/>
    <cellStyle name="Normal 9 2" xfId="87" xr:uid="{E166B09B-DA38-4EA4-A951-5CDF8242867B}"/>
    <cellStyle name="Normal 9 2 2" xfId="88" xr:uid="{22E81252-325F-4FE8-9554-55132D329E96}"/>
    <cellStyle name="Normal 9 3" xfId="89" xr:uid="{4E1613EF-2907-4E5E-A1EE-6DCD74FB4E5F}"/>
    <cellStyle name="Normal_2000001076_FdInvSQF2005" xfId="90" xr:uid="{A6566804-0AC4-4F23-AA1C-A37445EE7117}"/>
    <cellStyle name="Note" xfId="91" builtinId="10" customBuiltin="1"/>
    <cellStyle name="Output" xfId="92" builtinId="21" customBuiltin="1"/>
    <cellStyle name="Percent" xfId="93" builtinId="5"/>
    <cellStyle name="Title" xfId="94" builtinId="15" customBuiltin="1"/>
    <cellStyle name="Total" xfId="95" builtinId="25" customBuiltin="1"/>
    <cellStyle name="Warning Text" xfId="96" builtinId="11" customBuiltin="1"/>
  </cellStyles>
  <dxfs count="11">
    <dxf>
      <font>
        <b/>
        <i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2</xdr:row>
      <xdr:rowOff>95250</xdr:rowOff>
    </xdr:from>
    <xdr:to>
      <xdr:col>6</xdr:col>
      <xdr:colOff>95250</xdr:colOff>
      <xdr:row>12</xdr:row>
      <xdr:rowOff>28575</xdr:rowOff>
    </xdr:to>
    <xdr:pic>
      <xdr:nvPicPr>
        <xdr:cNvPr id="56738" name="Picture 1">
          <a:extLst>
            <a:ext uri="{FF2B5EF4-FFF2-40B4-BE49-F238E27FC236}">
              <a16:creationId xmlns:a16="http://schemas.microsoft.com/office/drawing/2014/main" id="{BDC556F2-43EC-A790-F336-76DD8F91B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5350" y="476250"/>
          <a:ext cx="2181225" cy="1914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504825</xdr:colOff>
      <xdr:row>1</xdr:row>
      <xdr:rowOff>1</xdr:rowOff>
    </xdr:from>
    <xdr:to>
      <xdr:col>9</xdr:col>
      <xdr:colOff>571500</xdr:colOff>
      <xdr:row>3</xdr:row>
      <xdr:rowOff>0</xdr:rowOff>
    </xdr:to>
    <xdr:sp macro="[0]!Add_Sales_Volumes" textlink="">
      <xdr:nvSpPr>
        <xdr:cNvPr id="3" name="Bevel 2">
          <a:extLst>
            <a:ext uri="{FF2B5EF4-FFF2-40B4-BE49-F238E27FC236}">
              <a16:creationId xmlns:a16="http://schemas.microsoft.com/office/drawing/2014/main" id="{D504655C-A355-5115-8693-9F2C10C411A3}"/>
            </a:ext>
          </a:extLst>
        </xdr:cNvPr>
        <xdr:cNvSpPr/>
      </xdr:nvSpPr>
      <xdr:spPr>
        <a:xfrm>
          <a:off x="7296150" y="190501"/>
          <a:ext cx="1895475" cy="400049"/>
        </a:xfrm>
        <a:prstGeom prst="bevel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95000"/>
                  <a:lumOff val="5000"/>
                </a:schemeClr>
              </a:solidFill>
            </a:rPr>
            <a:t>ADD MICROS</a:t>
          </a:r>
          <a:r>
            <a:rPr lang="en-CA" sz="1200" b="1" baseline="0">
              <a:solidFill>
                <a:schemeClr val="tx1">
                  <a:lumMod val="95000"/>
                  <a:lumOff val="5000"/>
                </a:schemeClr>
              </a:solidFill>
            </a:rPr>
            <a:t> USAGE</a:t>
          </a:r>
          <a:endParaRPr lang="en-CA" sz="12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6</xdr:col>
      <xdr:colOff>504825</xdr:colOff>
      <xdr:row>3</xdr:row>
      <xdr:rowOff>66675</xdr:rowOff>
    </xdr:from>
    <xdr:to>
      <xdr:col>9</xdr:col>
      <xdr:colOff>571500</xdr:colOff>
      <xdr:row>5</xdr:row>
      <xdr:rowOff>47624</xdr:rowOff>
    </xdr:to>
    <xdr:sp macro="[0]!Set_Up_New_Week" textlink="">
      <xdr:nvSpPr>
        <xdr:cNvPr id="10" name="Bevel 9">
          <a:extLst>
            <a:ext uri="{FF2B5EF4-FFF2-40B4-BE49-F238E27FC236}">
              <a16:creationId xmlns:a16="http://schemas.microsoft.com/office/drawing/2014/main" id="{FBDB9B2E-A34E-134E-80E8-33F26D1FA3AD}"/>
            </a:ext>
          </a:extLst>
        </xdr:cNvPr>
        <xdr:cNvSpPr/>
      </xdr:nvSpPr>
      <xdr:spPr>
        <a:xfrm>
          <a:off x="7296150" y="657225"/>
          <a:ext cx="1895475" cy="380999"/>
        </a:xfrm>
        <a:prstGeom prst="bevel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95000"/>
                  <a:lumOff val="5000"/>
                </a:schemeClr>
              </a:solidFill>
            </a:rPr>
            <a:t>SET UP NEW WEEK</a:t>
          </a:r>
        </a:p>
      </xdr:txBody>
    </xdr:sp>
    <xdr:clientData/>
  </xdr:twoCellAnchor>
  <xdr:twoCellAnchor>
    <xdr:from>
      <xdr:col>6</xdr:col>
      <xdr:colOff>504825</xdr:colOff>
      <xdr:row>5</xdr:row>
      <xdr:rowOff>114300</xdr:rowOff>
    </xdr:from>
    <xdr:to>
      <xdr:col>9</xdr:col>
      <xdr:colOff>581025</xdr:colOff>
      <xdr:row>7</xdr:row>
      <xdr:rowOff>133349</xdr:rowOff>
    </xdr:to>
    <xdr:sp macro="[0]!LINEPREPPRINT" textlink="">
      <xdr:nvSpPr>
        <xdr:cNvPr id="5" name="Bevel 2">
          <a:extLst>
            <a:ext uri="{FF2B5EF4-FFF2-40B4-BE49-F238E27FC236}">
              <a16:creationId xmlns:a16="http://schemas.microsoft.com/office/drawing/2014/main" id="{56E1D39B-5798-94D6-D61C-3723DC2C7EB4}"/>
            </a:ext>
          </a:extLst>
        </xdr:cNvPr>
        <xdr:cNvSpPr/>
      </xdr:nvSpPr>
      <xdr:spPr>
        <a:xfrm>
          <a:off x="7296150" y="1104900"/>
          <a:ext cx="1905000" cy="400049"/>
        </a:xfrm>
        <a:prstGeom prst="bevel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95000"/>
                  <a:lumOff val="5000"/>
                </a:schemeClr>
              </a:solidFill>
            </a:rPr>
            <a:t>PRINT</a:t>
          </a:r>
          <a:r>
            <a:rPr lang="en-CA" sz="1200" b="1" baseline="0">
              <a:solidFill>
                <a:schemeClr val="tx1">
                  <a:lumMod val="95000"/>
                  <a:lumOff val="5000"/>
                </a:schemeClr>
              </a:solidFill>
            </a:rPr>
            <a:t> LINE PREP</a:t>
          </a:r>
        </a:p>
      </xdr:txBody>
    </xdr:sp>
    <xdr:clientData/>
  </xdr:twoCellAnchor>
  <xdr:twoCellAnchor>
    <xdr:from>
      <xdr:col>6</xdr:col>
      <xdr:colOff>504825</xdr:colOff>
      <xdr:row>8</xdr:row>
      <xdr:rowOff>19050</xdr:rowOff>
    </xdr:from>
    <xdr:to>
      <xdr:col>9</xdr:col>
      <xdr:colOff>590550</xdr:colOff>
      <xdr:row>10</xdr:row>
      <xdr:rowOff>19049</xdr:rowOff>
    </xdr:to>
    <xdr:sp macro="[0]!PIZZAPRINT" textlink="">
      <xdr:nvSpPr>
        <xdr:cNvPr id="6" name="Bevel 2">
          <a:extLst>
            <a:ext uri="{FF2B5EF4-FFF2-40B4-BE49-F238E27FC236}">
              <a16:creationId xmlns:a16="http://schemas.microsoft.com/office/drawing/2014/main" id="{E1F59A84-B305-8EED-6A40-8BEBF03E785E}"/>
            </a:ext>
          </a:extLst>
        </xdr:cNvPr>
        <xdr:cNvSpPr/>
      </xdr:nvSpPr>
      <xdr:spPr>
        <a:xfrm>
          <a:off x="7296150" y="1581150"/>
          <a:ext cx="1914525" cy="400049"/>
        </a:xfrm>
        <a:prstGeom prst="bevel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tx1">
                  <a:lumMod val="95000"/>
                  <a:lumOff val="5000"/>
                </a:schemeClr>
              </a:solidFill>
            </a:rPr>
            <a:t>PRINT</a:t>
          </a:r>
          <a:r>
            <a:rPr lang="en-CA" sz="1200" b="1" baseline="0">
              <a:solidFill>
                <a:schemeClr val="tx1">
                  <a:lumMod val="95000"/>
                  <a:lumOff val="5000"/>
                </a:schemeClr>
              </a:solidFill>
            </a:rPr>
            <a:t> PIZZA SALAD PREP</a:t>
          </a:r>
          <a:endParaRPr lang="en-CA" sz="12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1771650</xdr:colOff>
      <xdr:row>3</xdr:row>
      <xdr:rowOff>123825</xdr:rowOff>
    </xdr:to>
    <xdr:pic>
      <xdr:nvPicPr>
        <xdr:cNvPr id="53703" name="Picture 1">
          <a:extLst>
            <a:ext uri="{FF2B5EF4-FFF2-40B4-BE49-F238E27FC236}">
              <a16:creationId xmlns:a16="http://schemas.microsoft.com/office/drawing/2014/main" id="{4F4BA277-C664-67FD-07C3-33BB69307C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7716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649a3b4355b4831/Desktop/Food%20Cost%20Inventories/PREP%20PROGRAM/Work/Food%20Inventory/Supplied%20Inventory-%20Period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649a3b4355b4831/Desktop/Food%20Cost%20Inventories/PREP%20PROGRAM/Work/Kitchen/Food%20Inventory%20Spreadshee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649a3b4355b4831/Desktop/Food%20Cost%20Inventories/PREP%20PROGRAM/Work/Kitchen/Food%20Cost%20Inventories/Food%20Cost%20Inventories/export/MaitreDFoodInvF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per Cleaning"/>
      <sheetName val="Drop List"/>
      <sheetName val="Supplied Inventory- Period 1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 Worksheet"/>
      <sheetName val="Theoretical"/>
      <sheetName val="Product Variance"/>
      <sheetName val="Declining Balance - Paper etc."/>
      <sheetName val="Inventory Sheets"/>
      <sheetName val="Order Sheet"/>
      <sheetName val="Flip Prep"/>
      <sheetName val="Freezer Pull Sheet"/>
      <sheetName val="Squirrel Volumes"/>
      <sheetName val="Transfer"/>
      <sheetName val="Module1"/>
      <sheetName val="Module2"/>
      <sheetName val="SquirlMod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unt Sheet"/>
      <sheetName val="Produce Order"/>
      <sheetName val="Diversey Order"/>
      <sheetName val="Inventory Worksheet"/>
      <sheetName val="Order Sheet"/>
      <sheetName val="Theoretical"/>
      <sheetName val="Product Variance"/>
      <sheetName val="Daily Variance"/>
      <sheetName val="Squirrel Volumes"/>
      <sheetName val="Transfer "/>
      <sheetName val="Module1"/>
      <sheetName val="Module2"/>
      <sheetName val="SquirlMod"/>
      <sheetName val="Module3"/>
      <sheetName val="Module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9781B-2F6F-4757-9722-D01A94BD0387}">
  <sheetPr codeName="Sheet3"/>
  <dimension ref="A2:B21"/>
  <sheetViews>
    <sheetView showGridLines="0" zoomScaleNormal="100" workbookViewId="0"/>
  </sheetViews>
  <sheetFormatPr defaultRowHeight="15" customHeight="1" x14ac:dyDescent="0.25"/>
  <cols>
    <col min="1" max="1" width="43.5703125" customWidth="1"/>
    <col min="2" max="2" width="21.7109375" customWidth="1"/>
  </cols>
  <sheetData>
    <row r="2" spans="1:2" ht="15" customHeight="1" thickBot="1" x14ac:dyDescent="0.3"/>
    <row r="3" spans="1:2" ht="16.5" thickTop="1" thickBot="1" x14ac:dyDescent="0.3">
      <c r="A3" s="59" t="s">
        <v>289</v>
      </c>
      <c r="B3" s="361">
        <v>21000</v>
      </c>
    </row>
    <row r="4" spans="1:2" ht="15.75" thickBot="1" x14ac:dyDescent="0.3">
      <c r="A4" s="59" t="s">
        <v>374</v>
      </c>
      <c r="B4" s="363" t="s">
        <v>533</v>
      </c>
    </row>
    <row r="5" spans="1:2" ht="15.75" thickBot="1" x14ac:dyDescent="0.3">
      <c r="A5" s="59" t="s">
        <v>290</v>
      </c>
      <c r="B5" s="362"/>
    </row>
    <row r="6" spans="1:2" ht="15" customHeight="1" thickTop="1" thickBot="1" x14ac:dyDescent="0.3"/>
    <row r="7" spans="1:2" x14ac:dyDescent="0.25">
      <c r="A7" s="58" t="s">
        <v>291</v>
      </c>
      <c r="B7" s="63" t="e">
        <f>(SUM('Inventory Worksheet'!L349:L365)-('Inventory Worksheet'!H363))/B3</f>
        <v>#REF!</v>
      </c>
    </row>
    <row r="8" spans="1:2" x14ac:dyDescent="0.25">
      <c r="A8" s="58" t="s">
        <v>292</v>
      </c>
      <c r="B8" s="63" t="e">
        <f>((SUM('Inventory Worksheet'!L349:L365)-('Inventory Worksheet'!H363))-B4-B5)/B3</f>
        <v>#REF!</v>
      </c>
    </row>
    <row r="10" spans="1:2" ht="16.5" thickTop="1" thickBot="1" x14ac:dyDescent="0.3">
      <c r="A10" s="62" t="s">
        <v>293</v>
      </c>
      <c r="B10" s="64" t="e">
        <f>SUM('Inventory Worksheet'!H349:H366)</f>
        <v>#REF!</v>
      </c>
    </row>
    <row r="11" spans="1:2" ht="16.5" thickTop="1" thickBot="1" x14ac:dyDescent="0.3">
      <c r="A11" s="62" t="s">
        <v>294</v>
      </c>
      <c r="B11" s="358">
        <f>SUM('Inventory Worksheet'!J349:J365)</f>
        <v>9536.7119999999995</v>
      </c>
    </row>
    <row r="12" spans="1:2" ht="15" customHeight="1" thickBot="1" x14ac:dyDescent="0.3">
      <c r="A12" s="360" t="s">
        <v>499</v>
      </c>
      <c r="B12" s="359">
        <v>0</v>
      </c>
    </row>
    <row r="13" spans="1:2" ht="15" customHeight="1" thickBot="1" x14ac:dyDescent="0.3">
      <c r="A13" s="235" t="s">
        <v>498</v>
      </c>
      <c r="B13" s="178" t="e">
        <f>(('Inventory Worksheet'!$N$366)-(B3*28%)-B5)</f>
        <v>#REF!</v>
      </c>
    </row>
    <row r="14" spans="1:2" ht="15" customHeight="1" thickBot="1" x14ac:dyDescent="0.3"/>
    <row r="15" spans="1:2" ht="15" customHeight="1" x14ac:dyDescent="0.25">
      <c r="A15" s="342" t="s">
        <v>479</v>
      </c>
      <c r="B15" s="343" t="e">
        <f>B10</f>
        <v>#REF!</v>
      </c>
    </row>
    <row r="16" spans="1:2" ht="15" customHeight="1" x14ac:dyDescent="0.25">
      <c r="A16" s="341" t="s">
        <v>332</v>
      </c>
      <c r="B16" s="344">
        <f>'Inventory Worksheet'!C304</f>
        <v>0</v>
      </c>
    </row>
    <row r="17" spans="1:2" ht="15" customHeight="1" x14ac:dyDescent="0.25">
      <c r="A17" s="339" t="s">
        <v>480</v>
      </c>
      <c r="B17" s="345" t="e">
        <f>'Paper Cleaning'!D36</f>
        <v>#REF!</v>
      </c>
    </row>
    <row r="18" spans="1:2" ht="15" customHeight="1" x14ac:dyDescent="0.25">
      <c r="A18" s="339" t="s">
        <v>273</v>
      </c>
      <c r="B18" s="345" t="e">
        <f>'Paper Cleaning'!D63</f>
        <v>#REF!</v>
      </c>
    </row>
    <row r="19" spans="1:2" ht="15" customHeight="1" x14ac:dyDescent="0.25">
      <c r="A19" s="339" t="s">
        <v>274</v>
      </c>
      <c r="B19" s="345">
        <f>'Paper Cleaning'!D93</f>
        <v>1184.0889999999999</v>
      </c>
    </row>
    <row r="20" spans="1:2" ht="15" customHeight="1" x14ac:dyDescent="0.25">
      <c r="A20" s="339" t="s">
        <v>275</v>
      </c>
      <c r="B20" s="345">
        <f>'Paper Cleaning'!D103</f>
        <v>49.938000000000002</v>
      </c>
    </row>
    <row r="21" spans="1:2" ht="15" customHeight="1" thickBot="1" x14ac:dyDescent="0.3">
      <c r="A21" s="340" t="s">
        <v>276</v>
      </c>
      <c r="B21" s="346">
        <f>'Paper Cleaning'!D112</f>
        <v>531.1350000000001</v>
      </c>
    </row>
  </sheetData>
  <phoneticPr fontId="15" type="noConversion"/>
  <pageMargins left="0.7" right="0.7" top="0.75" bottom="0.75" header="0.3" footer="0.3"/>
  <pageSetup orientation="portrait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EC842-E535-41AA-9C0C-E4775B538C26}">
  <sheetPr transitionEvaluation="1" transitionEntry="1" codeName="Sheet7"/>
  <dimension ref="A1:O534"/>
  <sheetViews>
    <sheetView showGridLines="0" zoomScale="90" zoomScaleNormal="90" workbookViewId="0">
      <pane ySplit="3" topLeftCell="A4" activePane="bottomLeft" state="frozen"/>
      <selection pane="bottomLeft" activeCell="F292" sqref="F292"/>
    </sheetView>
  </sheetViews>
  <sheetFormatPr defaultColWidth="9.7109375" defaultRowHeight="12.75" customHeight="1" x14ac:dyDescent="0.25"/>
  <cols>
    <col min="1" max="1" width="30.28515625" style="5" customWidth="1"/>
    <col min="2" max="2" width="30.85546875" style="6" customWidth="1"/>
    <col min="3" max="3" width="11" style="6" customWidth="1"/>
    <col min="4" max="4" width="9.5703125" style="5" customWidth="1"/>
    <col min="5" max="6" width="7.140625" style="234" bestFit="1" customWidth="1"/>
    <col min="7" max="7" width="7.140625" style="227" customWidth="1"/>
    <col min="8" max="8" width="13" style="5" customWidth="1"/>
    <col min="9" max="9" width="7.5703125" style="271" customWidth="1"/>
    <col min="10" max="10" width="10" style="5" customWidth="1"/>
    <col min="11" max="11" width="10.140625" style="5" customWidth="1"/>
    <col min="12" max="12" width="10.5703125" style="161" customWidth="1"/>
    <col min="13" max="13" width="10.28515625" style="170" customWidth="1"/>
    <col min="14" max="14" width="12.42578125" style="120" customWidth="1"/>
    <col min="15" max="15" width="8.140625" customWidth="1"/>
    <col min="16" max="17" width="5.7109375" customWidth="1"/>
    <col min="18" max="18" width="14.7109375" customWidth="1"/>
    <col min="19" max="22" width="5.7109375" customWidth="1"/>
    <col min="23" max="33" width="6.7109375" customWidth="1"/>
  </cols>
  <sheetData>
    <row r="1" spans="1:14" ht="12.75" customHeight="1" thickBot="1" x14ac:dyDescent="0.3">
      <c r="A1" s="5" t="s">
        <v>434</v>
      </c>
    </row>
    <row r="2" spans="1:14" ht="15" customHeight="1" x14ac:dyDescent="0.25">
      <c r="A2" s="117" t="s">
        <v>327</v>
      </c>
      <c r="B2" s="815" t="s">
        <v>131</v>
      </c>
      <c r="C2" s="817" t="s">
        <v>132</v>
      </c>
      <c r="D2" s="45" t="s">
        <v>124</v>
      </c>
      <c r="E2" s="247" t="s">
        <v>125</v>
      </c>
      <c r="F2" s="261"/>
      <c r="G2" s="241"/>
      <c r="H2" s="45" t="s">
        <v>126</v>
      </c>
      <c r="I2" s="45" t="s">
        <v>127</v>
      </c>
      <c r="J2" s="45" t="s">
        <v>128</v>
      </c>
      <c r="K2" s="45" t="s">
        <v>115</v>
      </c>
      <c r="L2" s="156" t="s">
        <v>129</v>
      </c>
      <c r="M2" s="159" t="s">
        <v>127</v>
      </c>
      <c r="N2" s="122" t="s">
        <v>130</v>
      </c>
    </row>
    <row r="3" spans="1:14" ht="15" customHeight="1" thickBot="1" x14ac:dyDescent="0.3">
      <c r="B3" s="816"/>
      <c r="C3" s="818"/>
      <c r="D3" s="96" t="s">
        <v>133</v>
      </c>
      <c r="E3" s="248">
        <v>1</v>
      </c>
      <c r="F3" s="262">
        <v>2</v>
      </c>
      <c r="G3" s="238">
        <v>3</v>
      </c>
      <c r="H3" s="96" t="s">
        <v>134</v>
      </c>
      <c r="I3" s="96" t="s">
        <v>135</v>
      </c>
      <c r="J3" s="96" t="s">
        <v>129</v>
      </c>
      <c r="K3" s="96" t="s">
        <v>136</v>
      </c>
      <c r="L3" s="157" t="s">
        <v>137</v>
      </c>
      <c r="M3" s="160" t="s">
        <v>138</v>
      </c>
      <c r="N3" s="144" t="s">
        <v>137</v>
      </c>
    </row>
    <row r="4" spans="1:14" ht="15" customHeight="1" thickTop="1" thickBot="1" x14ac:dyDescent="0.3">
      <c r="A4" s="5" t="s">
        <v>166</v>
      </c>
      <c r="B4" s="601" t="s">
        <v>270</v>
      </c>
      <c r="C4" s="602"/>
      <c r="D4" s="606"/>
      <c r="E4" s="603"/>
      <c r="F4" s="603"/>
      <c r="G4" s="657"/>
      <c r="H4" s="606"/>
      <c r="I4" s="606"/>
      <c r="J4" s="606"/>
      <c r="K4" s="606"/>
      <c r="L4" s="658"/>
      <c r="M4" s="608"/>
      <c r="N4" s="609"/>
    </row>
    <row r="5" spans="1:14" ht="15" customHeight="1" thickBot="1" x14ac:dyDescent="0.3">
      <c r="B5" s="659" t="s">
        <v>462</v>
      </c>
      <c r="C5" s="614" t="s">
        <v>141</v>
      </c>
      <c r="D5" s="615">
        <v>100</v>
      </c>
      <c r="E5" s="616"/>
      <c r="F5" s="616"/>
      <c r="G5" s="617"/>
      <c r="H5" s="618">
        <f t="shared" ref="H5:H13" si="0">SUM(D5:F5)+G5</f>
        <v>100</v>
      </c>
      <c r="I5" s="619">
        <f>'INVENTORY INPUT'!G2</f>
        <v>0</v>
      </c>
      <c r="J5" s="618">
        <f t="shared" ref="J5:J15" si="1">H5-I5</f>
        <v>100</v>
      </c>
      <c r="K5" s="700">
        <v>0.85</v>
      </c>
      <c r="L5" s="707">
        <f>K5*J5</f>
        <v>85</v>
      </c>
      <c r="M5" s="708">
        <f>K5*I5</f>
        <v>0</v>
      </c>
      <c r="N5" s="704">
        <f>SUM(E5:G5)*K5</f>
        <v>0</v>
      </c>
    </row>
    <row r="6" spans="1:14" ht="15" customHeight="1" thickBot="1" x14ac:dyDescent="0.3">
      <c r="B6" s="382" t="s">
        <v>101</v>
      </c>
      <c r="C6" s="116" t="s">
        <v>141</v>
      </c>
      <c r="D6" s="321">
        <v>16</v>
      </c>
      <c r="E6" s="335"/>
      <c r="F6" s="335"/>
      <c r="G6" s="194"/>
      <c r="H6" s="17">
        <f t="shared" si="0"/>
        <v>16</v>
      </c>
      <c r="I6" s="619">
        <f>'INVENTORY INPUT'!G3</f>
        <v>0</v>
      </c>
      <c r="J6" s="618">
        <f t="shared" si="1"/>
        <v>16</v>
      </c>
      <c r="K6" s="701">
        <v>1.04</v>
      </c>
      <c r="L6" s="707">
        <f t="shared" ref="L6:L15" si="2">K6*J6</f>
        <v>16.64</v>
      </c>
      <c r="M6" s="708">
        <f t="shared" ref="M6:M15" si="3">K6*I6</f>
        <v>0</v>
      </c>
      <c r="N6" s="704">
        <f t="shared" ref="N6:N15" si="4">SUM(E6:G6)*K6</f>
        <v>0</v>
      </c>
    </row>
    <row r="7" spans="1:14" ht="15" customHeight="1" thickBot="1" x14ac:dyDescent="0.3">
      <c r="A7" s="47"/>
      <c r="B7" s="128" t="s">
        <v>144</v>
      </c>
      <c r="C7" s="16" t="s">
        <v>143</v>
      </c>
      <c r="D7" s="321">
        <v>1</v>
      </c>
      <c r="E7" s="660">
        <v>30</v>
      </c>
      <c r="F7" s="660">
        <v>30</v>
      </c>
      <c r="G7" s="194"/>
      <c r="H7" s="17">
        <f t="shared" si="0"/>
        <v>61</v>
      </c>
      <c r="I7" s="619">
        <f>'INVENTORY INPUT'!G4</f>
        <v>0</v>
      </c>
      <c r="J7" s="618">
        <f t="shared" si="1"/>
        <v>61</v>
      </c>
      <c r="K7" s="701">
        <v>8.65</v>
      </c>
      <c r="L7" s="707">
        <f t="shared" si="2"/>
        <v>527.65</v>
      </c>
      <c r="M7" s="708">
        <f t="shared" si="3"/>
        <v>0</v>
      </c>
      <c r="N7" s="704">
        <f t="shared" si="4"/>
        <v>519</v>
      </c>
    </row>
    <row r="8" spans="1:14" ht="15" customHeight="1" thickBot="1" x14ac:dyDescent="0.3">
      <c r="B8" s="129" t="s">
        <v>145</v>
      </c>
      <c r="C8" s="16" t="s">
        <v>143</v>
      </c>
      <c r="D8" s="321">
        <v>7</v>
      </c>
      <c r="E8" s="335">
        <v>10</v>
      </c>
      <c r="F8" s="335">
        <v>20</v>
      </c>
      <c r="G8" s="194"/>
      <c r="H8" s="17">
        <f t="shared" si="0"/>
        <v>37</v>
      </c>
      <c r="I8" s="619">
        <f>'INVENTORY INPUT'!G5</f>
        <v>0</v>
      </c>
      <c r="J8" s="618">
        <f t="shared" si="1"/>
        <v>37</v>
      </c>
      <c r="K8" s="701">
        <v>3.54</v>
      </c>
      <c r="L8" s="707">
        <f t="shared" si="2"/>
        <v>130.97999999999999</v>
      </c>
      <c r="M8" s="708">
        <f t="shared" si="3"/>
        <v>0</v>
      </c>
      <c r="N8" s="704">
        <f t="shared" si="4"/>
        <v>106.2</v>
      </c>
    </row>
    <row r="9" spans="1:14" ht="15" customHeight="1" thickBot="1" x14ac:dyDescent="0.3">
      <c r="B9" s="128" t="s">
        <v>146</v>
      </c>
      <c r="C9" s="16" t="s">
        <v>147</v>
      </c>
      <c r="D9" s="321">
        <v>7.5</v>
      </c>
      <c r="E9" s="335"/>
      <c r="F9" s="335"/>
      <c r="G9" s="194"/>
      <c r="H9" s="17">
        <f t="shared" si="0"/>
        <v>7.5</v>
      </c>
      <c r="I9" s="619">
        <f>'INVENTORY INPUT'!G6</f>
        <v>0</v>
      </c>
      <c r="J9" s="618">
        <f t="shared" si="1"/>
        <v>7.5</v>
      </c>
      <c r="K9" s="701">
        <f>204.43/10</f>
        <v>20.443000000000001</v>
      </c>
      <c r="L9" s="707">
        <f t="shared" si="2"/>
        <v>153.32250000000002</v>
      </c>
      <c r="M9" s="708">
        <f t="shared" si="3"/>
        <v>0</v>
      </c>
      <c r="N9" s="704">
        <f t="shared" si="4"/>
        <v>0</v>
      </c>
    </row>
    <row r="10" spans="1:14" ht="15" customHeight="1" thickBot="1" x14ac:dyDescent="0.3">
      <c r="B10" s="626" t="s">
        <v>907</v>
      </c>
      <c r="C10" s="116" t="s">
        <v>143</v>
      </c>
      <c r="D10" s="321">
        <v>12</v>
      </c>
      <c r="E10" s="335">
        <v>24</v>
      </c>
      <c r="F10" s="335"/>
      <c r="G10" s="194"/>
      <c r="H10" s="17">
        <f t="shared" si="0"/>
        <v>36</v>
      </c>
      <c r="I10" s="619">
        <f>'INVENTORY INPUT'!G7</f>
        <v>0</v>
      </c>
      <c r="J10" s="618">
        <f t="shared" si="1"/>
        <v>36</v>
      </c>
      <c r="K10" s="701">
        <v>9.69</v>
      </c>
      <c r="L10" s="707">
        <f t="shared" si="2"/>
        <v>348.84</v>
      </c>
      <c r="M10" s="708">
        <f t="shared" si="3"/>
        <v>0</v>
      </c>
      <c r="N10" s="704">
        <f t="shared" si="4"/>
        <v>232.56</v>
      </c>
    </row>
    <row r="11" spans="1:14" ht="15" customHeight="1" thickBot="1" x14ac:dyDescent="0.3">
      <c r="B11" s="128" t="s">
        <v>341</v>
      </c>
      <c r="C11" s="16" t="s">
        <v>143</v>
      </c>
      <c r="D11" s="321">
        <v>3</v>
      </c>
      <c r="E11" s="335">
        <v>22</v>
      </c>
      <c r="F11" s="335"/>
      <c r="G11" s="194"/>
      <c r="H11" s="17">
        <f t="shared" si="0"/>
        <v>25</v>
      </c>
      <c r="I11" s="619">
        <f>'INVENTORY INPUT'!G8</f>
        <v>0</v>
      </c>
      <c r="J11" s="618">
        <f t="shared" si="1"/>
        <v>25</v>
      </c>
      <c r="K11" s="701">
        <v>3.71</v>
      </c>
      <c r="L11" s="707">
        <f t="shared" si="2"/>
        <v>92.75</v>
      </c>
      <c r="M11" s="708">
        <f t="shared" si="3"/>
        <v>0</v>
      </c>
      <c r="N11" s="704">
        <f t="shared" si="4"/>
        <v>81.62</v>
      </c>
    </row>
    <row r="12" spans="1:14" ht="15" customHeight="1" thickBot="1" x14ac:dyDescent="0.3">
      <c r="B12" s="128" t="s">
        <v>376</v>
      </c>
      <c r="C12" s="16" t="s">
        <v>143</v>
      </c>
      <c r="D12" s="321">
        <v>2</v>
      </c>
      <c r="E12" s="335">
        <v>12</v>
      </c>
      <c r="F12" s="335"/>
      <c r="G12" s="194"/>
      <c r="H12" s="17">
        <f t="shared" si="0"/>
        <v>14</v>
      </c>
      <c r="I12" s="619">
        <f>'INVENTORY INPUT'!G9</f>
        <v>0</v>
      </c>
      <c r="J12" s="618">
        <f t="shared" si="1"/>
        <v>14</v>
      </c>
      <c r="K12" s="701">
        <f>53.81/12</f>
        <v>4.4841666666666669</v>
      </c>
      <c r="L12" s="707">
        <f t="shared" si="2"/>
        <v>62.778333333333336</v>
      </c>
      <c r="M12" s="708">
        <f t="shared" si="3"/>
        <v>0</v>
      </c>
      <c r="N12" s="704">
        <f t="shared" si="4"/>
        <v>53.81</v>
      </c>
    </row>
    <row r="13" spans="1:14" ht="15" customHeight="1" thickBot="1" x14ac:dyDescent="0.3">
      <c r="B13" s="141" t="s">
        <v>464</v>
      </c>
      <c r="C13" s="124" t="s">
        <v>141</v>
      </c>
      <c r="D13" s="324">
        <v>46</v>
      </c>
      <c r="E13" s="378"/>
      <c r="F13" s="378"/>
      <c r="G13" s="197"/>
      <c r="H13" s="53">
        <f t="shared" si="0"/>
        <v>46</v>
      </c>
      <c r="I13" s="619">
        <f>'INVENTORY INPUT'!G10</f>
        <v>0</v>
      </c>
      <c r="J13" s="618">
        <f t="shared" si="1"/>
        <v>46</v>
      </c>
      <c r="K13" s="702">
        <v>0.47</v>
      </c>
      <c r="L13" s="707">
        <f t="shared" si="2"/>
        <v>21.619999999999997</v>
      </c>
      <c r="M13" s="708">
        <f t="shared" si="3"/>
        <v>0</v>
      </c>
      <c r="N13" s="704">
        <f t="shared" si="4"/>
        <v>0</v>
      </c>
    </row>
    <row r="14" spans="1:14" ht="15" customHeight="1" thickBot="1" x14ac:dyDescent="0.3">
      <c r="B14" s="193"/>
      <c r="C14" s="116"/>
      <c r="D14" s="321">
        <v>0</v>
      </c>
      <c r="E14" s="335"/>
      <c r="F14" s="335"/>
      <c r="G14" s="194"/>
      <c r="H14" s="17"/>
      <c r="I14" s="619" t="e">
        <f>'INVENTORY INPUT'!#REF!</f>
        <v>#REF!</v>
      </c>
      <c r="J14" s="618" t="e">
        <f t="shared" si="1"/>
        <v>#REF!</v>
      </c>
      <c r="K14" s="701">
        <v>0</v>
      </c>
      <c r="L14" s="707" t="e">
        <f t="shared" si="2"/>
        <v>#REF!</v>
      </c>
      <c r="M14" s="708" t="e">
        <f t="shared" si="3"/>
        <v>#REF!</v>
      </c>
      <c r="N14" s="704">
        <f t="shared" si="4"/>
        <v>0</v>
      </c>
    </row>
    <row r="15" spans="1:14" ht="15" customHeight="1" thickBot="1" x14ac:dyDescent="0.3">
      <c r="B15" s="620"/>
      <c r="C15" s="641"/>
      <c r="D15" s="621">
        <v>0</v>
      </c>
      <c r="E15" s="622"/>
      <c r="F15" s="622"/>
      <c r="G15" s="623"/>
      <c r="H15" s="624"/>
      <c r="I15" s="619" t="e">
        <f>'INVENTORY INPUT'!#REF!</f>
        <v>#REF!</v>
      </c>
      <c r="J15" s="618" t="e">
        <f t="shared" si="1"/>
        <v>#REF!</v>
      </c>
      <c r="K15" s="703">
        <v>0</v>
      </c>
      <c r="L15" s="707" t="e">
        <f t="shared" si="2"/>
        <v>#REF!</v>
      </c>
      <c r="M15" s="708" t="e">
        <f t="shared" si="3"/>
        <v>#REF!</v>
      </c>
      <c r="N15" s="704">
        <f t="shared" si="4"/>
        <v>0</v>
      </c>
    </row>
    <row r="16" spans="1:14" ht="15" customHeight="1" thickBot="1" x14ac:dyDescent="0.3">
      <c r="B16" s="380" t="s">
        <v>360</v>
      </c>
      <c r="C16" s="610">
        <f>SUM(M5:M13)</f>
        <v>0</v>
      </c>
      <c r="D16" s="656"/>
      <c r="E16" s="379"/>
      <c r="F16" s="263"/>
      <c r="G16" s="612"/>
      <c r="H16" s="267"/>
      <c r="I16" s="267"/>
      <c r="J16" s="267"/>
      <c r="K16" s="267"/>
      <c r="L16" s="162" t="e">
        <f>SUM(L5:L15)</f>
        <v>#REF!</v>
      </c>
      <c r="M16" s="174" t="e">
        <f>SUM(M5:M15)</f>
        <v>#REF!</v>
      </c>
      <c r="N16" s="187">
        <f>SUM(N5:N15)</f>
        <v>993.19</v>
      </c>
    </row>
    <row r="17" spans="2:14" ht="15" customHeight="1" thickTop="1" thickBot="1" x14ac:dyDescent="0.3">
      <c r="B17" s="49"/>
      <c r="D17" s="277"/>
      <c r="E17" s="251"/>
      <c r="F17" s="251"/>
      <c r="G17" s="194"/>
      <c r="H17" s="7"/>
      <c r="I17" s="8"/>
      <c r="J17" s="130"/>
      <c r="K17" s="130"/>
      <c r="L17" s="165"/>
      <c r="M17" s="173"/>
      <c r="N17" s="131"/>
    </row>
    <row r="18" spans="2:14" ht="15" customHeight="1" thickTop="1" thickBot="1" x14ac:dyDescent="0.3">
      <c r="B18" s="149" t="s">
        <v>277</v>
      </c>
      <c r="C18" s="150"/>
      <c r="D18" s="249"/>
      <c r="E18" s="252"/>
      <c r="F18" s="252"/>
      <c r="G18" s="196"/>
      <c r="H18" s="265"/>
      <c r="I18" s="265"/>
      <c r="J18" s="265"/>
      <c r="K18" s="265"/>
      <c r="L18" s="164"/>
      <c r="M18" s="171"/>
      <c r="N18" s="138"/>
    </row>
    <row r="19" spans="2:14" ht="15" customHeight="1" thickTop="1" x14ac:dyDescent="0.25">
      <c r="B19" s="142" t="s">
        <v>452</v>
      </c>
      <c r="C19" s="134" t="s">
        <v>140</v>
      </c>
      <c r="D19" s="321">
        <v>0</v>
      </c>
      <c r="E19" s="335">
        <v>32</v>
      </c>
      <c r="F19" s="335">
        <v>16</v>
      </c>
      <c r="G19" s="194"/>
      <c r="H19" s="17">
        <f>SUM(D19:F19)+G19</f>
        <v>48</v>
      </c>
      <c r="I19" s="18">
        <f>'INVENTORY INPUT'!G12</f>
        <v>0</v>
      </c>
      <c r="J19" s="135">
        <f>H19-I19</f>
        <v>48</v>
      </c>
      <c r="K19" s="20">
        <v>10.5075</v>
      </c>
      <c r="L19" s="163">
        <f>K19*J19</f>
        <v>504.36</v>
      </c>
      <c r="M19" s="172">
        <f>K19*I19</f>
        <v>0</v>
      </c>
      <c r="N19" s="132">
        <f>SUM(E19:G19)*K19</f>
        <v>504.36</v>
      </c>
    </row>
    <row r="20" spans="2:14" ht="15" customHeight="1" x14ac:dyDescent="0.25">
      <c r="B20" s="15" t="s">
        <v>148</v>
      </c>
      <c r="C20" s="16" t="s">
        <v>140</v>
      </c>
      <c r="D20" s="321">
        <v>0.5</v>
      </c>
      <c r="E20" s="335">
        <v>20</v>
      </c>
      <c r="F20" s="335">
        <v>20</v>
      </c>
      <c r="G20" s="194"/>
      <c r="H20" s="17">
        <f>SUM(D20:F20)+G20</f>
        <v>40.5</v>
      </c>
      <c r="I20" s="18">
        <f>'INVENTORY INPUT'!G13</f>
        <v>0</v>
      </c>
      <c r="J20" s="17">
        <f>H20-I20</f>
        <v>40.5</v>
      </c>
      <c r="K20" s="20">
        <v>10.702999999999999</v>
      </c>
      <c r="L20" s="163">
        <f>K20*J20</f>
        <v>433.47149999999999</v>
      </c>
      <c r="M20" s="172">
        <f>K20*I20</f>
        <v>0</v>
      </c>
      <c r="N20" s="132">
        <f>SUM(E20:G20)*K20</f>
        <v>428.12</v>
      </c>
    </row>
    <row r="21" spans="2:14" ht="15" customHeight="1" x14ac:dyDescent="0.25">
      <c r="B21" s="15" t="s">
        <v>149</v>
      </c>
      <c r="C21" s="16" t="s">
        <v>143</v>
      </c>
      <c r="D21" s="321">
        <v>9</v>
      </c>
      <c r="E21" s="335">
        <v>44</v>
      </c>
      <c r="F21" s="335">
        <v>22</v>
      </c>
      <c r="G21" s="194"/>
      <c r="H21" s="17">
        <f>SUM(D21:F21)+G21</f>
        <v>75</v>
      </c>
      <c r="I21" s="18">
        <f>'INVENTORY INPUT'!G14</f>
        <v>0</v>
      </c>
      <c r="J21" s="17">
        <f>H21-I21</f>
        <v>75</v>
      </c>
      <c r="K21" s="20">
        <v>4.2300000000000004</v>
      </c>
      <c r="L21" s="163">
        <f>K21*J21</f>
        <v>317.25000000000006</v>
      </c>
      <c r="M21" s="172">
        <f>K21*I21</f>
        <v>0</v>
      </c>
      <c r="N21" s="132">
        <f>SUM(E21:G21)*K21</f>
        <v>279.18</v>
      </c>
    </row>
    <row r="22" spans="2:14" ht="15" customHeight="1" x14ac:dyDescent="0.25">
      <c r="B22" s="15" t="s">
        <v>453</v>
      </c>
      <c r="C22" s="16" t="s">
        <v>140</v>
      </c>
      <c r="D22" s="321">
        <v>0</v>
      </c>
      <c r="E22" s="335">
        <v>16</v>
      </c>
      <c r="F22" s="335">
        <v>8</v>
      </c>
      <c r="G22" s="194"/>
      <c r="H22" s="17">
        <f>SUM(D22:F22)+G22</f>
        <v>24</v>
      </c>
      <c r="I22" s="18">
        <f>'INVENTORY INPUT'!G15</f>
        <v>0</v>
      </c>
      <c r="J22" s="17">
        <f>H22-I22</f>
        <v>24</v>
      </c>
      <c r="K22" s="20">
        <v>11.31</v>
      </c>
      <c r="L22" s="163">
        <f>K22*J22</f>
        <v>271.44</v>
      </c>
      <c r="M22" s="172">
        <f>K22*I22</f>
        <v>0</v>
      </c>
      <c r="N22" s="132">
        <f>SUM(E22:G22)*K22</f>
        <v>271.44</v>
      </c>
    </row>
    <row r="23" spans="2:14" ht="15" customHeight="1" thickBot="1" x14ac:dyDescent="0.3">
      <c r="B23" s="21" t="s">
        <v>519</v>
      </c>
      <c r="C23" s="22" t="s">
        <v>140</v>
      </c>
      <c r="D23" s="321">
        <v>6.5</v>
      </c>
      <c r="E23" s="335">
        <v>12</v>
      </c>
      <c r="F23" s="335"/>
      <c r="G23" s="194"/>
      <c r="H23" s="17">
        <f>SUM(D23:F23)+G23</f>
        <v>18.5</v>
      </c>
      <c r="I23" s="18">
        <f>'INVENTORY INPUT'!G16</f>
        <v>0</v>
      </c>
      <c r="J23" s="53">
        <f>H23-I23</f>
        <v>18.5</v>
      </c>
      <c r="K23" s="20">
        <v>10.1</v>
      </c>
      <c r="L23" s="163">
        <f>K23*J23</f>
        <v>186.85</v>
      </c>
      <c r="M23" s="172">
        <f>K23*I23</f>
        <v>0</v>
      </c>
      <c r="N23" s="132">
        <f>SUM(E23:G23)*K23</f>
        <v>121.19999999999999</v>
      </c>
    </row>
    <row r="24" spans="2:14" ht="15" customHeight="1" thickTop="1" thickBot="1" x14ac:dyDescent="0.3">
      <c r="B24" s="151" t="s">
        <v>361</v>
      </c>
      <c r="C24" s="155">
        <f>SUM(M19:M23)</f>
        <v>0</v>
      </c>
      <c r="D24" s="278"/>
      <c r="E24" s="198"/>
      <c r="F24" s="229"/>
      <c r="G24" s="196"/>
      <c r="H24" s="266"/>
      <c r="I24" s="266"/>
      <c r="J24" s="266"/>
      <c r="K24" s="266"/>
      <c r="L24" s="164">
        <f>SUM(L19:L23)</f>
        <v>1713.3715</v>
      </c>
      <c r="M24" s="171">
        <f>SUM(M19:M23)</f>
        <v>0</v>
      </c>
      <c r="N24" s="138">
        <f>SUM(N19:N23)</f>
        <v>1604.3000000000002</v>
      </c>
    </row>
    <row r="25" spans="2:14" ht="15" customHeight="1" thickTop="1" thickBot="1" x14ac:dyDescent="0.3">
      <c r="D25" s="277"/>
      <c r="E25" s="251"/>
      <c r="F25" s="251"/>
      <c r="G25" s="194"/>
      <c r="H25" s="7"/>
      <c r="I25" s="8"/>
      <c r="J25" s="7"/>
      <c r="K25" s="7"/>
    </row>
    <row r="26" spans="2:14" ht="15" customHeight="1" thickTop="1" thickBot="1" x14ac:dyDescent="0.3">
      <c r="B26" s="601" t="s">
        <v>279</v>
      </c>
      <c r="C26" s="602"/>
      <c r="D26" s="603"/>
      <c r="E26" s="604"/>
      <c r="F26" s="604"/>
      <c r="G26" s="605"/>
      <c r="H26" s="606"/>
      <c r="I26" s="606"/>
      <c r="J26" s="606"/>
      <c r="K26" s="606"/>
      <c r="L26" s="607"/>
      <c r="M26" s="608"/>
      <c r="N26" s="609"/>
    </row>
    <row r="27" spans="2:14" ht="15" customHeight="1" thickBot="1" x14ac:dyDescent="0.3">
      <c r="B27" s="613" t="s">
        <v>150</v>
      </c>
      <c r="C27" s="614" t="s">
        <v>143</v>
      </c>
      <c r="D27" s="615">
        <v>10</v>
      </c>
      <c r="E27" s="616"/>
      <c r="F27" s="616">
        <v>10</v>
      </c>
      <c r="G27" s="617"/>
      <c r="H27" s="618">
        <f t="shared" ref="H27:H32" si="5">SUM(D27:F27)+G27</f>
        <v>20</v>
      </c>
      <c r="I27" s="619">
        <f>'INVENTORY INPUT'!G18</f>
        <v>0</v>
      </c>
      <c r="J27" s="618">
        <f t="shared" ref="J27:J33" si="6">H27-I27</f>
        <v>20</v>
      </c>
      <c r="K27" s="700">
        <v>2.5089999999999999</v>
      </c>
      <c r="L27" s="707">
        <f t="shared" ref="L27:L33" si="7">K27*J27</f>
        <v>50.18</v>
      </c>
      <c r="M27" s="708">
        <f t="shared" ref="M27:M33" si="8">K27*I27</f>
        <v>0</v>
      </c>
      <c r="N27" s="704">
        <f t="shared" ref="N27:N33" si="9">SUM(E27:G27)*K27</f>
        <v>25.09</v>
      </c>
    </row>
    <row r="28" spans="2:14" ht="15" customHeight="1" thickBot="1" x14ac:dyDescent="0.3">
      <c r="B28" s="382" t="s">
        <v>63</v>
      </c>
      <c r="C28" s="116" t="s">
        <v>143</v>
      </c>
      <c r="D28" s="321">
        <v>1</v>
      </c>
      <c r="E28" s="335">
        <v>10</v>
      </c>
      <c r="F28" s="335"/>
      <c r="G28" s="194"/>
      <c r="H28" s="17">
        <f t="shared" si="5"/>
        <v>11</v>
      </c>
      <c r="I28" s="619">
        <f>'INVENTORY INPUT'!G19</f>
        <v>0</v>
      </c>
      <c r="J28" s="618">
        <f t="shared" si="6"/>
        <v>11</v>
      </c>
      <c r="K28" s="701">
        <v>14.5</v>
      </c>
      <c r="L28" s="707">
        <f t="shared" si="7"/>
        <v>159.5</v>
      </c>
      <c r="M28" s="708">
        <f t="shared" si="8"/>
        <v>0</v>
      </c>
      <c r="N28" s="705">
        <f t="shared" si="9"/>
        <v>145</v>
      </c>
    </row>
    <row r="29" spans="2:14" ht="15" customHeight="1" thickBot="1" x14ac:dyDescent="0.3">
      <c r="B29" s="128" t="s">
        <v>397</v>
      </c>
      <c r="C29" s="16" t="s">
        <v>143</v>
      </c>
      <c r="D29" s="321">
        <v>15</v>
      </c>
      <c r="E29" s="335"/>
      <c r="F29" s="335"/>
      <c r="G29" s="194"/>
      <c r="H29" s="17">
        <f t="shared" si="5"/>
        <v>15</v>
      </c>
      <c r="I29" s="619">
        <f>'INVENTORY INPUT'!G20</f>
        <v>0</v>
      </c>
      <c r="J29" s="618">
        <f t="shared" si="6"/>
        <v>15</v>
      </c>
      <c r="K29" s="701">
        <v>7.17</v>
      </c>
      <c r="L29" s="707">
        <f t="shared" si="7"/>
        <v>107.55</v>
      </c>
      <c r="M29" s="708">
        <f t="shared" si="8"/>
        <v>0</v>
      </c>
      <c r="N29" s="705">
        <f t="shared" si="9"/>
        <v>0</v>
      </c>
    </row>
    <row r="30" spans="2:14" ht="15" customHeight="1" thickBot="1" x14ac:dyDescent="0.3">
      <c r="B30" s="128" t="s">
        <v>151</v>
      </c>
      <c r="C30" s="50" t="s">
        <v>141</v>
      </c>
      <c r="D30" s="321">
        <v>21</v>
      </c>
      <c r="E30" s="335"/>
      <c r="F30" s="335"/>
      <c r="G30" s="194"/>
      <c r="H30" s="17">
        <f t="shared" si="5"/>
        <v>21</v>
      </c>
      <c r="I30" s="619">
        <f>'INVENTORY INPUT'!G21</f>
        <v>0</v>
      </c>
      <c r="J30" s="618">
        <f t="shared" si="6"/>
        <v>21</v>
      </c>
      <c r="K30" s="701">
        <v>4.3600000000000003</v>
      </c>
      <c r="L30" s="707">
        <f t="shared" si="7"/>
        <v>91.56</v>
      </c>
      <c r="M30" s="708">
        <f t="shared" si="8"/>
        <v>0</v>
      </c>
      <c r="N30" s="705">
        <f t="shared" si="9"/>
        <v>0</v>
      </c>
    </row>
    <row r="31" spans="2:14" ht="15" customHeight="1" thickBot="1" x14ac:dyDescent="0.3">
      <c r="B31" s="128" t="s">
        <v>396</v>
      </c>
      <c r="C31" s="16" t="s">
        <v>143</v>
      </c>
      <c r="D31" s="321">
        <v>6.5</v>
      </c>
      <c r="E31" s="335">
        <v>40</v>
      </c>
      <c r="F31" s="335"/>
      <c r="G31" s="194"/>
      <c r="H31" s="17">
        <f t="shared" si="5"/>
        <v>46.5</v>
      </c>
      <c r="I31" s="619">
        <f>'INVENTORY INPUT'!G22</f>
        <v>0</v>
      </c>
      <c r="J31" s="618">
        <f t="shared" si="6"/>
        <v>46.5</v>
      </c>
      <c r="K31" s="701">
        <v>4.6944999999999997</v>
      </c>
      <c r="L31" s="707">
        <f t="shared" si="7"/>
        <v>218.29424999999998</v>
      </c>
      <c r="M31" s="708">
        <f t="shared" si="8"/>
        <v>0</v>
      </c>
      <c r="N31" s="705">
        <f t="shared" si="9"/>
        <v>187.77999999999997</v>
      </c>
    </row>
    <row r="32" spans="2:14" ht="15" customHeight="1" thickBot="1" x14ac:dyDescent="0.3">
      <c r="B32" s="128"/>
      <c r="C32" s="16"/>
      <c r="D32" s="321">
        <v>11</v>
      </c>
      <c r="E32" s="335"/>
      <c r="F32" s="335"/>
      <c r="G32" s="194"/>
      <c r="H32" s="17">
        <f t="shared" si="5"/>
        <v>11</v>
      </c>
      <c r="I32" s="619">
        <f>'INVENTORY INPUT'!G23</f>
        <v>0</v>
      </c>
      <c r="J32" s="618">
        <f t="shared" si="6"/>
        <v>11</v>
      </c>
      <c r="K32" s="701">
        <v>2.64</v>
      </c>
      <c r="L32" s="707">
        <f t="shared" si="7"/>
        <v>29.040000000000003</v>
      </c>
      <c r="M32" s="708">
        <f t="shared" si="8"/>
        <v>0</v>
      </c>
      <c r="N32" s="705">
        <f t="shared" si="9"/>
        <v>0</v>
      </c>
    </row>
    <row r="33" spans="2:14" ht="15" customHeight="1" thickBot="1" x14ac:dyDescent="0.3">
      <c r="B33" s="654"/>
      <c r="C33" s="655"/>
      <c r="D33" s="621">
        <v>0</v>
      </c>
      <c r="E33" s="622"/>
      <c r="F33" s="622"/>
      <c r="G33" s="623"/>
      <c r="H33" s="624"/>
      <c r="I33" s="619" t="e">
        <f>'INVENTORY INPUT'!#REF!</f>
        <v>#REF!</v>
      </c>
      <c r="J33" s="618" t="e">
        <f t="shared" si="6"/>
        <v>#REF!</v>
      </c>
      <c r="K33" s="703">
        <v>0</v>
      </c>
      <c r="L33" s="707" t="e">
        <f t="shared" si="7"/>
        <v>#REF!</v>
      </c>
      <c r="M33" s="708" t="e">
        <f t="shared" si="8"/>
        <v>#REF!</v>
      </c>
      <c r="N33" s="706">
        <f t="shared" si="9"/>
        <v>0</v>
      </c>
    </row>
    <row r="34" spans="2:14" ht="15" customHeight="1" thickBot="1" x14ac:dyDescent="0.3">
      <c r="B34" s="661" t="s">
        <v>362</v>
      </c>
      <c r="C34" s="610">
        <f>SUM(M27:M32)</f>
        <v>0</v>
      </c>
      <c r="D34" s="611"/>
      <c r="E34" s="379"/>
      <c r="F34" s="263"/>
      <c r="G34" s="612"/>
      <c r="H34" s="267"/>
      <c r="I34" s="267"/>
      <c r="J34" s="267"/>
      <c r="K34" s="267"/>
      <c r="L34" s="162" t="e">
        <f>SUM(L27:L33)</f>
        <v>#REF!</v>
      </c>
      <c r="M34" s="174" t="e">
        <f>SUM(M27:M33)</f>
        <v>#REF!</v>
      </c>
      <c r="N34" s="187">
        <f>SUM(N27:N33)</f>
        <v>357.87</v>
      </c>
    </row>
    <row r="35" spans="2:14" ht="13.5" customHeight="1" thickTop="1" thickBot="1" x14ac:dyDescent="0.3">
      <c r="D35" s="277"/>
      <c r="E35" s="251"/>
      <c r="F35" s="251"/>
      <c r="G35" s="194"/>
      <c r="H35" s="7"/>
      <c r="I35" s="8"/>
      <c r="J35" s="7"/>
      <c r="K35" s="7"/>
    </row>
    <row r="36" spans="2:14" ht="15" customHeight="1" thickTop="1" thickBot="1" x14ac:dyDescent="0.3">
      <c r="B36" s="601" t="s">
        <v>278</v>
      </c>
      <c r="C36" s="602"/>
      <c r="D36" s="603"/>
      <c r="E36" s="604"/>
      <c r="F36" s="604"/>
      <c r="G36" s="605"/>
      <c r="H36" s="606"/>
      <c r="I36" s="606"/>
      <c r="J36" s="606"/>
      <c r="K36" s="606"/>
      <c r="L36" s="607"/>
      <c r="M36" s="608"/>
      <c r="N36" s="609"/>
    </row>
    <row r="37" spans="2:14" ht="15" customHeight="1" thickBot="1" x14ac:dyDescent="0.3">
      <c r="B37" s="613" t="s">
        <v>152</v>
      </c>
      <c r="C37" s="614" t="s">
        <v>153</v>
      </c>
      <c r="D37" s="615">
        <v>0.2</v>
      </c>
      <c r="E37" s="616">
        <v>2</v>
      </c>
      <c r="F37" s="616">
        <v>2</v>
      </c>
      <c r="G37" s="617"/>
      <c r="H37" s="618">
        <f t="shared" ref="H37:H53" si="10">SUM(D37:F37)+G37</f>
        <v>4.2</v>
      </c>
      <c r="I37" s="619">
        <f>'INVENTORY INPUT'!G25</f>
        <v>0</v>
      </c>
      <c r="J37" s="618">
        <f t="shared" ref="J37:J56" si="11">H37-I37</f>
        <v>4.2</v>
      </c>
      <c r="K37" s="700">
        <v>25.41</v>
      </c>
      <c r="L37" s="707">
        <f t="shared" ref="L37:L56" si="12">K37*J37</f>
        <v>106.72200000000001</v>
      </c>
      <c r="M37" s="708">
        <f t="shared" ref="M37:M55" si="13">K37*I37</f>
        <v>0</v>
      </c>
      <c r="N37" s="704">
        <f t="shared" ref="N37:N56" si="14">SUM(E37:G37)*K37</f>
        <v>101.64</v>
      </c>
    </row>
    <row r="38" spans="2:14" ht="15" customHeight="1" thickBot="1" x14ac:dyDescent="0.3">
      <c r="B38" s="664" t="s">
        <v>466</v>
      </c>
      <c r="C38" s="134" t="s">
        <v>143</v>
      </c>
      <c r="D38" s="321">
        <v>26.5</v>
      </c>
      <c r="E38" s="335"/>
      <c r="F38" s="335"/>
      <c r="G38" s="194"/>
      <c r="H38" s="17">
        <f t="shared" si="10"/>
        <v>26.5</v>
      </c>
      <c r="I38" s="619">
        <f>'INVENTORY INPUT'!G26</f>
        <v>0</v>
      </c>
      <c r="J38" s="618">
        <f t="shared" si="11"/>
        <v>26.5</v>
      </c>
      <c r="K38" s="701">
        <f>94.43/20</f>
        <v>4.7215000000000007</v>
      </c>
      <c r="L38" s="707">
        <f t="shared" si="12"/>
        <v>125.11975000000002</v>
      </c>
      <c r="M38" s="708">
        <f t="shared" si="13"/>
        <v>0</v>
      </c>
      <c r="N38" s="704">
        <f t="shared" si="14"/>
        <v>0</v>
      </c>
    </row>
    <row r="39" spans="2:14" ht="15" customHeight="1" thickBot="1" x14ac:dyDescent="0.3">
      <c r="B39" s="382" t="s">
        <v>908</v>
      </c>
      <c r="C39" s="16" t="s">
        <v>153</v>
      </c>
      <c r="D39" s="321">
        <v>4.4000000000000004</v>
      </c>
      <c r="E39" s="335"/>
      <c r="F39" s="335"/>
      <c r="G39" s="194"/>
      <c r="H39" s="17">
        <f t="shared" si="10"/>
        <v>4.4000000000000004</v>
      </c>
      <c r="I39" s="619">
        <f>'INVENTORY INPUT'!G27</f>
        <v>0</v>
      </c>
      <c r="J39" s="618">
        <f t="shared" si="11"/>
        <v>4.4000000000000004</v>
      </c>
      <c r="K39" s="701">
        <v>8.67</v>
      </c>
      <c r="L39" s="707">
        <f t="shared" si="12"/>
        <v>38.148000000000003</v>
      </c>
      <c r="M39" s="708">
        <f t="shared" si="13"/>
        <v>0</v>
      </c>
      <c r="N39" s="704">
        <f t="shared" si="14"/>
        <v>0</v>
      </c>
    </row>
    <row r="40" spans="2:14" ht="15" customHeight="1" thickBot="1" x14ac:dyDescent="0.3">
      <c r="B40" s="128" t="s">
        <v>154</v>
      </c>
      <c r="C40" s="116" t="s">
        <v>140</v>
      </c>
      <c r="D40" s="321">
        <v>4</v>
      </c>
      <c r="E40" s="335"/>
      <c r="F40" s="335">
        <v>12</v>
      </c>
      <c r="G40" s="194"/>
      <c r="H40" s="17">
        <f t="shared" si="10"/>
        <v>16</v>
      </c>
      <c r="I40" s="619">
        <f>'INVENTORY INPUT'!G28</f>
        <v>0</v>
      </c>
      <c r="J40" s="618">
        <f t="shared" si="11"/>
        <v>16</v>
      </c>
      <c r="K40" s="701">
        <v>3.33</v>
      </c>
      <c r="L40" s="707">
        <f t="shared" si="12"/>
        <v>53.28</v>
      </c>
      <c r="M40" s="708">
        <f t="shared" si="13"/>
        <v>0</v>
      </c>
      <c r="N40" s="704">
        <f t="shared" si="14"/>
        <v>39.96</v>
      </c>
    </row>
    <row r="41" spans="2:14" ht="15" customHeight="1" thickBot="1" x14ac:dyDescent="0.3">
      <c r="B41" s="128" t="s">
        <v>155</v>
      </c>
      <c r="C41" s="16" t="s">
        <v>141</v>
      </c>
      <c r="D41" s="321">
        <v>1.1000000000000001</v>
      </c>
      <c r="E41" s="335">
        <v>12</v>
      </c>
      <c r="F41" s="335"/>
      <c r="G41" s="194"/>
      <c r="H41" s="17">
        <f t="shared" si="10"/>
        <v>13.1</v>
      </c>
      <c r="I41" s="619">
        <f>'INVENTORY INPUT'!G29</f>
        <v>0</v>
      </c>
      <c r="J41" s="618">
        <f t="shared" si="11"/>
        <v>13.1</v>
      </c>
      <c r="K41" s="701">
        <v>1.8466</v>
      </c>
      <c r="L41" s="707">
        <f t="shared" si="12"/>
        <v>24.190459999999998</v>
      </c>
      <c r="M41" s="708">
        <f t="shared" si="13"/>
        <v>0</v>
      </c>
      <c r="N41" s="704">
        <f t="shared" si="14"/>
        <v>22.159199999999998</v>
      </c>
    </row>
    <row r="42" spans="2:14" ht="15" customHeight="1" thickBot="1" x14ac:dyDescent="0.3">
      <c r="B42" s="128" t="s">
        <v>156</v>
      </c>
      <c r="C42" s="16" t="s">
        <v>157</v>
      </c>
      <c r="D42" s="321">
        <v>7.75</v>
      </c>
      <c r="E42" s="335"/>
      <c r="F42" s="335"/>
      <c r="G42" s="197"/>
      <c r="H42" s="17">
        <f t="shared" si="10"/>
        <v>7.75</v>
      </c>
      <c r="I42" s="619">
        <f>'INVENTORY INPUT'!G30</f>
        <v>0</v>
      </c>
      <c r="J42" s="618">
        <f t="shared" si="11"/>
        <v>7.75</v>
      </c>
      <c r="K42" s="701">
        <v>8.1999999999999993</v>
      </c>
      <c r="L42" s="707">
        <f t="shared" si="12"/>
        <v>63.55</v>
      </c>
      <c r="M42" s="708">
        <f t="shared" si="13"/>
        <v>0</v>
      </c>
      <c r="N42" s="704">
        <f t="shared" si="14"/>
        <v>0</v>
      </c>
    </row>
    <row r="43" spans="2:14" ht="15" customHeight="1" thickBot="1" x14ac:dyDescent="0.3">
      <c r="B43" s="128" t="s">
        <v>158</v>
      </c>
      <c r="C43" s="16" t="s">
        <v>141</v>
      </c>
      <c r="D43" s="321">
        <v>7.75</v>
      </c>
      <c r="E43" s="335"/>
      <c r="F43" s="335">
        <v>15</v>
      </c>
      <c r="G43" s="194"/>
      <c r="H43" s="17">
        <f t="shared" si="10"/>
        <v>22.75</v>
      </c>
      <c r="I43" s="619">
        <f>'INVENTORY INPUT'!G31</f>
        <v>0</v>
      </c>
      <c r="J43" s="618">
        <f t="shared" si="11"/>
        <v>22.75</v>
      </c>
      <c r="K43" s="701">
        <v>1.96</v>
      </c>
      <c r="L43" s="707">
        <f t="shared" si="12"/>
        <v>44.589999999999996</v>
      </c>
      <c r="M43" s="708">
        <f t="shared" si="13"/>
        <v>0</v>
      </c>
      <c r="N43" s="704">
        <f t="shared" si="14"/>
        <v>29.4</v>
      </c>
    </row>
    <row r="44" spans="2:14" ht="15" customHeight="1" thickBot="1" x14ac:dyDescent="0.3">
      <c r="B44" s="128" t="s">
        <v>159</v>
      </c>
      <c r="C44" s="16" t="s">
        <v>141</v>
      </c>
      <c r="D44" s="321">
        <v>6.75</v>
      </c>
      <c r="E44" s="335"/>
      <c r="F44" s="335"/>
      <c r="G44" s="199"/>
      <c r="H44" s="17">
        <f t="shared" si="10"/>
        <v>6.75</v>
      </c>
      <c r="I44" s="619">
        <f>'INVENTORY INPUT'!G32</f>
        <v>0</v>
      </c>
      <c r="J44" s="618">
        <f t="shared" si="11"/>
        <v>6.75</v>
      </c>
      <c r="K44" s="701">
        <v>1.9</v>
      </c>
      <c r="L44" s="707">
        <f t="shared" si="12"/>
        <v>12.824999999999999</v>
      </c>
      <c r="M44" s="708">
        <f t="shared" si="13"/>
        <v>0</v>
      </c>
      <c r="N44" s="704">
        <f t="shared" si="14"/>
        <v>0</v>
      </c>
    </row>
    <row r="45" spans="2:14" ht="15" customHeight="1" thickBot="1" x14ac:dyDescent="0.3">
      <c r="B45" s="128" t="s">
        <v>160</v>
      </c>
      <c r="C45" s="16" t="s">
        <v>157</v>
      </c>
      <c r="D45" s="321">
        <v>2</v>
      </c>
      <c r="E45" s="335"/>
      <c r="F45" s="335"/>
      <c r="G45" s="194"/>
      <c r="H45" s="17">
        <f t="shared" si="10"/>
        <v>2</v>
      </c>
      <c r="I45" s="619">
        <f>'INVENTORY INPUT'!G33</f>
        <v>0</v>
      </c>
      <c r="J45" s="618">
        <f t="shared" si="11"/>
        <v>2</v>
      </c>
      <c r="K45" s="701">
        <v>6.72</v>
      </c>
      <c r="L45" s="707">
        <f t="shared" si="12"/>
        <v>13.44</v>
      </c>
      <c r="M45" s="708">
        <f t="shared" si="13"/>
        <v>0</v>
      </c>
      <c r="N45" s="704">
        <f t="shared" si="14"/>
        <v>0</v>
      </c>
    </row>
    <row r="46" spans="2:14" ht="15" customHeight="1" thickBot="1" x14ac:dyDescent="0.3">
      <c r="B46" s="128" t="s">
        <v>161</v>
      </c>
      <c r="C46" s="16" t="s">
        <v>140</v>
      </c>
      <c r="D46" s="321">
        <v>4.5</v>
      </c>
      <c r="E46" s="335"/>
      <c r="F46" s="335"/>
      <c r="G46" s="194"/>
      <c r="H46" s="17">
        <f t="shared" si="10"/>
        <v>4.5</v>
      </c>
      <c r="I46" s="619">
        <f>'INVENTORY INPUT'!G34</f>
        <v>0</v>
      </c>
      <c r="J46" s="618">
        <f t="shared" si="11"/>
        <v>4.5</v>
      </c>
      <c r="K46" s="701">
        <v>13.58</v>
      </c>
      <c r="L46" s="707">
        <f t="shared" si="12"/>
        <v>61.11</v>
      </c>
      <c r="M46" s="708">
        <f t="shared" si="13"/>
        <v>0</v>
      </c>
      <c r="N46" s="704">
        <f t="shared" si="14"/>
        <v>0</v>
      </c>
    </row>
    <row r="47" spans="2:14" ht="15" customHeight="1" thickBot="1" x14ac:dyDescent="0.3">
      <c r="B47" s="128" t="s">
        <v>162</v>
      </c>
      <c r="C47" s="16" t="s">
        <v>143</v>
      </c>
      <c r="D47" s="321">
        <v>1</v>
      </c>
      <c r="E47" s="335">
        <v>8.8000000000000007</v>
      </c>
      <c r="F47" s="335"/>
      <c r="G47" s="194"/>
      <c r="H47" s="17">
        <f t="shared" si="10"/>
        <v>9.8000000000000007</v>
      </c>
      <c r="I47" s="619">
        <f>'INVENTORY INPUT'!G35</f>
        <v>0</v>
      </c>
      <c r="J47" s="618">
        <f t="shared" si="11"/>
        <v>9.8000000000000007</v>
      </c>
      <c r="K47" s="701">
        <v>14.63</v>
      </c>
      <c r="L47" s="707">
        <f t="shared" si="12"/>
        <v>143.37400000000002</v>
      </c>
      <c r="M47" s="708">
        <f t="shared" si="13"/>
        <v>0</v>
      </c>
      <c r="N47" s="704">
        <f t="shared" si="14"/>
        <v>128.74400000000003</v>
      </c>
    </row>
    <row r="48" spans="2:14" ht="15" customHeight="1" thickBot="1" x14ac:dyDescent="0.3">
      <c r="B48" s="128" t="s">
        <v>163</v>
      </c>
      <c r="C48" s="16" t="s">
        <v>140</v>
      </c>
      <c r="D48" s="321">
        <v>10</v>
      </c>
      <c r="E48" s="335">
        <v>16</v>
      </c>
      <c r="F48" s="335"/>
      <c r="G48" s="194"/>
      <c r="H48" s="17">
        <f t="shared" si="10"/>
        <v>26</v>
      </c>
      <c r="I48" s="619">
        <f>'INVENTORY INPUT'!G36</f>
        <v>0</v>
      </c>
      <c r="J48" s="618">
        <f t="shared" si="11"/>
        <v>26</v>
      </c>
      <c r="K48" s="701">
        <v>13.42</v>
      </c>
      <c r="L48" s="707">
        <f t="shared" si="12"/>
        <v>348.92</v>
      </c>
      <c r="M48" s="708">
        <f t="shared" si="13"/>
        <v>0</v>
      </c>
      <c r="N48" s="704">
        <f t="shared" si="14"/>
        <v>214.72</v>
      </c>
    </row>
    <row r="49" spans="2:14" ht="15" customHeight="1" thickBot="1" x14ac:dyDescent="0.3">
      <c r="B49" s="128" t="s">
        <v>164</v>
      </c>
      <c r="C49" s="16" t="s">
        <v>153</v>
      </c>
      <c r="D49" s="321">
        <v>0.9</v>
      </c>
      <c r="E49" s="335"/>
      <c r="F49" s="335"/>
      <c r="G49" s="194"/>
      <c r="H49" s="17">
        <f t="shared" si="10"/>
        <v>0.9</v>
      </c>
      <c r="I49" s="619">
        <f>'INVENTORY INPUT'!G37</f>
        <v>0</v>
      </c>
      <c r="J49" s="618">
        <f t="shared" si="11"/>
        <v>0.9</v>
      </c>
      <c r="K49" s="701">
        <v>27.35</v>
      </c>
      <c r="L49" s="707">
        <f t="shared" si="12"/>
        <v>24.615000000000002</v>
      </c>
      <c r="M49" s="708">
        <f t="shared" si="13"/>
        <v>0</v>
      </c>
      <c r="N49" s="704">
        <f t="shared" si="14"/>
        <v>0</v>
      </c>
    </row>
    <row r="50" spans="2:14" ht="15" customHeight="1" thickBot="1" x14ac:dyDescent="0.3">
      <c r="B50" s="128" t="s">
        <v>165</v>
      </c>
      <c r="C50" s="16" t="s">
        <v>140</v>
      </c>
      <c r="D50" s="321">
        <v>50.5</v>
      </c>
      <c r="E50" s="335"/>
      <c r="F50" s="335"/>
      <c r="G50" s="194"/>
      <c r="H50" s="17">
        <f t="shared" si="10"/>
        <v>50.5</v>
      </c>
      <c r="I50" s="619">
        <f>'INVENTORY INPUT'!G38</f>
        <v>0</v>
      </c>
      <c r="J50" s="618">
        <f t="shared" si="11"/>
        <v>50.5</v>
      </c>
      <c r="K50" s="701">
        <v>9.6940000000000008</v>
      </c>
      <c r="L50" s="707">
        <f t="shared" si="12"/>
        <v>489.54700000000003</v>
      </c>
      <c r="M50" s="708">
        <f t="shared" si="13"/>
        <v>0</v>
      </c>
      <c r="N50" s="704">
        <f t="shared" si="14"/>
        <v>0</v>
      </c>
    </row>
    <row r="51" spans="2:14" ht="15" customHeight="1" thickBot="1" x14ac:dyDescent="0.3">
      <c r="B51" s="128" t="s">
        <v>465</v>
      </c>
      <c r="C51" s="50" t="s">
        <v>140</v>
      </c>
      <c r="D51" s="321">
        <v>21</v>
      </c>
      <c r="E51" s="335"/>
      <c r="F51" s="335"/>
      <c r="G51" s="194"/>
      <c r="H51" s="17">
        <f t="shared" si="10"/>
        <v>21</v>
      </c>
      <c r="I51" s="619">
        <f>'INVENTORY INPUT'!G39</f>
        <v>0</v>
      </c>
      <c r="J51" s="618">
        <f t="shared" si="11"/>
        <v>21</v>
      </c>
      <c r="K51" s="701">
        <v>12.29</v>
      </c>
      <c r="L51" s="707">
        <f t="shared" si="12"/>
        <v>258.08999999999997</v>
      </c>
      <c r="M51" s="708">
        <f t="shared" si="13"/>
        <v>0</v>
      </c>
      <c r="N51" s="704">
        <f t="shared" si="14"/>
        <v>0</v>
      </c>
    </row>
    <row r="52" spans="2:14" ht="15" customHeight="1" thickBot="1" x14ac:dyDescent="0.3">
      <c r="B52" s="193" t="s">
        <v>494</v>
      </c>
      <c r="C52" s="357" t="s">
        <v>190</v>
      </c>
      <c r="D52" s="356">
        <v>1.25</v>
      </c>
      <c r="E52" s="335"/>
      <c r="F52" s="335"/>
      <c r="G52" s="194"/>
      <c r="H52" s="17">
        <f t="shared" si="10"/>
        <v>1.25</v>
      </c>
      <c r="I52" s="619">
        <f>'INVENTORY INPUT'!G40</f>
        <v>0</v>
      </c>
      <c r="J52" s="618">
        <f t="shared" si="11"/>
        <v>1.25</v>
      </c>
      <c r="K52" s="701">
        <v>42.44</v>
      </c>
      <c r="L52" s="707">
        <f t="shared" si="12"/>
        <v>53.05</v>
      </c>
      <c r="M52" s="708">
        <f t="shared" si="13"/>
        <v>0</v>
      </c>
      <c r="N52" s="704">
        <f t="shared" si="14"/>
        <v>0</v>
      </c>
    </row>
    <row r="53" spans="2:14" ht="15" customHeight="1" thickBot="1" x14ac:dyDescent="0.3">
      <c r="B53" s="665" t="s">
        <v>495</v>
      </c>
      <c r="C53" s="124" t="s">
        <v>140</v>
      </c>
      <c r="D53" s="324">
        <v>19</v>
      </c>
      <c r="E53" s="378"/>
      <c r="F53" s="378"/>
      <c r="G53" s="197"/>
      <c r="H53" s="53">
        <f t="shared" si="10"/>
        <v>19</v>
      </c>
      <c r="I53" s="619">
        <f>'INVENTORY INPUT'!G41</f>
        <v>0</v>
      </c>
      <c r="J53" s="618">
        <f t="shared" si="11"/>
        <v>19</v>
      </c>
      <c r="K53" s="702">
        <v>13.433</v>
      </c>
      <c r="L53" s="707">
        <f t="shared" si="12"/>
        <v>255.227</v>
      </c>
      <c r="M53" s="708">
        <f t="shared" si="13"/>
        <v>0</v>
      </c>
      <c r="N53" s="704">
        <f t="shared" si="14"/>
        <v>0</v>
      </c>
    </row>
    <row r="54" spans="2:14" ht="15" customHeight="1" thickBot="1" x14ac:dyDescent="0.3">
      <c r="B54" s="193"/>
      <c r="C54" s="116"/>
      <c r="D54" s="321">
        <v>0</v>
      </c>
      <c r="E54" s="335"/>
      <c r="F54" s="335"/>
      <c r="G54" s="194"/>
      <c r="H54" s="17"/>
      <c r="I54" s="619" t="e">
        <f>'INVENTORY INPUT'!#REF!</f>
        <v>#REF!</v>
      </c>
      <c r="J54" s="618" t="e">
        <f t="shared" si="11"/>
        <v>#REF!</v>
      </c>
      <c r="K54" s="701">
        <v>0</v>
      </c>
      <c r="L54" s="707" t="e">
        <f t="shared" si="12"/>
        <v>#REF!</v>
      </c>
      <c r="M54" s="708" t="e">
        <f t="shared" si="13"/>
        <v>#REF!</v>
      </c>
      <c r="N54" s="704">
        <f t="shared" si="14"/>
        <v>0</v>
      </c>
    </row>
    <row r="55" spans="2:14" ht="15" customHeight="1" thickBot="1" x14ac:dyDescent="0.3">
      <c r="B55" s="193"/>
      <c r="C55" s="116"/>
      <c r="D55" s="321">
        <v>0</v>
      </c>
      <c r="E55" s="335"/>
      <c r="F55" s="335"/>
      <c r="G55" s="194"/>
      <c r="H55" s="17"/>
      <c r="I55" s="619" t="e">
        <f>'INVENTORY INPUT'!#REF!</f>
        <v>#REF!</v>
      </c>
      <c r="J55" s="618" t="e">
        <f t="shared" si="11"/>
        <v>#REF!</v>
      </c>
      <c r="K55" s="701">
        <v>0</v>
      </c>
      <c r="L55" s="707" t="e">
        <f t="shared" si="12"/>
        <v>#REF!</v>
      </c>
      <c r="M55" s="708" t="e">
        <f t="shared" si="13"/>
        <v>#REF!</v>
      </c>
      <c r="N55" s="704">
        <f t="shared" si="14"/>
        <v>0</v>
      </c>
    </row>
    <row r="56" spans="2:14" ht="15" customHeight="1" thickBot="1" x14ac:dyDescent="0.3">
      <c r="B56" s="620"/>
      <c r="C56" s="641"/>
      <c r="D56" s="621">
        <v>0</v>
      </c>
      <c r="E56" s="622"/>
      <c r="F56" s="622"/>
      <c r="G56" s="623"/>
      <c r="H56" s="624"/>
      <c r="I56" s="619" t="e">
        <f>'INVENTORY INPUT'!#REF!</f>
        <v>#REF!</v>
      </c>
      <c r="J56" s="618" t="e">
        <f t="shared" si="11"/>
        <v>#REF!</v>
      </c>
      <c r="K56" s="703">
        <v>0</v>
      </c>
      <c r="L56" s="707" t="e">
        <f t="shared" si="12"/>
        <v>#REF!</v>
      </c>
      <c r="M56" s="711"/>
      <c r="N56" s="704">
        <f t="shared" si="14"/>
        <v>0</v>
      </c>
    </row>
    <row r="57" spans="2:14" ht="15" customHeight="1" thickBot="1" x14ac:dyDescent="0.3">
      <c r="B57" s="380" t="s">
        <v>363</v>
      </c>
      <c r="C57" s="610">
        <f>SUM(M37:M51)</f>
        <v>0</v>
      </c>
      <c r="D57" s="611"/>
      <c r="E57" s="379"/>
      <c r="F57" s="263"/>
      <c r="G57" s="612"/>
      <c r="H57" s="267"/>
      <c r="I57" s="267"/>
      <c r="J57" s="267"/>
      <c r="K57" s="267"/>
      <c r="L57" s="662" t="e">
        <f>SUM(L37:L56)</f>
        <v>#REF!</v>
      </c>
      <c r="M57" s="663" t="e">
        <f>SUM(M37:M56)</f>
        <v>#REF!</v>
      </c>
      <c r="N57" s="187">
        <f>SUM(N37:N56)</f>
        <v>536.6232</v>
      </c>
    </row>
    <row r="58" spans="2:14" ht="15" customHeight="1" thickTop="1" thickBot="1" x14ac:dyDescent="0.3">
      <c r="D58" s="277"/>
      <c r="E58" s="251"/>
      <c r="F58" s="251"/>
      <c r="G58" s="194"/>
      <c r="H58" s="9" t="s">
        <v>166</v>
      </c>
      <c r="I58" s="8"/>
      <c r="J58" s="9" t="s">
        <v>166</v>
      </c>
      <c r="K58" s="9"/>
      <c r="L58" s="166" t="s">
        <v>166</v>
      </c>
      <c r="M58" s="170" t="s">
        <v>166</v>
      </c>
      <c r="N58" s="120" t="s">
        <v>166</v>
      </c>
    </row>
    <row r="59" spans="2:14" ht="15" customHeight="1" thickTop="1" thickBot="1" x14ac:dyDescent="0.3">
      <c r="B59" s="601" t="s">
        <v>280</v>
      </c>
      <c r="C59" s="602"/>
      <c r="D59" s="603"/>
      <c r="E59" s="604"/>
      <c r="F59" s="604"/>
      <c r="G59" s="605"/>
      <c r="H59" s="606"/>
      <c r="I59" s="606"/>
      <c r="J59" s="606"/>
      <c r="K59" s="606"/>
      <c r="L59" s="607"/>
      <c r="M59" s="649"/>
      <c r="N59" s="650"/>
    </row>
    <row r="60" spans="2:14" ht="15" customHeight="1" thickBot="1" x14ac:dyDescent="0.3">
      <c r="B60" s="639" t="s">
        <v>40</v>
      </c>
      <c r="C60" s="669" t="s">
        <v>41</v>
      </c>
      <c r="D60" s="615">
        <v>8</v>
      </c>
      <c r="E60" s="616"/>
      <c r="F60" s="616"/>
      <c r="G60" s="617"/>
      <c r="H60" s="618">
        <f t="shared" ref="H60:H76" si="15">SUM(D60:F60)+G60</f>
        <v>8</v>
      </c>
      <c r="I60" s="619">
        <f>'INVENTORY INPUT'!G43</f>
        <v>0</v>
      </c>
      <c r="J60" s="618">
        <f>H60-I60</f>
        <v>8</v>
      </c>
      <c r="K60" s="700">
        <v>4.2300000000000004</v>
      </c>
      <c r="L60" s="707">
        <f t="shared" ref="L60:L78" si="16">K60*J60</f>
        <v>33.840000000000003</v>
      </c>
      <c r="M60" s="708">
        <f t="shared" ref="M60:M78" si="17">K60*I60</f>
        <v>0</v>
      </c>
      <c r="N60" s="704">
        <f t="shared" ref="N60:N78" si="18">SUM(E60:G60)*K60</f>
        <v>0</v>
      </c>
    </row>
    <row r="61" spans="2:14" ht="15" customHeight="1" thickBot="1" x14ac:dyDescent="0.3">
      <c r="B61" s="128" t="s">
        <v>167</v>
      </c>
      <c r="C61" s="16" t="s">
        <v>157</v>
      </c>
      <c r="D61" s="321">
        <v>7</v>
      </c>
      <c r="E61" s="335">
        <v>10</v>
      </c>
      <c r="F61" s="335"/>
      <c r="G61" s="194"/>
      <c r="H61" s="17">
        <f t="shared" si="15"/>
        <v>17</v>
      </c>
      <c r="I61" s="619">
        <f>'INVENTORY INPUT'!G44</f>
        <v>0</v>
      </c>
      <c r="J61" s="618">
        <f t="shared" ref="J61:J78" si="19">H61-I61</f>
        <v>17</v>
      </c>
      <c r="K61" s="701">
        <v>9.3940000000000001</v>
      </c>
      <c r="L61" s="707">
        <f t="shared" si="16"/>
        <v>159.69800000000001</v>
      </c>
      <c r="M61" s="708">
        <f t="shared" si="17"/>
        <v>0</v>
      </c>
      <c r="N61" s="704">
        <f t="shared" si="18"/>
        <v>93.94</v>
      </c>
    </row>
    <row r="62" spans="2:14" ht="15" customHeight="1" thickBot="1" x14ac:dyDescent="0.3">
      <c r="B62" s="382" t="s">
        <v>540</v>
      </c>
      <c r="C62" s="116" t="s">
        <v>168</v>
      </c>
      <c r="D62" s="322">
        <v>0.65</v>
      </c>
      <c r="E62" s="335"/>
      <c r="F62" s="335">
        <v>1</v>
      </c>
      <c r="G62" s="194"/>
      <c r="H62" s="17">
        <f t="shared" si="15"/>
        <v>1.65</v>
      </c>
      <c r="I62" s="619">
        <f>'INVENTORY INPUT'!G45</f>
        <v>0</v>
      </c>
      <c r="J62" s="618">
        <f t="shared" si="19"/>
        <v>1.65</v>
      </c>
      <c r="K62" s="701">
        <v>30.68</v>
      </c>
      <c r="L62" s="707">
        <f t="shared" si="16"/>
        <v>50.622</v>
      </c>
      <c r="M62" s="708">
        <f t="shared" si="17"/>
        <v>0</v>
      </c>
      <c r="N62" s="704">
        <f t="shared" si="18"/>
        <v>30.68</v>
      </c>
    </row>
    <row r="63" spans="2:14" ht="15" customHeight="1" thickBot="1" x14ac:dyDescent="0.3">
      <c r="B63" s="382" t="s">
        <v>169</v>
      </c>
      <c r="C63" s="116" t="s">
        <v>141</v>
      </c>
      <c r="D63" s="322">
        <v>259</v>
      </c>
      <c r="E63" s="335">
        <f>8*96</f>
        <v>768</v>
      </c>
      <c r="F63" s="335">
        <v>768</v>
      </c>
      <c r="G63" s="194"/>
      <c r="H63" s="17">
        <f t="shared" si="15"/>
        <v>1795</v>
      </c>
      <c r="I63" s="619">
        <f>'INVENTORY INPUT'!G46</f>
        <v>0</v>
      </c>
      <c r="J63" s="618">
        <f t="shared" si="19"/>
        <v>1795</v>
      </c>
      <c r="K63" s="701">
        <v>0.26</v>
      </c>
      <c r="L63" s="707">
        <f t="shared" si="16"/>
        <v>466.7</v>
      </c>
      <c r="M63" s="708">
        <f t="shared" si="17"/>
        <v>0</v>
      </c>
      <c r="N63" s="704">
        <f t="shared" si="18"/>
        <v>399.36</v>
      </c>
    </row>
    <row r="64" spans="2:14" ht="15" customHeight="1" thickBot="1" x14ac:dyDescent="0.3">
      <c r="B64" s="626" t="s">
        <v>49</v>
      </c>
      <c r="C64" s="16" t="s">
        <v>141</v>
      </c>
      <c r="D64" s="321">
        <v>35</v>
      </c>
      <c r="E64" s="335">
        <v>120</v>
      </c>
      <c r="F64" s="335">
        <v>60</v>
      </c>
      <c r="G64" s="194"/>
      <c r="H64" s="17">
        <f t="shared" si="15"/>
        <v>215</v>
      </c>
      <c r="I64" s="619">
        <f>'INVENTORY INPUT'!G47</f>
        <v>0</v>
      </c>
      <c r="J64" s="618">
        <f t="shared" si="19"/>
        <v>215</v>
      </c>
      <c r="K64" s="701">
        <v>0.68</v>
      </c>
      <c r="L64" s="707">
        <f t="shared" si="16"/>
        <v>146.20000000000002</v>
      </c>
      <c r="M64" s="708">
        <f t="shared" si="17"/>
        <v>0</v>
      </c>
      <c r="N64" s="704">
        <f t="shared" si="18"/>
        <v>122.4</v>
      </c>
    </row>
    <row r="65" spans="1:14" ht="15" customHeight="1" thickBot="1" x14ac:dyDescent="0.3">
      <c r="B65" s="626" t="s">
        <v>460</v>
      </c>
      <c r="C65" s="16" t="s">
        <v>141</v>
      </c>
      <c r="D65" s="321">
        <v>44</v>
      </c>
      <c r="E65" s="335">
        <v>30</v>
      </c>
      <c r="F65" s="335"/>
      <c r="G65" s="194"/>
      <c r="H65" s="17">
        <f t="shared" si="15"/>
        <v>74</v>
      </c>
      <c r="I65" s="619">
        <f>'INVENTORY INPUT'!G48</f>
        <v>0</v>
      </c>
      <c r="J65" s="618">
        <f t="shared" si="19"/>
        <v>74</v>
      </c>
      <c r="K65" s="701">
        <v>1.08</v>
      </c>
      <c r="L65" s="707">
        <f t="shared" si="16"/>
        <v>79.92</v>
      </c>
      <c r="M65" s="708">
        <f t="shared" si="17"/>
        <v>0</v>
      </c>
      <c r="N65" s="704">
        <f t="shared" si="18"/>
        <v>32.400000000000006</v>
      </c>
    </row>
    <row r="66" spans="1:14" ht="15" customHeight="1" thickBot="1" x14ac:dyDescent="0.3">
      <c r="B66" s="626" t="s">
        <v>461</v>
      </c>
      <c r="C66" s="16" t="s">
        <v>141</v>
      </c>
      <c r="D66" s="321">
        <v>0</v>
      </c>
      <c r="E66" s="335">
        <v>100</v>
      </c>
      <c r="F66" s="335">
        <v>100</v>
      </c>
      <c r="G66" s="194"/>
      <c r="H66" s="17">
        <f t="shared" si="15"/>
        <v>200</v>
      </c>
      <c r="I66" s="619">
        <f>'INVENTORY INPUT'!G49</f>
        <v>0</v>
      </c>
      <c r="J66" s="618">
        <f t="shared" si="19"/>
        <v>200</v>
      </c>
      <c r="K66" s="701">
        <v>0.46</v>
      </c>
      <c r="L66" s="707">
        <f t="shared" si="16"/>
        <v>92</v>
      </c>
      <c r="M66" s="708">
        <f t="shared" si="17"/>
        <v>0</v>
      </c>
      <c r="N66" s="704">
        <f t="shared" si="18"/>
        <v>92</v>
      </c>
    </row>
    <row r="67" spans="1:14" ht="15" customHeight="1" thickBot="1" x14ac:dyDescent="0.3">
      <c r="B67" s="626" t="s">
        <v>539</v>
      </c>
      <c r="C67" s="116" t="s">
        <v>168</v>
      </c>
      <c r="D67" s="321">
        <v>0.5</v>
      </c>
      <c r="E67" s="335">
        <v>2</v>
      </c>
      <c r="F67" s="335"/>
      <c r="G67" s="194"/>
      <c r="H67" s="17">
        <f t="shared" si="15"/>
        <v>2.5</v>
      </c>
      <c r="I67" s="619">
        <f>'INVENTORY INPUT'!G50</f>
        <v>0</v>
      </c>
      <c r="J67" s="618">
        <f t="shared" si="19"/>
        <v>2.5</v>
      </c>
      <c r="K67" s="701">
        <v>18.5</v>
      </c>
      <c r="L67" s="707">
        <f t="shared" si="16"/>
        <v>46.25</v>
      </c>
      <c r="M67" s="708">
        <f t="shared" si="17"/>
        <v>0</v>
      </c>
      <c r="N67" s="704">
        <f t="shared" si="18"/>
        <v>37</v>
      </c>
    </row>
    <row r="68" spans="1:14" ht="15" customHeight="1" thickBot="1" x14ac:dyDescent="0.3">
      <c r="B68" s="128" t="s">
        <v>379</v>
      </c>
      <c r="C68" s="16" t="s">
        <v>153</v>
      </c>
      <c r="D68" s="321">
        <v>3</v>
      </c>
      <c r="E68" s="335"/>
      <c r="F68" s="335"/>
      <c r="G68" s="194"/>
      <c r="H68" s="17">
        <f t="shared" si="15"/>
        <v>3</v>
      </c>
      <c r="I68" s="619">
        <f>'INVENTORY INPUT'!G51</f>
        <v>0</v>
      </c>
      <c r="J68" s="618">
        <f t="shared" si="19"/>
        <v>3</v>
      </c>
      <c r="K68" s="701">
        <f>69.59/4</f>
        <v>17.397500000000001</v>
      </c>
      <c r="L68" s="707">
        <f t="shared" si="16"/>
        <v>52.192500000000003</v>
      </c>
      <c r="M68" s="708">
        <f t="shared" si="17"/>
        <v>0</v>
      </c>
      <c r="N68" s="704">
        <f t="shared" si="18"/>
        <v>0</v>
      </c>
    </row>
    <row r="69" spans="1:14" ht="15" customHeight="1" thickBot="1" x14ac:dyDescent="0.3">
      <c r="A69" s="10"/>
      <c r="B69" s="382" t="s">
        <v>909</v>
      </c>
      <c r="C69" s="116" t="s">
        <v>141</v>
      </c>
      <c r="D69" s="321">
        <v>6</v>
      </c>
      <c r="E69" s="335"/>
      <c r="F69" s="335">
        <v>48</v>
      </c>
      <c r="G69" s="194"/>
      <c r="H69" s="17">
        <f t="shared" si="15"/>
        <v>54</v>
      </c>
      <c r="I69" s="619">
        <f>'INVENTORY INPUT'!G52</f>
        <v>0</v>
      </c>
      <c r="J69" s="618">
        <f t="shared" si="19"/>
        <v>54</v>
      </c>
      <c r="K69" s="701">
        <v>3.3</v>
      </c>
      <c r="L69" s="707">
        <f t="shared" si="16"/>
        <v>178.2</v>
      </c>
      <c r="M69" s="708">
        <f t="shared" si="17"/>
        <v>0</v>
      </c>
      <c r="N69" s="704">
        <f t="shared" si="18"/>
        <v>158.39999999999998</v>
      </c>
    </row>
    <row r="70" spans="1:14" ht="15" customHeight="1" thickBot="1" x14ac:dyDescent="0.3">
      <c r="B70" s="128" t="s">
        <v>333</v>
      </c>
      <c r="C70" s="16" t="s">
        <v>143</v>
      </c>
      <c r="D70" s="321">
        <v>28</v>
      </c>
      <c r="E70" s="335"/>
      <c r="F70" s="335">
        <v>44</v>
      </c>
      <c r="G70" s="194"/>
      <c r="H70" s="17">
        <f t="shared" si="15"/>
        <v>72</v>
      </c>
      <c r="I70" s="619">
        <f>'INVENTORY INPUT'!G53</f>
        <v>0</v>
      </c>
      <c r="J70" s="618">
        <f t="shared" si="19"/>
        <v>72</v>
      </c>
      <c r="K70" s="701">
        <v>0.44</v>
      </c>
      <c r="L70" s="707">
        <f t="shared" si="16"/>
        <v>31.68</v>
      </c>
      <c r="M70" s="708">
        <f t="shared" si="17"/>
        <v>0</v>
      </c>
      <c r="N70" s="704">
        <f t="shared" si="18"/>
        <v>19.36</v>
      </c>
    </row>
    <row r="71" spans="1:14" ht="15" customHeight="1" thickBot="1" x14ac:dyDescent="0.3">
      <c r="B71" s="128" t="s">
        <v>120</v>
      </c>
      <c r="C71" s="16" t="s">
        <v>157</v>
      </c>
      <c r="D71" s="321">
        <v>2</v>
      </c>
      <c r="E71" s="335">
        <v>8</v>
      </c>
      <c r="F71" s="335"/>
      <c r="G71" s="194"/>
      <c r="H71" s="17">
        <f t="shared" si="15"/>
        <v>10</v>
      </c>
      <c r="I71" s="619">
        <f>'INVENTORY INPUT'!G54</f>
        <v>0</v>
      </c>
      <c r="J71" s="618">
        <f t="shared" si="19"/>
        <v>10</v>
      </c>
      <c r="K71" s="701">
        <v>10.23</v>
      </c>
      <c r="L71" s="707">
        <f t="shared" si="16"/>
        <v>102.30000000000001</v>
      </c>
      <c r="M71" s="708">
        <f t="shared" si="17"/>
        <v>0</v>
      </c>
      <c r="N71" s="704">
        <f t="shared" si="18"/>
        <v>81.84</v>
      </c>
    </row>
    <row r="72" spans="1:14" ht="15" customHeight="1" thickBot="1" x14ac:dyDescent="0.3">
      <c r="B72" s="141" t="s">
        <v>541</v>
      </c>
      <c r="C72" s="116" t="s">
        <v>46</v>
      </c>
      <c r="D72" s="321">
        <v>1.1000000000000001</v>
      </c>
      <c r="E72" s="335"/>
      <c r="F72" s="335">
        <v>1</v>
      </c>
      <c r="G72" s="194"/>
      <c r="H72" s="17">
        <f t="shared" si="15"/>
        <v>2.1</v>
      </c>
      <c r="I72" s="619">
        <f>'INVENTORY INPUT'!G55</f>
        <v>0</v>
      </c>
      <c r="J72" s="618">
        <f t="shared" si="19"/>
        <v>2.1</v>
      </c>
      <c r="K72" s="701">
        <v>20.82</v>
      </c>
      <c r="L72" s="707">
        <f t="shared" si="16"/>
        <v>43.722000000000001</v>
      </c>
      <c r="M72" s="708">
        <f t="shared" si="17"/>
        <v>0</v>
      </c>
      <c r="N72" s="704">
        <f t="shared" si="18"/>
        <v>20.82</v>
      </c>
    </row>
    <row r="73" spans="1:14" ht="15" customHeight="1" thickBot="1" x14ac:dyDescent="0.3">
      <c r="B73" s="141" t="s">
        <v>467</v>
      </c>
      <c r="C73" s="16" t="s">
        <v>157</v>
      </c>
      <c r="D73" s="321">
        <v>4.5</v>
      </c>
      <c r="E73" s="335">
        <v>12</v>
      </c>
      <c r="F73" s="335"/>
      <c r="G73" s="194"/>
      <c r="H73" s="17">
        <f t="shared" si="15"/>
        <v>16.5</v>
      </c>
      <c r="I73" s="619">
        <f>'INVENTORY INPUT'!G56</f>
        <v>0</v>
      </c>
      <c r="J73" s="618">
        <f t="shared" si="19"/>
        <v>16.5</v>
      </c>
      <c r="K73" s="701">
        <f>32.37/12</f>
        <v>2.6974999999999998</v>
      </c>
      <c r="L73" s="707">
        <f t="shared" si="16"/>
        <v>44.508749999999999</v>
      </c>
      <c r="M73" s="708">
        <f t="shared" si="17"/>
        <v>0</v>
      </c>
      <c r="N73" s="704">
        <f t="shared" si="18"/>
        <v>32.369999999999997</v>
      </c>
    </row>
    <row r="74" spans="1:14" ht="15" customHeight="1" thickBot="1" x14ac:dyDescent="0.3">
      <c r="B74" s="670" t="s">
        <v>521</v>
      </c>
      <c r="C74" s="140" t="s">
        <v>157</v>
      </c>
      <c r="D74" s="323">
        <v>9.1</v>
      </c>
      <c r="E74" s="335">
        <v>12</v>
      </c>
      <c r="F74" s="335"/>
      <c r="G74" s="194"/>
      <c r="H74" s="17">
        <f t="shared" si="15"/>
        <v>21.1</v>
      </c>
      <c r="I74" s="619">
        <f>'INVENTORY INPUT'!G57</f>
        <v>0</v>
      </c>
      <c r="J74" s="618">
        <f t="shared" si="19"/>
        <v>21.1</v>
      </c>
      <c r="K74" s="701">
        <v>2.46</v>
      </c>
      <c r="L74" s="707">
        <f t="shared" si="16"/>
        <v>51.906000000000006</v>
      </c>
      <c r="M74" s="708">
        <f t="shared" si="17"/>
        <v>0</v>
      </c>
      <c r="N74" s="704">
        <f t="shared" si="18"/>
        <v>29.52</v>
      </c>
    </row>
    <row r="75" spans="1:14" ht="15" customHeight="1" thickBot="1" x14ac:dyDescent="0.3">
      <c r="B75" s="382" t="s">
        <v>99</v>
      </c>
      <c r="C75" s="116" t="s">
        <v>143</v>
      </c>
      <c r="D75" s="321">
        <v>25</v>
      </c>
      <c r="E75" s="335"/>
      <c r="F75" s="335">
        <v>33</v>
      </c>
      <c r="G75" s="194"/>
      <c r="H75" s="17">
        <f t="shared" si="15"/>
        <v>58</v>
      </c>
      <c r="I75" s="619">
        <f>'INVENTORY INPUT'!G58</f>
        <v>0</v>
      </c>
      <c r="J75" s="618">
        <f t="shared" si="19"/>
        <v>58</v>
      </c>
      <c r="K75" s="701">
        <v>1.0900000000000001</v>
      </c>
      <c r="L75" s="707">
        <f t="shared" si="16"/>
        <v>63.220000000000006</v>
      </c>
      <c r="M75" s="708">
        <f t="shared" si="17"/>
        <v>0</v>
      </c>
      <c r="N75" s="704">
        <f t="shared" si="18"/>
        <v>35.970000000000006</v>
      </c>
    </row>
    <row r="76" spans="1:14" ht="15" customHeight="1" thickBot="1" x14ac:dyDescent="0.3">
      <c r="B76" s="141" t="s">
        <v>102</v>
      </c>
      <c r="C76" s="124" t="s">
        <v>103</v>
      </c>
      <c r="D76" s="324">
        <v>0</v>
      </c>
      <c r="E76" s="378">
        <v>9</v>
      </c>
      <c r="F76" s="378"/>
      <c r="G76" s="197"/>
      <c r="H76" s="53">
        <f t="shared" si="15"/>
        <v>9</v>
      </c>
      <c r="I76" s="619" t="e">
        <f>'INVENTORY INPUT'!#REF!</f>
        <v>#REF!</v>
      </c>
      <c r="J76" s="618" t="e">
        <f t="shared" si="19"/>
        <v>#REF!</v>
      </c>
      <c r="K76" s="702">
        <v>8.7799999999999994</v>
      </c>
      <c r="L76" s="707" t="e">
        <f t="shared" si="16"/>
        <v>#REF!</v>
      </c>
      <c r="M76" s="708" t="e">
        <f t="shared" si="17"/>
        <v>#REF!</v>
      </c>
      <c r="N76" s="704">
        <f t="shared" si="18"/>
        <v>79.02</v>
      </c>
    </row>
    <row r="77" spans="1:14" ht="15" customHeight="1" thickBot="1" x14ac:dyDescent="0.3">
      <c r="B77" s="193"/>
      <c r="C77" s="116"/>
      <c r="D77" s="321">
        <v>0</v>
      </c>
      <c r="E77" s="335"/>
      <c r="F77" s="335"/>
      <c r="G77" s="194"/>
      <c r="H77" s="17"/>
      <c r="I77" s="619" t="e">
        <f>'INVENTORY INPUT'!#REF!</f>
        <v>#REF!</v>
      </c>
      <c r="J77" s="618" t="e">
        <f t="shared" si="19"/>
        <v>#REF!</v>
      </c>
      <c r="K77" s="701">
        <v>0</v>
      </c>
      <c r="L77" s="707" t="e">
        <f t="shared" si="16"/>
        <v>#REF!</v>
      </c>
      <c r="M77" s="708" t="e">
        <f t="shared" si="17"/>
        <v>#REF!</v>
      </c>
      <c r="N77" s="704">
        <f t="shared" si="18"/>
        <v>0</v>
      </c>
    </row>
    <row r="78" spans="1:14" ht="15" customHeight="1" thickBot="1" x14ac:dyDescent="0.3">
      <c r="B78" s="620"/>
      <c r="C78" s="641"/>
      <c r="D78" s="621">
        <v>0</v>
      </c>
      <c r="E78" s="622"/>
      <c r="F78" s="622"/>
      <c r="G78" s="623"/>
      <c r="H78" s="624"/>
      <c r="I78" s="619" t="e">
        <f>'INVENTORY INPUT'!#REF!</f>
        <v>#REF!</v>
      </c>
      <c r="J78" s="618" t="e">
        <f t="shared" si="19"/>
        <v>#REF!</v>
      </c>
      <c r="K78" s="703">
        <v>0</v>
      </c>
      <c r="L78" s="707" t="e">
        <f t="shared" si="16"/>
        <v>#REF!</v>
      </c>
      <c r="M78" s="708" t="e">
        <f t="shared" si="17"/>
        <v>#REF!</v>
      </c>
      <c r="N78" s="704">
        <f t="shared" si="18"/>
        <v>0</v>
      </c>
    </row>
    <row r="79" spans="1:14" ht="15" customHeight="1" thickBot="1" x14ac:dyDescent="0.3">
      <c r="B79" s="380" t="s">
        <v>364</v>
      </c>
      <c r="C79" s="610" t="e">
        <f>SUM(M60:M76)</f>
        <v>#REF!</v>
      </c>
      <c r="D79" s="611"/>
      <c r="E79" s="379"/>
      <c r="F79" s="263"/>
      <c r="G79" s="612"/>
      <c r="H79" s="185"/>
      <c r="I79" s="185"/>
      <c r="J79" s="185"/>
      <c r="K79" s="185"/>
      <c r="L79" s="666" t="e">
        <f>SUM(L60:L78)</f>
        <v>#REF!</v>
      </c>
      <c r="M79" s="667" t="e">
        <f>SUM(M60:M78)</f>
        <v>#REF!</v>
      </c>
      <c r="N79" s="668">
        <f>SUM(N60:N78)</f>
        <v>1265.0799999999997</v>
      </c>
    </row>
    <row r="80" spans="1:14" ht="15" customHeight="1" thickTop="1" thickBot="1" x14ac:dyDescent="0.3">
      <c r="D80" s="277"/>
      <c r="E80" s="251"/>
      <c r="F80" s="251"/>
      <c r="G80" s="194"/>
      <c r="H80" s="9" t="s">
        <v>166</v>
      </c>
      <c r="I80" s="8"/>
      <c r="J80" s="9" t="s">
        <v>166</v>
      </c>
      <c r="K80" s="9"/>
    </row>
    <row r="81" spans="2:14" ht="15" customHeight="1" thickTop="1" thickBot="1" x14ac:dyDescent="0.3">
      <c r="B81" s="601" t="s">
        <v>281</v>
      </c>
      <c r="C81" s="602"/>
      <c r="D81" s="603"/>
      <c r="E81" s="604"/>
      <c r="F81" s="604"/>
      <c r="G81" s="605"/>
      <c r="H81" s="606"/>
      <c r="I81" s="606"/>
      <c r="J81" s="606"/>
      <c r="K81" s="606"/>
      <c r="L81" s="607"/>
      <c r="M81" s="608"/>
      <c r="N81" s="609"/>
    </row>
    <row r="82" spans="2:14" ht="15" customHeight="1" thickBot="1" x14ac:dyDescent="0.3">
      <c r="B82" s="639" t="s">
        <v>903</v>
      </c>
      <c r="C82" s="614" t="s">
        <v>140</v>
      </c>
      <c r="D82" s="615">
        <v>3.6</v>
      </c>
      <c r="E82" s="616"/>
      <c r="F82" s="616">
        <v>4.54</v>
      </c>
      <c r="G82" s="617"/>
      <c r="H82" s="618">
        <f t="shared" ref="H82:H90" si="20">SUM(D82:F82)+G82</f>
        <v>8.14</v>
      </c>
      <c r="I82" s="619">
        <f>'INVENTORY INPUT'!G60</f>
        <v>0</v>
      </c>
      <c r="J82" s="618">
        <f t="shared" ref="J82:J91" si="21">H82-I82</f>
        <v>8.14</v>
      </c>
      <c r="K82" s="700">
        <v>3.56</v>
      </c>
      <c r="L82" s="707">
        <f t="shared" ref="L82:L91" si="22">K82*J82</f>
        <v>28.978400000000004</v>
      </c>
      <c r="M82" s="708">
        <f t="shared" ref="M82:M91" si="23">K82*I82</f>
        <v>0</v>
      </c>
      <c r="N82" s="704">
        <f t="shared" ref="N82:N91" si="24">SUM(E82:G82)*K82</f>
        <v>16.162400000000002</v>
      </c>
    </row>
    <row r="83" spans="2:14" ht="15" customHeight="1" thickBot="1" x14ac:dyDescent="0.3">
      <c r="B83" s="128" t="s">
        <v>170</v>
      </c>
      <c r="C83" s="16" t="s">
        <v>143</v>
      </c>
      <c r="D83" s="321">
        <v>26</v>
      </c>
      <c r="E83" s="335">
        <v>40</v>
      </c>
      <c r="F83" s="335">
        <v>20</v>
      </c>
      <c r="G83" s="197"/>
      <c r="H83" s="17">
        <f t="shared" si="20"/>
        <v>86</v>
      </c>
      <c r="I83" s="619">
        <f>'INVENTORY INPUT'!G61</f>
        <v>0</v>
      </c>
      <c r="J83" s="618">
        <f t="shared" si="21"/>
        <v>86</v>
      </c>
      <c r="K83" s="701">
        <v>0.88649999999999995</v>
      </c>
      <c r="L83" s="707">
        <f t="shared" si="22"/>
        <v>76.23899999999999</v>
      </c>
      <c r="M83" s="708">
        <f t="shared" si="23"/>
        <v>0</v>
      </c>
      <c r="N83" s="704">
        <f t="shared" si="24"/>
        <v>53.19</v>
      </c>
    </row>
    <row r="84" spans="2:14" ht="15" customHeight="1" thickBot="1" x14ac:dyDescent="0.3">
      <c r="B84" s="128" t="s">
        <v>171</v>
      </c>
      <c r="C84" s="16" t="s">
        <v>143</v>
      </c>
      <c r="D84" s="321">
        <v>10</v>
      </c>
      <c r="E84" s="335">
        <v>60</v>
      </c>
      <c r="F84" s="335">
        <v>40</v>
      </c>
      <c r="G84" s="194"/>
      <c r="H84" s="17">
        <f t="shared" si="20"/>
        <v>110</v>
      </c>
      <c r="I84" s="619">
        <f>'INVENTORY INPUT'!G62</f>
        <v>0</v>
      </c>
      <c r="J84" s="618">
        <f t="shared" si="21"/>
        <v>110</v>
      </c>
      <c r="K84" s="701">
        <v>0.88649999999999995</v>
      </c>
      <c r="L84" s="707">
        <f t="shared" si="22"/>
        <v>97.515000000000001</v>
      </c>
      <c r="M84" s="708">
        <f t="shared" si="23"/>
        <v>0</v>
      </c>
      <c r="N84" s="704">
        <f t="shared" si="24"/>
        <v>88.649999999999991</v>
      </c>
    </row>
    <row r="85" spans="2:14" ht="15" customHeight="1" thickBot="1" x14ac:dyDescent="0.3">
      <c r="B85" s="128" t="s">
        <v>172</v>
      </c>
      <c r="C85" s="16" t="s">
        <v>143</v>
      </c>
      <c r="D85" s="321">
        <v>30</v>
      </c>
      <c r="E85" s="335">
        <v>20</v>
      </c>
      <c r="F85" s="335">
        <v>20</v>
      </c>
      <c r="G85" s="194"/>
      <c r="H85" s="17">
        <f t="shared" si="20"/>
        <v>70</v>
      </c>
      <c r="I85" s="619">
        <f>'INVENTORY INPUT'!G63</f>
        <v>0</v>
      </c>
      <c r="J85" s="618">
        <f t="shared" si="21"/>
        <v>70</v>
      </c>
      <c r="K85" s="701">
        <v>0.89</v>
      </c>
      <c r="L85" s="707">
        <f t="shared" si="22"/>
        <v>62.300000000000004</v>
      </c>
      <c r="M85" s="708">
        <f t="shared" si="23"/>
        <v>0</v>
      </c>
      <c r="N85" s="704">
        <f t="shared" si="24"/>
        <v>35.6</v>
      </c>
    </row>
    <row r="86" spans="2:14" ht="15" customHeight="1" thickBot="1" x14ac:dyDescent="0.3">
      <c r="B86" s="128" t="s">
        <v>173</v>
      </c>
      <c r="C86" s="16" t="s">
        <v>143</v>
      </c>
      <c r="D86" s="321">
        <v>30</v>
      </c>
      <c r="E86" s="335"/>
      <c r="F86" s="335">
        <v>20</v>
      </c>
      <c r="G86" s="194"/>
      <c r="H86" s="17">
        <f t="shared" si="20"/>
        <v>50</v>
      </c>
      <c r="I86" s="619">
        <f>'INVENTORY INPUT'!G64</f>
        <v>0</v>
      </c>
      <c r="J86" s="618">
        <f t="shared" si="21"/>
        <v>50</v>
      </c>
      <c r="K86" s="701">
        <v>0.89</v>
      </c>
      <c r="L86" s="707">
        <f t="shared" si="22"/>
        <v>44.5</v>
      </c>
      <c r="M86" s="708">
        <f t="shared" si="23"/>
        <v>0</v>
      </c>
      <c r="N86" s="704">
        <f t="shared" si="24"/>
        <v>17.8</v>
      </c>
    </row>
    <row r="87" spans="2:14" ht="15" customHeight="1" thickBot="1" x14ac:dyDescent="0.3">
      <c r="B87" s="128" t="s">
        <v>174</v>
      </c>
      <c r="C87" s="16" t="s">
        <v>143</v>
      </c>
      <c r="D87" s="321">
        <v>22</v>
      </c>
      <c r="E87" s="335">
        <v>33</v>
      </c>
      <c r="F87" s="335">
        <v>33</v>
      </c>
      <c r="G87" s="194"/>
      <c r="H87" s="17">
        <f t="shared" si="20"/>
        <v>88</v>
      </c>
      <c r="I87" s="619">
        <f>'INVENTORY INPUT'!G65</f>
        <v>0</v>
      </c>
      <c r="J87" s="618">
        <f t="shared" si="21"/>
        <v>88</v>
      </c>
      <c r="K87" s="701">
        <v>2.58</v>
      </c>
      <c r="L87" s="707">
        <f t="shared" si="22"/>
        <v>227.04000000000002</v>
      </c>
      <c r="M87" s="708">
        <f t="shared" si="23"/>
        <v>0</v>
      </c>
      <c r="N87" s="704">
        <f t="shared" si="24"/>
        <v>170.28</v>
      </c>
    </row>
    <row r="88" spans="2:14" ht="15" customHeight="1" thickBot="1" x14ac:dyDescent="0.3">
      <c r="B88" s="626" t="s">
        <v>904</v>
      </c>
      <c r="C88" s="16" t="s">
        <v>190</v>
      </c>
      <c r="D88" s="321">
        <v>6</v>
      </c>
      <c r="E88" s="335">
        <v>8</v>
      </c>
      <c r="F88" s="335"/>
      <c r="G88" s="194"/>
      <c r="H88" s="17">
        <f t="shared" si="20"/>
        <v>14</v>
      </c>
      <c r="I88" s="619">
        <f>'INVENTORY INPUT'!G66</f>
        <v>0</v>
      </c>
      <c r="J88" s="618">
        <f t="shared" si="21"/>
        <v>14</v>
      </c>
      <c r="K88" s="701">
        <v>2.6637499999999998</v>
      </c>
      <c r="L88" s="707">
        <f t="shared" si="22"/>
        <v>37.292499999999997</v>
      </c>
      <c r="M88" s="708">
        <f t="shared" si="23"/>
        <v>0</v>
      </c>
      <c r="N88" s="704">
        <f t="shared" si="24"/>
        <v>21.31</v>
      </c>
    </row>
    <row r="89" spans="2:14" ht="15" customHeight="1" thickBot="1" x14ac:dyDescent="0.3">
      <c r="B89" s="382" t="s">
        <v>545</v>
      </c>
      <c r="C89" s="16" t="s">
        <v>143</v>
      </c>
      <c r="D89" s="321">
        <v>15</v>
      </c>
      <c r="E89" s="335"/>
      <c r="F89" s="335"/>
      <c r="G89" s="194"/>
      <c r="H89" s="17">
        <f t="shared" si="20"/>
        <v>15</v>
      </c>
      <c r="I89" s="619">
        <f>'INVENTORY INPUT'!G67</f>
        <v>0</v>
      </c>
      <c r="J89" s="618">
        <f t="shared" si="21"/>
        <v>15</v>
      </c>
      <c r="K89" s="701">
        <v>0.88649999999999995</v>
      </c>
      <c r="L89" s="707">
        <f t="shared" si="22"/>
        <v>13.297499999999999</v>
      </c>
      <c r="M89" s="708">
        <f t="shared" si="23"/>
        <v>0</v>
      </c>
      <c r="N89" s="704">
        <f t="shared" si="24"/>
        <v>0</v>
      </c>
    </row>
    <row r="90" spans="2:14" ht="15" customHeight="1" thickBot="1" x14ac:dyDescent="0.3">
      <c r="B90" s="382"/>
      <c r="C90" s="16" t="s">
        <v>143</v>
      </c>
      <c r="D90" s="321">
        <v>0</v>
      </c>
      <c r="E90" s="335"/>
      <c r="F90" s="335"/>
      <c r="G90" s="194"/>
      <c r="H90" s="17">
        <f t="shared" si="20"/>
        <v>0</v>
      </c>
      <c r="I90" s="619" t="e">
        <f>'INVENTORY INPUT'!#REF!</f>
        <v>#REF!</v>
      </c>
      <c r="J90" s="618" t="e">
        <f t="shared" si="21"/>
        <v>#REF!</v>
      </c>
      <c r="K90" s="701">
        <v>0</v>
      </c>
      <c r="L90" s="707" t="e">
        <f t="shared" si="22"/>
        <v>#REF!</v>
      </c>
      <c r="M90" s="708" t="e">
        <f t="shared" si="23"/>
        <v>#REF!</v>
      </c>
      <c r="N90" s="704">
        <f t="shared" si="24"/>
        <v>0</v>
      </c>
    </row>
    <row r="91" spans="2:14" ht="15" customHeight="1" thickBot="1" x14ac:dyDescent="0.3">
      <c r="B91" s="620"/>
      <c r="C91" s="655"/>
      <c r="D91" s="621">
        <v>0</v>
      </c>
      <c r="E91" s="622"/>
      <c r="F91" s="622"/>
      <c r="G91" s="623"/>
      <c r="H91" s="624"/>
      <c r="I91" s="619" t="e">
        <f>'INVENTORY INPUT'!#REF!</f>
        <v>#REF!</v>
      </c>
      <c r="J91" s="618" t="e">
        <f t="shared" si="21"/>
        <v>#REF!</v>
      </c>
      <c r="K91" s="703">
        <v>0</v>
      </c>
      <c r="L91" s="707" t="e">
        <f t="shared" si="22"/>
        <v>#REF!</v>
      </c>
      <c r="M91" s="708" t="e">
        <f t="shared" si="23"/>
        <v>#REF!</v>
      </c>
      <c r="N91" s="704">
        <f t="shared" si="24"/>
        <v>0</v>
      </c>
    </row>
    <row r="92" spans="2:14" ht="15" customHeight="1" thickBot="1" x14ac:dyDescent="0.3">
      <c r="B92" s="380" t="s">
        <v>365</v>
      </c>
      <c r="C92" s="381" t="e">
        <f>SUM(M82:M90)</f>
        <v>#REF!</v>
      </c>
      <c r="D92" s="671"/>
      <c r="E92" s="672"/>
      <c r="F92" s="673"/>
      <c r="G92" s="612"/>
      <c r="H92" s="674"/>
      <c r="I92" s="674"/>
      <c r="J92" s="674"/>
      <c r="K92" s="674"/>
      <c r="L92" s="675" t="e">
        <f>SUM(L82:L91)</f>
        <v>#REF!</v>
      </c>
      <c r="M92" s="663" t="e">
        <f>SUM(M82:M91)</f>
        <v>#REF!</v>
      </c>
      <c r="N92" s="187">
        <f>SUM(N82:N91)</f>
        <v>402.99240000000003</v>
      </c>
    </row>
    <row r="93" spans="2:14" ht="15" customHeight="1" thickTop="1" thickBot="1" x14ac:dyDescent="0.3">
      <c r="D93" s="277"/>
      <c r="E93" s="251"/>
      <c r="F93" s="251"/>
      <c r="G93" s="194"/>
      <c r="H93" s="7"/>
      <c r="I93" s="8"/>
      <c r="J93" s="7"/>
      <c r="K93" s="7"/>
    </row>
    <row r="94" spans="2:14" ht="15" customHeight="1" thickTop="1" thickBot="1" x14ac:dyDescent="0.3">
      <c r="B94" s="601" t="s">
        <v>375</v>
      </c>
      <c r="C94" s="602"/>
      <c r="D94" s="603"/>
      <c r="E94" s="604"/>
      <c r="F94" s="604"/>
      <c r="G94" s="605"/>
      <c r="H94" s="606"/>
      <c r="I94" s="606"/>
      <c r="J94" s="606"/>
      <c r="K94" s="606"/>
      <c r="L94" s="607"/>
      <c r="M94" s="608"/>
      <c r="N94" s="609"/>
    </row>
    <row r="95" spans="2:14" ht="15" customHeight="1" thickBot="1" x14ac:dyDescent="0.3">
      <c r="B95" s="613" t="s">
        <v>514</v>
      </c>
      <c r="C95" s="614" t="s">
        <v>157</v>
      </c>
      <c r="D95" s="615">
        <v>27.1</v>
      </c>
      <c r="E95" s="616">
        <v>48</v>
      </c>
      <c r="F95" s="616"/>
      <c r="G95" s="617"/>
      <c r="H95" s="618">
        <f t="shared" ref="H95:H105" si="25">SUM(D95:F95)+G95</f>
        <v>75.099999999999994</v>
      </c>
      <c r="I95" s="619">
        <f>'INVENTORY INPUT'!G69</f>
        <v>0</v>
      </c>
      <c r="J95" s="618">
        <f t="shared" ref="J95:J107" si="26">H95-I95</f>
        <v>75.099999999999994</v>
      </c>
      <c r="K95" s="700">
        <v>8.3249999999999993</v>
      </c>
      <c r="L95" s="707">
        <f t="shared" ref="L95:L107" si="27">K95*J95</f>
        <v>625.20749999999987</v>
      </c>
      <c r="M95" s="708">
        <f t="shared" ref="M95:M107" si="28">K95*I95</f>
        <v>0</v>
      </c>
      <c r="N95" s="704">
        <f t="shared" ref="N95:N107" si="29">SUM(E95:G95)*K95</f>
        <v>399.59999999999997</v>
      </c>
    </row>
    <row r="96" spans="2:14" ht="15" customHeight="1" thickBot="1" x14ac:dyDescent="0.3">
      <c r="B96" s="382" t="s">
        <v>515</v>
      </c>
      <c r="C96" s="16" t="s">
        <v>157</v>
      </c>
      <c r="D96" s="321">
        <v>3.1</v>
      </c>
      <c r="E96" s="335">
        <v>36</v>
      </c>
      <c r="F96" s="335">
        <v>18</v>
      </c>
      <c r="G96" s="194"/>
      <c r="H96" s="17">
        <f t="shared" si="25"/>
        <v>57.1</v>
      </c>
      <c r="I96" s="619">
        <f>'INVENTORY INPUT'!G70</f>
        <v>0</v>
      </c>
      <c r="J96" s="618">
        <f t="shared" si="26"/>
        <v>57.1</v>
      </c>
      <c r="K96" s="701">
        <v>7.9316000000000004</v>
      </c>
      <c r="L96" s="707">
        <f t="shared" si="27"/>
        <v>452.89436000000006</v>
      </c>
      <c r="M96" s="708">
        <f t="shared" si="28"/>
        <v>0</v>
      </c>
      <c r="N96" s="704">
        <f t="shared" si="29"/>
        <v>428.3064</v>
      </c>
    </row>
    <row r="97" spans="2:14" ht="15" customHeight="1" thickBot="1" x14ac:dyDescent="0.3">
      <c r="B97" s="128" t="s">
        <v>176</v>
      </c>
      <c r="C97" s="16" t="s">
        <v>157</v>
      </c>
      <c r="D97" s="321">
        <v>6.3</v>
      </c>
      <c r="E97" s="335">
        <v>12</v>
      </c>
      <c r="F97" s="335"/>
      <c r="G97" s="194"/>
      <c r="H97" s="17">
        <f t="shared" si="25"/>
        <v>18.3</v>
      </c>
      <c r="I97" s="619">
        <f>'INVENTORY INPUT'!G71</f>
        <v>0</v>
      </c>
      <c r="J97" s="618">
        <f t="shared" si="26"/>
        <v>18.3</v>
      </c>
      <c r="K97" s="701">
        <v>9.42</v>
      </c>
      <c r="L97" s="707">
        <f t="shared" si="27"/>
        <v>172.386</v>
      </c>
      <c r="M97" s="708">
        <f t="shared" si="28"/>
        <v>0</v>
      </c>
      <c r="N97" s="704">
        <f t="shared" si="29"/>
        <v>113.03999999999999</v>
      </c>
    </row>
    <row r="98" spans="2:14" ht="15" customHeight="1" thickBot="1" x14ac:dyDescent="0.3">
      <c r="B98" s="128" t="s">
        <v>68</v>
      </c>
      <c r="C98" s="16" t="s">
        <v>157</v>
      </c>
      <c r="D98" s="321">
        <v>4.2</v>
      </c>
      <c r="E98" s="335">
        <v>10</v>
      </c>
      <c r="F98" s="335">
        <v>10</v>
      </c>
      <c r="G98" s="194"/>
      <c r="H98" s="17">
        <f t="shared" si="25"/>
        <v>24.2</v>
      </c>
      <c r="I98" s="619">
        <f>'INVENTORY INPUT'!G72</f>
        <v>0</v>
      </c>
      <c r="J98" s="618">
        <f t="shared" si="26"/>
        <v>24.2</v>
      </c>
      <c r="K98" s="701">
        <v>9.4700000000000006</v>
      </c>
      <c r="L98" s="707">
        <f t="shared" si="27"/>
        <v>229.17400000000001</v>
      </c>
      <c r="M98" s="708">
        <f t="shared" si="28"/>
        <v>0</v>
      </c>
      <c r="N98" s="704">
        <f t="shared" si="29"/>
        <v>189.4</v>
      </c>
    </row>
    <row r="99" spans="2:14" ht="15" customHeight="1" thickBot="1" x14ac:dyDescent="0.3">
      <c r="B99" s="128" t="s">
        <v>177</v>
      </c>
      <c r="C99" s="16" t="s">
        <v>157</v>
      </c>
      <c r="D99" s="321">
        <v>1.75</v>
      </c>
      <c r="E99" s="335">
        <v>12</v>
      </c>
      <c r="F99" s="335"/>
      <c r="G99" s="194"/>
      <c r="H99" s="17">
        <f t="shared" si="25"/>
        <v>13.75</v>
      </c>
      <c r="I99" s="619">
        <f>'INVENTORY INPUT'!G73</f>
        <v>0</v>
      </c>
      <c r="J99" s="618">
        <f t="shared" si="26"/>
        <v>13.75</v>
      </c>
      <c r="K99" s="701">
        <f>60.88/6</f>
        <v>10.146666666666667</v>
      </c>
      <c r="L99" s="707">
        <f t="shared" si="27"/>
        <v>139.51666666666665</v>
      </c>
      <c r="M99" s="708">
        <f t="shared" si="28"/>
        <v>0</v>
      </c>
      <c r="N99" s="704">
        <f t="shared" si="29"/>
        <v>121.75999999999999</v>
      </c>
    </row>
    <row r="100" spans="2:14" ht="15" customHeight="1" thickBot="1" x14ac:dyDescent="0.3">
      <c r="B100" s="128" t="s">
        <v>77</v>
      </c>
      <c r="C100" s="50" t="s">
        <v>178</v>
      </c>
      <c r="D100" s="321">
        <v>1.1000000000000001</v>
      </c>
      <c r="E100" s="335"/>
      <c r="F100" s="335"/>
      <c r="G100" s="194"/>
      <c r="H100" s="17">
        <f t="shared" si="25"/>
        <v>1.1000000000000001</v>
      </c>
      <c r="I100" s="619">
        <f>'INVENTORY INPUT'!G74</f>
        <v>0</v>
      </c>
      <c r="J100" s="618">
        <f t="shared" si="26"/>
        <v>1.1000000000000001</v>
      </c>
      <c r="K100" s="701">
        <v>32.590000000000003</v>
      </c>
      <c r="L100" s="707">
        <f t="shared" si="27"/>
        <v>35.849000000000004</v>
      </c>
      <c r="M100" s="708">
        <f t="shared" si="28"/>
        <v>0</v>
      </c>
      <c r="N100" s="704">
        <f t="shared" si="29"/>
        <v>0</v>
      </c>
    </row>
    <row r="101" spans="2:14" ht="15" customHeight="1" thickBot="1" x14ac:dyDescent="0.3">
      <c r="B101" s="128" t="s">
        <v>334</v>
      </c>
      <c r="C101" s="50" t="s">
        <v>179</v>
      </c>
      <c r="D101" s="321">
        <v>0.85</v>
      </c>
      <c r="E101" s="335">
        <v>4</v>
      </c>
      <c r="F101" s="335"/>
      <c r="G101" s="194"/>
      <c r="H101" s="17">
        <f t="shared" si="25"/>
        <v>4.8499999999999996</v>
      </c>
      <c r="I101" s="619">
        <f>'INVENTORY INPUT'!G75</f>
        <v>0</v>
      </c>
      <c r="J101" s="618">
        <f t="shared" si="26"/>
        <v>4.8499999999999996</v>
      </c>
      <c r="K101" s="701">
        <v>7.09</v>
      </c>
      <c r="L101" s="707">
        <f t="shared" si="27"/>
        <v>34.386499999999998</v>
      </c>
      <c r="M101" s="708">
        <f t="shared" si="28"/>
        <v>0</v>
      </c>
      <c r="N101" s="704">
        <f t="shared" si="29"/>
        <v>28.36</v>
      </c>
    </row>
    <row r="102" spans="2:14" ht="15" customHeight="1" thickBot="1" x14ac:dyDescent="0.3">
      <c r="B102" s="652" t="s">
        <v>79</v>
      </c>
      <c r="C102" s="51" t="s">
        <v>179</v>
      </c>
      <c r="D102" s="321">
        <v>1</v>
      </c>
      <c r="E102" s="335">
        <v>4</v>
      </c>
      <c r="F102" s="335"/>
      <c r="G102" s="194"/>
      <c r="H102" s="17">
        <f t="shared" si="25"/>
        <v>5</v>
      </c>
      <c r="I102" s="619">
        <f>'INVENTORY INPUT'!G76</f>
        <v>0</v>
      </c>
      <c r="J102" s="618">
        <f t="shared" si="26"/>
        <v>5</v>
      </c>
      <c r="K102" s="701">
        <v>7.71</v>
      </c>
      <c r="L102" s="707">
        <f t="shared" si="27"/>
        <v>38.549999999999997</v>
      </c>
      <c r="M102" s="708">
        <f t="shared" si="28"/>
        <v>0</v>
      </c>
      <c r="N102" s="704">
        <f t="shared" si="29"/>
        <v>30.84</v>
      </c>
    </row>
    <row r="103" spans="2:14" ht="15" customHeight="1" thickBot="1" x14ac:dyDescent="0.3">
      <c r="B103" s="141" t="s">
        <v>65</v>
      </c>
      <c r="C103" s="125" t="s">
        <v>157</v>
      </c>
      <c r="D103" s="321">
        <v>3.75</v>
      </c>
      <c r="E103" s="335">
        <v>6</v>
      </c>
      <c r="F103" s="335"/>
      <c r="G103" s="194"/>
      <c r="H103" s="17">
        <f t="shared" si="25"/>
        <v>9.75</v>
      </c>
      <c r="I103" s="619">
        <f>'INVENTORY INPUT'!G77</f>
        <v>0</v>
      </c>
      <c r="J103" s="618">
        <f t="shared" si="26"/>
        <v>9.75</v>
      </c>
      <c r="K103" s="701">
        <v>11.2</v>
      </c>
      <c r="L103" s="707">
        <f t="shared" si="27"/>
        <v>109.19999999999999</v>
      </c>
      <c r="M103" s="708">
        <f t="shared" si="28"/>
        <v>0</v>
      </c>
      <c r="N103" s="704">
        <f t="shared" si="29"/>
        <v>67.199999999999989</v>
      </c>
    </row>
    <row r="104" spans="2:14" ht="15" customHeight="1" thickBot="1" x14ac:dyDescent="0.3">
      <c r="B104" s="382" t="s">
        <v>100</v>
      </c>
      <c r="C104" s="116" t="s">
        <v>141</v>
      </c>
      <c r="D104" s="321">
        <v>4.0999999999999996</v>
      </c>
      <c r="E104" s="335"/>
      <c r="F104" s="335">
        <v>6</v>
      </c>
      <c r="G104" s="194"/>
      <c r="H104" s="17">
        <f t="shared" si="25"/>
        <v>10.1</v>
      </c>
      <c r="I104" s="619">
        <f>'INVENTORY INPUT'!G78</f>
        <v>0</v>
      </c>
      <c r="J104" s="618">
        <f t="shared" si="26"/>
        <v>10.1</v>
      </c>
      <c r="K104" s="701">
        <f>66.06/6</f>
        <v>11.01</v>
      </c>
      <c r="L104" s="707">
        <f t="shared" si="27"/>
        <v>111.20099999999999</v>
      </c>
      <c r="M104" s="708">
        <f t="shared" si="28"/>
        <v>0</v>
      </c>
      <c r="N104" s="704">
        <f t="shared" si="29"/>
        <v>66.06</v>
      </c>
    </row>
    <row r="105" spans="2:14" ht="15" customHeight="1" thickBot="1" x14ac:dyDescent="0.3">
      <c r="B105" s="382" t="s">
        <v>468</v>
      </c>
      <c r="C105" s="116" t="s">
        <v>141</v>
      </c>
      <c r="D105" s="321">
        <v>8.3000000000000007</v>
      </c>
      <c r="E105" s="335"/>
      <c r="F105" s="335"/>
      <c r="G105" s="194"/>
      <c r="H105" s="17">
        <f t="shared" si="25"/>
        <v>8.3000000000000007</v>
      </c>
      <c r="I105" s="619">
        <f>'INVENTORY INPUT'!G79</f>
        <v>0</v>
      </c>
      <c r="J105" s="618">
        <f t="shared" si="26"/>
        <v>8.3000000000000007</v>
      </c>
      <c r="K105" s="701">
        <v>9.23</v>
      </c>
      <c r="L105" s="707">
        <f t="shared" si="27"/>
        <v>76.609000000000009</v>
      </c>
      <c r="M105" s="708">
        <f t="shared" si="28"/>
        <v>0</v>
      </c>
      <c r="N105" s="704">
        <f t="shared" si="29"/>
        <v>0</v>
      </c>
    </row>
    <row r="106" spans="2:14" ht="15" customHeight="1" thickBot="1" x14ac:dyDescent="0.3">
      <c r="B106" s="193"/>
      <c r="C106" s="116"/>
      <c r="D106" s="321">
        <v>0</v>
      </c>
      <c r="E106" s="335"/>
      <c r="F106" s="335"/>
      <c r="G106" s="194"/>
      <c r="H106" s="17"/>
      <c r="I106" s="619" t="e">
        <f>'INVENTORY INPUT'!#REF!</f>
        <v>#REF!</v>
      </c>
      <c r="J106" s="618" t="e">
        <f t="shared" si="26"/>
        <v>#REF!</v>
      </c>
      <c r="K106" s="701">
        <v>0</v>
      </c>
      <c r="L106" s="707" t="e">
        <f t="shared" si="27"/>
        <v>#REF!</v>
      </c>
      <c r="M106" s="708" t="e">
        <f t="shared" si="28"/>
        <v>#REF!</v>
      </c>
      <c r="N106" s="704">
        <f t="shared" si="29"/>
        <v>0</v>
      </c>
    </row>
    <row r="107" spans="2:14" ht="15" customHeight="1" thickBot="1" x14ac:dyDescent="0.3">
      <c r="B107" s="620"/>
      <c r="C107" s="641"/>
      <c r="D107" s="621">
        <v>0</v>
      </c>
      <c r="E107" s="622"/>
      <c r="F107" s="622"/>
      <c r="G107" s="623"/>
      <c r="H107" s="624"/>
      <c r="I107" s="619" t="e">
        <f>'INVENTORY INPUT'!#REF!</f>
        <v>#REF!</v>
      </c>
      <c r="J107" s="618" t="e">
        <f t="shared" si="26"/>
        <v>#REF!</v>
      </c>
      <c r="K107" s="703">
        <v>0</v>
      </c>
      <c r="L107" s="707" t="e">
        <f t="shared" si="27"/>
        <v>#REF!</v>
      </c>
      <c r="M107" s="708" t="e">
        <f t="shared" si="28"/>
        <v>#REF!</v>
      </c>
      <c r="N107" s="704">
        <f t="shared" si="29"/>
        <v>0</v>
      </c>
    </row>
    <row r="108" spans="2:14" ht="15" customHeight="1" thickBot="1" x14ac:dyDescent="0.3">
      <c r="B108" s="380" t="s">
        <v>366</v>
      </c>
      <c r="C108" s="381">
        <f>SUM(M95:M105)</f>
        <v>0</v>
      </c>
      <c r="D108" s="282"/>
      <c r="E108" s="379"/>
      <c r="F108" s="263"/>
      <c r="G108" s="612"/>
      <c r="H108" s="267"/>
      <c r="I108" s="267"/>
      <c r="J108" s="267"/>
      <c r="K108" s="267"/>
      <c r="L108" s="186" t="e">
        <f>SUM(L95:L107)</f>
        <v>#REF!</v>
      </c>
      <c r="M108" s="174" t="e">
        <f>SUM(M95:M107)</f>
        <v>#REF!</v>
      </c>
      <c r="N108" s="187">
        <f>SUM(N95:N107)</f>
        <v>1444.5663999999997</v>
      </c>
    </row>
    <row r="109" spans="2:14" ht="15" customHeight="1" thickTop="1" thickBot="1" x14ac:dyDescent="0.3">
      <c r="D109" s="277"/>
      <c r="E109" s="251"/>
      <c r="F109" s="251"/>
      <c r="G109" s="194"/>
      <c r="H109" s="7"/>
      <c r="I109" s="8"/>
      <c r="J109" s="7"/>
      <c r="K109" s="7"/>
    </row>
    <row r="110" spans="2:14" ht="15" customHeight="1" thickTop="1" thickBot="1" x14ac:dyDescent="0.3">
      <c r="B110" s="632" t="s">
        <v>282</v>
      </c>
      <c r="C110" s="633"/>
      <c r="D110" s="634"/>
      <c r="E110" s="635"/>
      <c r="F110" s="635"/>
      <c r="G110" s="605"/>
      <c r="H110" s="637"/>
      <c r="I110" s="637"/>
      <c r="J110" s="637"/>
      <c r="K110" s="637"/>
      <c r="L110" s="607"/>
      <c r="M110" s="608"/>
      <c r="N110" s="609"/>
    </row>
    <row r="111" spans="2:14" ht="15" customHeight="1" thickBot="1" x14ac:dyDescent="0.3">
      <c r="B111" s="613" t="s">
        <v>180</v>
      </c>
      <c r="C111" s="614" t="s">
        <v>143</v>
      </c>
      <c r="D111" s="615">
        <v>19.5</v>
      </c>
      <c r="E111" s="616">
        <v>72</v>
      </c>
      <c r="F111" s="616"/>
      <c r="G111" s="617"/>
      <c r="H111" s="618">
        <f t="shared" ref="H111:H119" si="30">SUM(D111:F111)+G111</f>
        <v>91.5</v>
      </c>
      <c r="I111" s="619">
        <f>'INVENTORY INPUT'!G81</f>
        <v>0</v>
      </c>
      <c r="J111" s="618">
        <f t="shared" ref="J111:J122" si="31">H111-I111</f>
        <v>91.5</v>
      </c>
      <c r="K111" s="700">
        <v>0.79</v>
      </c>
      <c r="L111" s="707">
        <f t="shared" ref="L111:L122" si="32">K111*J111</f>
        <v>72.284999999999997</v>
      </c>
      <c r="M111" s="708">
        <f t="shared" ref="M111:M122" si="33">K111*I111</f>
        <v>0</v>
      </c>
      <c r="N111" s="704">
        <f t="shared" ref="N111:N122" si="34">SUM(E111:G111)*K111</f>
        <v>56.88</v>
      </c>
    </row>
    <row r="112" spans="2:14" ht="15" customHeight="1" thickBot="1" x14ac:dyDescent="0.3">
      <c r="B112" s="128" t="s">
        <v>181</v>
      </c>
      <c r="C112" s="16" t="s">
        <v>143</v>
      </c>
      <c r="D112" s="321">
        <v>17.5</v>
      </c>
      <c r="E112" s="335">
        <v>27</v>
      </c>
      <c r="F112" s="335"/>
      <c r="G112" s="194"/>
      <c r="H112" s="17">
        <f t="shared" si="30"/>
        <v>44.5</v>
      </c>
      <c r="I112" s="619">
        <f>'INVENTORY INPUT'!G82</f>
        <v>0</v>
      </c>
      <c r="J112" s="618">
        <f t="shared" si="31"/>
        <v>44.5</v>
      </c>
      <c r="K112" s="701">
        <v>1.08</v>
      </c>
      <c r="L112" s="707">
        <f t="shared" si="32"/>
        <v>48.06</v>
      </c>
      <c r="M112" s="708">
        <f t="shared" si="33"/>
        <v>0</v>
      </c>
      <c r="N112" s="704">
        <f t="shared" si="34"/>
        <v>29.160000000000004</v>
      </c>
    </row>
    <row r="113" spans="2:14" ht="15" customHeight="1" thickBot="1" x14ac:dyDescent="0.3">
      <c r="B113" s="128" t="s">
        <v>182</v>
      </c>
      <c r="C113" s="16" t="s">
        <v>184</v>
      </c>
      <c r="D113" s="321">
        <v>8.5</v>
      </c>
      <c r="E113" s="335"/>
      <c r="F113" s="335"/>
      <c r="G113" s="194"/>
      <c r="H113" s="17">
        <f t="shared" si="30"/>
        <v>8.5</v>
      </c>
      <c r="I113" s="619">
        <f>'INVENTORY INPUT'!G83</f>
        <v>0</v>
      </c>
      <c r="J113" s="618">
        <f t="shared" si="31"/>
        <v>8.5</v>
      </c>
      <c r="K113" s="701">
        <f>47.35/24</f>
        <v>1.9729166666666667</v>
      </c>
      <c r="L113" s="707">
        <f t="shared" si="32"/>
        <v>16.769791666666666</v>
      </c>
      <c r="M113" s="708">
        <f t="shared" si="33"/>
        <v>0</v>
      </c>
      <c r="N113" s="704">
        <f t="shared" si="34"/>
        <v>0</v>
      </c>
    </row>
    <row r="114" spans="2:14" ht="15" customHeight="1" thickBot="1" x14ac:dyDescent="0.3">
      <c r="B114" s="128" t="s">
        <v>183</v>
      </c>
      <c r="C114" s="16" t="s">
        <v>184</v>
      </c>
      <c r="D114" s="321">
        <v>3.5</v>
      </c>
      <c r="E114" s="335"/>
      <c r="F114" s="335">
        <v>6</v>
      </c>
      <c r="G114" s="194"/>
      <c r="H114" s="17">
        <f t="shared" si="30"/>
        <v>9.5</v>
      </c>
      <c r="I114" s="619">
        <f>'INVENTORY INPUT'!G84</f>
        <v>0</v>
      </c>
      <c r="J114" s="618">
        <f t="shared" si="31"/>
        <v>9.5</v>
      </c>
      <c r="K114" s="701">
        <v>7.3250000000000002</v>
      </c>
      <c r="L114" s="707">
        <f t="shared" si="32"/>
        <v>69.587500000000006</v>
      </c>
      <c r="M114" s="708">
        <f t="shared" si="33"/>
        <v>0</v>
      </c>
      <c r="N114" s="704">
        <f t="shared" si="34"/>
        <v>43.95</v>
      </c>
    </row>
    <row r="115" spans="2:14" ht="15" customHeight="1" thickBot="1" x14ac:dyDescent="0.3">
      <c r="B115" s="128" t="s">
        <v>185</v>
      </c>
      <c r="C115" s="16" t="s">
        <v>186</v>
      </c>
      <c r="D115" s="321">
        <v>0.9</v>
      </c>
      <c r="E115" s="335"/>
      <c r="F115" s="335"/>
      <c r="G115" s="194"/>
      <c r="H115" s="17">
        <f t="shared" si="30"/>
        <v>0.9</v>
      </c>
      <c r="I115" s="619">
        <f>'INVENTORY INPUT'!G85</f>
        <v>0</v>
      </c>
      <c r="J115" s="618">
        <f t="shared" si="31"/>
        <v>0.9</v>
      </c>
      <c r="K115" s="701">
        <v>5.67</v>
      </c>
      <c r="L115" s="707">
        <f t="shared" si="32"/>
        <v>5.1029999999999998</v>
      </c>
      <c r="M115" s="708">
        <f t="shared" si="33"/>
        <v>0</v>
      </c>
      <c r="N115" s="704">
        <f t="shared" si="34"/>
        <v>0</v>
      </c>
    </row>
    <row r="116" spans="2:14" ht="15" customHeight="1" thickBot="1" x14ac:dyDescent="0.3">
      <c r="B116" s="128" t="s">
        <v>187</v>
      </c>
      <c r="C116" s="16" t="s">
        <v>186</v>
      </c>
      <c r="D116" s="321">
        <v>1.75</v>
      </c>
      <c r="E116" s="335">
        <v>2</v>
      </c>
      <c r="F116" s="335"/>
      <c r="G116" s="194"/>
      <c r="H116" s="17">
        <f t="shared" si="30"/>
        <v>3.75</v>
      </c>
      <c r="I116" s="619">
        <f>'INVENTORY INPUT'!G86</f>
        <v>0</v>
      </c>
      <c r="J116" s="618">
        <f t="shared" si="31"/>
        <v>3.75</v>
      </c>
      <c r="K116" s="701">
        <v>11.73</v>
      </c>
      <c r="L116" s="707">
        <f t="shared" si="32"/>
        <v>43.987500000000004</v>
      </c>
      <c r="M116" s="708">
        <f t="shared" si="33"/>
        <v>0</v>
      </c>
      <c r="N116" s="704">
        <f t="shared" si="34"/>
        <v>23.46</v>
      </c>
    </row>
    <row r="117" spans="2:14" ht="15" customHeight="1" thickBot="1" x14ac:dyDescent="0.3">
      <c r="B117" s="128" t="s">
        <v>188</v>
      </c>
      <c r="C117" s="16" t="s">
        <v>186</v>
      </c>
      <c r="D117" s="321">
        <v>0</v>
      </c>
      <c r="E117" s="335">
        <v>4</v>
      </c>
      <c r="F117" s="335"/>
      <c r="G117" s="194"/>
      <c r="H117" s="17">
        <f t="shared" si="30"/>
        <v>4</v>
      </c>
      <c r="I117" s="619">
        <f>'INVENTORY INPUT'!G87</f>
        <v>0</v>
      </c>
      <c r="J117" s="618">
        <f t="shared" si="31"/>
        <v>4</v>
      </c>
      <c r="K117" s="701">
        <v>7.98</v>
      </c>
      <c r="L117" s="707">
        <f t="shared" si="32"/>
        <v>31.92</v>
      </c>
      <c r="M117" s="708">
        <f t="shared" si="33"/>
        <v>0</v>
      </c>
      <c r="N117" s="704">
        <f t="shared" si="34"/>
        <v>31.92</v>
      </c>
    </row>
    <row r="118" spans="2:14" ht="15" customHeight="1" thickBot="1" x14ac:dyDescent="0.3">
      <c r="B118" s="128" t="s">
        <v>189</v>
      </c>
      <c r="C118" s="16" t="s">
        <v>179</v>
      </c>
      <c r="D118" s="321">
        <v>1.25</v>
      </c>
      <c r="E118" s="335"/>
      <c r="F118" s="335"/>
      <c r="G118" s="194"/>
      <c r="H118" s="17">
        <f t="shared" si="30"/>
        <v>1.25</v>
      </c>
      <c r="I118" s="619">
        <f>'INVENTORY INPUT'!G88</f>
        <v>0</v>
      </c>
      <c r="J118" s="618">
        <f t="shared" si="31"/>
        <v>1.25</v>
      </c>
      <c r="K118" s="701">
        <v>24.41</v>
      </c>
      <c r="L118" s="707">
        <f t="shared" si="32"/>
        <v>30.512499999999999</v>
      </c>
      <c r="M118" s="708">
        <f t="shared" si="33"/>
        <v>0</v>
      </c>
      <c r="N118" s="704">
        <f t="shared" si="34"/>
        <v>0</v>
      </c>
    </row>
    <row r="119" spans="2:14" ht="15" customHeight="1" thickBot="1" x14ac:dyDescent="0.3">
      <c r="B119" s="128" t="s">
        <v>378</v>
      </c>
      <c r="C119" s="116" t="s">
        <v>157</v>
      </c>
      <c r="D119" s="321">
        <v>3.5</v>
      </c>
      <c r="E119" s="335"/>
      <c r="F119" s="335">
        <v>4</v>
      </c>
      <c r="G119" s="194"/>
      <c r="H119" s="17">
        <f t="shared" si="30"/>
        <v>7.5</v>
      </c>
      <c r="I119" s="619">
        <f>'INVENTORY INPUT'!G89</f>
        <v>0</v>
      </c>
      <c r="J119" s="618">
        <f t="shared" si="31"/>
        <v>7.5</v>
      </c>
      <c r="K119" s="701">
        <v>13.5</v>
      </c>
      <c r="L119" s="707">
        <f t="shared" si="32"/>
        <v>101.25</v>
      </c>
      <c r="M119" s="708">
        <f t="shared" si="33"/>
        <v>0</v>
      </c>
      <c r="N119" s="704">
        <f t="shared" si="34"/>
        <v>54</v>
      </c>
    </row>
    <row r="120" spans="2:14" ht="15" customHeight="1" thickBot="1" x14ac:dyDescent="0.3">
      <c r="B120" s="653"/>
      <c r="C120" s="116"/>
      <c r="D120" s="321">
        <v>0</v>
      </c>
      <c r="E120" s="335"/>
      <c r="F120" s="335"/>
      <c r="G120" s="194"/>
      <c r="H120" s="17"/>
      <c r="I120" s="619" t="e">
        <f>'INVENTORY INPUT'!#REF!</f>
        <v>#REF!</v>
      </c>
      <c r="J120" s="618" t="e">
        <f t="shared" si="31"/>
        <v>#REF!</v>
      </c>
      <c r="K120" s="701">
        <v>0</v>
      </c>
      <c r="L120" s="707" t="e">
        <f t="shared" si="32"/>
        <v>#REF!</v>
      </c>
      <c r="M120" s="708" t="e">
        <f t="shared" si="33"/>
        <v>#REF!</v>
      </c>
      <c r="N120" s="704">
        <f t="shared" si="34"/>
        <v>0</v>
      </c>
    </row>
    <row r="121" spans="2:14" ht="15" customHeight="1" thickBot="1" x14ac:dyDescent="0.3">
      <c r="B121" s="653"/>
      <c r="C121" s="116"/>
      <c r="D121" s="321">
        <v>0</v>
      </c>
      <c r="E121" s="335"/>
      <c r="F121" s="335"/>
      <c r="G121" s="194"/>
      <c r="H121" s="17"/>
      <c r="I121" s="619" t="e">
        <f>'INVENTORY INPUT'!#REF!</f>
        <v>#REF!</v>
      </c>
      <c r="J121" s="618" t="e">
        <f t="shared" si="31"/>
        <v>#REF!</v>
      </c>
      <c r="K121" s="701">
        <v>0</v>
      </c>
      <c r="L121" s="707" t="e">
        <f t="shared" si="32"/>
        <v>#REF!</v>
      </c>
      <c r="M121" s="708" t="e">
        <f t="shared" si="33"/>
        <v>#REF!</v>
      </c>
      <c r="N121" s="704">
        <f t="shared" si="34"/>
        <v>0</v>
      </c>
    </row>
    <row r="122" spans="2:14" ht="15" customHeight="1" thickBot="1" x14ac:dyDescent="0.3">
      <c r="B122" s="654"/>
      <c r="C122" s="641"/>
      <c r="D122" s="621">
        <v>0</v>
      </c>
      <c r="E122" s="622"/>
      <c r="F122" s="622"/>
      <c r="G122" s="623"/>
      <c r="H122" s="624"/>
      <c r="I122" s="619" t="e">
        <f>'INVENTORY INPUT'!#REF!</f>
        <v>#REF!</v>
      </c>
      <c r="J122" s="618" t="e">
        <f t="shared" si="31"/>
        <v>#REF!</v>
      </c>
      <c r="K122" s="703">
        <v>0</v>
      </c>
      <c r="L122" s="707" t="e">
        <f t="shared" si="32"/>
        <v>#REF!</v>
      </c>
      <c r="M122" s="708" t="e">
        <f t="shared" si="33"/>
        <v>#REF!</v>
      </c>
      <c r="N122" s="704">
        <f t="shared" si="34"/>
        <v>0</v>
      </c>
    </row>
    <row r="123" spans="2:14" ht="15" customHeight="1" thickBot="1" x14ac:dyDescent="0.3">
      <c r="B123" s="380" t="s">
        <v>367</v>
      </c>
      <c r="C123" s="381">
        <f>SUM(M111:M119)</f>
        <v>0</v>
      </c>
      <c r="D123" s="282"/>
      <c r="E123" s="379"/>
      <c r="F123" s="263"/>
      <c r="G123" s="612"/>
      <c r="H123" s="267"/>
      <c r="I123" s="267"/>
      <c r="J123" s="267"/>
      <c r="K123" s="267"/>
      <c r="L123" s="186" t="e">
        <f>SUM(L111:L122)</f>
        <v>#REF!</v>
      </c>
      <c r="M123" s="174" t="e">
        <f>SUM(M111:M122)</f>
        <v>#REF!</v>
      </c>
      <c r="N123" s="187">
        <f>SUM(N111:N122)</f>
        <v>239.37</v>
      </c>
    </row>
    <row r="124" spans="2:14" ht="15" customHeight="1" thickTop="1" thickBot="1" x14ac:dyDescent="0.3">
      <c r="C124" s="6">
        <v>0</v>
      </c>
      <c r="D124" s="277"/>
      <c r="E124" s="251"/>
      <c r="F124" s="251"/>
      <c r="G124" s="194"/>
      <c r="H124" s="7"/>
      <c r="I124" s="8"/>
      <c r="J124" s="7"/>
      <c r="K124" s="7"/>
    </row>
    <row r="125" spans="2:14" ht="15" customHeight="1" thickTop="1" thickBot="1" x14ac:dyDescent="0.3">
      <c r="B125" s="601" t="s">
        <v>283</v>
      </c>
      <c r="C125" s="602"/>
      <c r="D125" s="603"/>
      <c r="E125" s="604"/>
      <c r="F125" s="604"/>
      <c r="G125" s="605"/>
      <c r="H125" s="606"/>
      <c r="I125" s="606"/>
      <c r="J125" s="606"/>
      <c r="K125" s="606"/>
      <c r="L125" s="607"/>
      <c r="M125" s="608"/>
      <c r="N125" s="609"/>
    </row>
    <row r="126" spans="2:14" ht="15" customHeight="1" thickBot="1" x14ac:dyDescent="0.3">
      <c r="B126" s="613" t="s">
        <v>191</v>
      </c>
      <c r="C126" s="614" t="s">
        <v>192</v>
      </c>
      <c r="D126" s="615">
        <v>1</v>
      </c>
      <c r="E126" s="616"/>
      <c r="F126" s="616"/>
      <c r="G126" s="617"/>
      <c r="H126" s="618">
        <f t="shared" ref="H126:H138" si="35">SUM(D126:F126)+G126</f>
        <v>1</v>
      </c>
      <c r="I126" s="619">
        <f>'INVENTORY INPUT'!G91</f>
        <v>0</v>
      </c>
      <c r="J126" s="618">
        <f t="shared" ref="J126:J139" si="36">H126-I126</f>
        <v>1</v>
      </c>
      <c r="K126" s="700">
        <v>22.84</v>
      </c>
      <c r="L126" s="707">
        <f t="shared" ref="L126:L139" si="37">K126*J126</f>
        <v>22.84</v>
      </c>
      <c r="M126" s="708">
        <f t="shared" ref="M126:M139" si="38">K126*I126</f>
        <v>0</v>
      </c>
      <c r="N126" s="704">
        <f t="shared" ref="N126:N139" si="39">SUM(E126:G126)*K126</f>
        <v>0</v>
      </c>
    </row>
    <row r="127" spans="2:14" ht="15" customHeight="1" thickBot="1" x14ac:dyDescent="0.3">
      <c r="B127" s="382" t="s">
        <v>522</v>
      </c>
      <c r="C127" s="116" t="s">
        <v>214</v>
      </c>
      <c r="D127" s="321">
        <v>10</v>
      </c>
      <c r="E127" s="335">
        <v>24</v>
      </c>
      <c r="F127" s="335"/>
      <c r="G127" s="194"/>
      <c r="H127" s="17">
        <f t="shared" si="35"/>
        <v>34</v>
      </c>
      <c r="I127" s="619">
        <f>'INVENTORY INPUT'!G92</f>
        <v>0</v>
      </c>
      <c r="J127" s="618">
        <f t="shared" si="36"/>
        <v>34</v>
      </c>
      <c r="K127" s="701">
        <v>3.0659999999999998</v>
      </c>
      <c r="L127" s="707">
        <f t="shared" si="37"/>
        <v>104.244</v>
      </c>
      <c r="M127" s="708">
        <f t="shared" si="38"/>
        <v>0</v>
      </c>
      <c r="N127" s="704">
        <f t="shared" si="39"/>
        <v>73.584000000000003</v>
      </c>
    </row>
    <row r="128" spans="2:14" ht="15" customHeight="1" thickBot="1" x14ac:dyDescent="0.3">
      <c r="B128" s="128" t="s">
        <v>98</v>
      </c>
      <c r="C128" s="16" t="s">
        <v>157</v>
      </c>
      <c r="D128" s="321">
        <v>0.6</v>
      </c>
      <c r="E128" s="335"/>
      <c r="F128" s="335"/>
      <c r="G128" s="194"/>
      <c r="H128" s="17">
        <f t="shared" si="35"/>
        <v>0.6</v>
      </c>
      <c r="I128" s="619">
        <f>'INVENTORY INPUT'!G93</f>
        <v>0</v>
      </c>
      <c r="J128" s="618">
        <f t="shared" si="36"/>
        <v>0.6</v>
      </c>
      <c r="K128" s="701">
        <f>34.04/6</f>
        <v>5.6733333333333329</v>
      </c>
      <c r="L128" s="707">
        <f t="shared" si="37"/>
        <v>3.4039999999999995</v>
      </c>
      <c r="M128" s="708">
        <f t="shared" si="38"/>
        <v>0</v>
      </c>
      <c r="N128" s="704">
        <f t="shared" si="39"/>
        <v>0</v>
      </c>
    </row>
    <row r="129" spans="1:14" ht="15" customHeight="1" thickBot="1" x14ac:dyDescent="0.3">
      <c r="B129" s="128" t="s">
        <v>193</v>
      </c>
      <c r="C129" s="16" t="s">
        <v>157</v>
      </c>
      <c r="D129" s="321">
        <v>6</v>
      </c>
      <c r="E129" s="335"/>
      <c r="F129" s="335"/>
      <c r="G129" s="194"/>
      <c r="H129" s="17">
        <f t="shared" si="35"/>
        <v>6</v>
      </c>
      <c r="I129" s="619">
        <f>'INVENTORY INPUT'!G94</f>
        <v>0</v>
      </c>
      <c r="J129" s="618">
        <f t="shared" si="36"/>
        <v>6</v>
      </c>
      <c r="K129" s="701">
        <v>4.91</v>
      </c>
      <c r="L129" s="707">
        <f t="shared" si="37"/>
        <v>29.46</v>
      </c>
      <c r="M129" s="708">
        <f t="shared" si="38"/>
        <v>0</v>
      </c>
      <c r="N129" s="704">
        <f t="shared" si="39"/>
        <v>0</v>
      </c>
    </row>
    <row r="130" spans="1:14" ht="15" customHeight="1" thickBot="1" x14ac:dyDescent="0.3">
      <c r="B130" s="128" t="s">
        <v>194</v>
      </c>
      <c r="C130" s="16" t="s">
        <v>141</v>
      </c>
      <c r="D130" s="321">
        <v>25.5</v>
      </c>
      <c r="E130" s="335">
        <v>64</v>
      </c>
      <c r="F130" s="335"/>
      <c r="G130" s="194"/>
      <c r="H130" s="17">
        <f t="shared" si="35"/>
        <v>89.5</v>
      </c>
      <c r="I130" s="619">
        <f>'INVENTORY INPUT'!G95</f>
        <v>0</v>
      </c>
      <c r="J130" s="618">
        <f t="shared" si="36"/>
        <v>89.5</v>
      </c>
      <c r="K130" s="701">
        <v>2.1989999999999998</v>
      </c>
      <c r="L130" s="707">
        <f t="shared" si="37"/>
        <v>196.81049999999999</v>
      </c>
      <c r="M130" s="708">
        <f t="shared" si="38"/>
        <v>0</v>
      </c>
      <c r="N130" s="704">
        <f t="shared" si="39"/>
        <v>140.73599999999999</v>
      </c>
    </row>
    <row r="131" spans="1:14" ht="15" customHeight="1" thickBot="1" x14ac:dyDescent="0.3">
      <c r="B131" s="128" t="s">
        <v>520</v>
      </c>
      <c r="C131" s="16" t="s">
        <v>141</v>
      </c>
      <c r="D131" s="321">
        <v>31</v>
      </c>
      <c r="E131" s="335">
        <v>56</v>
      </c>
      <c r="F131" s="335"/>
      <c r="G131" s="194"/>
      <c r="H131" s="17">
        <f t="shared" si="35"/>
        <v>87</v>
      </c>
      <c r="I131" s="619">
        <f>'INVENTORY INPUT'!G96</f>
        <v>0</v>
      </c>
      <c r="J131" s="618">
        <f t="shared" si="36"/>
        <v>87</v>
      </c>
      <c r="K131" s="701">
        <v>1.45</v>
      </c>
      <c r="L131" s="707">
        <f t="shared" si="37"/>
        <v>126.14999999999999</v>
      </c>
      <c r="M131" s="708">
        <f t="shared" si="38"/>
        <v>0</v>
      </c>
      <c r="N131" s="704">
        <f t="shared" si="39"/>
        <v>81.2</v>
      </c>
    </row>
    <row r="132" spans="1:14" ht="15" customHeight="1" thickBot="1" x14ac:dyDescent="0.3">
      <c r="A132" s="10"/>
      <c r="B132" s="128" t="s">
        <v>469</v>
      </c>
      <c r="C132" s="16" t="s">
        <v>190</v>
      </c>
      <c r="D132" s="321">
        <v>6.25</v>
      </c>
      <c r="E132" s="335"/>
      <c r="F132" s="335">
        <v>12</v>
      </c>
      <c r="G132" s="194"/>
      <c r="H132" s="17">
        <f t="shared" si="35"/>
        <v>18.25</v>
      </c>
      <c r="I132" s="619">
        <f>'INVENTORY INPUT'!G97</f>
        <v>0</v>
      </c>
      <c r="J132" s="618">
        <f t="shared" si="36"/>
        <v>18.25</v>
      </c>
      <c r="K132" s="701">
        <f>65.34/24</f>
        <v>2.7225000000000001</v>
      </c>
      <c r="L132" s="707">
        <f t="shared" si="37"/>
        <v>49.685625000000002</v>
      </c>
      <c r="M132" s="708">
        <f t="shared" si="38"/>
        <v>0</v>
      </c>
      <c r="N132" s="704">
        <f t="shared" si="39"/>
        <v>32.67</v>
      </c>
    </row>
    <row r="133" spans="1:14" ht="15" customHeight="1" thickBot="1" x14ac:dyDescent="0.3">
      <c r="A133" s="10"/>
      <c r="B133" s="141" t="s">
        <v>424</v>
      </c>
      <c r="C133" s="124" t="s">
        <v>175</v>
      </c>
      <c r="D133" s="321">
        <v>0.43</v>
      </c>
      <c r="E133" s="335">
        <v>1</v>
      </c>
      <c r="F133" s="335"/>
      <c r="G133" s="194"/>
      <c r="H133" s="17">
        <f t="shared" si="35"/>
        <v>1.43</v>
      </c>
      <c r="I133" s="619">
        <f>'INVENTORY INPUT'!G98</f>
        <v>0</v>
      </c>
      <c r="J133" s="618">
        <f t="shared" si="36"/>
        <v>1.43</v>
      </c>
      <c r="K133" s="701">
        <v>88.18</v>
      </c>
      <c r="L133" s="707">
        <f t="shared" si="37"/>
        <v>126.09740000000001</v>
      </c>
      <c r="M133" s="708">
        <f t="shared" si="38"/>
        <v>0</v>
      </c>
      <c r="N133" s="704">
        <f t="shared" si="39"/>
        <v>88.18</v>
      </c>
    </row>
    <row r="134" spans="1:14" ht="15" customHeight="1" thickBot="1" x14ac:dyDescent="0.3">
      <c r="B134" s="128" t="s">
        <v>247</v>
      </c>
      <c r="C134" s="16" t="s">
        <v>141</v>
      </c>
      <c r="D134" s="321">
        <v>40</v>
      </c>
      <c r="E134" s="335"/>
      <c r="F134" s="335"/>
      <c r="G134" s="194"/>
      <c r="H134" s="17">
        <f t="shared" si="35"/>
        <v>40</v>
      </c>
      <c r="I134" s="619">
        <f>'INVENTORY INPUT'!G99</f>
        <v>0</v>
      </c>
      <c r="J134" s="618">
        <f t="shared" si="36"/>
        <v>40</v>
      </c>
      <c r="K134" s="701">
        <v>3.29</v>
      </c>
      <c r="L134" s="707">
        <f t="shared" si="37"/>
        <v>131.6</v>
      </c>
      <c r="M134" s="708">
        <f t="shared" si="38"/>
        <v>0</v>
      </c>
      <c r="N134" s="704">
        <f t="shared" si="39"/>
        <v>0</v>
      </c>
    </row>
    <row r="135" spans="1:14" ht="15" customHeight="1" thickBot="1" x14ac:dyDescent="0.3">
      <c r="B135" s="128" t="s">
        <v>470</v>
      </c>
      <c r="C135" s="16" t="s">
        <v>186</v>
      </c>
      <c r="D135" s="321">
        <v>1.5</v>
      </c>
      <c r="E135" s="335"/>
      <c r="F135" s="335"/>
      <c r="G135" s="194"/>
      <c r="H135" s="17">
        <f t="shared" si="35"/>
        <v>1.5</v>
      </c>
      <c r="I135" s="619">
        <f>'INVENTORY INPUT'!G100</f>
        <v>0</v>
      </c>
      <c r="J135" s="618">
        <f t="shared" si="36"/>
        <v>1.5</v>
      </c>
      <c r="K135" s="701">
        <v>1.86</v>
      </c>
      <c r="L135" s="707">
        <f t="shared" si="37"/>
        <v>2.79</v>
      </c>
      <c r="M135" s="708">
        <f t="shared" si="38"/>
        <v>0</v>
      </c>
      <c r="N135" s="704">
        <f t="shared" si="39"/>
        <v>0</v>
      </c>
    </row>
    <row r="136" spans="1:14" ht="15" customHeight="1" thickBot="1" x14ac:dyDescent="0.3">
      <c r="B136" s="382" t="s">
        <v>2</v>
      </c>
      <c r="C136" s="116" t="s">
        <v>46</v>
      </c>
      <c r="D136" s="321">
        <v>0.7</v>
      </c>
      <c r="E136" s="335"/>
      <c r="F136" s="335"/>
      <c r="G136" s="194"/>
      <c r="H136" s="17">
        <f t="shared" si="35"/>
        <v>0.7</v>
      </c>
      <c r="I136" s="619">
        <f>'INVENTORY INPUT'!G101</f>
        <v>0</v>
      </c>
      <c r="J136" s="618">
        <f t="shared" si="36"/>
        <v>0.7</v>
      </c>
      <c r="K136" s="701">
        <v>50.29</v>
      </c>
      <c r="L136" s="707">
        <f t="shared" si="37"/>
        <v>35.202999999999996</v>
      </c>
      <c r="M136" s="708">
        <f t="shared" si="38"/>
        <v>0</v>
      </c>
      <c r="N136" s="704">
        <f t="shared" si="39"/>
        <v>0</v>
      </c>
    </row>
    <row r="137" spans="1:14" ht="15" customHeight="1" thickBot="1" x14ac:dyDescent="0.3">
      <c r="B137" s="141" t="s">
        <v>3</v>
      </c>
      <c r="C137" s="124" t="s">
        <v>46</v>
      </c>
      <c r="D137" s="324">
        <v>0.7</v>
      </c>
      <c r="E137" s="378"/>
      <c r="F137" s="378"/>
      <c r="G137" s="197"/>
      <c r="H137" s="53">
        <f t="shared" si="35"/>
        <v>0.7</v>
      </c>
      <c r="I137" s="619">
        <f>'INVENTORY INPUT'!G102</f>
        <v>0</v>
      </c>
      <c r="J137" s="618">
        <f t="shared" si="36"/>
        <v>0.7</v>
      </c>
      <c r="K137" s="702">
        <v>51.36</v>
      </c>
      <c r="L137" s="707">
        <f t="shared" si="37"/>
        <v>35.951999999999998</v>
      </c>
      <c r="M137" s="708">
        <f t="shared" si="38"/>
        <v>0</v>
      </c>
      <c r="N137" s="704">
        <f t="shared" si="39"/>
        <v>0</v>
      </c>
    </row>
    <row r="138" spans="1:14" ht="15" customHeight="1" thickBot="1" x14ac:dyDescent="0.3">
      <c r="B138" s="193"/>
      <c r="C138" s="116"/>
      <c r="D138" s="321">
        <v>0</v>
      </c>
      <c r="E138" s="335"/>
      <c r="F138" s="335"/>
      <c r="G138" s="194"/>
      <c r="H138" s="17">
        <f t="shared" si="35"/>
        <v>0</v>
      </c>
      <c r="I138" s="619" t="e">
        <f>'INVENTORY INPUT'!#REF!</f>
        <v>#REF!</v>
      </c>
      <c r="J138" s="618" t="e">
        <f t="shared" si="36"/>
        <v>#REF!</v>
      </c>
      <c r="K138" s="701">
        <v>0</v>
      </c>
      <c r="L138" s="707" t="e">
        <f t="shared" si="37"/>
        <v>#REF!</v>
      </c>
      <c r="M138" s="708" t="e">
        <f t="shared" si="38"/>
        <v>#REF!</v>
      </c>
      <c r="N138" s="704">
        <f t="shared" si="39"/>
        <v>0</v>
      </c>
    </row>
    <row r="139" spans="1:14" ht="15" customHeight="1" thickBot="1" x14ac:dyDescent="0.3">
      <c r="B139" s="620"/>
      <c r="C139" s="641"/>
      <c r="D139" s="621"/>
      <c r="E139" s="622"/>
      <c r="F139" s="622"/>
      <c r="G139" s="623"/>
      <c r="H139" s="624"/>
      <c r="I139" s="625"/>
      <c r="J139" s="618">
        <f t="shared" si="36"/>
        <v>0</v>
      </c>
      <c r="K139" s="703">
        <v>0</v>
      </c>
      <c r="L139" s="707">
        <f t="shared" si="37"/>
        <v>0</v>
      </c>
      <c r="M139" s="708">
        <f t="shared" si="38"/>
        <v>0</v>
      </c>
      <c r="N139" s="704">
        <f t="shared" si="39"/>
        <v>0</v>
      </c>
    </row>
    <row r="140" spans="1:14" ht="15" customHeight="1" thickBot="1" x14ac:dyDescent="0.3">
      <c r="B140" s="600" t="s">
        <v>368</v>
      </c>
      <c r="C140" s="610">
        <f>SUM(M126:M137)</f>
        <v>0</v>
      </c>
      <c r="D140" s="611"/>
      <c r="E140" s="379"/>
      <c r="F140" s="263"/>
      <c r="G140" s="612"/>
      <c r="H140" s="267"/>
      <c r="I140" s="267"/>
      <c r="J140" s="267"/>
      <c r="K140" s="267"/>
      <c r="L140" s="162" t="e">
        <f>SUM(L126:L139)</f>
        <v>#REF!</v>
      </c>
      <c r="M140" s="174" t="e">
        <f>SUM(M126:M139)</f>
        <v>#REF!</v>
      </c>
      <c r="N140" s="187">
        <f>SUM(N126:N139)</f>
        <v>416.37</v>
      </c>
    </row>
    <row r="141" spans="1:14" ht="15" customHeight="1" thickTop="1" thickBot="1" x14ac:dyDescent="0.3">
      <c r="D141" s="277"/>
      <c r="E141" s="251"/>
      <c r="F141" s="251"/>
      <c r="G141" s="194"/>
      <c r="H141" s="7"/>
      <c r="I141" s="8"/>
      <c r="J141" s="7"/>
      <c r="K141" s="7"/>
    </row>
    <row r="142" spans="1:14" ht="15" customHeight="1" thickTop="1" thickBot="1" x14ac:dyDescent="0.3">
      <c r="B142" s="149" t="s">
        <v>355</v>
      </c>
      <c r="C142" s="150"/>
      <c r="D142" s="249"/>
      <c r="E142" s="252"/>
      <c r="F142" s="252"/>
      <c r="G142" s="196"/>
      <c r="H142" s="265"/>
      <c r="I142" s="265"/>
      <c r="J142" s="265"/>
      <c r="K142" s="265"/>
      <c r="L142" s="168"/>
      <c r="M142" s="175"/>
      <c r="N142" s="143"/>
    </row>
    <row r="143" spans="1:14" ht="15" customHeight="1" thickTop="1" x14ac:dyDescent="0.25">
      <c r="B143" s="133" t="s">
        <v>195</v>
      </c>
      <c r="C143" s="134" t="s">
        <v>179</v>
      </c>
      <c r="D143" s="321">
        <v>0.5</v>
      </c>
      <c r="E143" s="335">
        <v>6</v>
      </c>
      <c r="F143" s="335"/>
      <c r="G143" s="194"/>
      <c r="H143" s="17">
        <f>SUM(D143:F143)+G143</f>
        <v>6.5</v>
      </c>
      <c r="I143" s="18">
        <f>'INVENTORY INPUT'!G104</f>
        <v>0</v>
      </c>
      <c r="J143" s="135">
        <f>H143-I143</f>
        <v>6.5</v>
      </c>
      <c r="K143" s="20">
        <f>54.06/6</f>
        <v>9.01</v>
      </c>
      <c r="L143" s="163">
        <f>K143*J143</f>
        <v>58.564999999999998</v>
      </c>
      <c r="M143" s="172">
        <f>K143*I143</f>
        <v>0</v>
      </c>
      <c r="N143" s="132">
        <f>SUM(E143:G143)*K143</f>
        <v>54.06</v>
      </c>
    </row>
    <row r="144" spans="1:14" ht="15" customHeight="1" x14ac:dyDescent="0.25">
      <c r="B144" s="15" t="s">
        <v>196</v>
      </c>
      <c r="C144" s="16" t="s">
        <v>153</v>
      </c>
      <c r="D144" s="321">
        <v>0.75</v>
      </c>
      <c r="E144" s="335">
        <v>2</v>
      </c>
      <c r="F144" s="335"/>
      <c r="G144" s="194"/>
      <c r="H144" s="17">
        <f>SUM(D144:F144)+G144</f>
        <v>2.75</v>
      </c>
      <c r="I144" s="18">
        <f>'INVENTORY INPUT'!G105</f>
        <v>0</v>
      </c>
      <c r="J144" s="17">
        <f>H144-I144</f>
        <v>2.75</v>
      </c>
      <c r="K144" s="20">
        <v>22.75</v>
      </c>
      <c r="L144" s="163">
        <f>K144*J144</f>
        <v>62.5625</v>
      </c>
      <c r="M144" s="172">
        <f>K144*I144</f>
        <v>0</v>
      </c>
      <c r="N144" s="132">
        <f>SUM(E144:G144)*K144</f>
        <v>45.5</v>
      </c>
    </row>
    <row r="145" spans="2:14" ht="15" customHeight="1" x14ac:dyDescent="0.25">
      <c r="B145" s="15" t="s">
        <v>197</v>
      </c>
      <c r="C145" s="16" t="s">
        <v>184</v>
      </c>
      <c r="D145" s="321">
        <v>9.5</v>
      </c>
      <c r="E145" s="335"/>
      <c r="F145" s="335"/>
      <c r="G145" s="194"/>
      <c r="H145" s="17">
        <f>SUM(D145:F145)+G145</f>
        <v>9.5</v>
      </c>
      <c r="I145" s="18">
        <f>'INVENTORY INPUT'!G106</f>
        <v>0</v>
      </c>
      <c r="J145" s="17">
        <f>H145-I145</f>
        <v>9.5</v>
      </c>
      <c r="K145" s="20">
        <f>29.89/6</f>
        <v>4.9816666666666665</v>
      </c>
      <c r="L145" s="163">
        <f>K145*J145</f>
        <v>47.325833333333328</v>
      </c>
      <c r="M145" s="172">
        <f>K145*I145</f>
        <v>0</v>
      </c>
      <c r="N145" s="132">
        <f>SUM(E145:G145)*K145</f>
        <v>0</v>
      </c>
    </row>
    <row r="146" spans="2:14" ht="15" customHeight="1" x14ac:dyDescent="0.25">
      <c r="B146" s="118" t="s">
        <v>531</v>
      </c>
      <c r="C146" s="116" t="s">
        <v>157</v>
      </c>
      <c r="D146" s="321">
        <v>10</v>
      </c>
      <c r="E146" s="335"/>
      <c r="F146" s="335"/>
      <c r="G146" s="194"/>
      <c r="H146" s="17">
        <f>SUM(D146:F146)+G146</f>
        <v>10</v>
      </c>
      <c r="I146" s="18">
        <f>'INVENTORY INPUT'!G107</f>
        <v>0</v>
      </c>
      <c r="J146" s="17">
        <f>H146-I146</f>
        <v>10</v>
      </c>
      <c r="K146" s="20">
        <v>5.17</v>
      </c>
      <c r="L146" s="163">
        <f>K146*J146</f>
        <v>51.7</v>
      </c>
      <c r="M146" s="172">
        <f>K146*I146</f>
        <v>0</v>
      </c>
      <c r="N146" s="132">
        <f>SUM(E146:G146)*K146</f>
        <v>0</v>
      </c>
    </row>
    <row r="147" spans="2:14" ht="15" customHeight="1" thickBot="1" x14ac:dyDescent="0.3">
      <c r="B147" s="21"/>
      <c r="C147" s="52"/>
      <c r="D147" s="321">
        <v>0</v>
      </c>
      <c r="E147" s="335"/>
      <c r="F147" s="335"/>
      <c r="G147" s="194"/>
      <c r="H147" s="17">
        <f>SUM(D147:F147)+G147</f>
        <v>0</v>
      </c>
      <c r="I147" s="18" t="e">
        <f>'INVENTORY INPUT'!#REF!</f>
        <v>#REF!</v>
      </c>
      <c r="J147" s="53" t="e">
        <f>H147-I147</f>
        <v>#REF!</v>
      </c>
      <c r="K147" s="20">
        <v>0</v>
      </c>
      <c r="L147" s="163" t="e">
        <f>K147*J147</f>
        <v>#REF!</v>
      </c>
      <c r="M147" s="172" t="e">
        <f>K147*I147</f>
        <v>#REF!</v>
      </c>
      <c r="N147" s="132">
        <f>SUM(E147:G147)*K147</f>
        <v>0</v>
      </c>
    </row>
    <row r="148" spans="2:14" ht="15" customHeight="1" thickTop="1" thickBot="1" x14ac:dyDescent="0.3">
      <c r="B148" s="151" t="s">
        <v>369</v>
      </c>
      <c r="C148" s="152" t="e">
        <f>SUM(M143:M147)</f>
        <v>#REF!</v>
      </c>
      <c r="D148" s="278"/>
      <c r="E148" s="198"/>
      <c r="F148" s="229"/>
      <c r="G148" s="196"/>
      <c r="H148" s="266"/>
      <c r="I148" s="266"/>
      <c r="J148" s="266"/>
      <c r="K148" s="266"/>
      <c r="L148" s="167" t="e">
        <f>SUM(L143:L147)</f>
        <v>#REF!</v>
      </c>
      <c r="M148" s="171" t="e">
        <f>SUM(M143:M147)</f>
        <v>#REF!</v>
      </c>
      <c r="N148" s="138">
        <f>SUM(N143:N147)</f>
        <v>99.56</v>
      </c>
    </row>
    <row r="149" spans="2:14" ht="15" customHeight="1" thickTop="1" thickBot="1" x14ac:dyDescent="0.3">
      <c r="D149" s="277"/>
      <c r="E149" s="251"/>
      <c r="F149" s="251"/>
      <c r="G149" s="194"/>
      <c r="H149" s="7"/>
      <c r="I149" s="8"/>
      <c r="J149" s="7"/>
      <c r="K149" s="7"/>
    </row>
    <row r="150" spans="2:14" ht="15" customHeight="1" thickTop="1" thickBot="1" x14ac:dyDescent="0.3">
      <c r="B150" s="149" t="s">
        <v>284</v>
      </c>
      <c r="C150" s="150"/>
      <c r="D150" s="249"/>
      <c r="E150" s="252"/>
      <c r="F150" s="252"/>
      <c r="G150" s="196"/>
      <c r="H150" s="265"/>
      <c r="I150" s="265"/>
      <c r="J150" s="265"/>
      <c r="K150" s="265"/>
      <c r="L150" s="607"/>
      <c r="M150" s="608"/>
      <c r="N150" s="138"/>
    </row>
    <row r="151" spans="2:14" ht="15" customHeight="1" thickTop="1" thickBot="1" x14ac:dyDescent="0.3">
      <c r="B151" s="133" t="s">
        <v>380</v>
      </c>
      <c r="C151" s="134" t="s">
        <v>178</v>
      </c>
      <c r="D151" s="321">
        <v>18</v>
      </c>
      <c r="E151" s="335"/>
      <c r="F151" s="335"/>
      <c r="G151" s="194"/>
      <c r="H151" s="17">
        <f t="shared" ref="H151:H174" si="40">SUM(D151:F151)+G151</f>
        <v>18</v>
      </c>
      <c r="I151" s="18">
        <f>'INVENTORY INPUT'!G109</f>
        <v>0</v>
      </c>
      <c r="J151" s="135">
        <f t="shared" ref="J151:J176" si="41">H151-I151</f>
        <v>18</v>
      </c>
      <c r="K151" s="701">
        <f>30.14/24</f>
        <v>1.2558333333333334</v>
      </c>
      <c r="L151" s="707">
        <f t="shared" ref="L151:L176" si="42">K151*J151</f>
        <v>22.605</v>
      </c>
      <c r="M151" s="708">
        <f t="shared" ref="M151:M176" si="43">K151*I151</f>
        <v>0</v>
      </c>
      <c r="N151" s="705">
        <f t="shared" ref="N151:N176" si="44">SUM(E151:G151)*K151</f>
        <v>0</v>
      </c>
    </row>
    <row r="152" spans="2:14" ht="15" customHeight="1" thickBot="1" x14ac:dyDescent="0.3">
      <c r="B152" s="15" t="s">
        <v>198</v>
      </c>
      <c r="C152" s="16" t="s">
        <v>179</v>
      </c>
      <c r="D152" s="321">
        <v>27</v>
      </c>
      <c r="E152" s="335"/>
      <c r="F152" s="335"/>
      <c r="G152" s="194"/>
      <c r="H152" s="17">
        <f t="shared" si="40"/>
        <v>27</v>
      </c>
      <c r="I152" s="18">
        <f>'INVENTORY INPUT'!G110</f>
        <v>0</v>
      </c>
      <c r="J152" s="135">
        <f t="shared" si="41"/>
        <v>27</v>
      </c>
      <c r="K152" s="701">
        <v>0.94</v>
      </c>
      <c r="L152" s="707">
        <f t="shared" si="42"/>
        <v>25.38</v>
      </c>
      <c r="M152" s="708">
        <f t="shared" si="43"/>
        <v>0</v>
      </c>
      <c r="N152" s="705">
        <f t="shared" si="44"/>
        <v>0</v>
      </c>
    </row>
    <row r="153" spans="2:14" ht="15" customHeight="1" thickBot="1" x14ac:dyDescent="0.3">
      <c r="B153" s="21" t="s">
        <v>199</v>
      </c>
      <c r="C153" s="22" t="s">
        <v>179</v>
      </c>
      <c r="D153" s="324">
        <v>1.8</v>
      </c>
      <c r="E153" s="378"/>
      <c r="F153" s="378"/>
      <c r="G153" s="197"/>
      <c r="H153" s="53">
        <f t="shared" si="40"/>
        <v>1.8</v>
      </c>
      <c r="I153" s="18">
        <f>'INVENTORY INPUT'!G111</f>
        <v>0</v>
      </c>
      <c r="J153" s="135">
        <f t="shared" si="41"/>
        <v>1.8</v>
      </c>
      <c r="K153" s="702">
        <v>13.29</v>
      </c>
      <c r="L153" s="707">
        <f t="shared" si="42"/>
        <v>23.922000000000001</v>
      </c>
      <c r="M153" s="708">
        <f t="shared" si="43"/>
        <v>0</v>
      </c>
      <c r="N153" s="705">
        <f t="shared" si="44"/>
        <v>0</v>
      </c>
    </row>
    <row r="154" spans="2:14" ht="15" customHeight="1" thickBot="1" x14ac:dyDescent="0.3">
      <c r="B154" s="613" t="s">
        <v>200</v>
      </c>
      <c r="C154" s="614" t="s">
        <v>179</v>
      </c>
      <c r="D154" s="615">
        <v>1.65</v>
      </c>
      <c r="E154" s="616"/>
      <c r="F154" s="616"/>
      <c r="G154" s="617"/>
      <c r="H154" s="618">
        <f t="shared" si="40"/>
        <v>1.65</v>
      </c>
      <c r="I154" s="18">
        <f>'INVENTORY INPUT'!G112</f>
        <v>0</v>
      </c>
      <c r="J154" s="135">
        <f t="shared" si="41"/>
        <v>1.65</v>
      </c>
      <c r="K154" s="700">
        <v>13.29</v>
      </c>
      <c r="L154" s="707">
        <f t="shared" si="42"/>
        <v>21.928499999999996</v>
      </c>
      <c r="M154" s="708">
        <f t="shared" si="43"/>
        <v>0</v>
      </c>
      <c r="N154" s="705">
        <f t="shared" si="44"/>
        <v>0</v>
      </c>
    </row>
    <row r="155" spans="2:14" ht="15" customHeight="1" thickBot="1" x14ac:dyDescent="0.3">
      <c r="B155" s="128" t="s">
        <v>201</v>
      </c>
      <c r="C155" s="16" t="s">
        <v>179</v>
      </c>
      <c r="D155" s="321">
        <v>1.1000000000000001</v>
      </c>
      <c r="E155" s="335"/>
      <c r="F155" s="335"/>
      <c r="G155" s="194"/>
      <c r="H155" s="17">
        <f t="shared" si="40"/>
        <v>1.1000000000000001</v>
      </c>
      <c r="I155" s="18">
        <f>'INVENTORY INPUT'!G113</f>
        <v>0</v>
      </c>
      <c r="J155" s="135">
        <f t="shared" si="41"/>
        <v>1.1000000000000001</v>
      </c>
      <c r="K155" s="701">
        <v>12.2</v>
      </c>
      <c r="L155" s="707">
        <f t="shared" si="42"/>
        <v>13.42</v>
      </c>
      <c r="M155" s="708">
        <f t="shared" si="43"/>
        <v>0</v>
      </c>
      <c r="N155" s="705">
        <f t="shared" si="44"/>
        <v>0</v>
      </c>
    </row>
    <row r="156" spans="2:14" ht="15" customHeight="1" thickBot="1" x14ac:dyDescent="0.3">
      <c r="B156" s="128" t="s">
        <v>202</v>
      </c>
      <c r="C156" s="16" t="s">
        <v>179</v>
      </c>
      <c r="D156" s="321">
        <v>1.75</v>
      </c>
      <c r="E156" s="335"/>
      <c r="F156" s="335"/>
      <c r="G156" s="194"/>
      <c r="H156" s="17">
        <f t="shared" si="40"/>
        <v>1.75</v>
      </c>
      <c r="I156" s="18">
        <f>'INVENTORY INPUT'!G114</f>
        <v>0</v>
      </c>
      <c r="J156" s="135">
        <f t="shared" si="41"/>
        <v>1.75</v>
      </c>
      <c r="K156" s="701">
        <v>9.98</v>
      </c>
      <c r="L156" s="707">
        <f t="shared" si="42"/>
        <v>17.465</v>
      </c>
      <c r="M156" s="708">
        <f t="shared" si="43"/>
        <v>0</v>
      </c>
      <c r="N156" s="705">
        <f t="shared" si="44"/>
        <v>0</v>
      </c>
    </row>
    <row r="157" spans="2:14" ht="15" customHeight="1" thickBot="1" x14ac:dyDescent="0.3">
      <c r="B157" s="128" t="s">
        <v>517</v>
      </c>
      <c r="C157" s="16" t="s">
        <v>175</v>
      </c>
      <c r="D157" s="321">
        <v>0</v>
      </c>
      <c r="E157" s="335"/>
      <c r="F157" s="335"/>
      <c r="G157" s="194"/>
      <c r="H157" s="17">
        <f t="shared" si="40"/>
        <v>0</v>
      </c>
      <c r="I157" s="18">
        <f>'INVENTORY INPUT'!G115</f>
        <v>0</v>
      </c>
      <c r="J157" s="135">
        <f t="shared" si="41"/>
        <v>0</v>
      </c>
      <c r="K157" s="701">
        <v>10.78</v>
      </c>
      <c r="L157" s="707">
        <f t="shared" si="42"/>
        <v>0</v>
      </c>
      <c r="M157" s="708">
        <f t="shared" si="43"/>
        <v>0</v>
      </c>
      <c r="N157" s="705">
        <f t="shared" si="44"/>
        <v>0</v>
      </c>
    </row>
    <row r="158" spans="2:14" ht="15" customHeight="1" thickBot="1" x14ac:dyDescent="0.3">
      <c r="B158" s="128" t="s">
        <v>203</v>
      </c>
      <c r="C158" s="16" t="s">
        <v>179</v>
      </c>
      <c r="D158" s="324">
        <v>6</v>
      </c>
      <c r="E158" s="335"/>
      <c r="F158" s="335"/>
      <c r="G158" s="194"/>
      <c r="H158" s="17">
        <f t="shared" si="40"/>
        <v>6</v>
      </c>
      <c r="I158" s="18">
        <f>'INVENTORY INPUT'!G116</f>
        <v>0</v>
      </c>
      <c r="J158" s="135">
        <f t="shared" si="41"/>
        <v>6</v>
      </c>
      <c r="K158" s="701">
        <v>1.57</v>
      </c>
      <c r="L158" s="707">
        <f t="shared" si="42"/>
        <v>9.42</v>
      </c>
      <c r="M158" s="708">
        <f t="shared" si="43"/>
        <v>0</v>
      </c>
      <c r="N158" s="705">
        <f t="shared" si="44"/>
        <v>0</v>
      </c>
    </row>
    <row r="159" spans="2:14" ht="15" customHeight="1" thickBot="1" x14ac:dyDescent="0.3">
      <c r="B159" s="128" t="s">
        <v>204</v>
      </c>
      <c r="C159" s="16" t="s">
        <v>178</v>
      </c>
      <c r="D159" s="321">
        <v>1</v>
      </c>
      <c r="E159" s="335"/>
      <c r="F159" s="335"/>
      <c r="G159" s="194"/>
      <c r="H159" s="17">
        <f t="shared" si="40"/>
        <v>1</v>
      </c>
      <c r="I159" s="18">
        <f>'INVENTORY INPUT'!G117</f>
        <v>0</v>
      </c>
      <c r="J159" s="135">
        <f t="shared" si="41"/>
        <v>1</v>
      </c>
      <c r="K159" s="701">
        <v>3.38</v>
      </c>
      <c r="L159" s="707">
        <f t="shared" si="42"/>
        <v>3.38</v>
      </c>
      <c r="M159" s="708">
        <f t="shared" si="43"/>
        <v>0</v>
      </c>
      <c r="N159" s="705">
        <f t="shared" si="44"/>
        <v>0</v>
      </c>
    </row>
    <row r="160" spans="2:14" ht="15" customHeight="1" thickBot="1" x14ac:dyDescent="0.3">
      <c r="B160" s="128" t="s">
        <v>205</v>
      </c>
      <c r="C160" s="22" t="s">
        <v>179</v>
      </c>
      <c r="D160" s="324">
        <v>26</v>
      </c>
      <c r="E160" s="335"/>
      <c r="F160" s="335"/>
      <c r="G160" s="194"/>
      <c r="H160" s="17">
        <f t="shared" si="40"/>
        <v>26</v>
      </c>
      <c r="I160" s="18">
        <f>'INVENTORY INPUT'!G118</f>
        <v>0</v>
      </c>
      <c r="J160" s="135">
        <f t="shared" si="41"/>
        <v>26</v>
      </c>
      <c r="K160" s="701">
        <v>1.38</v>
      </c>
      <c r="L160" s="707">
        <f t="shared" si="42"/>
        <v>35.879999999999995</v>
      </c>
      <c r="M160" s="708">
        <f t="shared" si="43"/>
        <v>0</v>
      </c>
      <c r="N160" s="705">
        <f t="shared" si="44"/>
        <v>0</v>
      </c>
    </row>
    <row r="161" spans="1:14" ht="15" customHeight="1" thickBot="1" x14ac:dyDescent="0.3">
      <c r="B161" s="128" t="s">
        <v>206</v>
      </c>
      <c r="C161" s="16" t="s">
        <v>168</v>
      </c>
      <c r="D161" s="321">
        <v>1.3</v>
      </c>
      <c r="E161" s="335"/>
      <c r="F161" s="335"/>
      <c r="G161" s="194"/>
      <c r="H161" s="17">
        <f t="shared" si="40"/>
        <v>1.3</v>
      </c>
      <c r="I161" s="18">
        <f>'INVENTORY INPUT'!G119</f>
        <v>0</v>
      </c>
      <c r="J161" s="135">
        <f t="shared" si="41"/>
        <v>1.3</v>
      </c>
      <c r="K161" s="701">
        <v>22.24</v>
      </c>
      <c r="L161" s="707">
        <f t="shared" si="42"/>
        <v>28.911999999999999</v>
      </c>
      <c r="M161" s="708">
        <f t="shared" si="43"/>
        <v>0</v>
      </c>
      <c r="N161" s="705">
        <f t="shared" si="44"/>
        <v>0</v>
      </c>
    </row>
    <row r="162" spans="1:14" ht="15" customHeight="1" thickBot="1" x14ac:dyDescent="0.3">
      <c r="A162" s="10"/>
      <c r="B162" s="128" t="s">
        <v>207</v>
      </c>
      <c r="C162" s="16" t="s">
        <v>157</v>
      </c>
      <c r="D162" s="321">
        <v>0.6</v>
      </c>
      <c r="E162" s="335"/>
      <c r="F162" s="335"/>
      <c r="G162" s="194"/>
      <c r="H162" s="17">
        <f t="shared" si="40"/>
        <v>0.6</v>
      </c>
      <c r="I162" s="18">
        <f>'INVENTORY INPUT'!G120</f>
        <v>0</v>
      </c>
      <c r="J162" s="135">
        <f t="shared" si="41"/>
        <v>0.6</v>
      </c>
      <c r="K162" s="701">
        <v>9.11</v>
      </c>
      <c r="L162" s="707">
        <f t="shared" si="42"/>
        <v>5.4659999999999993</v>
      </c>
      <c r="M162" s="708">
        <f t="shared" si="43"/>
        <v>0</v>
      </c>
      <c r="N162" s="705">
        <f t="shared" si="44"/>
        <v>0</v>
      </c>
    </row>
    <row r="163" spans="1:14" ht="15" customHeight="1" thickBot="1" x14ac:dyDescent="0.3">
      <c r="B163" s="128" t="s">
        <v>9</v>
      </c>
      <c r="C163" s="22" t="s">
        <v>212</v>
      </c>
      <c r="D163" s="324">
        <v>0</v>
      </c>
      <c r="E163" s="335"/>
      <c r="F163" s="335"/>
      <c r="G163" s="194"/>
      <c r="H163" s="17">
        <f t="shared" si="40"/>
        <v>0</v>
      </c>
      <c r="I163" s="18">
        <f>'INVENTORY INPUT'!G121</f>
        <v>0</v>
      </c>
      <c r="J163" s="135">
        <f t="shared" si="41"/>
        <v>0</v>
      </c>
      <c r="K163" s="701">
        <v>12.96</v>
      </c>
      <c r="L163" s="707">
        <f t="shared" si="42"/>
        <v>0</v>
      </c>
      <c r="M163" s="708">
        <f t="shared" si="43"/>
        <v>0</v>
      </c>
      <c r="N163" s="705">
        <f t="shared" si="44"/>
        <v>0</v>
      </c>
    </row>
    <row r="164" spans="1:14" ht="15" customHeight="1" thickBot="1" x14ac:dyDescent="0.3">
      <c r="B164" s="128" t="s">
        <v>208</v>
      </c>
      <c r="C164" s="22" t="s">
        <v>168</v>
      </c>
      <c r="D164" s="324">
        <v>1.5</v>
      </c>
      <c r="E164" s="335"/>
      <c r="F164" s="335"/>
      <c r="G164" s="194"/>
      <c r="H164" s="17">
        <f t="shared" si="40"/>
        <v>1.5</v>
      </c>
      <c r="I164" s="18">
        <f>'INVENTORY INPUT'!G122</f>
        <v>0</v>
      </c>
      <c r="J164" s="135">
        <f t="shared" si="41"/>
        <v>1.5</v>
      </c>
      <c r="K164" s="701">
        <v>29.23</v>
      </c>
      <c r="L164" s="707">
        <f t="shared" si="42"/>
        <v>43.844999999999999</v>
      </c>
      <c r="M164" s="708">
        <f t="shared" si="43"/>
        <v>0</v>
      </c>
      <c r="N164" s="705">
        <f t="shared" si="44"/>
        <v>0</v>
      </c>
    </row>
    <row r="165" spans="1:14" ht="15" customHeight="1" thickBot="1" x14ac:dyDescent="0.3">
      <c r="B165" s="128" t="s">
        <v>209</v>
      </c>
      <c r="C165" s="16" t="s">
        <v>157</v>
      </c>
      <c r="D165" s="321">
        <v>1</v>
      </c>
      <c r="E165" s="335">
        <v>16</v>
      </c>
      <c r="F165" s="335">
        <v>8</v>
      </c>
      <c r="G165" s="197"/>
      <c r="H165" s="17">
        <f t="shared" si="40"/>
        <v>25</v>
      </c>
      <c r="I165" s="18">
        <f>'INVENTORY INPUT'!G123</f>
        <v>0</v>
      </c>
      <c r="J165" s="135">
        <f t="shared" si="41"/>
        <v>25</v>
      </c>
      <c r="K165" s="701">
        <v>6.77</v>
      </c>
      <c r="L165" s="707">
        <f t="shared" si="42"/>
        <v>169.25</v>
      </c>
      <c r="M165" s="708">
        <f t="shared" si="43"/>
        <v>0</v>
      </c>
      <c r="N165" s="705">
        <f t="shared" si="44"/>
        <v>162.47999999999999</v>
      </c>
    </row>
    <row r="166" spans="1:14" ht="15" customHeight="1" thickBot="1" x14ac:dyDescent="0.3">
      <c r="B166" s="128" t="s">
        <v>210</v>
      </c>
      <c r="C166" s="16" t="s">
        <v>179</v>
      </c>
      <c r="D166" s="321">
        <v>1.6</v>
      </c>
      <c r="E166" s="335"/>
      <c r="F166" s="335"/>
      <c r="G166" s="194"/>
      <c r="H166" s="17">
        <f t="shared" si="40"/>
        <v>1.6</v>
      </c>
      <c r="I166" s="18">
        <f>'INVENTORY INPUT'!G124</f>
        <v>0</v>
      </c>
      <c r="J166" s="135">
        <f t="shared" si="41"/>
        <v>1.6</v>
      </c>
      <c r="K166" s="701">
        <v>14.03</v>
      </c>
      <c r="L166" s="707">
        <f t="shared" si="42"/>
        <v>22.448</v>
      </c>
      <c r="M166" s="708">
        <f t="shared" si="43"/>
        <v>0</v>
      </c>
      <c r="N166" s="705">
        <f t="shared" si="44"/>
        <v>0</v>
      </c>
    </row>
    <row r="167" spans="1:14" ht="15" customHeight="1" thickBot="1" x14ac:dyDescent="0.3">
      <c r="B167" s="128" t="s">
        <v>76</v>
      </c>
      <c r="C167" s="16" t="s">
        <v>179</v>
      </c>
      <c r="D167" s="321">
        <v>0.35</v>
      </c>
      <c r="E167" s="335">
        <v>2</v>
      </c>
      <c r="F167" s="335">
        <v>8</v>
      </c>
      <c r="G167" s="194"/>
      <c r="H167" s="17">
        <f t="shared" si="40"/>
        <v>10.35</v>
      </c>
      <c r="I167" s="18">
        <f>'INVENTORY INPUT'!G125</f>
        <v>0</v>
      </c>
      <c r="J167" s="135">
        <f t="shared" si="41"/>
        <v>10.35</v>
      </c>
      <c r="K167" s="701">
        <v>10.41</v>
      </c>
      <c r="L167" s="707">
        <f t="shared" si="42"/>
        <v>107.7435</v>
      </c>
      <c r="M167" s="708">
        <f t="shared" si="43"/>
        <v>0</v>
      </c>
      <c r="N167" s="705">
        <f t="shared" si="44"/>
        <v>104.1</v>
      </c>
    </row>
    <row r="168" spans="1:14" ht="15" customHeight="1" thickBot="1" x14ac:dyDescent="0.3">
      <c r="B168" s="382" t="s">
        <v>542</v>
      </c>
      <c r="C168" s="116" t="s">
        <v>157</v>
      </c>
      <c r="D168" s="321">
        <v>0</v>
      </c>
      <c r="E168" s="335"/>
      <c r="F168" s="335"/>
      <c r="G168" s="194"/>
      <c r="H168" s="17">
        <f t="shared" si="40"/>
        <v>0</v>
      </c>
      <c r="I168" s="18">
        <f>'INVENTORY INPUT'!G126</f>
        <v>0</v>
      </c>
      <c r="J168" s="135">
        <f t="shared" si="41"/>
        <v>0</v>
      </c>
      <c r="K168" s="701">
        <v>8.6225000000000005</v>
      </c>
      <c r="L168" s="707">
        <f t="shared" si="42"/>
        <v>0</v>
      </c>
      <c r="M168" s="708">
        <f t="shared" si="43"/>
        <v>0</v>
      </c>
      <c r="N168" s="705">
        <f t="shared" si="44"/>
        <v>0</v>
      </c>
    </row>
    <row r="169" spans="1:14" ht="15" customHeight="1" thickBot="1" x14ac:dyDescent="0.3">
      <c r="B169" s="128" t="s">
        <v>381</v>
      </c>
      <c r="C169" s="16" t="s">
        <v>212</v>
      </c>
      <c r="D169" s="321">
        <v>0.75</v>
      </c>
      <c r="E169" s="335">
        <v>2</v>
      </c>
      <c r="F169" s="335"/>
      <c r="G169" s="194"/>
      <c r="H169" s="17">
        <f t="shared" si="40"/>
        <v>2.75</v>
      </c>
      <c r="I169" s="18">
        <f>'INVENTORY INPUT'!G127</f>
        <v>0</v>
      </c>
      <c r="J169" s="135">
        <f t="shared" si="41"/>
        <v>2.75</v>
      </c>
      <c r="K169" s="701">
        <v>9.23</v>
      </c>
      <c r="L169" s="707">
        <f t="shared" si="42"/>
        <v>25.3825</v>
      </c>
      <c r="M169" s="708">
        <f t="shared" si="43"/>
        <v>0</v>
      </c>
      <c r="N169" s="705">
        <f t="shared" si="44"/>
        <v>18.46</v>
      </c>
    </row>
    <row r="170" spans="1:14" ht="15" customHeight="1" thickBot="1" x14ac:dyDescent="0.3">
      <c r="B170" s="128" t="s">
        <v>382</v>
      </c>
      <c r="C170" s="50" t="s">
        <v>213</v>
      </c>
      <c r="D170" s="321">
        <v>7</v>
      </c>
      <c r="E170" s="335">
        <v>6</v>
      </c>
      <c r="F170" s="335"/>
      <c r="G170" s="194"/>
      <c r="H170" s="17">
        <f t="shared" si="40"/>
        <v>13</v>
      </c>
      <c r="I170" s="18">
        <f>'INVENTORY INPUT'!G128</f>
        <v>0</v>
      </c>
      <c r="J170" s="135">
        <f t="shared" si="41"/>
        <v>13</v>
      </c>
      <c r="K170" s="701">
        <v>2.75</v>
      </c>
      <c r="L170" s="707">
        <f t="shared" si="42"/>
        <v>35.75</v>
      </c>
      <c r="M170" s="708">
        <f t="shared" si="43"/>
        <v>0</v>
      </c>
      <c r="N170" s="705">
        <f t="shared" si="44"/>
        <v>16.5</v>
      </c>
    </row>
    <row r="171" spans="1:14" ht="15" customHeight="1" thickBot="1" x14ac:dyDescent="0.3">
      <c r="B171" s="652" t="s">
        <v>339</v>
      </c>
      <c r="C171" s="125" t="s">
        <v>157</v>
      </c>
      <c r="D171" s="321">
        <v>6.5</v>
      </c>
      <c r="E171" s="335"/>
      <c r="F171" s="335"/>
      <c r="G171" s="194"/>
      <c r="H171" s="17">
        <f t="shared" si="40"/>
        <v>6.5</v>
      </c>
      <c r="I171" s="18">
        <f>'INVENTORY INPUT'!G129</f>
        <v>0</v>
      </c>
      <c r="J171" s="135">
        <f t="shared" si="41"/>
        <v>6.5</v>
      </c>
      <c r="K171" s="701">
        <v>7</v>
      </c>
      <c r="L171" s="707">
        <f t="shared" si="42"/>
        <v>45.5</v>
      </c>
      <c r="M171" s="708">
        <f t="shared" si="43"/>
        <v>0</v>
      </c>
      <c r="N171" s="705">
        <f t="shared" si="44"/>
        <v>0</v>
      </c>
    </row>
    <row r="172" spans="1:14" ht="15" customHeight="1" thickBot="1" x14ac:dyDescent="0.3">
      <c r="B172" s="382" t="s">
        <v>44</v>
      </c>
      <c r="C172" s="126" t="s">
        <v>157</v>
      </c>
      <c r="D172" s="321">
        <v>1</v>
      </c>
      <c r="E172" s="335"/>
      <c r="F172" s="335"/>
      <c r="G172" s="194"/>
      <c r="H172" s="17">
        <f t="shared" si="40"/>
        <v>1</v>
      </c>
      <c r="I172" s="18">
        <f>'INVENTORY INPUT'!G130</f>
        <v>0</v>
      </c>
      <c r="J172" s="135">
        <f t="shared" si="41"/>
        <v>1</v>
      </c>
      <c r="K172" s="701">
        <v>55.68</v>
      </c>
      <c r="L172" s="707">
        <f t="shared" si="42"/>
        <v>55.68</v>
      </c>
      <c r="M172" s="708">
        <f t="shared" si="43"/>
        <v>0</v>
      </c>
      <c r="N172" s="705">
        <f t="shared" si="44"/>
        <v>0</v>
      </c>
    </row>
    <row r="173" spans="1:14" ht="15" customHeight="1" thickBot="1" x14ac:dyDescent="0.3">
      <c r="B173" s="141" t="s">
        <v>496</v>
      </c>
      <c r="C173" s="125" t="s">
        <v>190</v>
      </c>
      <c r="D173" s="321">
        <v>0.9</v>
      </c>
      <c r="E173" s="335">
        <v>1</v>
      </c>
      <c r="F173" s="335"/>
      <c r="G173" s="194"/>
      <c r="H173" s="17">
        <f t="shared" si="40"/>
        <v>1.9</v>
      </c>
      <c r="I173" s="18">
        <f>'INVENTORY INPUT'!G131</f>
        <v>0</v>
      </c>
      <c r="J173" s="135">
        <f t="shared" si="41"/>
        <v>1.9</v>
      </c>
      <c r="K173" s="701">
        <v>31.19</v>
      </c>
      <c r="L173" s="707">
        <f t="shared" si="42"/>
        <v>59.261000000000003</v>
      </c>
      <c r="M173" s="708">
        <f t="shared" si="43"/>
        <v>0</v>
      </c>
      <c r="N173" s="705">
        <f t="shared" si="44"/>
        <v>31.19</v>
      </c>
    </row>
    <row r="174" spans="1:14" ht="15" customHeight="1" thickBot="1" x14ac:dyDescent="0.3">
      <c r="B174" s="665" t="s">
        <v>497</v>
      </c>
      <c r="C174" s="125" t="s">
        <v>190</v>
      </c>
      <c r="D174" s="324">
        <v>0.9</v>
      </c>
      <c r="E174" s="378">
        <v>1</v>
      </c>
      <c r="F174" s="378"/>
      <c r="G174" s="197"/>
      <c r="H174" s="53">
        <f t="shared" si="40"/>
        <v>1.9</v>
      </c>
      <c r="I174" s="18">
        <f>'INVENTORY INPUT'!G132</f>
        <v>0</v>
      </c>
      <c r="J174" s="135">
        <f t="shared" si="41"/>
        <v>1.9</v>
      </c>
      <c r="K174" s="702">
        <v>26.63</v>
      </c>
      <c r="L174" s="707">
        <f t="shared" si="42"/>
        <v>50.596999999999994</v>
      </c>
      <c r="M174" s="708">
        <f t="shared" si="43"/>
        <v>0</v>
      </c>
      <c r="N174" s="705">
        <f t="shared" si="44"/>
        <v>26.63</v>
      </c>
    </row>
    <row r="175" spans="1:14" ht="15" customHeight="1" thickBot="1" x14ac:dyDescent="0.3">
      <c r="B175" s="193"/>
      <c r="C175" s="126"/>
      <c r="D175" s="321">
        <v>0</v>
      </c>
      <c r="E175" s="335"/>
      <c r="F175" s="335"/>
      <c r="G175" s="194"/>
      <c r="H175" s="17"/>
      <c r="I175" s="18" t="e">
        <f>'INVENTORY INPUT'!#REF!</f>
        <v>#REF!</v>
      </c>
      <c r="J175" s="135" t="e">
        <f t="shared" si="41"/>
        <v>#REF!</v>
      </c>
      <c r="K175" s="701">
        <v>0</v>
      </c>
      <c r="L175" s="707" t="e">
        <f t="shared" si="42"/>
        <v>#REF!</v>
      </c>
      <c r="M175" s="708" t="e">
        <f t="shared" si="43"/>
        <v>#REF!</v>
      </c>
      <c r="N175" s="705">
        <f t="shared" si="44"/>
        <v>0</v>
      </c>
    </row>
    <row r="176" spans="1:14" ht="15" customHeight="1" thickBot="1" x14ac:dyDescent="0.3">
      <c r="B176" s="620"/>
      <c r="C176" s="676"/>
      <c r="D176" s="621">
        <v>0</v>
      </c>
      <c r="E176" s="622"/>
      <c r="F176" s="622"/>
      <c r="G176" s="623"/>
      <c r="H176" s="624"/>
      <c r="I176" s="18" t="e">
        <f>'INVENTORY INPUT'!#REF!</f>
        <v>#REF!</v>
      </c>
      <c r="J176" s="135" t="e">
        <f t="shared" si="41"/>
        <v>#REF!</v>
      </c>
      <c r="K176" s="703">
        <v>0</v>
      </c>
      <c r="L176" s="707" t="e">
        <f t="shared" si="42"/>
        <v>#REF!</v>
      </c>
      <c r="M176" s="708" t="e">
        <f t="shared" si="43"/>
        <v>#REF!</v>
      </c>
      <c r="N176" s="705">
        <f t="shared" si="44"/>
        <v>0</v>
      </c>
    </row>
    <row r="177" spans="2:14" ht="15" customHeight="1" thickBot="1" x14ac:dyDescent="0.3">
      <c r="B177" s="380" t="s">
        <v>370</v>
      </c>
      <c r="C177" s="381">
        <f>SUM(M151:M173)</f>
        <v>0</v>
      </c>
      <c r="D177" s="282"/>
      <c r="E177" s="379"/>
      <c r="F177" s="263"/>
      <c r="G177" s="612"/>
      <c r="H177" s="267"/>
      <c r="I177" s="267"/>
      <c r="J177" s="267"/>
      <c r="K177" s="267"/>
      <c r="L177" s="186" t="e">
        <f>SUM(L151:L176)</f>
        <v>#REF!</v>
      </c>
      <c r="M177" s="174" t="e">
        <f>SUM(M151:M176)</f>
        <v>#REF!</v>
      </c>
      <c r="N177" s="187">
        <f>SUM(N151:N176)</f>
        <v>359.35999999999996</v>
      </c>
    </row>
    <row r="178" spans="2:14" ht="15" customHeight="1" thickTop="1" thickBot="1" x14ac:dyDescent="0.3">
      <c r="D178" s="277"/>
      <c r="E178" s="251"/>
      <c r="F178" s="251"/>
      <c r="G178" s="194"/>
      <c r="H178" s="7"/>
      <c r="I178" s="8"/>
      <c r="J178" s="7"/>
      <c r="K178" s="7"/>
      <c r="N178" s="136"/>
    </row>
    <row r="179" spans="2:14" ht="15" customHeight="1" thickTop="1" thickBot="1" x14ac:dyDescent="0.3">
      <c r="B179" s="601" t="s">
        <v>285</v>
      </c>
      <c r="C179" s="602"/>
      <c r="D179" s="603"/>
      <c r="E179" s="604"/>
      <c r="F179" s="604"/>
      <c r="G179" s="605"/>
      <c r="H179" s="606"/>
      <c r="I179" s="606"/>
      <c r="J179" s="606"/>
      <c r="K179" s="606"/>
      <c r="L179" s="607"/>
      <c r="M179" s="608"/>
      <c r="N179" s="609"/>
    </row>
    <row r="180" spans="2:14" ht="15" customHeight="1" thickBot="1" x14ac:dyDescent="0.3">
      <c r="B180" s="613" t="s">
        <v>215</v>
      </c>
      <c r="C180" s="614" t="s">
        <v>179</v>
      </c>
      <c r="D180" s="615">
        <v>0.1</v>
      </c>
      <c r="E180" s="616"/>
      <c r="F180" s="616"/>
      <c r="G180" s="617"/>
      <c r="H180" s="618">
        <f t="shared" ref="H180:H188" si="45">SUM(D180:F180)+G180</f>
        <v>0.1</v>
      </c>
      <c r="I180" s="619">
        <f>'INVENTORY INPUT'!G134</f>
        <v>0</v>
      </c>
      <c r="J180" s="618">
        <f t="shared" ref="J180:J190" si="46">H180-I180</f>
        <v>0.1</v>
      </c>
      <c r="K180" s="700">
        <v>26.95</v>
      </c>
      <c r="L180" s="707">
        <f t="shared" ref="L180:L190" si="47">K180*J180</f>
        <v>2.6950000000000003</v>
      </c>
      <c r="M180" s="708">
        <f t="shared" ref="M180:M190" si="48">K180*I180</f>
        <v>0</v>
      </c>
      <c r="N180" s="704">
        <f t="shared" ref="N180:N190" si="49">SUM(E180:G180)*K180</f>
        <v>0</v>
      </c>
    </row>
    <row r="181" spans="2:14" ht="15" customHeight="1" thickBot="1" x14ac:dyDescent="0.3">
      <c r="B181" s="128" t="s">
        <v>0</v>
      </c>
      <c r="C181" s="16" t="s">
        <v>179</v>
      </c>
      <c r="D181" s="321">
        <v>0.1</v>
      </c>
      <c r="E181" s="335"/>
      <c r="F181" s="335"/>
      <c r="G181" s="194"/>
      <c r="H181" s="17">
        <f t="shared" si="45"/>
        <v>0.1</v>
      </c>
      <c r="I181" s="619">
        <f>'INVENTORY INPUT'!G135</f>
        <v>0</v>
      </c>
      <c r="J181" s="618">
        <f t="shared" si="46"/>
        <v>0.1</v>
      </c>
      <c r="K181" s="701">
        <v>23.7</v>
      </c>
      <c r="L181" s="707">
        <f t="shared" si="47"/>
        <v>2.37</v>
      </c>
      <c r="M181" s="708">
        <f t="shared" si="48"/>
        <v>0</v>
      </c>
      <c r="N181" s="704">
        <f t="shared" si="49"/>
        <v>0</v>
      </c>
    </row>
    <row r="182" spans="2:14" ht="15" customHeight="1" thickBot="1" x14ac:dyDescent="0.3">
      <c r="B182" s="382" t="s">
        <v>4</v>
      </c>
      <c r="C182" s="116" t="s">
        <v>143</v>
      </c>
      <c r="D182" s="321">
        <v>1.3</v>
      </c>
      <c r="E182" s="335"/>
      <c r="F182" s="335"/>
      <c r="G182" s="194"/>
      <c r="H182" s="17">
        <f t="shared" si="45"/>
        <v>1.3</v>
      </c>
      <c r="I182" s="619">
        <f>'INVENTORY INPUT'!G136</f>
        <v>0</v>
      </c>
      <c r="J182" s="618">
        <f t="shared" si="46"/>
        <v>1.3</v>
      </c>
      <c r="K182" s="701">
        <v>6.6440000000000001</v>
      </c>
      <c r="L182" s="707">
        <f t="shared" si="47"/>
        <v>8.6372</v>
      </c>
      <c r="M182" s="708">
        <f t="shared" si="48"/>
        <v>0</v>
      </c>
      <c r="N182" s="704">
        <f t="shared" si="49"/>
        <v>0</v>
      </c>
    </row>
    <row r="183" spans="2:14" ht="15" customHeight="1" thickBot="1" x14ac:dyDescent="0.3">
      <c r="B183" s="128" t="s">
        <v>216</v>
      </c>
      <c r="C183" s="16" t="s">
        <v>190</v>
      </c>
      <c r="D183" s="321">
        <v>24</v>
      </c>
      <c r="E183" s="335"/>
      <c r="F183" s="335"/>
      <c r="G183" s="194"/>
      <c r="H183" s="17">
        <f t="shared" si="45"/>
        <v>24</v>
      </c>
      <c r="I183" s="619">
        <f>'INVENTORY INPUT'!G137</f>
        <v>0</v>
      </c>
      <c r="J183" s="618">
        <f t="shared" si="46"/>
        <v>24</v>
      </c>
      <c r="K183" s="701">
        <v>1.75</v>
      </c>
      <c r="L183" s="707">
        <f t="shared" si="47"/>
        <v>42</v>
      </c>
      <c r="M183" s="708">
        <f t="shared" si="48"/>
        <v>0</v>
      </c>
      <c r="N183" s="704">
        <f t="shared" si="49"/>
        <v>0</v>
      </c>
    </row>
    <row r="184" spans="2:14" ht="15" customHeight="1" thickBot="1" x14ac:dyDescent="0.3">
      <c r="B184" s="128" t="s">
        <v>505</v>
      </c>
      <c r="C184" s="16" t="s">
        <v>37</v>
      </c>
      <c r="D184" s="321">
        <v>0.4</v>
      </c>
      <c r="E184" s="335"/>
      <c r="F184" s="335"/>
      <c r="G184" s="194"/>
      <c r="H184" s="17">
        <f t="shared" si="45"/>
        <v>0.4</v>
      </c>
      <c r="I184" s="619">
        <f>'INVENTORY INPUT'!G138</f>
        <v>0</v>
      </c>
      <c r="J184" s="618">
        <f t="shared" si="46"/>
        <v>0.4</v>
      </c>
      <c r="K184" s="701">
        <v>9.3000000000000007</v>
      </c>
      <c r="L184" s="707">
        <f t="shared" si="47"/>
        <v>3.7200000000000006</v>
      </c>
      <c r="M184" s="708">
        <f t="shared" si="48"/>
        <v>0</v>
      </c>
      <c r="N184" s="704">
        <f t="shared" si="49"/>
        <v>0</v>
      </c>
    </row>
    <row r="185" spans="2:14" ht="15" customHeight="1" thickBot="1" x14ac:dyDescent="0.3">
      <c r="B185" s="128" t="s">
        <v>436</v>
      </c>
      <c r="C185" s="16" t="s">
        <v>179</v>
      </c>
      <c r="D185" s="321">
        <v>0.6</v>
      </c>
      <c r="E185" s="335"/>
      <c r="F185" s="335"/>
      <c r="G185" s="194"/>
      <c r="H185" s="17">
        <f t="shared" si="45"/>
        <v>0.6</v>
      </c>
      <c r="I185" s="619">
        <f>'INVENTORY INPUT'!G139</f>
        <v>0</v>
      </c>
      <c r="J185" s="618">
        <f t="shared" si="46"/>
        <v>0.6</v>
      </c>
      <c r="K185" s="701">
        <v>65.34</v>
      </c>
      <c r="L185" s="707">
        <f t="shared" si="47"/>
        <v>39.204000000000001</v>
      </c>
      <c r="M185" s="708">
        <f t="shared" si="48"/>
        <v>0</v>
      </c>
      <c r="N185" s="704">
        <f t="shared" si="49"/>
        <v>0</v>
      </c>
    </row>
    <row r="186" spans="2:14" ht="15" customHeight="1" thickBot="1" x14ac:dyDescent="0.3">
      <c r="B186" s="128" t="s">
        <v>383</v>
      </c>
      <c r="C186" s="16" t="s">
        <v>141</v>
      </c>
      <c r="D186" s="321">
        <v>65</v>
      </c>
      <c r="E186" s="335"/>
      <c r="F186" s="335"/>
      <c r="G186" s="194"/>
      <c r="H186" s="17">
        <f t="shared" si="45"/>
        <v>65</v>
      </c>
      <c r="I186" s="619">
        <f>'INVENTORY INPUT'!G140</f>
        <v>0</v>
      </c>
      <c r="J186" s="618">
        <f t="shared" si="46"/>
        <v>65</v>
      </c>
      <c r="K186" s="701">
        <v>1.48</v>
      </c>
      <c r="L186" s="707">
        <f t="shared" si="47"/>
        <v>96.2</v>
      </c>
      <c r="M186" s="708">
        <f t="shared" si="48"/>
        <v>0</v>
      </c>
      <c r="N186" s="704">
        <f t="shared" si="49"/>
        <v>0</v>
      </c>
    </row>
    <row r="187" spans="2:14" ht="15" customHeight="1" thickBot="1" x14ac:dyDescent="0.3">
      <c r="B187" s="652" t="s">
        <v>384</v>
      </c>
      <c r="C187" s="51" t="s">
        <v>141</v>
      </c>
      <c r="D187" s="321">
        <v>47</v>
      </c>
      <c r="E187" s="378"/>
      <c r="F187" s="378"/>
      <c r="G187" s="194"/>
      <c r="H187" s="53">
        <f t="shared" si="45"/>
        <v>47</v>
      </c>
      <c r="I187" s="619">
        <f>'INVENTORY INPUT'!G141</f>
        <v>0</v>
      </c>
      <c r="J187" s="618">
        <f t="shared" si="46"/>
        <v>47</v>
      </c>
      <c r="K187" s="701">
        <v>2.13</v>
      </c>
      <c r="L187" s="707">
        <f t="shared" si="47"/>
        <v>100.11</v>
      </c>
      <c r="M187" s="708">
        <f t="shared" si="48"/>
        <v>0</v>
      </c>
      <c r="N187" s="704">
        <f t="shared" si="49"/>
        <v>0</v>
      </c>
    </row>
    <row r="188" spans="2:14" ht="15" customHeight="1" thickBot="1" x14ac:dyDescent="0.3">
      <c r="B188" s="677" t="s">
        <v>507</v>
      </c>
      <c r="C188" s="678" t="s">
        <v>186</v>
      </c>
      <c r="D188" s="324">
        <v>7</v>
      </c>
      <c r="E188" s="378"/>
      <c r="F188" s="378"/>
      <c r="G188" s="197"/>
      <c r="H188" s="53">
        <f t="shared" si="45"/>
        <v>7</v>
      </c>
      <c r="I188" s="619">
        <f>'INVENTORY INPUT'!G142</f>
        <v>0</v>
      </c>
      <c r="J188" s="618">
        <f t="shared" si="46"/>
        <v>7</v>
      </c>
      <c r="K188" s="702">
        <v>2.13</v>
      </c>
      <c r="L188" s="707">
        <f t="shared" si="47"/>
        <v>14.91</v>
      </c>
      <c r="M188" s="708">
        <f t="shared" si="48"/>
        <v>0</v>
      </c>
      <c r="N188" s="704">
        <f t="shared" si="49"/>
        <v>0</v>
      </c>
    </row>
    <row r="189" spans="2:14" ht="15" customHeight="1" thickBot="1" x14ac:dyDescent="0.3">
      <c r="B189" s="653"/>
      <c r="C189" s="50"/>
      <c r="D189" s="321">
        <v>0</v>
      </c>
      <c r="E189" s="335"/>
      <c r="F189" s="335"/>
      <c r="G189" s="194"/>
      <c r="H189" s="17"/>
      <c r="I189" s="619" t="e">
        <f>'INVENTORY INPUT'!#REF!</f>
        <v>#REF!</v>
      </c>
      <c r="J189" s="618" t="e">
        <f t="shared" si="46"/>
        <v>#REF!</v>
      </c>
      <c r="K189" s="701">
        <v>0</v>
      </c>
      <c r="L189" s="707" t="e">
        <f t="shared" si="47"/>
        <v>#REF!</v>
      </c>
      <c r="M189" s="708" t="e">
        <f t="shared" si="48"/>
        <v>#REF!</v>
      </c>
      <c r="N189" s="704">
        <f t="shared" si="49"/>
        <v>0</v>
      </c>
    </row>
    <row r="190" spans="2:14" ht="15" customHeight="1" thickBot="1" x14ac:dyDescent="0.3">
      <c r="B190" s="654"/>
      <c r="C190" s="679"/>
      <c r="D190" s="621">
        <v>0</v>
      </c>
      <c r="E190" s="622"/>
      <c r="F190" s="622"/>
      <c r="G190" s="623"/>
      <c r="H190" s="624"/>
      <c r="I190" s="619" t="e">
        <f>'INVENTORY INPUT'!#REF!</f>
        <v>#REF!</v>
      </c>
      <c r="J190" s="618" t="e">
        <f t="shared" si="46"/>
        <v>#REF!</v>
      </c>
      <c r="K190" s="703">
        <v>0</v>
      </c>
      <c r="L190" s="707" t="e">
        <f t="shared" si="47"/>
        <v>#REF!</v>
      </c>
      <c r="M190" s="708" t="e">
        <f t="shared" si="48"/>
        <v>#REF!</v>
      </c>
      <c r="N190" s="704">
        <f t="shared" si="49"/>
        <v>0</v>
      </c>
    </row>
    <row r="191" spans="2:14" ht="15" customHeight="1" thickBot="1" x14ac:dyDescent="0.3">
      <c r="B191" s="380" t="s">
        <v>371</v>
      </c>
      <c r="C191" s="610">
        <f>SUM(M180:M187)</f>
        <v>0</v>
      </c>
      <c r="D191" s="611"/>
      <c r="E191" s="379"/>
      <c r="F191" s="263"/>
      <c r="G191" s="612"/>
      <c r="H191" s="267"/>
      <c r="I191" s="267"/>
      <c r="J191" s="267"/>
      <c r="K191" s="267"/>
      <c r="L191" s="186" t="e">
        <f>SUM(L180:L190)</f>
        <v>#REF!</v>
      </c>
      <c r="M191" s="174" t="e">
        <f>SUM(M180:M190)</f>
        <v>#REF!</v>
      </c>
      <c r="N191" s="187">
        <f>SUM(N180:N190)</f>
        <v>0</v>
      </c>
    </row>
    <row r="192" spans="2:14" ht="15" customHeight="1" thickTop="1" thickBot="1" x14ac:dyDescent="0.3">
      <c r="D192" s="277"/>
      <c r="E192" s="251"/>
      <c r="F192" s="251"/>
      <c r="G192" s="194"/>
      <c r="H192" s="7"/>
      <c r="I192" s="8"/>
      <c r="J192" s="7"/>
      <c r="K192" s="7"/>
      <c r="L192" s="166" t="s">
        <v>166</v>
      </c>
      <c r="M192" s="170" t="s">
        <v>166</v>
      </c>
      <c r="N192" s="120" t="s">
        <v>166</v>
      </c>
    </row>
    <row r="193" spans="2:14" ht="15" customHeight="1" thickTop="1" thickBot="1" x14ac:dyDescent="0.3">
      <c r="B193" s="149" t="s">
        <v>116</v>
      </c>
      <c r="C193" s="150"/>
      <c r="D193" s="249"/>
      <c r="E193" s="252"/>
      <c r="F193" s="252"/>
      <c r="G193" s="196"/>
      <c r="H193" s="265"/>
      <c r="I193" s="265"/>
      <c r="J193" s="265"/>
      <c r="K193" s="265"/>
      <c r="L193" s="168" t="s">
        <v>166</v>
      </c>
      <c r="M193" s="171" t="s">
        <v>166</v>
      </c>
      <c r="N193" s="138" t="s">
        <v>166</v>
      </c>
    </row>
    <row r="194" spans="2:14" ht="15" customHeight="1" thickTop="1" x14ac:dyDescent="0.25">
      <c r="B194" s="133" t="s">
        <v>217</v>
      </c>
      <c r="C194" s="134" t="s">
        <v>141</v>
      </c>
      <c r="D194" s="321">
        <v>5.25</v>
      </c>
      <c r="E194" s="335">
        <v>12</v>
      </c>
      <c r="F194" s="335"/>
      <c r="G194" s="194"/>
      <c r="H194" s="17">
        <f t="shared" ref="H194:H232" si="50">SUM(D194:F194)+G194</f>
        <v>17.25</v>
      </c>
      <c r="I194" s="18">
        <f>'INVENTORY INPUT'!G144</f>
        <v>0</v>
      </c>
      <c r="J194" s="135">
        <f t="shared" ref="J194:J234" si="51">H194-I194</f>
        <v>17.25</v>
      </c>
      <c r="K194" s="20">
        <v>1.42</v>
      </c>
      <c r="L194" s="163">
        <f t="shared" ref="L194:L234" si="52">K194*J194</f>
        <v>24.494999999999997</v>
      </c>
      <c r="M194" s="172">
        <f t="shared" ref="M194:M234" si="53">K194*I194</f>
        <v>0</v>
      </c>
      <c r="N194" s="132">
        <f t="shared" ref="N194:N234" si="54">SUM(E194:G194)*K194</f>
        <v>17.04</v>
      </c>
    </row>
    <row r="195" spans="2:14" ht="15" customHeight="1" x14ac:dyDescent="0.25">
      <c r="B195" s="15" t="s">
        <v>472</v>
      </c>
      <c r="C195" s="16" t="s">
        <v>178</v>
      </c>
      <c r="D195" s="321">
        <v>23</v>
      </c>
      <c r="E195" s="335"/>
      <c r="F195" s="335">
        <v>24</v>
      </c>
      <c r="G195" s="194"/>
      <c r="H195" s="17">
        <f t="shared" si="50"/>
        <v>47</v>
      </c>
      <c r="I195" s="18">
        <f>'INVENTORY INPUT'!G145</f>
        <v>0</v>
      </c>
      <c r="J195" s="135">
        <f t="shared" si="51"/>
        <v>47</v>
      </c>
      <c r="K195" s="20">
        <v>0.64</v>
      </c>
      <c r="L195" s="163">
        <f t="shared" si="52"/>
        <v>30.080000000000002</v>
      </c>
      <c r="M195" s="172">
        <f t="shared" si="53"/>
        <v>0</v>
      </c>
      <c r="N195" s="132">
        <f t="shared" si="54"/>
        <v>15.36</v>
      </c>
    </row>
    <row r="196" spans="2:14" ht="15" customHeight="1" x14ac:dyDescent="0.25">
      <c r="B196" s="15" t="s">
        <v>473</v>
      </c>
      <c r="C196" s="16" t="s">
        <v>178</v>
      </c>
      <c r="D196" s="321">
        <v>63</v>
      </c>
      <c r="E196" s="335"/>
      <c r="F196" s="335"/>
      <c r="G196" s="194"/>
      <c r="H196" s="17">
        <f t="shared" si="50"/>
        <v>63</v>
      </c>
      <c r="I196" s="18">
        <f>'INVENTORY INPUT'!G146</f>
        <v>0</v>
      </c>
      <c r="J196" s="135">
        <f t="shared" si="51"/>
        <v>63</v>
      </c>
      <c r="K196" s="701">
        <v>0.64</v>
      </c>
      <c r="L196" s="163">
        <f t="shared" si="52"/>
        <v>40.32</v>
      </c>
      <c r="M196" s="172">
        <f t="shared" si="53"/>
        <v>0</v>
      </c>
      <c r="N196" s="132">
        <f t="shared" si="54"/>
        <v>0</v>
      </c>
    </row>
    <row r="197" spans="2:14" ht="15" customHeight="1" x14ac:dyDescent="0.25">
      <c r="B197" s="15" t="s">
        <v>474</v>
      </c>
      <c r="C197" s="16" t="s">
        <v>178</v>
      </c>
      <c r="D197" s="321">
        <v>31</v>
      </c>
      <c r="E197" s="335"/>
      <c r="F197" s="335"/>
      <c r="G197" s="194"/>
      <c r="H197" s="17">
        <f t="shared" si="50"/>
        <v>31</v>
      </c>
      <c r="I197" s="18">
        <f>'INVENTORY INPUT'!G147</f>
        <v>0</v>
      </c>
      <c r="J197" s="135">
        <f t="shared" si="51"/>
        <v>31</v>
      </c>
      <c r="K197" s="701">
        <v>0.64</v>
      </c>
      <c r="L197" s="163">
        <f t="shared" si="52"/>
        <v>19.84</v>
      </c>
      <c r="M197" s="172">
        <f t="shared" si="53"/>
        <v>0</v>
      </c>
      <c r="N197" s="132">
        <f t="shared" si="54"/>
        <v>0</v>
      </c>
    </row>
    <row r="198" spans="2:14" ht="15" customHeight="1" x14ac:dyDescent="0.25">
      <c r="B198" s="139" t="s">
        <v>442</v>
      </c>
      <c r="C198" s="16" t="s">
        <v>218</v>
      </c>
      <c r="D198" s="323">
        <v>1.9</v>
      </c>
      <c r="E198" s="335">
        <v>2</v>
      </c>
      <c r="F198" s="335"/>
      <c r="G198" s="194"/>
      <c r="H198" s="17">
        <f t="shared" si="50"/>
        <v>3.9</v>
      </c>
      <c r="I198" s="18">
        <f>'INVENTORY INPUT'!G148</f>
        <v>0</v>
      </c>
      <c r="J198" s="135">
        <f t="shared" si="51"/>
        <v>3.9</v>
      </c>
      <c r="K198" s="701">
        <v>44</v>
      </c>
      <c r="L198" s="163">
        <f t="shared" si="52"/>
        <v>171.6</v>
      </c>
      <c r="M198" s="172">
        <f t="shared" si="53"/>
        <v>0</v>
      </c>
      <c r="N198" s="132">
        <f t="shared" si="54"/>
        <v>88</v>
      </c>
    </row>
    <row r="199" spans="2:14" ht="15" customHeight="1" x14ac:dyDescent="0.25">
      <c r="B199" s="118" t="s">
        <v>443</v>
      </c>
      <c r="C199" s="16" t="s">
        <v>218</v>
      </c>
      <c r="D199" s="321">
        <v>0.9</v>
      </c>
      <c r="E199" s="335"/>
      <c r="F199" s="335"/>
      <c r="G199" s="194"/>
      <c r="H199" s="17">
        <f t="shared" si="50"/>
        <v>0.9</v>
      </c>
      <c r="I199" s="18">
        <f>'INVENTORY INPUT'!G149</f>
        <v>0</v>
      </c>
      <c r="J199" s="135">
        <f t="shared" si="51"/>
        <v>0.9</v>
      </c>
      <c r="K199" s="701">
        <v>28.01</v>
      </c>
      <c r="L199" s="163">
        <f t="shared" si="52"/>
        <v>25.209000000000003</v>
      </c>
      <c r="M199" s="172">
        <f t="shared" si="53"/>
        <v>0</v>
      </c>
      <c r="N199" s="132">
        <f t="shared" si="54"/>
        <v>0</v>
      </c>
    </row>
    <row r="200" spans="2:14" ht="15" customHeight="1" x14ac:dyDescent="0.25">
      <c r="B200" s="118" t="s">
        <v>444</v>
      </c>
      <c r="C200" s="16" t="s">
        <v>218</v>
      </c>
      <c r="D200" s="321">
        <v>1.1000000000000001</v>
      </c>
      <c r="E200" s="335"/>
      <c r="F200" s="335"/>
      <c r="G200" s="194"/>
      <c r="H200" s="17">
        <f t="shared" si="50"/>
        <v>1.1000000000000001</v>
      </c>
      <c r="I200" s="18">
        <f>'INVENTORY INPUT'!G150</f>
        <v>0</v>
      </c>
      <c r="J200" s="135">
        <f t="shared" si="51"/>
        <v>1.1000000000000001</v>
      </c>
      <c r="K200" s="701">
        <v>28.01</v>
      </c>
      <c r="L200" s="163">
        <f t="shared" si="52"/>
        <v>30.811000000000003</v>
      </c>
      <c r="M200" s="172">
        <f t="shared" si="53"/>
        <v>0</v>
      </c>
      <c r="N200" s="132">
        <f t="shared" si="54"/>
        <v>0</v>
      </c>
    </row>
    <row r="201" spans="2:14" ht="15" customHeight="1" x14ac:dyDescent="0.25">
      <c r="B201" s="118" t="s">
        <v>445</v>
      </c>
      <c r="C201" s="16" t="s">
        <v>218</v>
      </c>
      <c r="D201" s="321">
        <v>1.3</v>
      </c>
      <c r="E201" s="335"/>
      <c r="F201" s="335"/>
      <c r="G201" s="194"/>
      <c r="H201" s="17">
        <f t="shared" si="50"/>
        <v>1.3</v>
      </c>
      <c r="I201" s="18">
        <f>'INVENTORY INPUT'!G151</f>
        <v>0</v>
      </c>
      <c r="J201" s="135">
        <f t="shared" si="51"/>
        <v>1.3</v>
      </c>
      <c r="K201" s="701">
        <v>28.01</v>
      </c>
      <c r="L201" s="163">
        <f t="shared" si="52"/>
        <v>36.413000000000004</v>
      </c>
      <c r="M201" s="172">
        <f t="shared" si="53"/>
        <v>0</v>
      </c>
      <c r="N201" s="132">
        <f t="shared" si="54"/>
        <v>0</v>
      </c>
    </row>
    <row r="202" spans="2:14" ht="15" customHeight="1" x14ac:dyDescent="0.25">
      <c r="B202" s="118" t="s">
        <v>385</v>
      </c>
      <c r="C202" s="16" t="s">
        <v>218</v>
      </c>
      <c r="D202" s="321">
        <v>1.7</v>
      </c>
      <c r="E202" s="335"/>
      <c r="F202" s="335"/>
      <c r="G202" s="194"/>
      <c r="H202" s="17">
        <f t="shared" si="50"/>
        <v>1.7</v>
      </c>
      <c r="I202" s="18">
        <f>'INVENTORY INPUT'!G152</f>
        <v>0</v>
      </c>
      <c r="J202" s="135">
        <f t="shared" si="51"/>
        <v>1.7</v>
      </c>
      <c r="K202" s="701">
        <v>28.15</v>
      </c>
      <c r="L202" s="163">
        <f t="shared" si="52"/>
        <v>47.854999999999997</v>
      </c>
      <c r="M202" s="172">
        <f t="shared" si="53"/>
        <v>0</v>
      </c>
      <c r="N202" s="132">
        <f t="shared" si="54"/>
        <v>0</v>
      </c>
    </row>
    <row r="203" spans="2:14" ht="15" customHeight="1" x14ac:dyDescent="0.25">
      <c r="B203" s="118" t="s">
        <v>481</v>
      </c>
      <c r="C203" s="16" t="s">
        <v>141</v>
      </c>
      <c r="D203" s="321">
        <v>9</v>
      </c>
      <c r="E203" s="335"/>
      <c r="F203" s="335"/>
      <c r="G203" s="194"/>
      <c r="H203" s="17">
        <f t="shared" si="50"/>
        <v>9</v>
      </c>
      <c r="I203" s="18">
        <f>'INVENTORY INPUT'!G153</f>
        <v>0</v>
      </c>
      <c r="J203" s="135">
        <f t="shared" si="51"/>
        <v>9</v>
      </c>
      <c r="K203" s="701">
        <v>6.75</v>
      </c>
      <c r="L203" s="163">
        <f t="shared" si="52"/>
        <v>60.75</v>
      </c>
      <c r="M203" s="172">
        <f t="shared" si="53"/>
        <v>0</v>
      </c>
      <c r="N203" s="132">
        <f t="shared" si="54"/>
        <v>0</v>
      </c>
    </row>
    <row r="204" spans="2:14" ht="15" customHeight="1" thickBot="1" x14ac:dyDescent="0.3">
      <c r="B204" s="123" t="s">
        <v>446</v>
      </c>
      <c r="C204" s="22" t="s">
        <v>218</v>
      </c>
      <c r="D204" s="324">
        <v>1</v>
      </c>
      <c r="E204" s="378"/>
      <c r="F204" s="378"/>
      <c r="G204" s="197"/>
      <c r="H204" s="53">
        <f t="shared" si="50"/>
        <v>1</v>
      </c>
      <c r="I204" s="18">
        <f>'INVENTORY INPUT'!G154</f>
        <v>0</v>
      </c>
      <c r="J204" s="135">
        <f t="shared" si="51"/>
        <v>1</v>
      </c>
      <c r="K204" s="702">
        <v>26.42</v>
      </c>
      <c r="L204" s="163">
        <f t="shared" si="52"/>
        <v>26.42</v>
      </c>
      <c r="M204" s="172">
        <f t="shared" si="53"/>
        <v>0</v>
      </c>
      <c r="N204" s="132">
        <f t="shared" si="54"/>
        <v>0</v>
      </c>
    </row>
    <row r="205" spans="2:14" ht="15" customHeight="1" x14ac:dyDescent="0.25">
      <c r="B205" s="639" t="s">
        <v>447</v>
      </c>
      <c r="C205" s="614" t="s">
        <v>218</v>
      </c>
      <c r="D205" s="615">
        <v>0.7</v>
      </c>
      <c r="E205" s="616">
        <v>1</v>
      </c>
      <c r="F205" s="616"/>
      <c r="G205" s="617"/>
      <c r="H205" s="618">
        <f t="shared" si="50"/>
        <v>1.7</v>
      </c>
      <c r="I205" s="18">
        <f>'INVENTORY INPUT'!G155</f>
        <v>0</v>
      </c>
      <c r="J205" s="135">
        <f t="shared" si="51"/>
        <v>1.7</v>
      </c>
      <c r="K205" s="700">
        <v>26.42</v>
      </c>
      <c r="L205" s="163">
        <f t="shared" si="52"/>
        <v>44.914000000000001</v>
      </c>
      <c r="M205" s="172">
        <f t="shared" si="53"/>
        <v>0</v>
      </c>
      <c r="N205" s="132">
        <f t="shared" si="54"/>
        <v>26.42</v>
      </c>
    </row>
    <row r="206" spans="2:14" ht="15" customHeight="1" x14ac:dyDescent="0.25">
      <c r="B206" s="382" t="s">
        <v>448</v>
      </c>
      <c r="C206" s="16" t="s">
        <v>218</v>
      </c>
      <c r="D206" s="321">
        <v>1</v>
      </c>
      <c r="E206" s="335"/>
      <c r="F206" s="335"/>
      <c r="G206" s="194"/>
      <c r="H206" s="17">
        <f t="shared" si="50"/>
        <v>1</v>
      </c>
      <c r="I206" s="18">
        <f>'INVENTORY INPUT'!G156</f>
        <v>0</v>
      </c>
      <c r="J206" s="135">
        <f t="shared" si="51"/>
        <v>1</v>
      </c>
      <c r="K206" s="701">
        <v>26.42</v>
      </c>
      <c r="L206" s="163">
        <f t="shared" si="52"/>
        <v>26.42</v>
      </c>
      <c r="M206" s="172">
        <f t="shared" si="53"/>
        <v>0</v>
      </c>
      <c r="N206" s="132">
        <f t="shared" si="54"/>
        <v>0</v>
      </c>
    </row>
    <row r="207" spans="2:14" ht="15" customHeight="1" x14ac:dyDescent="0.25">
      <c r="B207" s="382" t="s">
        <v>905</v>
      </c>
      <c r="C207" s="16" t="s">
        <v>178</v>
      </c>
      <c r="D207" s="321">
        <v>7</v>
      </c>
      <c r="E207" s="335"/>
      <c r="F207" s="335">
        <v>12</v>
      </c>
      <c r="G207" s="194"/>
      <c r="H207" s="17">
        <f t="shared" si="50"/>
        <v>19</v>
      </c>
      <c r="I207" s="18">
        <f>'INVENTORY INPUT'!G157</f>
        <v>0</v>
      </c>
      <c r="J207" s="135">
        <f t="shared" si="51"/>
        <v>19</v>
      </c>
      <c r="K207" s="701">
        <f>16.57/12</f>
        <v>1.3808333333333334</v>
      </c>
      <c r="L207" s="163">
        <f t="shared" si="52"/>
        <v>26.235833333333332</v>
      </c>
      <c r="M207" s="172">
        <f t="shared" si="53"/>
        <v>0</v>
      </c>
      <c r="N207" s="132">
        <f t="shared" si="54"/>
        <v>16.57</v>
      </c>
    </row>
    <row r="208" spans="2:14" ht="15" customHeight="1" x14ac:dyDescent="0.25">
      <c r="B208" s="128" t="s">
        <v>10</v>
      </c>
      <c r="C208" s="16" t="s">
        <v>190</v>
      </c>
      <c r="D208" s="321">
        <v>1.5</v>
      </c>
      <c r="E208" s="335"/>
      <c r="F208" s="335"/>
      <c r="G208" s="194"/>
      <c r="H208" s="17">
        <f t="shared" si="50"/>
        <v>1.5</v>
      </c>
      <c r="I208" s="18">
        <f>'INVENTORY INPUT'!G158</f>
        <v>0</v>
      </c>
      <c r="J208" s="135">
        <f t="shared" si="51"/>
        <v>1.5</v>
      </c>
      <c r="K208" s="701">
        <v>9.3800000000000008</v>
      </c>
      <c r="L208" s="163">
        <f t="shared" si="52"/>
        <v>14.07</v>
      </c>
      <c r="M208" s="172">
        <f t="shared" si="53"/>
        <v>0</v>
      </c>
      <c r="N208" s="132">
        <f t="shared" si="54"/>
        <v>0</v>
      </c>
    </row>
    <row r="209" spans="1:14" ht="15" customHeight="1" x14ac:dyDescent="0.25">
      <c r="B209" s="128" t="s">
        <v>219</v>
      </c>
      <c r="C209" s="16" t="s">
        <v>190</v>
      </c>
      <c r="D209" s="321">
        <v>14</v>
      </c>
      <c r="E209" s="335"/>
      <c r="F209" s="335"/>
      <c r="G209" s="194"/>
      <c r="H209" s="17">
        <f t="shared" si="50"/>
        <v>14</v>
      </c>
      <c r="I209" s="18">
        <f>'INVENTORY INPUT'!G159</f>
        <v>0</v>
      </c>
      <c r="J209" s="135">
        <f t="shared" si="51"/>
        <v>14</v>
      </c>
      <c r="K209" s="701">
        <v>4.58</v>
      </c>
      <c r="L209" s="163">
        <f t="shared" si="52"/>
        <v>64.12</v>
      </c>
      <c r="M209" s="172">
        <f t="shared" si="53"/>
        <v>0</v>
      </c>
      <c r="N209" s="132">
        <f t="shared" si="54"/>
        <v>0</v>
      </c>
    </row>
    <row r="210" spans="1:14" ht="15" customHeight="1" x14ac:dyDescent="0.25">
      <c r="B210" s="128" t="s">
        <v>450</v>
      </c>
      <c r="C210" s="16" t="s">
        <v>141</v>
      </c>
      <c r="D210" s="321">
        <v>33</v>
      </c>
      <c r="E210" s="335"/>
      <c r="F210" s="335"/>
      <c r="G210" s="194"/>
      <c r="H210" s="17">
        <f t="shared" si="50"/>
        <v>33</v>
      </c>
      <c r="I210" s="18">
        <f>'INVENTORY INPUT'!G160</f>
        <v>0</v>
      </c>
      <c r="J210" s="135">
        <f t="shared" si="51"/>
        <v>33</v>
      </c>
      <c r="K210" s="701">
        <v>0.23</v>
      </c>
      <c r="L210" s="163">
        <f t="shared" si="52"/>
        <v>7.5900000000000007</v>
      </c>
      <c r="M210" s="172">
        <f t="shared" si="53"/>
        <v>0</v>
      </c>
      <c r="N210" s="132">
        <f t="shared" si="54"/>
        <v>0</v>
      </c>
    </row>
    <row r="211" spans="1:14" ht="15" customHeight="1" x14ac:dyDescent="0.25">
      <c r="A211" s="10"/>
      <c r="B211" s="128" t="s">
        <v>220</v>
      </c>
      <c r="C211" s="16" t="s">
        <v>141</v>
      </c>
      <c r="D211" s="321">
        <v>0</v>
      </c>
      <c r="E211" s="335"/>
      <c r="F211" s="335"/>
      <c r="G211" s="194"/>
      <c r="H211" s="17">
        <f t="shared" si="50"/>
        <v>0</v>
      </c>
      <c r="I211" s="18">
        <f>'INVENTORY INPUT'!G161</f>
        <v>0</v>
      </c>
      <c r="J211" s="135">
        <f t="shared" si="51"/>
        <v>0</v>
      </c>
      <c r="K211" s="701">
        <v>0.75</v>
      </c>
      <c r="L211" s="163">
        <f t="shared" si="52"/>
        <v>0</v>
      </c>
      <c r="M211" s="172">
        <f t="shared" si="53"/>
        <v>0</v>
      </c>
      <c r="N211" s="132">
        <f t="shared" si="54"/>
        <v>0</v>
      </c>
    </row>
    <row r="212" spans="1:14" ht="15" customHeight="1" x14ac:dyDescent="0.25">
      <c r="B212" s="128" t="s">
        <v>221</v>
      </c>
      <c r="C212" s="16" t="s">
        <v>178</v>
      </c>
      <c r="D212" s="321">
        <v>6</v>
      </c>
      <c r="E212" s="335">
        <v>12</v>
      </c>
      <c r="F212" s="335"/>
      <c r="G212" s="194"/>
      <c r="H212" s="17">
        <f t="shared" si="50"/>
        <v>18</v>
      </c>
      <c r="I212" s="18">
        <f>'INVENTORY INPUT'!G162</f>
        <v>0</v>
      </c>
      <c r="J212" s="135">
        <f t="shared" si="51"/>
        <v>18</v>
      </c>
      <c r="K212" s="701">
        <f>13.31/12</f>
        <v>1.1091666666666666</v>
      </c>
      <c r="L212" s="163">
        <f t="shared" si="52"/>
        <v>19.965</v>
      </c>
      <c r="M212" s="172">
        <f t="shared" si="53"/>
        <v>0</v>
      </c>
      <c r="N212" s="132">
        <f t="shared" si="54"/>
        <v>13.309999999999999</v>
      </c>
    </row>
    <row r="213" spans="1:14" ht="15" customHeight="1" x14ac:dyDescent="0.25">
      <c r="B213" s="128" t="s">
        <v>222</v>
      </c>
      <c r="C213" s="16" t="s">
        <v>190</v>
      </c>
      <c r="D213" s="321">
        <v>2.65</v>
      </c>
      <c r="E213" s="335"/>
      <c r="F213" s="335"/>
      <c r="G213" s="194"/>
      <c r="H213" s="17">
        <f t="shared" si="50"/>
        <v>2.65</v>
      </c>
      <c r="I213" s="18">
        <f>'INVENTORY INPUT'!G163</f>
        <v>0</v>
      </c>
      <c r="J213" s="135">
        <f t="shared" si="51"/>
        <v>2.65</v>
      </c>
      <c r="K213" s="701">
        <v>15.6</v>
      </c>
      <c r="L213" s="163">
        <f t="shared" si="52"/>
        <v>41.339999999999996</v>
      </c>
      <c r="M213" s="172">
        <f t="shared" si="53"/>
        <v>0</v>
      </c>
      <c r="N213" s="132">
        <f t="shared" si="54"/>
        <v>0</v>
      </c>
    </row>
    <row r="214" spans="1:14" ht="15" customHeight="1" x14ac:dyDescent="0.25">
      <c r="B214" s="382" t="s">
        <v>1</v>
      </c>
      <c r="C214" s="16" t="s">
        <v>175</v>
      </c>
      <c r="D214" s="321">
        <v>1.05</v>
      </c>
      <c r="E214" s="335"/>
      <c r="F214" s="335"/>
      <c r="G214" s="194"/>
      <c r="H214" s="17">
        <f t="shared" si="50"/>
        <v>1.05</v>
      </c>
      <c r="I214" s="18">
        <f>'INVENTORY INPUT'!G164</f>
        <v>0</v>
      </c>
      <c r="J214" s="135">
        <f t="shared" si="51"/>
        <v>1.05</v>
      </c>
      <c r="K214" s="701">
        <v>58.68</v>
      </c>
      <c r="L214" s="163">
        <f t="shared" si="52"/>
        <v>61.614000000000004</v>
      </c>
      <c r="M214" s="172">
        <f t="shared" si="53"/>
        <v>0</v>
      </c>
      <c r="N214" s="132">
        <f t="shared" si="54"/>
        <v>0</v>
      </c>
    </row>
    <row r="215" spans="1:14" ht="15" customHeight="1" x14ac:dyDescent="0.25">
      <c r="B215" s="128" t="s">
        <v>523</v>
      </c>
      <c r="C215" s="16" t="s">
        <v>141</v>
      </c>
      <c r="D215" s="321">
        <v>0</v>
      </c>
      <c r="E215" s="335"/>
      <c r="F215" s="335"/>
      <c r="G215" s="194"/>
      <c r="H215" s="17">
        <f t="shared" si="50"/>
        <v>0</v>
      </c>
      <c r="I215" s="18" t="e">
        <f>'INVENTORY INPUT'!#REF!</f>
        <v>#REF!</v>
      </c>
      <c r="J215" s="135" t="e">
        <f t="shared" si="51"/>
        <v>#REF!</v>
      </c>
      <c r="K215" s="701">
        <v>1.0900000000000001</v>
      </c>
      <c r="L215" s="163" t="e">
        <f t="shared" si="52"/>
        <v>#REF!</v>
      </c>
      <c r="M215" s="172" t="e">
        <f t="shared" si="53"/>
        <v>#REF!</v>
      </c>
      <c r="N215" s="132">
        <f t="shared" si="54"/>
        <v>0</v>
      </c>
    </row>
    <row r="216" spans="1:14" ht="15" customHeight="1" x14ac:dyDescent="0.25">
      <c r="B216" s="128" t="s">
        <v>471</v>
      </c>
      <c r="C216" s="16" t="s">
        <v>179</v>
      </c>
      <c r="D216" s="321">
        <v>1</v>
      </c>
      <c r="E216" s="335"/>
      <c r="F216" s="335"/>
      <c r="G216" s="194"/>
      <c r="H216" s="17">
        <f t="shared" si="50"/>
        <v>1</v>
      </c>
      <c r="I216" s="18" t="e">
        <f>'INVENTORY INPUT'!#REF!</f>
        <v>#REF!</v>
      </c>
      <c r="J216" s="135" t="e">
        <f t="shared" si="51"/>
        <v>#REF!</v>
      </c>
      <c r="K216" s="701">
        <v>5.88</v>
      </c>
      <c r="L216" s="163" t="e">
        <f t="shared" si="52"/>
        <v>#REF!</v>
      </c>
      <c r="M216" s="172" t="e">
        <f t="shared" si="53"/>
        <v>#REF!</v>
      </c>
      <c r="N216" s="132">
        <f t="shared" si="54"/>
        <v>0</v>
      </c>
    </row>
    <row r="217" spans="1:14" ht="15" customHeight="1" x14ac:dyDescent="0.25">
      <c r="B217" s="128" t="s">
        <v>335</v>
      </c>
      <c r="C217" s="16" t="s">
        <v>179</v>
      </c>
      <c r="D217" s="321">
        <v>0</v>
      </c>
      <c r="E217" s="335"/>
      <c r="F217" s="335"/>
      <c r="G217" s="194"/>
      <c r="H217" s="17">
        <f t="shared" si="50"/>
        <v>0</v>
      </c>
      <c r="I217" s="18" t="e">
        <f>'INVENTORY INPUT'!#REF!</f>
        <v>#REF!</v>
      </c>
      <c r="J217" s="135" t="e">
        <f t="shared" si="51"/>
        <v>#REF!</v>
      </c>
      <c r="K217" s="701">
        <v>13.43</v>
      </c>
      <c r="L217" s="163" t="e">
        <f t="shared" si="52"/>
        <v>#REF!</v>
      </c>
      <c r="M217" s="172" t="e">
        <f t="shared" si="53"/>
        <v>#REF!</v>
      </c>
      <c r="N217" s="132">
        <f t="shared" si="54"/>
        <v>0</v>
      </c>
    </row>
    <row r="218" spans="1:14" ht="15" customHeight="1" x14ac:dyDescent="0.25">
      <c r="B218" s="128" t="s">
        <v>492</v>
      </c>
      <c r="C218" s="16" t="s">
        <v>178</v>
      </c>
      <c r="D218" s="321">
        <v>39</v>
      </c>
      <c r="E218" s="335"/>
      <c r="F218" s="335"/>
      <c r="G218" s="194"/>
      <c r="H218" s="17">
        <f t="shared" si="50"/>
        <v>39</v>
      </c>
      <c r="I218" s="18">
        <f>'INVENTORY INPUT'!G165</f>
        <v>0</v>
      </c>
      <c r="J218" s="135">
        <f t="shared" si="51"/>
        <v>39</v>
      </c>
      <c r="K218" s="701">
        <v>0.62</v>
      </c>
      <c r="L218" s="163">
        <f t="shared" si="52"/>
        <v>24.18</v>
      </c>
      <c r="M218" s="172">
        <f t="shared" si="53"/>
        <v>0</v>
      </c>
      <c r="N218" s="132">
        <f t="shared" si="54"/>
        <v>0</v>
      </c>
    </row>
    <row r="219" spans="1:14" ht="15" customHeight="1" x14ac:dyDescent="0.25">
      <c r="B219" s="128" t="s">
        <v>386</v>
      </c>
      <c r="C219" s="16" t="s">
        <v>141</v>
      </c>
      <c r="D219" s="321">
        <v>22</v>
      </c>
      <c r="E219" s="335"/>
      <c r="F219" s="335"/>
      <c r="G219" s="194"/>
      <c r="H219" s="17">
        <f t="shared" si="50"/>
        <v>22</v>
      </c>
      <c r="I219" s="18">
        <f>'INVENTORY INPUT'!G166</f>
        <v>0</v>
      </c>
      <c r="J219" s="135">
        <f t="shared" si="51"/>
        <v>22</v>
      </c>
      <c r="K219" s="701">
        <v>0.41</v>
      </c>
      <c r="L219" s="163">
        <f t="shared" si="52"/>
        <v>9.02</v>
      </c>
      <c r="M219" s="172">
        <f t="shared" si="53"/>
        <v>0</v>
      </c>
      <c r="N219" s="132">
        <f t="shared" si="54"/>
        <v>0</v>
      </c>
    </row>
    <row r="220" spans="1:14" ht="15" customHeight="1" x14ac:dyDescent="0.25">
      <c r="B220" s="128" t="s">
        <v>387</v>
      </c>
      <c r="C220" s="16" t="s">
        <v>141</v>
      </c>
      <c r="D220" s="321">
        <v>10</v>
      </c>
      <c r="E220" s="335">
        <v>30</v>
      </c>
      <c r="F220" s="335"/>
      <c r="G220" s="194"/>
      <c r="H220" s="17">
        <f t="shared" si="50"/>
        <v>40</v>
      </c>
      <c r="I220" s="18">
        <f>'INVENTORY INPUT'!G167</f>
        <v>0</v>
      </c>
      <c r="J220" s="135">
        <f t="shared" si="51"/>
        <v>40</v>
      </c>
      <c r="K220" s="701">
        <v>0.41</v>
      </c>
      <c r="L220" s="163">
        <f t="shared" si="52"/>
        <v>16.399999999999999</v>
      </c>
      <c r="M220" s="172">
        <f t="shared" si="53"/>
        <v>0</v>
      </c>
      <c r="N220" s="132">
        <f t="shared" si="54"/>
        <v>12.299999999999999</v>
      </c>
    </row>
    <row r="221" spans="1:14" ht="15" customHeight="1" x14ac:dyDescent="0.25">
      <c r="B221" s="128" t="s">
        <v>516</v>
      </c>
      <c r="C221" s="16" t="s">
        <v>178</v>
      </c>
      <c r="D221" s="321">
        <v>33</v>
      </c>
      <c r="E221" s="335"/>
      <c r="F221" s="335"/>
      <c r="G221" s="194"/>
      <c r="H221" s="17">
        <f t="shared" si="50"/>
        <v>33</v>
      </c>
      <c r="I221" s="18">
        <f>'INVENTORY INPUT'!G168</f>
        <v>0</v>
      </c>
      <c r="J221" s="135">
        <f t="shared" si="51"/>
        <v>33</v>
      </c>
      <c r="K221" s="701">
        <v>6.72</v>
      </c>
      <c r="L221" s="163">
        <f t="shared" si="52"/>
        <v>221.76</v>
      </c>
      <c r="M221" s="172">
        <f t="shared" si="53"/>
        <v>0</v>
      </c>
      <c r="N221" s="132">
        <f t="shared" si="54"/>
        <v>0</v>
      </c>
    </row>
    <row r="222" spans="1:14" ht="15" customHeight="1" x14ac:dyDescent="0.25">
      <c r="B222" s="128" t="s">
        <v>388</v>
      </c>
      <c r="C222" s="16" t="s">
        <v>153</v>
      </c>
      <c r="D222" s="321">
        <v>0</v>
      </c>
      <c r="E222" s="335">
        <v>1</v>
      </c>
      <c r="F222" s="335">
        <v>1</v>
      </c>
      <c r="G222" s="194"/>
      <c r="H222" s="17">
        <f t="shared" si="50"/>
        <v>2</v>
      </c>
      <c r="I222" s="18">
        <f>'INVENTORY INPUT'!G169</f>
        <v>0</v>
      </c>
      <c r="J222" s="135">
        <f t="shared" si="51"/>
        <v>2</v>
      </c>
      <c r="K222" s="701">
        <v>27.11</v>
      </c>
      <c r="L222" s="163">
        <f t="shared" si="52"/>
        <v>54.22</v>
      </c>
      <c r="M222" s="172">
        <f t="shared" si="53"/>
        <v>0</v>
      </c>
      <c r="N222" s="132">
        <f t="shared" si="54"/>
        <v>54.22</v>
      </c>
    </row>
    <row r="223" spans="1:14" ht="15" customHeight="1" x14ac:dyDescent="0.25">
      <c r="B223" s="128" t="s">
        <v>475</v>
      </c>
      <c r="C223" s="16" t="s">
        <v>178</v>
      </c>
      <c r="D223" s="321">
        <v>20</v>
      </c>
      <c r="E223" s="335"/>
      <c r="F223" s="335">
        <v>24</v>
      </c>
      <c r="G223" s="194"/>
      <c r="H223" s="17">
        <f t="shared" si="50"/>
        <v>44</v>
      </c>
      <c r="I223" s="18">
        <f>'INVENTORY INPUT'!G170</f>
        <v>0</v>
      </c>
      <c r="J223" s="135">
        <f t="shared" si="51"/>
        <v>44</v>
      </c>
      <c r="K223" s="701">
        <v>0.64</v>
      </c>
      <c r="L223" s="163">
        <f t="shared" si="52"/>
        <v>28.16</v>
      </c>
      <c r="M223" s="172">
        <f t="shared" si="53"/>
        <v>0</v>
      </c>
      <c r="N223" s="132">
        <f t="shared" si="54"/>
        <v>15.36</v>
      </c>
    </row>
    <row r="224" spans="1:14" ht="15" customHeight="1" x14ac:dyDescent="0.25">
      <c r="B224" s="382" t="s">
        <v>36</v>
      </c>
      <c r="C224" s="116" t="s">
        <v>37</v>
      </c>
      <c r="D224" s="321">
        <v>3</v>
      </c>
      <c r="E224" s="335"/>
      <c r="F224" s="335"/>
      <c r="G224" s="194"/>
      <c r="H224" s="17">
        <f t="shared" si="50"/>
        <v>3</v>
      </c>
      <c r="I224" s="18">
        <f>'INVENTORY INPUT'!G171</f>
        <v>0</v>
      </c>
      <c r="J224" s="135">
        <f t="shared" si="51"/>
        <v>3</v>
      </c>
      <c r="K224" s="701">
        <v>16.579999999999998</v>
      </c>
      <c r="L224" s="163">
        <f t="shared" si="52"/>
        <v>49.739999999999995</v>
      </c>
      <c r="M224" s="172">
        <f t="shared" si="53"/>
        <v>0</v>
      </c>
      <c r="N224" s="132">
        <f t="shared" si="54"/>
        <v>0</v>
      </c>
    </row>
    <row r="225" spans="2:14" ht="15" customHeight="1" x14ac:dyDescent="0.25">
      <c r="B225" s="382" t="s">
        <v>547</v>
      </c>
      <c r="C225" s="116" t="s">
        <v>141</v>
      </c>
      <c r="D225" s="321">
        <v>7</v>
      </c>
      <c r="E225" s="335"/>
      <c r="F225" s="335"/>
      <c r="G225" s="194"/>
      <c r="H225" s="17">
        <f t="shared" si="50"/>
        <v>7</v>
      </c>
      <c r="I225" s="18">
        <f>'INVENTORY INPUT'!G172</f>
        <v>0</v>
      </c>
      <c r="J225" s="135">
        <f t="shared" si="51"/>
        <v>7</v>
      </c>
      <c r="K225" s="701">
        <f>33.04/12</f>
        <v>2.7533333333333334</v>
      </c>
      <c r="L225" s="163">
        <f t="shared" si="52"/>
        <v>19.273333333333333</v>
      </c>
      <c r="M225" s="172">
        <f t="shared" si="53"/>
        <v>0</v>
      </c>
      <c r="N225" s="132">
        <f t="shared" si="54"/>
        <v>0</v>
      </c>
    </row>
    <row r="226" spans="2:14" ht="15" customHeight="1" x14ac:dyDescent="0.25">
      <c r="B226" s="382" t="s">
        <v>476</v>
      </c>
      <c r="C226" s="116" t="s">
        <v>178</v>
      </c>
      <c r="D226" s="321">
        <v>18</v>
      </c>
      <c r="E226" s="335">
        <v>24</v>
      </c>
      <c r="F226" s="335"/>
      <c r="G226" s="194"/>
      <c r="H226" s="17">
        <f t="shared" si="50"/>
        <v>42</v>
      </c>
      <c r="I226" s="18">
        <f>'INVENTORY INPUT'!G173</f>
        <v>0</v>
      </c>
      <c r="J226" s="135">
        <f t="shared" si="51"/>
        <v>42</v>
      </c>
      <c r="K226" s="701">
        <v>0.64</v>
      </c>
      <c r="L226" s="163">
        <f t="shared" si="52"/>
        <v>26.88</v>
      </c>
      <c r="M226" s="172">
        <f t="shared" si="53"/>
        <v>0</v>
      </c>
      <c r="N226" s="132">
        <f t="shared" si="54"/>
        <v>15.36</v>
      </c>
    </row>
    <row r="227" spans="2:14" ht="15" customHeight="1" x14ac:dyDescent="0.25">
      <c r="B227" s="382" t="s">
        <v>477</v>
      </c>
      <c r="C227" s="116" t="s">
        <v>178</v>
      </c>
      <c r="D227" s="321">
        <v>33</v>
      </c>
      <c r="E227" s="335"/>
      <c r="F227" s="335"/>
      <c r="G227" s="194"/>
      <c r="H227" s="17">
        <f t="shared" si="50"/>
        <v>33</v>
      </c>
      <c r="I227" s="18">
        <f>'INVENTORY INPUT'!G174</f>
        <v>0</v>
      </c>
      <c r="J227" s="135">
        <f t="shared" si="51"/>
        <v>33</v>
      </c>
      <c r="K227" s="701">
        <v>0.64</v>
      </c>
      <c r="L227" s="163">
        <f t="shared" si="52"/>
        <v>21.12</v>
      </c>
      <c r="M227" s="172">
        <f t="shared" si="53"/>
        <v>0</v>
      </c>
      <c r="N227" s="132">
        <f t="shared" si="54"/>
        <v>0</v>
      </c>
    </row>
    <row r="228" spans="2:14" ht="15" customHeight="1" x14ac:dyDescent="0.25">
      <c r="B228" s="382" t="s">
        <v>482</v>
      </c>
      <c r="C228" s="116" t="s">
        <v>178</v>
      </c>
      <c r="D228" s="321">
        <v>36</v>
      </c>
      <c r="E228" s="335"/>
      <c r="F228" s="335"/>
      <c r="G228" s="194"/>
      <c r="H228" s="17">
        <f t="shared" si="50"/>
        <v>36</v>
      </c>
      <c r="I228" s="18">
        <f>'INVENTORY INPUT'!G175</f>
        <v>0</v>
      </c>
      <c r="J228" s="135">
        <f t="shared" si="51"/>
        <v>36</v>
      </c>
      <c r="K228" s="701">
        <v>0.64</v>
      </c>
      <c r="L228" s="163">
        <f t="shared" si="52"/>
        <v>23.04</v>
      </c>
      <c r="M228" s="172">
        <f t="shared" si="53"/>
        <v>0</v>
      </c>
      <c r="N228" s="132">
        <f t="shared" si="54"/>
        <v>0</v>
      </c>
    </row>
    <row r="229" spans="2:14" ht="15" customHeight="1" x14ac:dyDescent="0.25">
      <c r="B229" s="382" t="s">
        <v>543</v>
      </c>
      <c r="C229" s="116" t="s">
        <v>190</v>
      </c>
      <c r="D229" s="321">
        <v>6.9</v>
      </c>
      <c r="E229" s="335"/>
      <c r="F229" s="335"/>
      <c r="G229" s="194"/>
      <c r="H229" s="17">
        <f t="shared" si="50"/>
        <v>6.9</v>
      </c>
      <c r="I229" s="18">
        <f>'INVENTORY INPUT'!G176</f>
        <v>0</v>
      </c>
      <c r="J229" s="135">
        <f t="shared" si="51"/>
        <v>6.9</v>
      </c>
      <c r="K229" s="701">
        <v>15.89</v>
      </c>
      <c r="L229" s="163">
        <f t="shared" si="52"/>
        <v>109.64100000000001</v>
      </c>
      <c r="M229" s="172">
        <f t="shared" si="53"/>
        <v>0</v>
      </c>
      <c r="N229" s="132">
        <f t="shared" si="54"/>
        <v>0</v>
      </c>
    </row>
    <row r="230" spans="2:14" ht="15" customHeight="1" x14ac:dyDescent="0.25">
      <c r="B230" s="141" t="s">
        <v>544</v>
      </c>
      <c r="C230" s="124" t="s">
        <v>190</v>
      </c>
      <c r="D230" s="324">
        <v>9.9</v>
      </c>
      <c r="E230" s="378"/>
      <c r="F230" s="378"/>
      <c r="G230" s="197"/>
      <c r="H230" s="53">
        <f t="shared" si="50"/>
        <v>9.9</v>
      </c>
      <c r="I230" s="18">
        <f>'INVENTORY INPUT'!G177</f>
        <v>0</v>
      </c>
      <c r="J230" s="135">
        <f t="shared" si="51"/>
        <v>9.9</v>
      </c>
      <c r="K230" s="701">
        <v>15.89</v>
      </c>
      <c r="L230" s="163">
        <f t="shared" si="52"/>
        <v>157.31100000000001</v>
      </c>
      <c r="M230" s="172">
        <f t="shared" si="53"/>
        <v>0</v>
      </c>
      <c r="N230" s="132">
        <f t="shared" si="54"/>
        <v>0</v>
      </c>
    </row>
    <row r="231" spans="2:14" ht="15" customHeight="1" x14ac:dyDescent="0.25">
      <c r="B231" s="653" t="s">
        <v>524</v>
      </c>
      <c r="C231" s="16" t="s">
        <v>218</v>
      </c>
      <c r="D231" s="321">
        <v>0.5</v>
      </c>
      <c r="E231" s="378">
        <v>1</v>
      </c>
      <c r="F231" s="378"/>
      <c r="G231" s="194"/>
      <c r="H231" s="53">
        <f t="shared" si="50"/>
        <v>1.5</v>
      </c>
      <c r="I231" s="18">
        <f>'INVENTORY INPUT'!G178</f>
        <v>0</v>
      </c>
      <c r="J231" s="135">
        <f t="shared" si="51"/>
        <v>1.5</v>
      </c>
      <c r="K231" s="701">
        <v>0</v>
      </c>
      <c r="L231" s="163">
        <f t="shared" si="52"/>
        <v>0</v>
      </c>
      <c r="M231" s="172">
        <f t="shared" si="53"/>
        <v>0</v>
      </c>
      <c r="N231" s="132">
        <f t="shared" si="54"/>
        <v>0</v>
      </c>
    </row>
    <row r="232" spans="2:14" ht="15" customHeight="1" x14ac:dyDescent="0.25">
      <c r="B232" s="680" t="s">
        <v>525</v>
      </c>
      <c r="C232" s="22" t="s">
        <v>178</v>
      </c>
      <c r="D232" s="324">
        <v>0</v>
      </c>
      <c r="E232" s="378"/>
      <c r="F232" s="378"/>
      <c r="G232" s="197"/>
      <c r="H232" s="53">
        <f t="shared" si="50"/>
        <v>0</v>
      </c>
      <c r="I232" s="18">
        <f>'INVENTORY INPUT'!G179</f>
        <v>0</v>
      </c>
      <c r="J232" s="135">
        <f t="shared" si="51"/>
        <v>0</v>
      </c>
      <c r="K232" s="702">
        <v>0</v>
      </c>
      <c r="L232" s="163">
        <f t="shared" si="52"/>
        <v>0</v>
      </c>
      <c r="M232" s="172">
        <f t="shared" si="53"/>
        <v>0</v>
      </c>
      <c r="N232" s="132">
        <f t="shared" si="54"/>
        <v>0</v>
      </c>
    </row>
    <row r="233" spans="2:14" ht="15" customHeight="1" x14ac:dyDescent="0.25">
      <c r="B233" s="653"/>
      <c r="C233" s="16"/>
      <c r="D233" s="321">
        <v>0</v>
      </c>
      <c r="E233" s="335"/>
      <c r="F233" s="335"/>
      <c r="G233" s="194"/>
      <c r="H233" s="17"/>
      <c r="I233" s="18" t="e">
        <f>'INVENTORY INPUT'!#REF!</f>
        <v>#REF!</v>
      </c>
      <c r="J233" s="135" t="e">
        <f t="shared" si="51"/>
        <v>#REF!</v>
      </c>
      <c r="K233" s="701">
        <v>0</v>
      </c>
      <c r="L233" s="163" t="e">
        <f t="shared" si="52"/>
        <v>#REF!</v>
      </c>
      <c r="M233" s="172" t="e">
        <f t="shared" si="53"/>
        <v>#REF!</v>
      </c>
      <c r="N233" s="132">
        <f t="shared" si="54"/>
        <v>0</v>
      </c>
    </row>
    <row r="234" spans="2:14" ht="15" customHeight="1" thickBot="1" x14ac:dyDescent="0.3">
      <c r="B234" s="654"/>
      <c r="C234" s="655"/>
      <c r="D234" s="621">
        <v>0</v>
      </c>
      <c r="E234" s="622"/>
      <c r="F234" s="622"/>
      <c r="G234" s="623"/>
      <c r="H234" s="624"/>
      <c r="I234" s="18" t="e">
        <f>'INVENTORY INPUT'!#REF!</f>
        <v>#REF!</v>
      </c>
      <c r="J234" s="135" t="e">
        <f t="shared" si="51"/>
        <v>#REF!</v>
      </c>
      <c r="K234" s="703">
        <v>0</v>
      </c>
      <c r="L234" s="163" t="e">
        <f t="shared" si="52"/>
        <v>#REF!</v>
      </c>
      <c r="M234" s="172" t="e">
        <f t="shared" si="53"/>
        <v>#REF!</v>
      </c>
      <c r="N234" s="132">
        <f t="shared" si="54"/>
        <v>0</v>
      </c>
    </row>
    <row r="235" spans="2:14" ht="15" customHeight="1" thickBot="1" x14ac:dyDescent="0.3">
      <c r="B235" s="380" t="s">
        <v>372</v>
      </c>
      <c r="C235" s="381" t="e">
        <f>SUM(M194:M230)</f>
        <v>#REF!</v>
      </c>
      <c r="D235" s="282"/>
      <c r="E235" s="379"/>
      <c r="F235" s="263"/>
      <c r="G235" s="230"/>
      <c r="H235" s="267"/>
      <c r="I235" s="267"/>
      <c r="J235" s="267"/>
      <c r="K235" s="267"/>
      <c r="L235" s="186" t="e">
        <f>SUM(L194:L234)</f>
        <v>#REF!</v>
      </c>
      <c r="M235" s="174" t="e">
        <f>SUM(M194:M234)</f>
        <v>#REF!</v>
      </c>
      <c r="N235" s="187">
        <f>SUM(N194:N234)</f>
        <v>273.94</v>
      </c>
    </row>
    <row r="236" spans="2:14" ht="15" customHeight="1" thickTop="1" thickBot="1" x14ac:dyDescent="0.3">
      <c r="B236" s="14"/>
      <c r="C236" s="14"/>
      <c r="D236" s="277"/>
      <c r="E236" s="251"/>
      <c r="F236" s="251"/>
      <c r="G236" s="195"/>
      <c r="H236" s="7"/>
      <c r="I236" s="8"/>
      <c r="J236" s="7"/>
      <c r="K236" s="7"/>
      <c r="M236" s="176"/>
      <c r="N236" s="121"/>
    </row>
    <row r="237" spans="2:14" ht="15" customHeight="1" thickTop="1" thickBot="1" x14ac:dyDescent="0.3">
      <c r="B237" s="601" t="s">
        <v>286</v>
      </c>
      <c r="C237" s="602"/>
      <c r="D237" s="603"/>
      <c r="E237" s="604"/>
      <c r="F237" s="604"/>
      <c r="G237" s="605"/>
      <c r="H237" s="606"/>
      <c r="I237" s="606"/>
      <c r="J237" s="606"/>
      <c r="K237" s="606"/>
      <c r="L237" s="607"/>
      <c r="M237" s="608"/>
      <c r="N237" s="609"/>
    </row>
    <row r="238" spans="2:14" ht="15" customHeight="1" thickBot="1" x14ac:dyDescent="0.3">
      <c r="B238" s="613" t="s">
        <v>224</v>
      </c>
      <c r="C238" s="614" t="s">
        <v>141</v>
      </c>
      <c r="D238" s="615">
        <v>0.8</v>
      </c>
      <c r="E238" s="616"/>
      <c r="F238" s="616"/>
      <c r="G238" s="617"/>
      <c r="H238" s="618">
        <f t="shared" ref="H238:H260" si="55">SUM(D238:F238)+G238</f>
        <v>0.8</v>
      </c>
      <c r="I238" s="619">
        <f>'INVENTORY INPUT'!G181</f>
        <v>0</v>
      </c>
      <c r="J238" s="618">
        <f t="shared" ref="J238:J260" si="56">H238-I238</f>
        <v>0.8</v>
      </c>
      <c r="K238" s="700">
        <v>10.97</v>
      </c>
      <c r="L238" s="707">
        <f t="shared" ref="L238:L260" si="57">K238*J238</f>
        <v>8.7760000000000016</v>
      </c>
      <c r="M238" s="708">
        <f t="shared" ref="M238:M260" si="58">K238*I238</f>
        <v>0</v>
      </c>
      <c r="N238" s="704">
        <f t="shared" ref="N238:N260" si="59">SUM(E238:G238)*K238</f>
        <v>0</v>
      </c>
    </row>
    <row r="239" spans="2:14" ht="15" customHeight="1" thickBot="1" x14ac:dyDescent="0.3">
      <c r="B239" s="128" t="s">
        <v>225</v>
      </c>
      <c r="C239" s="16" t="s">
        <v>143</v>
      </c>
      <c r="D239" s="321">
        <v>2.5</v>
      </c>
      <c r="E239" s="335"/>
      <c r="F239" s="335"/>
      <c r="G239" s="194"/>
      <c r="H239" s="618">
        <f t="shared" si="55"/>
        <v>2.5</v>
      </c>
      <c r="I239" s="619">
        <f>'INVENTORY INPUT'!G182</f>
        <v>0</v>
      </c>
      <c r="J239" s="618">
        <f t="shared" si="56"/>
        <v>2.5</v>
      </c>
      <c r="K239" s="701">
        <v>4.8899999999999997</v>
      </c>
      <c r="L239" s="707">
        <f t="shared" si="57"/>
        <v>12.225</v>
      </c>
      <c r="M239" s="708">
        <f t="shared" si="58"/>
        <v>0</v>
      </c>
      <c r="N239" s="704">
        <f t="shared" si="59"/>
        <v>0</v>
      </c>
    </row>
    <row r="240" spans="2:14" ht="15" customHeight="1" thickBot="1" x14ac:dyDescent="0.3">
      <c r="B240" s="128" t="s">
        <v>226</v>
      </c>
      <c r="C240" s="16" t="s">
        <v>143</v>
      </c>
      <c r="D240" s="321">
        <v>8</v>
      </c>
      <c r="E240" s="335"/>
      <c r="F240" s="335"/>
      <c r="G240" s="194"/>
      <c r="H240" s="618">
        <f t="shared" si="55"/>
        <v>8</v>
      </c>
      <c r="I240" s="619">
        <f>'INVENTORY INPUT'!G183</f>
        <v>0</v>
      </c>
      <c r="J240" s="618">
        <f t="shared" si="56"/>
        <v>8</v>
      </c>
      <c r="K240" s="701">
        <v>0.93</v>
      </c>
      <c r="L240" s="707">
        <f t="shared" si="57"/>
        <v>7.44</v>
      </c>
      <c r="M240" s="708">
        <f t="shared" si="58"/>
        <v>0</v>
      </c>
      <c r="N240" s="704">
        <f t="shared" si="59"/>
        <v>0</v>
      </c>
    </row>
    <row r="241" spans="2:15" ht="15" customHeight="1" thickBot="1" x14ac:dyDescent="0.3">
      <c r="B241" s="128" t="s">
        <v>227</v>
      </c>
      <c r="C241" s="16" t="s">
        <v>141</v>
      </c>
      <c r="D241" s="321">
        <v>18</v>
      </c>
      <c r="E241" s="335"/>
      <c r="F241" s="335"/>
      <c r="G241" s="194"/>
      <c r="H241" s="618">
        <f t="shared" si="55"/>
        <v>18</v>
      </c>
      <c r="I241" s="619">
        <f>'INVENTORY INPUT'!G184</f>
        <v>0</v>
      </c>
      <c r="J241" s="618">
        <f t="shared" si="56"/>
        <v>18</v>
      </c>
      <c r="K241" s="701">
        <v>2.98</v>
      </c>
      <c r="L241" s="707">
        <f t="shared" si="57"/>
        <v>53.64</v>
      </c>
      <c r="M241" s="708">
        <f t="shared" si="58"/>
        <v>0</v>
      </c>
      <c r="N241" s="704">
        <f t="shared" si="59"/>
        <v>0</v>
      </c>
    </row>
    <row r="242" spans="2:15" ht="15" customHeight="1" thickBot="1" x14ac:dyDescent="0.3">
      <c r="B242" s="128" t="s">
        <v>228</v>
      </c>
      <c r="C242" s="16" t="s">
        <v>143</v>
      </c>
      <c r="D242" s="321">
        <v>0.25</v>
      </c>
      <c r="E242" s="335">
        <v>40</v>
      </c>
      <c r="F242" s="335">
        <v>20</v>
      </c>
      <c r="G242" s="194"/>
      <c r="H242" s="618">
        <f t="shared" si="55"/>
        <v>60.25</v>
      </c>
      <c r="I242" s="619">
        <f>'INVENTORY INPUT'!G185</f>
        <v>0</v>
      </c>
      <c r="J242" s="618">
        <f t="shared" si="56"/>
        <v>60.25</v>
      </c>
      <c r="K242" s="701">
        <v>7.34</v>
      </c>
      <c r="L242" s="707">
        <f t="shared" si="57"/>
        <v>442.23500000000001</v>
      </c>
      <c r="M242" s="708">
        <f t="shared" si="58"/>
        <v>0</v>
      </c>
      <c r="N242" s="704">
        <f t="shared" si="59"/>
        <v>440.4</v>
      </c>
    </row>
    <row r="243" spans="2:15" ht="15" customHeight="1" thickBot="1" x14ac:dyDescent="0.3">
      <c r="B243" s="128" t="s">
        <v>229</v>
      </c>
      <c r="C243" s="16" t="s">
        <v>143</v>
      </c>
      <c r="D243" s="321">
        <v>3</v>
      </c>
      <c r="E243" s="335">
        <v>25</v>
      </c>
      <c r="F243" s="335"/>
      <c r="G243" s="194"/>
      <c r="H243" s="618">
        <f t="shared" si="55"/>
        <v>28</v>
      </c>
      <c r="I243" s="619">
        <f>'INVENTORY INPUT'!G186</f>
        <v>0</v>
      </c>
      <c r="J243" s="618">
        <f t="shared" si="56"/>
        <v>28</v>
      </c>
      <c r="K243" s="701">
        <v>1.08</v>
      </c>
      <c r="L243" s="707">
        <f t="shared" si="57"/>
        <v>30.240000000000002</v>
      </c>
      <c r="M243" s="708">
        <f t="shared" si="58"/>
        <v>0</v>
      </c>
      <c r="N243" s="704">
        <f t="shared" si="59"/>
        <v>27</v>
      </c>
    </row>
    <row r="244" spans="2:15" ht="15" customHeight="1" thickBot="1" x14ac:dyDescent="0.3">
      <c r="B244" s="128" t="s">
        <v>84</v>
      </c>
      <c r="C244" s="116" t="s">
        <v>143</v>
      </c>
      <c r="D244" s="321">
        <v>33</v>
      </c>
      <c r="E244" s="335">
        <v>80</v>
      </c>
      <c r="F244" s="335"/>
      <c r="G244" s="194"/>
      <c r="H244" s="618">
        <f t="shared" si="55"/>
        <v>113</v>
      </c>
      <c r="I244" s="619">
        <f>'INVENTORY INPUT'!G187</f>
        <v>0</v>
      </c>
      <c r="J244" s="618">
        <f t="shared" si="56"/>
        <v>113</v>
      </c>
      <c r="K244" s="701">
        <v>1.361</v>
      </c>
      <c r="L244" s="707">
        <f t="shared" si="57"/>
        <v>153.79300000000001</v>
      </c>
      <c r="M244" s="708">
        <f t="shared" si="58"/>
        <v>0</v>
      </c>
      <c r="N244" s="704">
        <f t="shared" si="59"/>
        <v>108.88</v>
      </c>
    </row>
    <row r="245" spans="2:15" ht="15" customHeight="1" thickBot="1" x14ac:dyDescent="0.3">
      <c r="B245" s="128" t="s">
        <v>230</v>
      </c>
      <c r="C245" s="16" t="s">
        <v>168</v>
      </c>
      <c r="D245" s="321">
        <v>0.1</v>
      </c>
      <c r="E245" s="335"/>
      <c r="F245" s="335">
        <v>1</v>
      </c>
      <c r="G245" s="194"/>
      <c r="H245" s="618">
        <f t="shared" si="55"/>
        <v>1.1000000000000001</v>
      </c>
      <c r="I245" s="619">
        <f>'INVENTORY INPUT'!G188</f>
        <v>0</v>
      </c>
      <c r="J245" s="618">
        <f t="shared" si="56"/>
        <v>1.1000000000000001</v>
      </c>
      <c r="K245" s="701">
        <v>43.65</v>
      </c>
      <c r="L245" s="707">
        <f t="shared" si="57"/>
        <v>48.015000000000001</v>
      </c>
      <c r="M245" s="708">
        <f t="shared" si="58"/>
        <v>0</v>
      </c>
      <c r="N245" s="704">
        <f t="shared" si="59"/>
        <v>43.65</v>
      </c>
    </row>
    <row r="246" spans="2:15" ht="15" customHeight="1" thickBot="1" x14ac:dyDescent="0.3">
      <c r="B246" s="128" t="s">
        <v>231</v>
      </c>
      <c r="C246" s="16" t="s">
        <v>143</v>
      </c>
      <c r="D246" s="321">
        <v>5</v>
      </c>
      <c r="E246" s="335"/>
      <c r="F246" s="335">
        <v>20</v>
      </c>
      <c r="G246" s="194"/>
      <c r="H246" s="618">
        <f t="shared" si="55"/>
        <v>25</v>
      </c>
      <c r="I246" s="619">
        <f>'INVENTORY INPUT'!G189</f>
        <v>0</v>
      </c>
      <c r="J246" s="618">
        <f t="shared" si="56"/>
        <v>25</v>
      </c>
      <c r="K246" s="701">
        <v>3.49</v>
      </c>
      <c r="L246" s="707">
        <f t="shared" si="57"/>
        <v>87.25</v>
      </c>
      <c r="M246" s="708">
        <f t="shared" si="58"/>
        <v>0</v>
      </c>
      <c r="N246" s="704">
        <f t="shared" si="59"/>
        <v>69.800000000000011</v>
      </c>
    </row>
    <row r="247" spans="2:15" ht="15" customHeight="1" thickBot="1" x14ac:dyDescent="0.3">
      <c r="B247" s="128" t="s">
        <v>389</v>
      </c>
      <c r="C247" s="16" t="s">
        <v>143</v>
      </c>
      <c r="D247" s="321">
        <v>15</v>
      </c>
      <c r="E247" s="335"/>
      <c r="F247" s="335">
        <v>25</v>
      </c>
      <c r="G247" s="194"/>
      <c r="H247" s="618">
        <f t="shared" si="55"/>
        <v>40</v>
      </c>
      <c r="I247" s="619">
        <f>'INVENTORY INPUT'!G190</f>
        <v>0</v>
      </c>
      <c r="J247" s="618">
        <f t="shared" si="56"/>
        <v>40</v>
      </c>
      <c r="K247" s="701">
        <v>0.92479999999999996</v>
      </c>
      <c r="L247" s="707">
        <f t="shared" si="57"/>
        <v>36.991999999999997</v>
      </c>
      <c r="M247" s="708">
        <f t="shared" si="58"/>
        <v>0</v>
      </c>
      <c r="N247" s="704">
        <f t="shared" si="59"/>
        <v>23.119999999999997</v>
      </c>
    </row>
    <row r="248" spans="2:15" ht="15" customHeight="1" thickBot="1" x14ac:dyDescent="0.3">
      <c r="B248" s="128" t="s">
        <v>232</v>
      </c>
      <c r="C248" s="16" t="s">
        <v>235</v>
      </c>
      <c r="D248" s="321">
        <v>0.6</v>
      </c>
      <c r="E248" s="335"/>
      <c r="F248" s="335"/>
      <c r="G248" s="194"/>
      <c r="H248" s="618">
        <f t="shared" si="55"/>
        <v>0.6</v>
      </c>
      <c r="I248" s="619">
        <f>'INVENTORY INPUT'!G191</f>
        <v>0</v>
      </c>
      <c r="J248" s="618">
        <f t="shared" si="56"/>
        <v>0.6</v>
      </c>
      <c r="K248" s="701">
        <v>14.32</v>
      </c>
      <c r="L248" s="707">
        <f t="shared" si="57"/>
        <v>8.5920000000000005</v>
      </c>
      <c r="M248" s="708">
        <f t="shared" si="58"/>
        <v>0</v>
      </c>
      <c r="N248" s="704">
        <f t="shared" si="59"/>
        <v>0</v>
      </c>
    </row>
    <row r="249" spans="2:15" ht="15" customHeight="1" thickBot="1" x14ac:dyDescent="0.3">
      <c r="B249" s="128" t="s">
        <v>511</v>
      </c>
      <c r="C249" s="16" t="s">
        <v>143</v>
      </c>
      <c r="D249" s="321">
        <v>23</v>
      </c>
      <c r="E249" s="335"/>
      <c r="F249" s="335"/>
      <c r="G249" s="194"/>
      <c r="H249" s="618">
        <f t="shared" si="55"/>
        <v>23</v>
      </c>
      <c r="I249" s="619">
        <f>'INVENTORY INPUT'!G192</f>
        <v>0</v>
      </c>
      <c r="J249" s="618">
        <f t="shared" si="56"/>
        <v>23</v>
      </c>
      <c r="K249" s="701">
        <v>1.71</v>
      </c>
      <c r="L249" s="707">
        <f t="shared" si="57"/>
        <v>39.33</v>
      </c>
      <c r="M249" s="708">
        <f t="shared" si="58"/>
        <v>0</v>
      </c>
      <c r="N249" s="704">
        <f t="shared" si="59"/>
        <v>0</v>
      </c>
    </row>
    <row r="250" spans="2:15" ht="15" customHeight="1" thickBot="1" x14ac:dyDescent="0.3">
      <c r="B250" s="128" t="s">
        <v>233</v>
      </c>
      <c r="C250" s="16" t="s">
        <v>143</v>
      </c>
      <c r="D250" s="321">
        <v>20</v>
      </c>
      <c r="E250" s="335"/>
      <c r="F250" s="335"/>
      <c r="G250" s="194"/>
      <c r="H250" s="618">
        <f t="shared" si="55"/>
        <v>20</v>
      </c>
      <c r="I250" s="619">
        <f>'INVENTORY INPUT'!G193</f>
        <v>0</v>
      </c>
      <c r="J250" s="618">
        <f t="shared" si="56"/>
        <v>20</v>
      </c>
      <c r="K250" s="701">
        <v>1.7</v>
      </c>
      <c r="L250" s="707">
        <f t="shared" si="57"/>
        <v>34</v>
      </c>
      <c r="M250" s="708">
        <f t="shared" si="58"/>
        <v>0</v>
      </c>
      <c r="N250" s="704">
        <f t="shared" si="59"/>
        <v>0</v>
      </c>
    </row>
    <row r="251" spans="2:15" ht="15" customHeight="1" thickBot="1" x14ac:dyDescent="0.3">
      <c r="B251" s="128" t="s">
        <v>390</v>
      </c>
      <c r="C251" s="16" t="s">
        <v>143</v>
      </c>
      <c r="D251" s="321">
        <v>0</v>
      </c>
      <c r="E251" s="335">
        <v>50</v>
      </c>
      <c r="F251" s="335">
        <v>25</v>
      </c>
      <c r="G251" s="194"/>
      <c r="H251" s="618">
        <f t="shared" si="55"/>
        <v>75</v>
      </c>
      <c r="I251" s="619">
        <f>'INVENTORY INPUT'!G194</f>
        <v>0</v>
      </c>
      <c r="J251" s="618">
        <f t="shared" si="56"/>
        <v>75</v>
      </c>
      <c r="K251" s="701">
        <v>1.44</v>
      </c>
      <c r="L251" s="707">
        <f t="shared" si="57"/>
        <v>108</v>
      </c>
      <c r="M251" s="708">
        <f t="shared" si="58"/>
        <v>0</v>
      </c>
      <c r="N251" s="704">
        <f t="shared" si="59"/>
        <v>108</v>
      </c>
    </row>
    <row r="252" spans="2:15" ht="15" customHeight="1" thickBot="1" x14ac:dyDescent="0.3">
      <c r="B252" s="128" t="s">
        <v>391</v>
      </c>
      <c r="C252" s="16" t="s">
        <v>143</v>
      </c>
      <c r="D252" s="321">
        <v>18</v>
      </c>
      <c r="E252" s="335"/>
      <c r="F252" s="335"/>
      <c r="G252" s="194"/>
      <c r="H252" s="618">
        <f t="shared" si="55"/>
        <v>18</v>
      </c>
      <c r="I252" s="619">
        <f>'INVENTORY INPUT'!G195</f>
        <v>0</v>
      </c>
      <c r="J252" s="618">
        <f t="shared" si="56"/>
        <v>18</v>
      </c>
      <c r="K252" s="701">
        <f>27.29/50</f>
        <v>0.54579999999999995</v>
      </c>
      <c r="L252" s="707">
        <f t="shared" si="57"/>
        <v>9.8243999999999989</v>
      </c>
      <c r="M252" s="708">
        <f t="shared" si="58"/>
        <v>0</v>
      </c>
      <c r="N252" s="704">
        <f t="shared" si="59"/>
        <v>0</v>
      </c>
    </row>
    <row r="253" spans="2:15" ht="15" customHeight="1" thickBot="1" x14ac:dyDescent="0.3">
      <c r="B253" s="128" t="s">
        <v>234</v>
      </c>
      <c r="C253" s="16" t="s">
        <v>141</v>
      </c>
      <c r="D253" s="237">
        <v>1.5</v>
      </c>
      <c r="E253" s="335"/>
      <c r="F253" s="335"/>
      <c r="G253" s="194"/>
      <c r="H253" s="618">
        <f t="shared" si="55"/>
        <v>1.5</v>
      </c>
      <c r="I253" s="619">
        <f>'INVENTORY INPUT'!G196</f>
        <v>0</v>
      </c>
      <c r="J253" s="618">
        <f t="shared" si="56"/>
        <v>1.5</v>
      </c>
      <c r="K253" s="701">
        <f>25.48/4</f>
        <v>6.37</v>
      </c>
      <c r="L253" s="707">
        <f t="shared" si="57"/>
        <v>9.5549999999999997</v>
      </c>
      <c r="M253" s="708">
        <f t="shared" si="58"/>
        <v>0</v>
      </c>
      <c r="N253" s="704">
        <f t="shared" si="59"/>
        <v>0</v>
      </c>
    </row>
    <row r="254" spans="2:15" ht="15" customHeight="1" thickBot="1" x14ac:dyDescent="0.3">
      <c r="B254" s="128" t="s">
        <v>83</v>
      </c>
      <c r="C254" s="116" t="s">
        <v>143</v>
      </c>
      <c r="D254" s="237">
        <v>36</v>
      </c>
      <c r="E254" s="335">
        <v>120</v>
      </c>
      <c r="F254" s="335">
        <v>120</v>
      </c>
      <c r="G254" s="194"/>
      <c r="H254" s="618">
        <f t="shared" si="55"/>
        <v>276</v>
      </c>
      <c r="I254" s="619">
        <f>'INVENTORY INPUT'!G197</f>
        <v>0</v>
      </c>
      <c r="J254" s="618">
        <f t="shared" si="56"/>
        <v>276</v>
      </c>
      <c r="K254" s="701">
        <v>2.84</v>
      </c>
      <c r="L254" s="707">
        <f t="shared" si="57"/>
        <v>783.83999999999992</v>
      </c>
      <c r="M254" s="708">
        <f t="shared" si="58"/>
        <v>0</v>
      </c>
      <c r="N254" s="704">
        <f t="shared" si="59"/>
        <v>681.59999999999991</v>
      </c>
    </row>
    <row r="255" spans="2:15" ht="15" customHeight="1" thickBot="1" x14ac:dyDescent="0.3">
      <c r="B255" s="128" t="s">
        <v>336</v>
      </c>
      <c r="C255" s="16" t="s">
        <v>143</v>
      </c>
      <c r="D255" s="237">
        <v>15</v>
      </c>
      <c r="E255" s="335">
        <v>20</v>
      </c>
      <c r="F255" s="335">
        <v>20</v>
      </c>
      <c r="G255" s="194"/>
      <c r="H255" s="618">
        <f t="shared" si="55"/>
        <v>55</v>
      </c>
      <c r="I255" s="619">
        <f>'INVENTORY INPUT'!G198</f>
        <v>0</v>
      </c>
      <c r="J255" s="618">
        <f t="shared" si="56"/>
        <v>55</v>
      </c>
      <c r="K255" s="701">
        <f>25.65/25</f>
        <v>1.026</v>
      </c>
      <c r="L255" s="707">
        <f t="shared" si="57"/>
        <v>56.43</v>
      </c>
      <c r="M255" s="708">
        <f t="shared" si="58"/>
        <v>0</v>
      </c>
      <c r="N255" s="704">
        <f t="shared" si="59"/>
        <v>41.04</v>
      </c>
      <c r="O255" s="120"/>
    </row>
    <row r="256" spans="2:15" ht="15" customHeight="1" thickBot="1" x14ac:dyDescent="0.3">
      <c r="B256" s="128" t="s">
        <v>392</v>
      </c>
      <c r="C256" s="16" t="s">
        <v>143</v>
      </c>
      <c r="D256" s="237">
        <v>0.2</v>
      </c>
      <c r="E256" s="335"/>
      <c r="F256" s="335"/>
      <c r="G256" s="194"/>
      <c r="H256" s="618">
        <f t="shared" si="55"/>
        <v>0.2</v>
      </c>
      <c r="I256" s="619">
        <f>'INVENTORY INPUT'!G199</f>
        <v>0</v>
      </c>
      <c r="J256" s="618">
        <f t="shared" si="56"/>
        <v>0.2</v>
      </c>
      <c r="K256" s="701">
        <v>6.67</v>
      </c>
      <c r="L256" s="707">
        <f t="shared" si="57"/>
        <v>1.3340000000000001</v>
      </c>
      <c r="M256" s="708">
        <f t="shared" si="58"/>
        <v>0</v>
      </c>
      <c r="N256" s="704">
        <f t="shared" si="59"/>
        <v>0</v>
      </c>
    </row>
    <row r="257" spans="2:14" ht="15" customHeight="1" thickBot="1" x14ac:dyDescent="0.3">
      <c r="B257" s="652" t="s">
        <v>483</v>
      </c>
      <c r="C257" s="22" t="s">
        <v>449</v>
      </c>
      <c r="D257" s="237">
        <v>9</v>
      </c>
      <c r="E257" s="335"/>
      <c r="F257" s="335"/>
      <c r="G257" s="194"/>
      <c r="H257" s="618">
        <f t="shared" si="55"/>
        <v>9</v>
      </c>
      <c r="I257" s="619">
        <f>'INVENTORY INPUT'!G200</f>
        <v>0</v>
      </c>
      <c r="J257" s="618">
        <f t="shared" si="56"/>
        <v>9</v>
      </c>
      <c r="K257" s="701">
        <v>1.49</v>
      </c>
      <c r="L257" s="707">
        <f t="shared" si="57"/>
        <v>13.41</v>
      </c>
      <c r="M257" s="708">
        <f t="shared" si="58"/>
        <v>0</v>
      </c>
      <c r="N257" s="704">
        <f t="shared" si="59"/>
        <v>0</v>
      </c>
    </row>
    <row r="258" spans="2:14" ht="15" customHeight="1" thickBot="1" x14ac:dyDescent="0.3">
      <c r="B258" s="653"/>
      <c r="C258" s="16"/>
      <c r="D258" s="321">
        <v>0</v>
      </c>
      <c r="E258" s="335"/>
      <c r="F258" s="335"/>
      <c r="G258" s="194"/>
      <c r="H258" s="618">
        <f t="shared" si="55"/>
        <v>0</v>
      </c>
      <c r="I258" s="619" t="e">
        <f>'INVENTORY INPUT'!#REF!</f>
        <v>#REF!</v>
      </c>
      <c r="J258" s="618" t="e">
        <f t="shared" si="56"/>
        <v>#REF!</v>
      </c>
      <c r="K258" s="701">
        <v>0</v>
      </c>
      <c r="L258" s="707" t="e">
        <f t="shared" si="57"/>
        <v>#REF!</v>
      </c>
      <c r="M258" s="708" t="e">
        <f t="shared" si="58"/>
        <v>#REF!</v>
      </c>
      <c r="N258" s="704">
        <f t="shared" si="59"/>
        <v>0</v>
      </c>
    </row>
    <row r="259" spans="2:14" ht="15" customHeight="1" thickBot="1" x14ac:dyDescent="0.3">
      <c r="B259" s="653"/>
      <c r="C259" s="16"/>
      <c r="D259" s="321">
        <v>0</v>
      </c>
      <c r="E259" s="335"/>
      <c r="F259" s="335"/>
      <c r="G259" s="194"/>
      <c r="H259" s="618">
        <f t="shared" si="55"/>
        <v>0</v>
      </c>
      <c r="I259" s="619" t="e">
        <f>'INVENTORY INPUT'!#REF!</f>
        <v>#REF!</v>
      </c>
      <c r="J259" s="618" t="e">
        <f t="shared" si="56"/>
        <v>#REF!</v>
      </c>
      <c r="K259" s="701"/>
      <c r="L259" s="707" t="e">
        <f t="shared" si="57"/>
        <v>#REF!</v>
      </c>
      <c r="M259" s="708" t="e">
        <f t="shared" si="58"/>
        <v>#REF!</v>
      </c>
      <c r="N259" s="704">
        <f t="shared" si="59"/>
        <v>0</v>
      </c>
    </row>
    <row r="260" spans="2:14" ht="15" customHeight="1" thickBot="1" x14ac:dyDescent="0.3">
      <c r="B260" s="654"/>
      <c r="C260" s="655"/>
      <c r="D260" s="621">
        <v>0</v>
      </c>
      <c r="E260" s="622"/>
      <c r="F260" s="622"/>
      <c r="G260" s="623"/>
      <c r="H260" s="618">
        <f t="shared" si="55"/>
        <v>0</v>
      </c>
      <c r="I260" s="619" t="e">
        <f>'INVENTORY INPUT'!#REF!</f>
        <v>#REF!</v>
      </c>
      <c r="J260" s="618" t="e">
        <f t="shared" si="56"/>
        <v>#REF!</v>
      </c>
      <c r="K260" s="703"/>
      <c r="L260" s="707" t="e">
        <f t="shared" si="57"/>
        <v>#REF!</v>
      </c>
      <c r="M260" s="708" t="e">
        <f t="shared" si="58"/>
        <v>#REF!</v>
      </c>
      <c r="N260" s="704">
        <f t="shared" si="59"/>
        <v>0</v>
      </c>
    </row>
    <row r="261" spans="2:14" ht="15" customHeight="1" thickBot="1" x14ac:dyDescent="0.3">
      <c r="B261" s="380" t="s">
        <v>373</v>
      </c>
      <c r="C261" s="681" t="e">
        <f>SUM(M238:M258)</f>
        <v>#REF!</v>
      </c>
      <c r="D261" s="611"/>
      <c r="E261" s="682"/>
      <c r="F261" s="683"/>
      <c r="G261" s="684"/>
      <c r="H261" s="267"/>
      <c r="I261" s="267"/>
      <c r="J261" s="267"/>
      <c r="K261" s="267"/>
      <c r="L261" s="162" t="e">
        <f>SUM(L238:L260)</f>
        <v>#REF!</v>
      </c>
      <c r="M261" s="174" t="e">
        <f>SUM(M238:M260)</f>
        <v>#REF!</v>
      </c>
      <c r="N261" s="187">
        <f>SUM(N238:N260)</f>
        <v>1543.4899999999998</v>
      </c>
    </row>
    <row r="262" spans="2:14" ht="15" customHeight="1" thickTop="1" thickBot="1" x14ac:dyDescent="0.3">
      <c r="D262" s="277"/>
      <c r="E262" s="254"/>
      <c r="F262" s="254"/>
      <c r="G262" s="190"/>
      <c r="H262" s="7"/>
      <c r="I262" s="8"/>
      <c r="J262" s="7"/>
      <c r="K262" s="7"/>
    </row>
    <row r="263" spans="2:14" ht="15" customHeight="1" thickTop="1" thickBot="1" x14ac:dyDescent="0.3">
      <c r="B263" s="601" t="s">
        <v>287</v>
      </c>
      <c r="C263" s="602"/>
      <c r="D263" s="603"/>
      <c r="E263" s="603"/>
      <c r="F263" s="603"/>
      <c r="G263" s="657"/>
      <c r="H263" s="606"/>
      <c r="I263" s="606"/>
      <c r="J263" s="606"/>
      <c r="K263" s="606"/>
      <c r="L263" s="686" t="s">
        <v>166</v>
      </c>
      <c r="M263" s="608" t="s">
        <v>166</v>
      </c>
      <c r="N263" s="609" t="s">
        <v>166</v>
      </c>
    </row>
    <row r="264" spans="2:14" ht="15" customHeight="1" thickBot="1" x14ac:dyDescent="0.3">
      <c r="B264" s="613" t="s">
        <v>236</v>
      </c>
      <c r="C264" s="614" t="s">
        <v>143</v>
      </c>
      <c r="D264" s="687">
        <v>59</v>
      </c>
      <c r="E264" s="688"/>
      <c r="F264" s="688"/>
      <c r="G264" s="689"/>
      <c r="H264" s="690"/>
      <c r="I264" s="619" t="e">
        <f>'INVENTORY INPUT'!#REF!</f>
        <v>#REF!</v>
      </c>
      <c r="J264" s="618" t="e">
        <f t="shared" ref="J264:J280" si="60">H264-I264</f>
        <v>#REF!</v>
      </c>
      <c r="K264" s="691">
        <v>0.67</v>
      </c>
      <c r="L264" s="707" t="e">
        <f t="shared" ref="L264:L280" si="61">K264*J264</f>
        <v>#REF!</v>
      </c>
      <c r="M264" s="708" t="e">
        <f t="shared" ref="M264:M280" si="62">K264*I264</f>
        <v>#REF!</v>
      </c>
      <c r="N264" s="704"/>
    </row>
    <row r="265" spans="2:14" ht="15" customHeight="1" thickBot="1" x14ac:dyDescent="0.3">
      <c r="B265" s="128" t="s">
        <v>239</v>
      </c>
      <c r="C265" s="54" t="s">
        <v>141</v>
      </c>
      <c r="D265" s="280">
        <v>19</v>
      </c>
      <c r="E265" s="255"/>
      <c r="F265" s="255"/>
      <c r="G265" s="239"/>
      <c r="H265" s="57"/>
      <c r="I265" s="619" t="e">
        <f>'INVENTORY INPUT'!#REF!</f>
        <v>#REF!</v>
      </c>
      <c r="J265" s="618" t="e">
        <f t="shared" si="60"/>
        <v>#REF!</v>
      </c>
      <c r="K265" s="691">
        <v>2.33</v>
      </c>
      <c r="L265" s="707" t="e">
        <f t="shared" si="61"/>
        <v>#REF!</v>
      </c>
      <c r="M265" s="708" t="e">
        <f t="shared" si="62"/>
        <v>#REF!</v>
      </c>
      <c r="N265" s="713"/>
    </row>
    <row r="266" spans="2:14" ht="15" customHeight="1" thickBot="1" x14ac:dyDescent="0.3">
      <c r="B266" s="128" t="s">
        <v>342</v>
      </c>
      <c r="C266" s="55" t="s">
        <v>143</v>
      </c>
      <c r="D266" s="280">
        <v>0</v>
      </c>
      <c r="E266" s="255"/>
      <c r="F266" s="255"/>
      <c r="G266" s="239"/>
      <c r="H266" s="57"/>
      <c r="I266" s="619" t="e">
        <f>'INVENTORY INPUT'!#REF!</f>
        <v>#REF!</v>
      </c>
      <c r="J266" s="618" t="e">
        <f t="shared" si="60"/>
        <v>#REF!</v>
      </c>
      <c r="K266" s="691">
        <v>0.97</v>
      </c>
      <c r="L266" s="707" t="e">
        <f t="shared" si="61"/>
        <v>#REF!</v>
      </c>
      <c r="M266" s="708" t="e">
        <f t="shared" si="62"/>
        <v>#REF!</v>
      </c>
      <c r="N266" s="713"/>
    </row>
    <row r="267" spans="2:14" ht="15" customHeight="1" thickBot="1" x14ac:dyDescent="0.3">
      <c r="B267" s="382" t="s">
        <v>50</v>
      </c>
      <c r="C267" s="55" t="s">
        <v>238</v>
      </c>
      <c r="D267" s="280">
        <v>0.16666666666666666</v>
      </c>
      <c r="E267" s="255"/>
      <c r="F267" s="255"/>
      <c r="G267" s="239"/>
      <c r="H267" s="57"/>
      <c r="I267" s="619" t="e">
        <f>'INVENTORY INPUT'!#REF!</f>
        <v>#REF!</v>
      </c>
      <c r="J267" s="618" t="e">
        <f t="shared" si="60"/>
        <v>#REF!</v>
      </c>
      <c r="K267" s="691">
        <v>4.32</v>
      </c>
      <c r="L267" s="707" t="e">
        <f t="shared" si="61"/>
        <v>#REF!</v>
      </c>
      <c r="M267" s="708" t="e">
        <f t="shared" si="62"/>
        <v>#REF!</v>
      </c>
      <c r="N267" s="713"/>
    </row>
    <row r="268" spans="2:14" ht="15" customHeight="1" thickBot="1" x14ac:dyDescent="0.3">
      <c r="B268" s="141" t="s">
        <v>906</v>
      </c>
      <c r="C268" s="82" t="s">
        <v>141</v>
      </c>
      <c r="D268" s="280">
        <v>0</v>
      </c>
      <c r="E268" s="255"/>
      <c r="F268" s="255"/>
      <c r="G268" s="239"/>
      <c r="H268" s="57"/>
      <c r="I268" s="619" t="e">
        <f>'INVENTORY INPUT'!#REF!</f>
        <v>#REF!</v>
      </c>
      <c r="J268" s="618" t="e">
        <f t="shared" si="60"/>
        <v>#REF!</v>
      </c>
      <c r="K268" s="691">
        <v>0.45</v>
      </c>
      <c r="L268" s="707" t="e">
        <f t="shared" si="61"/>
        <v>#REF!</v>
      </c>
      <c r="M268" s="708" t="e">
        <f t="shared" si="62"/>
        <v>#REF!</v>
      </c>
      <c r="N268" s="713"/>
    </row>
    <row r="269" spans="2:14" ht="15" customHeight="1" thickBot="1" x14ac:dyDescent="0.3">
      <c r="B269" s="141" t="s">
        <v>546</v>
      </c>
      <c r="C269" s="127"/>
      <c r="D269" s="280">
        <v>2</v>
      </c>
      <c r="E269" s="255"/>
      <c r="F269" s="255"/>
      <c r="G269" s="239"/>
      <c r="H269" s="57"/>
      <c r="I269" s="619" t="e">
        <f>'INVENTORY INPUT'!#REF!</f>
        <v>#REF!</v>
      </c>
      <c r="J269" s="618" t="e">
        <f t="shared" si="60"/>
        <v>#REF!</v>
      </c>
      <c r="K269" s="691">
        <v>4.28</v>
      </c>
      <c r="L269" s="707" t="e">
        <f t="shared" si="61"/>
        <v>#REF!</v>
      </c>
      <c r="M269" s="708" t="e">
        <f t="shared" si="62"/>
        <v>#REF!</v>
      </c>
      <c r="N269" s="713"/>
    </row>
    <row r="270" spans="2:14" ht="15" customHeight="1" thickBot="1" x14ac:dyDescent="0.3">
      <c r="B270" s="692" t="s">
        <v>72</v>
      </c>
      <c r="C270" s="55" t="s">
        <v>240</v>
      </c>
      <c r="D270" s="280">
        <v>0</v>
      </c>
      <c r="E270" s="255"/>
      <c r="F270" s="255"/>
      <c r="G270" s="239"/>
      <c r="H270" s="57"/>
      <c r="I270" s="619" t="e">
        <f>'INVENTORY INPUT'!#REF!</f>
        <v>#REF!</v>
      </c>
      <c r="J270" s="618" t="e">
        <f t="shared" si="60"/>
        <v>#REF!</v>
      </c>
      <c r="K270" s="691">
        <v>0.67</v>
      </c>
      <c r="L270" s="707" t="e">
        <f t="shared" si="61"/>
        <v>#REF!</v>
      </c>
      <c r="M270" s="708" t="e">
        <f t="shared" si="62"/>
        <v>#REF!</v>
      </c>
      <c r="N270" s="713"/>
    </row>
    <row r="271" spans="2:14" ht="15" customHeight="1" thickBot="1" x14ac:dyDescent="0.3">
      <c r="B271" s="692" t="s">
        <v>73</v>
      </c>
      <c r="C271" s="145"/>
      <c r="D271" s="281">
        <v>0</v>
      </c>
      <c r="E271" s="256"/>
      <c r="F271" s="256"/>
      <c r="G271" s="192"/>
      <c r="H271" s="56"/>
      <c r="I271" s="619" t="e">
        <f>'INVENTORY INPUT'!#REF!</f>
        <v>#REF!</v>
      </c>
      <c r="J271" s="618" t="e">
        <f t="shared" si="60"/>
        <v>#REF!</v>
      </c>
      <c r="K271" s="691">
        <v>0.67</v>
      </c>
      <c r="L271" s="707" t="e">
        <f t="shared" si="61"/>
        <v>#REF!</v>
      </c>
      <c r="M271" s="708" t="e">
        <f t="shared" si="62"/>
        <v>#REF!</v>
      </c>
      <c r="N271" s="705"/>
    </row>
    <row r="272" spans="2:14" ht="15" customHeight="1" thickBot="1" x14ac:dyDescent="0.3">
      <c r="B272" s="692" t="s">
        <v>74</v>
      </c>
      <c r="C272" s="127"/>
      <c r="D272" s="281">
        <v>0</v>
      </c>
      <c r="E272" s="255"/>
      <c r="F272" s="255"/>
      <c r="G272" s="191"/>
      <c r="H272" s="56"/>
      <c r="I272" s="619" t="e">
        <f>'INVENTORY INPUT'!#REF!</f>
        <v>#REF!</v>
      </c>
      <c r="J272" s="618" t="e">
        <f t="shared" si="60"/>
        <v>#REF!</v>
      </c>
      <c r="K272" s="691">
        <v>0.67</v>
      </c>
      <c r="L272" s="707" t="e">
        <f t="shared" si="61"/>
        <v>#REF!</v>
      </c>
      <c r="M272" s="708" t="e">
        <f t="shared" si="62"/>
        <v>#REF!</v>
      </c>
      <c r="N272" s="705"/>
    </row>
    <row r="273" spans="1:14" ht="15" customHeight="1" thickBot="1" x14ac:dyDescent="0.3">
      <c r="B273" s="692" t="s">
        <v>75</v>
      </c>
      <c r="C273" s="145"/>
      <c r="D273" s="281">
        <v>0</v>
      </c>
      <c r="E273" s="256"/>
      <c r="F273" s="256"/>
      <c r="G273" s="192"/>
      <c r="H273" s="56"/>
      <c r="I273" s="619" t="e">
        <f>'INVENTORY INPUT'!#REF!</f>
        <v>#REF!</v>
      </c>
      <c r="J273" s="618" t="e">
        <f t="shared" si="60"/>
        <v>#REF!</v>
      </c>
      <c r="K273" s="691">
        <v>0.67</v>
      </c>
      <c r="L273" s="707" t="e">
        <f t="shared" si="61"/>
        <v>#REF!</v>
      </c>
      <c r="M273" s="708" t="e">
        <f t="shared" si="62"/>
        <v>#REF!</v>
      </c>
      <c r="N273" s="705"/>
    </row>
    <row r="274" spans="1:14" ht="15" customHeight="1" thickBot="1" x14ac:dyDescent="0.3">
      <c r="B274" s="692"/>
      <c r="C274" s="145"/>
      <c r="D274" s="281">
        <v>0</v>
      </c>
      <c r="E274" s="256"/>
      <c r="F274" s="256"/>
      <c r="G274" s="192"/>
      <c r="H274" s="56"/>
      <c r="I274" s="619" t="e">
        <f>'INVENTORY INPUT'!#REF!</f>
        <v>#REF!</v>
      </c>
      <c r="J274" s="618" t="e">
        <f t="shared" si="60"/>
        <v>#REF!</v>
      </c>
      <c r="K274" s="691">
        <v>0.67</v>
      </c>
      <c r="L274" s="707" t="e">
        <f t="shared" si="61"/>
        <v>#REF!</v>
      </c>
      <c r="M274" s="708" t="e">
        <f t="shared" si="62"/>
        <v>#REF!</v>
      </c>
      <c r="N274" s="705"/>
    </row>
    <row r="275" spans="1:14" ht="15" customHeight="1" thickBot="1" x14ac:dyDescent="0.3">
      <c r="B275" s="692"/>
      <c r="C275" s="145"/>
      <c r="D275" s="281">
        <v>0</v>
      </c>
      <c r="E275" s="256"/>
      <c r="F275" s="256"/>
      <c r="G275" s="192"/>
      <c r="H275" s="56"/>
      <c r="I275" s="619" t="e">
        <f>'INVENTORY INPUT'!#REF!</f>
        <v>#REF!</v>
      </c>
      <c r="J275" s="618" t="e">
        <f t="shared" si="60"/>
        <v>#REF!</v>
      </c>
      <c r="K275" s="691">
        <v>0.67</v>
      </c>
      <c r="L275" s="707" t="e">
        <f t="shared" si="61"/>
        <v>#REF!</v>
      </c>
      <c r="M275" s="708" t="e">
        <f t="shared" si="62"/>
        <v>#REF!</v>
      </c>
      <c r="N275" s="705"/>
    </row>
    <row r="276" spans="1:14" ht="15" customHeight="1" thickBot="1" x14ac:dyDescent="0.3">
      <c r="B276" s="692"/>
      <c r="C276" s="145"/>
      <c r="D276" s="281">
        <v>0</v>
      </c>
      <c r="E276" s="256"/>
      <c r="F276" s="256"/>
      <c r="G276" s="192"/>
      <c r="H276" s="56"/>
      <c r="I276" s="619" t="e">
        <f>'INVENTORY INPUT'!#REF!</f>
        <v>#REF!</v>
      </c>
      <c r="J276" s="618" t="e">
        <f t="shared" si="60"/>
        <v>#REF!</v>
      </c>
      <c r="K276" s="691">
        <v>0.67</v>
      </c>
      <c r="L276" s="707" t="e">
        <f t="shared" si="61"/>
        <v>#REF!</v>
      </c>
      <c r="M276" s="708" t="e">
        <f t="shared" si="62"/>
        <v>#REF!</v>
      </c>
      <c r="N276" s="705"/>
    </row>
    <row r="277" spans="1:14" ht="15" customHeight="1" thickBot="1" x14ac:dyDescent="0.3">
      <c r="B277" s="693"/>
      <c r="C277" s="127"/>
      <c r="D277" s="281">
        <v>0</v>
      </c>
      <c r="E277" s="255"/>
      <c r="F277" s="255"/>
      <c r="G277" s="191"/>
      <c r="H277" s="56"/>
      <c r="I277" s="619" t="e">
        <f>'INVENTORY INPUT'!#REF!</f>
        <v>#REF!</v>
      </c>
      <c r="J277" s="618" t="e">
        <f t="shared" si="60"/>
        <v>#REF!</v>
      </c>
      <c r="K277" s="691">
        <v>0.67</v>
      </c>
      <c r="L277" s="707" t="e">
        <f t="shared" si="61"/>
        <v>#REF!</v>
      </c>
      <c r="M277" s="708" t="e">
        <f t="shared" si="62"/>
        <v>#REF!</v>
      </c>
      <c r="N277" s="705"/>
    </row>
    <row r="278" spans="1:14" ht="15" customHeight="1" thickBot="1" x14ac:dyDescent="0.3">
      <c r="B278" s="693"/>
      <c r="C278" s="127"/>
      <c r="D278" s="281">
        <v>0</v>
      </c>
      <c r="E278" s="255"/>
      <c r="F278" s="255"/>
      <c r="G278" s="191"/>
      <c r="H278" s="56"/>
      <c r="I278" s="619" t="e">
        <f>'INVENTORY INPUT'!#REF!</f>
        <v>#REF!</v>
      </c>
      <c r="J278" s="618" t="e">
        <f t="shared" si="60"/>
        <v>#REF!</v>
      </c>
      <c r="K278" s="691">
        <v>0.67</v>
      </c>
      <c r="L278" s="707" t="e">
        <f t="shared" si="61"/>
        <v>#REF!</v>
      </c>
      <c r="M278" s="708" t="e">
        <f t="shared" si="62"/>
        <v>#REF!</v>
      </c>
      <c r="N278" s="705"/>
    </row>
    <row r="279" spans="1:14" ht="15" customHeight="1" thickBot="1" x14ac:dyDescent="0.3">
      <c r="B279" s="693"/>
      <c r="C279" s="127"/>
      <c r="D279" s="281">
        <v>0</v>
      </c>
      <c r="E279" s="255"/>
      <c r="F279" s="255"/>
      <c r="G279" s="191"/>
      <c r="H279" s="56"/>
      <c r="I279" s="619" t="e">
        <f>'INVENTORY INPUT'!#REF!</f>
        <v>#REF!</v>
      </c>
      <c r="J279" s="618" t="e">
        <f t="shared" si="60"/>
        <v>#REF!</v>
      </c>
      <c r="K279" s="691">
        <v>0.67</v>
      </c>
      <c r="L279" s="707" t="e">
        <f t="shared" si="61"/>
        <v>#REF!</v>
      </c>
      <c r="M279" s="708" t="e">
        <f t="shared" si="62"/>
        <v>#REF!</v>
      </c>
      <c r="N279" s="705"/>
    </row>
    <row r="280" spans="1:14" ht="15" customHeight="1" thickBot="1" x14ac:dyDescent="0.3">
      <c r="B280" s="694"/>
      <c r="C280" s="695"/>
      <c r="D280" s="696">
        <v>0</v>
      </c>
      <c r="E280" s="697"/>
      <c r="F280" s="697"/>
      <c r="G280" s="698"/>
      <c r="H280" s="699"/>
      <c r="I280" s="619" t="e">
        <f>'INVENTORY INPUT'!#REF!</f>
        <v>#REF!</v>
      </c>
      <c r="J280" s="618" t="e">
        <f t="shared" si="60"/>
        <v>#REF!</v>
      </c>
      <c r="K280" s="712"/>
      <c r="L280" s="707" t="e">
        <f t="shared" si="61"/>
        <v>#REF!</v>
      </c>
      <c r="M280" s="708" t="e">
        <f t="shared" si="62"/>
        <v>#REF!</v>
      </c>
      <c r="N280" s="706"/>
    </row>
    <row r="281" spans="1:14" ht="15" customHeight="1" thickBot="1" x14ac:dyDescent="0.3">
      <c r="B281" s="380" t="s">
        <v>356</v>
      </c>
      <c r="C281" s="381" t="e">
        <f>SUM(M264:M273)</f>
        <v>#REF!</v>
      </c>
      <c r="D281" s="282"/>
      <c r="E281" s="685"/>
      <c r="F281" s="240"/>
      <c r="G281" s="240"/>
      <c r="H281" s="185"/>
      <c r="I281" s="185"/>
      <c r="J281" s="185"/>
      <c r="K281" s="185"/>
      <c r="L281" s="186" t="e">
        <f>SUM(L264:L280)</f>
        <v>#REF!</v>
      </c>
      <c r="M281" s="174" t="e">
        <f>SUM(M264:M280)</f>
        <v>#REF!</v>
      </c>
      <c r="N281" s="187"/>
    </row>
    <row r="282" spans="1:14" ht="13.5" customHeight="1" thickTop="1" thickBot="1" x14ac:dyDescent="0.3">
      <c r="A282" s="10"/>
      <c r="D282" s="277"/>
      <c r="E282" s="254"/>
      <c r="F282" s="254"/>
      <c r="G282" s="190"/>
      <c r="H282" s="9" t="s">
        <v>166</v>
      </c>
      <c r="I282" s="8"/>
      <c r="J282" s="9" t="s">
        <v>166</v>
      </c>
      <c r="K282" s="9"/>
      <c r="M282" s="170" t="s">
        <v>166</v>
      </c>
    </row>
    <row r="283" spans="1:14" ht="15" customHeight="1" thickTop="1" thickBot="1" x14ac:dyDescent="0.3">
      <c r="B283" s="632" t="s">
        <v>288</v>
      </c>
      <c r="C283" s="633"/>
      <c r="D283" s="634"/>
      <c r="E283" s="634"/>
      <c r="F283" s="634"/>
      <c r="G283" s="648"/>
      <c r="H283" s="637"/>
      <c r="I283" s="637"/>
      <c r="J283" s="637"/>
      <c r="K283" s="637"/>
      <c r="L283" s="607"/>
      <c r="M283" s="649" t="s">
        <v>166</v>
      </c>
      <c r="N283" s="650"/>
    </row>
    <row r="284" spans="1:14" ht="15" customHeight="1" thickBot="1" x14ac:dyDescent="0.3">
      <c r="B284" s="613" t="s">
        <v>431</v>
      </c>
      <c r="C284" s="614" t="s">
        <v>141</v>
      </c>
      <c r="D284" s="615">
        <v>0</v>
      </c>
      <c r="E284" s="616"/>
      <c r="F284" s="616"/>
      <c r="G284" s="617"/>
      <c r="H284" s="618">
        <f t="shared" ref="H284:H303" si="63">SUM(D284:F284)+G284</f>
        <v>0</v>
      </c>
      <c r="I284" s="619">
        <f>'INVENTORY INPUT'!G203</f>
        <v>0</v>
      </c>
      <c r="J284" s="618">
        <f t="shared" ref="J284:J303" si="64">H284-I284</f>
        <v>0</v>
      </c>
      <c r="K284" s="700">
        <v>0.52</v>
      </c>
      <c r="L284" s="707">
        <f t="shared" ref="L284:L303" si="65">K284*J284</f>
        <v>0</v>
      </c>
      <c r="M284" s="708">
        <f t="shared" ref="M284:M303" si="66">K284*I284</f>
        <v>0</v>
      </c>
      <c r="N284" s="704">
        <f t="shared" ref="N284:N303" si="67">SUM(E284:G284)*K284</f>
        <v>0</v>
      </c>
    </row>
    <row r="285" spans="1:14" ht="15" customHeight="1" thickBot="1" x14ac:dyDescent="0.3">
      <c r="B285" s="128" t="s">
        <v>241</v>
      </c>
      <c r="C285" s="16" t="s">
        <v>179</v>
      </c>
      <c r="D285" s="321">
        <v>1.33</v>
      </c>
      <c r="E285" s="335"/>
      <c r="F285" s="335"/>
      <c r="G285" s="194"/>
      <c r="H285" s="618">
        <f t="shared" si="63"/>
        <v>1.33</v>
      </c>
      <c r="I285" s="619">
        <f>'INVENTORY INPUT'!G204</f>
        <v>0</v>
      </c>
      <c r="J285" s="618">
        <f t="shared" si="64"/>
        <v>1.33</v>
      </c>
      <c r="K285" s="701">
        <v>10</v>
      </c>
      <c r="L285" s="707">
        <f t="shared" si="65"/>
        <v>13.3</v>
      </c>
      <c r="M285" s="708">
        <f t="shared" si="66"/>
        <v>0</v>
      </c>
      <c r="N285" s="704">
        <f t="shared" si="67"/>
        <v>0</v>
      </c>
    </row>
    <row r="286" spans="1:14" ht="15" customHeight="1" thickBot="1" x14ac:dyDescent="0.3">
      <c r="B286" s="128" t="s">
        <v>242</v>
      </c>
      <c r="C286" s="16" t="s">
        <v>178</v>
      </c>
      <c r="D286" s="321">
        <v>14.1</v>
      </c>
      <c r="E286" s="335"/>
      <c r="F286" s="335"/>
      <c r="G286" s="194"/>
      <c r="H286" s="618">
        <f t="shared" si="63"/>
        <v>14.1</v>
      </c>
      <c r="I286" s="619">
        <f>'INVENTORY INPUT'!G205</f>
        <v>0</v>
      </c>
      <c r="J286" s="618">
        <f t="shared" si="64"/>
        <v>14.1</v>
      </c>
      <c r="K286" s="701">
        <v>4.4000000000000004</v>
      </c>
      <c r="L286" s="707">
        <f t="shared" si="65"/>
        <v>62.040000000000006</v>
      </c>
      <c r="M286" s="708">
        <f t="shared" si="66"/>
        <v>0</v>
      </c>
      <c r="N286" s="704">
        <f t="shared" si="67"/>
        <v>0</v>
      </c>
    </row>
    <row r="287" spans="1:14" ht="15" customHeight="1" thickBot="1" x14ac:dyDescent="0.3">
      <c r="B287" s="128" t="s">
        <v>243</v>
      </c>
      <c r="C287" s="16" t="s">
        <v>141</v>
      </c>
      <c r="D287" s="321">
        <v>16</v>
      </c>
      <c r="E287" s="335"/>
      <c r="F287" s="335"/>
      <c r="G287" s="194"/>
      <c r="H287" s="618">
        <f t="shared" si="63"/>
        <v>16</v>
      </c>
      <c r="I287" s="619">
        <f>'INVENTORY INPUT'!G206</f>
        <v>0</v>
      </c>
      <c r="J287" s="618">
        <f t="shared" si="64"/>
        <v>16</v>
      </c>
      <c r="K287" s="701">
        <v>5.57</v>
      </c>
      <c r="L287" s="707">
        <f t="shared" si="65"/>
        <v>89.12</v>
      </c>
      <c r="M287" s="708">
        <f t="shared" si="66"/>
        <v>0</v>
      </c>
      <c r="N287" s="704">
        <f t="shared" si="67"/>
        <v>0</v>
      </c>
    </row>
    <row r="288" spans="1:14" ht="15" customHeight="1" thickBot="1" x14ac:dyDescent="0.3">
      <c r="B288" s="651" t="s">
        <v>244</v>
      </c>
      <c r="C288" s="16" t="s">
        <v>141</v>
      </c>
      <c r="D288" s="321">
        <v>13</v>
      </c>
      <c r="E288" s="335"/>
      <c r="F288" s="335"/>
      <c r="G288" s="194"/>
      <c r="H288" s="618">
        <f t="shared" si="63"/>
        <v>13</v>
      </c>
      <c r="I288" s="619">
        <f>'INVENTORY INPUT'!G207</f>
        <v>0</v>
      </c>
      <c r="J288" s="618">
        <f t="shared" si="64"/>
        <v>13</v>
      </c>
      <c r="K288" s="701">
        <v>5.5891599999999997</v>
      </c>
      <c r="L288" s="707">
        <f t="shared" si="65"/>
        <v>72.659079999999989</v>
      </c>
      <c r="M288" s="708">
        <f t="shared" si="66"/>
        <v>0</v>
      </c>
      <c r="N288" s="704">
        <f t="shared" si="67"/>
        <v>0</v>
      </c>
    </row>
    <row r="289" spans="1:14" ht="15" customHeight="1" thickBot="1" x14ac:dyDescent="0.3">
      <c r="B289" s="128" t="s">
        <v>248</v>
      </c>
      <c r="C289" s="16" t="s">
        <v>168</v>
      </c>
      <c r="D289" s="321">
        <v>0.75</v>
      </c>
      <c r="E289" s="335"/>
      <c r="F289" s="335"/>
      <c r="G289" s="194"/>
      <c r="H289" s="618">
        <f t="shared" si="63"/>
        <v>0.75</v>
      </c>
      <c r="I289" s="619">
        <f>'INVENTORY INPUT'!G208</f>
        <v>0</v>
      </c>
      <c r="J289" s="618">
        <f t="shared" si="64"/>
        <v>0.75</v>
      </c>
      <c r="K289" s="701">
        <v>11.4</v>
      </c>
      <c r="L289" s="707">
        <f t="shared" si="65"/>
        <v>8.5500000000000007</v>
      </c>
      <c r="M289" s="708">
        <f t="shared" si="66"/>
        <v>0</v>
      </c>
      <c r="N289" s="704">
        <f t="shared" si="67"/>
        <v>0</v>
      </c>
    </row>
    <row r="290" spans="1:14" ht="15" customHeight="1" thickBot="1" x14ac:dyDescent="0.3">
      <c r="B290" s="128" t="s">
        <v>249</v>
      </c>
      <c r="C290" s="16" t="s">
        <v>141</v>
      </c>
      <c r="D290" s="321">
        <v>3.75</v>
      </c>
      <c r="E290" s="335">
        <v>8</v>
      </c>
      <c r="F290" s="335"/>
      <c r="G290" s="194"/>
      <c r="H290" s="618">
        <f t="shared" si="63"/>
        <v>11.75</v>
      </c>
      <c r="I290" s="619">
        <f>'INVENTORY INPUT'!G209</f>
        <v>0</v>
      </c>
      <c r="J290" s="618">
        <f t="shared" si="64"/>
        <v>11.75</v>
      </c>
      <c r="K290" s="701">
        <v>3.48</v>
      </c>
      <c r="L290" s="707">
        <f t="shared" si="65"/>
        <v>40.89</v>
      </c>
      <c r="M290" s="708">
        <f t="shared" si="66"/>
        <v>0</v>
      </c>
      <c r="N290" s="704">
        <f t="shared" si="67"/>
        <v>27.84</v>
      </c>
    </row>
    <row r="291" spans="1:14" ht="15" customHeight="1" thickBot="1" x14ac:dyDescent="0.3">
      <c r="B291" s="128" t="s">
        <v>250</v>
      </c>
      <c r="C291" s="16" t="s">
        <v>141</v>
      </c>
      <c r="D291" s="321">
        <v>5.5</v>
      </c>
      <c r="E291" s="335">
        <v>8</v>
      </c>
      <c r="F291" s="335">
        <v>8</v>
      </c>
      <c r="G291" s="194"/>
      <c r="H291" s="618">
        <f t="shared" si="63"/>
        <v>21.5</v>
      </c>
      <c r="I291" s="619">
        <f>'INVENTORY INPUT'!G210</f>
        <v>0</v>
      </c>
      <c r="J291" s="618">
        <f t="shared" si="64"/>
        <v>21.5</v>
      </c>
      <c r="K291" s="701">
        <f>29.31/8</f>
        <v>3.6637499999999998</v>
      </c>
      <c r="L291" s="707">
        <f t="shared" si="65"/>
        <v>78.770624999999995</v>
      </c>
      <c r="M291" s="708">
        <f t="shared" si="66"/>
        <v>0</v>
      </c>
      <c r="N291" s="704">
        <f t="shared" si="67"/>
        <v>58.62</v>
      </c>
    </row>
    <row r="292" spans="1:14" ht="15" customHeight="1" thickBot="1" x14ac:dyDescent="0.3">
      <c r="B292" s="128" t="s">
        <v>251</v>
      </c>
      <c r="C292" s="16" t="s">
        <v>178</v>
      </c>
      <c r="D292" s="321">
        <v>5.9</v>
      </c>
      <c r="E292" s="335"/>
      <c r="F292" s="335"/>
      <c r="G292" s="194"/>
      <c r="H292" s="618">
        <f t="shared" si="63"/>
        <v>5.9</v>
      </c>
      <c r="I292" s="619">
        <f>'INVENTORY INPUT'!G211</f>
        <v>0</v>
      </c>
      <c r="J292" s="618">
        <f t="shared" si="64"/>
        <v>5.9</v>
      </c>
      <c r="K292" s="701">
        <v>1.88</v>
      </c>
      <c r="L292" s="707">
        <f t="shared" si="65"/>
        <v>11.092000000000001</v>
      </c>
      <c r="M292" s="708">
        <f t="shared" si="66"/>
        <v>0</v>
      </c>
      <c r="N292" s="704">
        <f t="shared" si="67"/>
        <v>0</v>
      </c>
    </row>
    <row r="293" spans="1:14" ht="15" customHeight="1" thickBot="1" x14ac:dyDescent="0.3">
      <c r="B293" s="128" t="s">
        <v>252</v>
      </c>
      <c r="C293" s="16" t="s">
        <v>184</v>
      </c>
      <c r="D293" s="321">
        <v>8</v>
      </c>
      <c r="E293" s="335"/>
      <c r="F293" s="335"/>
      <c r="G293" s="194"/>
      <c r="H293" s="618">
        <f t="shared" si="63"/>
        <v>8</v>
      </c>
      <c r="I293" s="619">
        <f>'INVENTORY INPUT'!G212</f>
        <v>0</v>
      </c>
      <c r="J293" s="618">
        <f t="shared" si="64"/>
        <v>8</v>
      </c>
      <c r="K293" s="701">
        <f>4.5/12</f>
        <v>0.375</v>
      </c>
      <c r="L293" s="707">
        <f t="shared" si="65"/>
        <v>3</v>
      </c>
      <c r="M293" s="708">
        <f t="shared" si="66"/>
        <v>0</v>
      </c>
      <c r="N293" s="704">
        <f t="shared" si="67"/>
        <v>0</v>
      </c>
    </row>
    <row r="294" spans="1:14" ht="15" customHeight="1" thickBot="1" x14ac:dyDescent="0.3">
      <c r="A294" s="10"/>
      <c r="B294" s="128" t="s">
        <v>253</v>
      </c>
      <c r="C294" s="16" t="s">
        <v>141</v>
      </c>
      <c r="D294" s="321">
        <v>8.3000000000000007</v>
      </c>
      <c r="E294" s="335"/>
      <c r="F294" s="335"/>
      <c r="G294" s="194"/>
      <c r="H294" s="618">
        <f t="shared" si="63"/>
        <v>8.3000000000000007</v>
      </c>
      <c r="I294" s="619">
        <f>'INVENTORY INPUT'!G213</f>
        <v>0</v>
      </c>
      <c r="J294" s="618">
        <f t="shared" si="64"/>
        <v>8.3000000000000007</v>
      </c>
      <c r="K294" s="701">
        <v>9.94</v>
      </c>
      <c r="L294" s="707">
        <f t="shared" si="65"/>
        <v>82.50200000000001</v>
      </c>
      <c r="M294" s="708">
        <f t="shared" si="66"/>
        <v>0</v>
      </c>
      <c r="N294" s="704">
        <f t="shared" si="67"/>
        <v>0</v>
      </c>
    </row>
    <row r="295" spans="1:14" ht="15" customHeight="1" thickBot="1" x14ac:dyDescent="0.3">
      <c r="B295" s="128" t="s">
        <v>254</v>
      </c>
      <c r="C295" s="50" t="s">
        <v>179</v>
      </c>
      <c r="D295" s="321">
        <v>4</v>
      </c>
      <c r="E295" s="335"/>
      <c r="F295" s="335"/>
      <c r="G295" s="194"/>
      <c r="H295" s="618">
        <f t="shared" si="63"/>
        <v>4</v>
      </c>
      <c r="I295" s="619">
        <f>'INVENTORY INPUT'!G214</f>
        <v>0</v>
      </c>
      <c r="J295" s="618">
        <f t="shared" si="64"/>
        <v>4</v>
      </c>
      <c r="K295" s="701">
        <f>41.23/3</f>
        <v>13.743333333333332</v>
      </c>
      <c r="L295" s="707">
        <f t="shared" si="65"/>
        <v>54.973333333333329</v>
      </c>
      <c r="M295" s="708">
        <f t="shared" si="66"/>
        <v>0</v>
      </c>
      <c r="N295" s="704">
        <f t="shared" si="67"/>
        <v>0</v>
      </c>
    </row>
    <row r="296" spans="1:14" ht="15" customHeight="1" thickBot="1" x14ac:dyDescent="0.3">
      <c r="B296" s="382" t="s">
        <v>5</v>
      </c>
      <c r="C296" s="16" t="s">
        <v>141</v>
      </c>
      <c r="D296" s="321">
        <v>0</v>
      </c>
      <c r="E296" s="335"/>
      <c r="F296" s="335"/>
      <c r="G296" s="194"/>
      <c r="H296" s="618">
        <f t="shared" si="63"/>
        <v>0</v>
      </c>
      <c r="I296" s="619">
        <f>'INVENTORY INPUT'!G215</f>
        <v>0</v>
      </c>
      <c r="J296" s="618">
        <f t="shared" si="64"/>
        <v>0</v>
      </c>
      <c r="K296" s="701">
        <v>7.79</v>
      </c>
      <c r="L296" s="707">
        <f t="shared" si="65"/>
        <v>0</v>
      </c>
      <c r="M296" s="708">
        <f t="shared" si="66"/>
        <v>0</v>
      </c>
      <c r="N296" s="704">
        <f t="shared" si="67"/>
        <v>0</v>
      </c>
    </row>
    <row r="297" spans="1:14" ht="15" customHeight="1" thickBot="1" x14ac:dyDescent="0.3">
      <c r="B297" s="652" t="s">
        <v>27</v>
      </c>
      <c r="C297" s="51" t="s">
        <v>141</v>
      </c>
      <c r="D297" s="321">
        <v>4.5</v>
      </c>
      <c r="E297" s="335">
        <v>6</v>
      </c>
      <c r="F297" s="335"/>
      <c r="G297" s="194"/>
      <c r="H297" s="618">
        <f t="shared" si="63"/>
        <v>10.5</v>
      </c>
      <c r="I297" s="619">
        <f>'INVENTORY INPUT'!G216</f>
        <v>0</v>
      </c>
      <c r="J297" s="618">
        <f t="shared" si="64"/>
        <v>10.5</v>
      </c>
      <c r="K297" s="701">
        <v>3.03</v>
      </c>
      <c r="L297" s="707">
        <f t="shared" si="65"/>
        <v>31.814999999999998</v>
      </c>
      <c r="M297" s="708">
        <f t="shared" si="66"/>
        <v>0</v>
      </c>
      <c r="N297" s="704">
        <f t="shared" si="67"/>
        <v>18.18</v>
      </c>
    </row>
    <row r="298" spans="1:14" ht="15" customHeight="1" thickBot="1" x14ac:dyDescent="0.3">
      <c r="B298" s="652" t="s">
        <v>223</v>
      </c>
      <c r="C298" s="51" t="s">
        <v>141</v>
      </c>
      <c r="D298" s="321">
        <v>13.1</v>
      </c>
      <c r="E298" s="335"/>
      <c r="F298" s="335"/>
      <c r="G298" s="194"/>
      <c r="H298" s="618">
        <f t="shared" si="63"/>
        <v>13.1</v>
      </c>
      <c r="I298" s="619">
        <f>'INVENTORY INPUT'!G217</f>
        <v>0</v>
      </c>
      <c r="J298" s="618">
        <f t="shared" si="64"/>
        <v>13.1</v>
      </c>
      <c r="K298" s="701">
        <f>70.81/12</f>
        <v>5.9008333333333338</v>
      </c>
      <c r="L298" s="707">
        <f t="shared" si="65"/>
        <v>77.300916666666666</v>
      </c>
      <c r="M298" s="708">
        <f t="shared" si="66"/>
        <v>0</v>
      </c>
      <c r="N298" s="704">
        <f t="shared" si="67"/>
        <v>0</v>
      </c>
    </row>
    <row r="299" spans="1:14" ht="15" customHeight="1" thickBot="1" x14ac:dyDescent="0.3">
      <c r="B299" s="382" t="s">
        <v>38</v>
      </c>
      <c r="C299" s="116" t="s">
        <v>39</v>
      </c>
      <c r="D299" s="321">
        <v>2.5</v>
      </c>
      <c r="E299" s="335">
        <v>12</v>
      </c>
      <c r="F299" s="335"/>
      <c r="G299" s="194"/>
      <c r="H299" s="618">
        <f t="shared" si="63"/>
        <v>14.5</v>
      </c>
      <c r="I299" s="619">
        <f>'INVENTORY INPUT'!G218</f>
        <v>0</v>
      </c>
      <c r="J299" s="618">
        <f t="shared" si="64"/>
        <v>14.5</v>
      </c>
      <c r="K299" s="701">
        <v>2.0099999999999998</v>
      </c>
      <c r="L299" s="707">
        <f t="shared" si="65"/>
        <v>29.144999999999996</v>
      </c>
      <c r="M299" s="708">
        <f t="shared" si="66"/>
        <v>0</v>
      </c>
      <c r="N299" s="704">
        <f t="shared" si="67"/>
        <v>24.119999999999997</v>
      </c>
    </row>
    <row r="300" spans="1:14" ht="15" customHeight="1" thickBot="1" x14ac:dyDescent="0.3">
      <c r="B300" s="382" t="s">
        <v>42</v>
      </c>
      <c r="C300" s="116" t="s">
        <v>140</v>
      </c>
      <c r="D300" s="321">
        <v>0</v>
      </c>
      <c r="E300" s="335">
        <v>10</v>
      </c>
      <c r="F300" s="335"/>
      <c r="G300" s="194"/>
      <c r="H300" s="618">
        <f t="shared" si="63"/>
        <v>10</v>
      </c>
      <c r="I300" s="619">
        <f>'INVENTORY INPUT'!G219</f>
        <v>0</v>
      </c>
      <c r="J300" s="618">
        <f t="shared" si="64"/>
        <v>10</v>
      </c>
      <c r="K300" s="701">
        <v>6.86</v>
      </c>
      <c r="L300" s="707">
        <f t="shared" si="65"/>
        <v>68.600000000000009</v>
      </c>
      <c r="M300" s="708">
        <f t="shared" si="66"/>
        <v>0</v>
      </c>
      <c r="N300" s="704">
        <f t="shared" si="67"/>
        <v>68.600000000000009</v>
      </c>
    </row>
    <row r="301" spans="1:14" ht="15" customHeight="1" thickBot="1" x14ac:dyDescent="0.3">
      <c r="B301" s="652" t="s">
        <v>43</v>
      </c>
      <c r="C301" s="22" t="s">
        <v>141</v>
      </c>
      <c r="D301" s="324">
        <v>0.9</v>
      </c>
      <c r="E301" s="378"/>
      <c r="F301" s="378"/>
      <c r="G301" s="197"/>
      <c r="H301" s="618">
        <f t="shared" si="63"/>
        <v>0.9</v>
      </c>
      <c r="I301" s="619">
        <f>'INVENTORY INPUT'!G220</f>
        <v>0</v>
      </c>
      <c r="J301" s="618">
        <f t="shared" si="64"/>
        <v>0.9</v>
      </c>
      <c r="K301" s="702">
        <f>31.35/4</f>
        <v>7.8375000000000004</v>
      </c>
      <c r="L301" s="707">
        <f t="shared" si="65"/>
        <v>7.0537500000000009</v>
      </c>
      <c r="M301" s="708">
        <f t="shared" si="66"/>
        <v>0</v>
      </c>
      <c r="N301" s="704">
        <f t="shared" si="67"/>
        <v>0</v>
      </c>
    </row>
    <row r="302" spans="1:14" ht="15" customHeight="1" thickBot="1" x14ac:dyDescent="0.3">
      <c r="B302" s="653"/>
      <c r="C302" s="16"/>
      <c r="D302" s="321">
        <v>0</v>
      </c>
      <c r="E302" s="335"/>
      <c r="F302" s="335"/>
      <c r="G302" s="194"/>
      <c r="H302" s="618">
        <f t="shared" si="63"/>
        <v>0</v>
      </c>
      <c r="I302" s="619">
        <f>'INVENTORY INPUT'!G221</f>
        <v>0</v>
      </c>
      <c r="J302" s="618">
        <f t="shared" si="64"/>
        <v>0</v>
      </c>
      <c r="K302" s="701">
        <v>0</v>
      </c>
      <c r="L302" s="707">
        <f t="shared" si="65"/>
        <v>0</v>
      </c>
      <c r="M302" s="708">
        <f t="shared" si="66"/>
        <v>0</v>
      </c>
      <c r="N302" s="704">
        <f t="shared" si="67"/>
        <v>0</v>
      </c>
    </row>
    <row r="303" spans="1:14" ht="15" customHeight="1" thickBot="1" x14ac:dyDescent="0.3">
      <c r="B303" s="654"/>
      <c r="C303" s="655"/>
      <c r="D303" s="621">
        <v>0</v>
      </c>
      <c r="E303" s="622"/>
      <c r="F303" s="622"/>
      <c r="G303" s="623"/>
      <c r="H303" s="618">
        <f t="shared" si="63"/>
        <v>0</v>
      </c>
      <c r="I303" s="619">
        <f>'INVENTORY INPUT'!G222</f>
        <v>0</v>
      </c>
      <c r="J303" s="618">
        <f t="shared" si="64"/>
        <v>0</v>
      </c>
      <c r="K303" s="703">
        <v>0</v>
      </c>
      <c r="L303" s="707">
        <f t="shared" si="65"/>
        <v>0</v>
      </c>
      <c r="M303" s="708">
        <f t="shared" si="66"/>
        <v>0</v>
      </c>
      <c r="N303" s="704">
        <f t="shared" si="67"/>
        <v>0</v>
      </c>
    </row>
    <row r="304" spans="1:14" ht="15" customHeight="1" thickBot="1" x14ac:dyDescent="0.3">
      <c r="B304" s="646" t="s">
        <v>357</v>
      </c>
      <c r="C304" s="647">
        <f>SUM(M284:M298)</f>
        <v>0</v>
      </c>
      <c r="D304" s="282"/>
      <c r="E304" s="379"/>
      <c r="F304" s="263"/>
      <c r="G304" s="230"/>
      <c r="H304" s="267"/>
      <c r="I304" s="267"/>
      <c r="J304" s="267"/>
      <c r="K304" s="267"/>
      <c r="L304" s="162">
        <f>SUM(L284:L303)</f>
        <v>730.81170500000007</v>
      </c>
      <c r="M304" s="174">
        <f>SUM(M284:M303)</f>
        <v>0</v>
      </c>
      <c r="N304" s="187">
        <f>SUM(N284:N303)</f>
        <v>197.36</v>
      </c>
    </row>
    <row r="305" spans="1:14" ht="15" customHeight="1" thickTop="1" thickBot="1" x14ac:dyDescent="0.3">
      <c r="B305" s="137"/>
      <c r="C305" s="14"/>
      <c r="D305" s="283"/>
      <c r="E305" s="251"/>
      <c r="F305" s="251"/>
      <c r="G305" s="195"/>
      <c r="H305" s="7"/>
      <c r="I305" s="8"/>
      <c r="J305" s="7"/>
      <c r="K305" s="7"/>
      <c r="M305" s="176"/>
    </row>
    <row r="306" spans="1:14" ht="15" customHeight="1" thickTop="1" thickBot="1" x14ac:dyDescent="0.3">
      <c r="B306" s="149" t="s">
        <v>518</v>
      </c>
      <c r="C306" s="150"/>
      <c r="D306" s="249"/>
      <c r="E306" s="252"/>
      <c r="F306" s="252"/>
      <c r="G306" s="196"/>
      <c r="H306" s="265"/>
      <c r="I306" s="265"/>
      <c r="J306" s="265"/>
      <c r="K306" s="265"/>
      <c r="L306" s="164"/>
      <c r="M306" s="171"/>
      <c r="N306" s="138"/>
    </row>
    <row r="307" spans="1:14" ht="15" customHeight="1" thickTop="1" x14ac:dyDescent="0.25">
      <c r="B307" s="123" t="s">
        <v>458</v>
      </c>
      <c r="C307" s="124" t="s">
        <v>157</v>
      </c>
      <c r="D307" s="321">
        <v>0</v>
      </c>
      <c r="E307" s="250"/>
      <c r="F307" s="253"/>
      <c r="G307" s="197"/>
      <c r="H307" s="17">
        <f t="shared" ref="H307:H331" si="68">SUM(D307:F307)+G307</f>
        <v>0</v>
      </c>
      <c r="I307" s="18" t="e">
        <f>'INVENTORY INPUT'!#REF!</f>
        <v>#REF!</v>
      </c>
      <c r="J307" s="53" t="e">
        <f t="shared" ref="J307:J331" si="69">H307-I307</f>
        <v>#REF!</v>
      </c>
      <c r="K307" s="20">
        <v>25.18</v>
      </c>
      <c r="L307" s="163" t="e">
        <f t="shared" ref="L307:L331" si="70">K307*J307</f>
        <v>#REF!</v>
      </c>
      <c r="M307" s="172" t="e">
        <f t="shared" ref="M307:M331" si="71">K307*I307</f>
        <v>#REF!</v>
      </c>
      <c r="N307" s="132">
        <f t="shared" ref="N307:N331" si="72">SUM(E307:G307)*K307</f>
        <v>0</v>
      </c>
    </row>
    <row r="308" spans="1:14" ht="15" customHeight="1" x14ac:dyDescent="0.25">
      <c r="B308" s="118" t="s">
        <v>478</v>
      </c>
      <c r="C308" s="116" t="s">
        <v>493</v>
      </c>
      <c r="D308" s="321">
        <v>0</v>
      </c>
      <c r="E308" s="250"/>
      <c r="F308" s="250"/>
      <c r="G308" s="194"/>
      <c r="H308" s="17">
        <f t="shared" si="68"/>
        <v>0</v>
      </c>
      <c r="I308" s="18" t="e">
        <f>'INVENTORY INPUT'!#REF!</f>
        <v>#REF!</v>
      </c>
      <c r="J308" s="53" t="e">
        <f t="shared" si="69"/>
        <v>#REF!</v>
      </c>
      <c r="K308" s="20">
        <v>0</v>
      </c>
      <c r="L308" s="163" t="e">
        <f t="shared" si="70"/>
        <v>#REF!</v>
      </c>
      <c r="M308" s="172" t="e">
        <f t="shared" si="71"/>
        <v>#REF!</v>
      </c>
      <c r="N308" s="132">
        <f t="shared" si="72"/>
        <v>0</v>
      </c>
    </row>
    <row r="309" spans="1:14" ht="15" customHeight="1" x14ac:dyDescent="0.25">
      <c r="B309" s="118" t="s">
        <v>535</v>
      </c>
      <c r="C309" s="116" t="s">
        <v>212</v>
      </c>
      <c r="D309" s="325">
        <v>0</v>
      </c>
      <c r="E309" s="250"/>
      <c r="F309" s="250"/>
      <c r="G309" s="194"/>
      <c r="H309" s="17">
        <f t="shared" si="68"/>
        <v>0</v>
      </c>
      <c r="I309" s="18" t="e">
        <f>'INVENTORY INPUT'!#REF!</f>
        <v>#REF!</v>
      </c>
      <c r="J309" s="53" t="e">
        <f t="shared" si="69"/>
        <v>#REF!</v>
      </c>
      <c r="K309" s="20">
        <v>13.67</v>
      </c>
      <c r="L309" s="163" t="e">
        <f t="shared" si="70"/>
        <v>#REF!</v>
      </c>
      <c r="M309" s="172" t="e">
        <f t="shared" si="71"/>
        <v>#REF!</v>
      </c>
      <c r="N309" s="132">
        <f t="shared" si="72"/>
        <v>0</v>
      </c>
    </row>
    <row r="310" spans="1:14" ht="15" customHeight="1" x14ac:dyDescent="0.25">
      <c r="B310" s="123" t="s">
        <v>536</v>
      </c>
      <c r="C310" s="124" t="s">
        <v>48</v>
      </c>
      <c r="D310" s="321">
        <v>0</v>
      </c>
      <c r="E310" s="250"/>
      <c r="F310" s="250"/>
      <c r="G310" s="194"/>
      <c r="H310" s="17">
        <f t="shared" si="68"/>
        <v>0</v>
      </c>
      <c r="I310" s="18" t="e">
        <f>'INVENTORY INPUT'!#REF!</f>
        <v>#REF!</v>
      </c>
      <c r="J310" s="53" t="e">
        <f t="shared" si="69"/>
        <v>#REF!</v>
      </c>
      <c r="K310" s="20">
        <v>1.94</v>
      </c>
      <c r="L310" s="163" t="e">
        <f t="shared" si="70"/>
        <v>#REF!</v>
      </c>
      <c r="M310" s="172" t="e">
        <f t="shared" si="71"/>
        <v>#REF!</v>
      </c>
      <c r="N310" s="132">
        <f t="shared" si="72"/>
        <v>0</v>
      </c>
    </row>
    <row r="311" spans="1:14" ht="15" customHeight="1" x14ac:dyDescent="0.25">
      <c r="B311" s="118" t="s">
        <v>537</v>
      </c>
      <c r="C311" s="116" t="s">
        <v>353</v>
      </c>
      <c r="D311" s="321">
        <v>0</v>
      </c>
      <c r="E311" s="250"/>
      <c r="F311" s="250"/>
      <c r="G311" s="194"/>
      <c r="H311" s="17">
        <f t="shared" si="68"/>
        <v>0</v>
      </c>
      <c r="I311" s="18" t="e">
        <f>'INVENTORY INPUT'!#REF!</f>
        <v>#REF!</v>
      </c>
      <c r="J311" s="53" t="e">
        <f t="shared" si="69"/>
        <v>#REF!</v>
      </c>
      <c r="K311" s="20">
        <v>27.36</v>
      </c>
      <c r="L311" s="163" t="e">
        <f t="shared" si="70"/>
        <v>#REF!</v>
      </c>
      <c r="M311" s="172" t="e">
        <f t="shared" si="71"/>
        <v>#REF!</v>
      </c>
      <c r="N311" s="132">
        <f t="shared" si="72"/>
        <v>0</v>
      </c>
    </row>
    <row r="312" spans="1:14" ht="15" customHeight="1" x14ac:dyDescent="0.25">
      <c r="B312" s="118" t="s">
        <v>377</v>
      </c>
      <c r="C312" s="116" t="s">
        <v>140</v>
      </c>
      <c r="D312" s="321">
        <v>0</v>
      </c>
      <c r="E312" s="250"/>
      <c r="F312" s="250"/>
      <c r="G312" s="194"/>
      <c r="H312" s="17">
        <f t="shared" si="68"/>
        <v>0</v>
      </c>
      <c r="I312" s="18" t="e">
        <f>'INVENTORY INPUT'!#REF!</f>
        <v>#REF!</v>
      </c>
      <c r="J312" s="53" t="e">
        <f t="shared" si="69"/>
        <v>#REF!</v>
      </c>
      <c r="K312" s="20">
        <v>11.22</v>
      </c>
      <c r="L312" s="163" t="e">
        <f t="shared" si="70"/>
        <v>#REF!</v>
      </c>
      <c r="M312" s="172" t="e">
        <f t="shared" si="71"/>
        <v>#REF!</v>
      </c>
      <c r="N312" s="132">
        <f t="shared" si="72"/>
        <v>0</v>
      </c>
    </row>
    <row r="313" spans="1:14" ht="15" customHeight="1" x14ac:dyDescent="0.25">
      <c r="A313" s="10"/>
      <c r="B313" s="118" t="s">
        <v>211</v>
      </c>
      <c r="C313" s="116" t="s">
        <v>178</v>
      </c>
      <c r="D313" s="321">
        <v>0</v>
      </c>
      <c r="E313" s="250"/>
      <c r="F313" s="250"/>
      <c r="G313" s="194"/>
      <c r="H313" s="17">
        <f t="shared" si="68"/>
        <v>0</v>
      </c>
      <c r="I313" s="18" t="e">
        <f>'INVENTORY INPUT'!#REF!</f>
        <v>#REF!</v>
      </c>
      <c r="J313" s="53" t="e">
        <f t="shared" si="69"/>
        <v>#REF!</v>
      </c>
      <c r="K313" s="20">
        <v>4.16</v>
      </c>
      <c r="L313" s="163" t="e">
        <f t="shared" si="70"/>
        <v>#REF!</v>
      </c>
      <c r="M313" s="172" t="e">
        <f t="shared" si="71"/>
        <v>#REF!</v>
      </c>
      <c r="N313" s="132">
        <f t="shared" si="72"/>
        <v>0</v>
      </c>
    </row>
    <row r="314" spans="1:14" ht="15" customHeight="1" x14ac:dyDescent="0.25">
      <c r="A314" s="10"/>
      <c r="B314" s="118" t="s">
        <v>538</v>
      </c>
      <c r="C314" s="116" t="s">
        <v>143</v>
      </c>
      <c r="D314" s="321">
        <v>0</v>
      </c>
      <c r="E314" s="250"/>
      <c r="F314" s="250"/>
      <c r="G314" s="194"/>
      <c r="H314" s="17">
        <f t="shared" si="68"/>
        <v>0</v>
      </c>
      <c r="I314" s="18" t="e">
        <f>'INVENTORY INPUT'!#REF!</f>
        <v>#REF!</v>
      </c>
      <c r="J314" s="53" t="e">
        <f t="shared" si="69"/>
        <v>#REF!</v>
      </c>
      <c r="K314" s="20">
        <v>3.67</v>
      </c>
      <c r="L314" s="163" t="e">
        <f t="shared" si="70"/>
        <v>#REF!</v>
      </c>
      <c r="M314" s="172" t="e">
        <f t="shared" si="71"/>
        <v>#REF!</v>
      </c>
      <c r="N314" s="132">
        <f t="shared" si="72"/>
        <v>0</v>
      </c>
    </row>
    <row r="315" spans="1:14" ht="15" customHeight="1" x14ac:dyDescent="0.25">
      <c r="A315" s="10"/>
      <c r="B315" s="118" t="s">
        <v>354</v>
      </c>
      <c r="C315" s="116" t="s">
        <v>178</v>
      </c>
      <c r="D315" s="321">
        <v>0</v>
      </c>
      <c r="E315" s="250"/>
      <c r="F315" s="250"/>
      <c r="G315" s="194"/>
      <c r="H315" s="17">
        <f t="shared" si="68"/>
        <v>0</v>
      </c>
      <c r="I315" s="18" t="e">
        <f>'INVENTORY INPUT'!#REF!</f>
        <v>#REF!</v>
      </c>
      <c r="J315" s="53" t="e">
        <f t="shared" si="69"/>
        <v>#REF!</v>
      </c>
      <c r="K315" s="20">
        <v>0</v>
      </c>
      <c r="L315" s="163" t="e">
        <f t="shared" si="70"/>
        <v>#REF!</v>
      </c>
      <c r="M315" s="172" t="e">
        <f t="shared" si="71"/>
        <v>#REF!</v>
      </c>
      <c r="N315" s="132">
        <f t="shared" si="72"/>
        <v>0</v>
      </c>
    </row>
    <row r="316" spans="1:14" ht="15" customHeight="1" x14ac:dyDescent="0.25">
      <c r="A316" s="10"/>
      <c r="B316" s="118" t="s">
        <v>534</v>
      </c>
      <c r="C316" s="116" t="s">
        <v>506</v>
      </c>
      <c r="D316" s="321">
        <v>0</v>
      </c>
      <c r="E316" s="250"/>
      <c r="F316" s="250"/>
      <c r="G316" s="194"/>
      <c r="H316" s="17">
        <f t="shared" si="68"/>
        <v>0</v>
      </c>
      <c r="I316" s="18" t="e">
        <f>'INVENTORY INPUT'!#REF!</f>
        <v>#REF!</v>
      </c>
      <c r="J316" s="53" t="e">
        <f t="shared" si="69"/>
        <v>#REF!</v>
      </c>
      <c r="K316" s="20">
        <v>7.83</v>
      </c>
      <c r="L316" s="163" t="e">
        <f t="shared" si="70"/>
        <v>#REF!</v>
      </c>
      <c r="M316" s="172" t="e">
        <f t="shared" si="71"/>
        <v>#REF!</v>
      </c>
      <c r="N316" s="132">
        <f t="shared" si="72"/>
        <v>0</v>
      </c>
    </row>
    <row r="317" spans="1:14" ht="15" customHeight="1" x14ac:dyDescent="0.25">
      <c r="B317" s="118" t="s">
        <v>459</v>
      </c>
      <c r="C317" s="126" t="s">
        <v>184</v>
      </c>
      <c r="D317" s="321">
        <v>0</v>
      </c>
      <c r="E317" s="250"/>
      <c r="F317" s="250"/>
      <c r="G317" s="194"/>
      <c r="H317" s="17">
        <f t="shared" si="68"/>
        <v>0</v>
      </c>
      <c r="I317" s="18" t="e">
        <f>'INVENTORY INPUT'!#REF!</f>
        <v>#REF!</v>
      </c>
      <c r="J317" s="53" t="e">
        <f t="shared" si="69"/>
        <v>#REF!</v>
      </c>
      <c r="K317" s="20">
        <v>8.7100000000000009</v>
      </c>
      <c r="L317" s="163" t="e">
        <f t="shared" si="70"/>
        <v>#REF!</v>
      </c>
      <c r="M317" s="172" t="e">
        <f t="shared" si="71"/>
        <v>#REF!</v>
      </c>
      <c r="N317" s="132">
        <f t="shared" si="72"/>
        <v>0</v>
      </c>
    </row>
    <row r="318" spans="1:14" ht="15" customHeight="1" x14ac:dyDescent="0.25">
      <c r="B318" s="118" t="s">
        <v>910</v>
      </c>
      <c r="C318" s="126" t="s">
        <v>184</v>
      </c>
      <c r="D318" s="321">
        <v>0</v>
      </c>
      <c r="E318" s="250"/>
      <c r="F318" s="250"/>
      <c r="G318" s="194"/>
      <c r="H318" s="17">
        <f t="shared" si="68"/>
        <v>0</v>
      </c>
      <c r="I318" s="18" t="e">
        <f>'INVENTORY INPUT'!#REF!</f>
        <v>#REF!</v>
      </c>
      <c r="J318" s="53" t="e">
        <f t="shared" si="69"/>
        <v>#REF!</v>
      </c>
      <c r="K318" s="20">
        <v>0.33</v>
      </c>
      <c r="L318" s="163" t="e">
        <f t="shared" si="70"/>
        <v>#REF!</v>
      </c>
      <c r="M318" s="172" t="e">
        <f t="shared" si="71"/>
        <v>#REF!</v>
      </c>
      <c r="N318" s="132">
        <f t="shared" si="72"/>
        <v>0</v>
      </c>
    </row>
    <row r="319" spans="1:14" ht="15" customHeight="1" x14ac:dyDescent="0.25">
      <c r="B319" s="123" t="s">
        <v>911</v>
      </c>
      <c r="C319" s="125" t="s">
        <v>184</v>
      </c>
      <c r="D319" s="321">
        <v>0</v>
      </c>
      <c r="E319" s="250"/>
      <c r="F319" s="250"/>
      <c r="G319" s="194"/>
      <c r="H319" s="17">
        <f t="shared" si="68"/>
        <v>0</v>
      </c>
      <c r="I319" s="18" t="e">
        <f>'INVENTORY INPUT'!#REF!</f>
        <v>#REF!</v>
      </c>
      <c r="J319" s="53" t="e">
        <f t="shared" si="69"/>
        <v>#REF!</v>
      </c>
      <c r="K319" s="20">
        <v>0.33</v>
      </c>
      <c r="L319" s="163" t="e">
        <f t="shared" si="70"/>
        <v>#REF!</v>
      </c>
      <c r="M319" s="172" t="e">
        <f t="shared" si="71"/>
        <v>#REF!</v>
      </c>
      <c r="N319" s="132">
        <f t="shared" si="72"/>
        <v>0</v>
      </c>
    </row>
    <row r="320" spans="1:14" ht="15" customHeight="1" x14ac:dyDescent="0.25">
      <c r="B320" s="118" t="s">
        <v>912</v>
      </c>
      <c r="C320" s="116" t="s">
        <v>184</v>
      </c>
      <c r="D320" s="321">
        <v>0</v>
      </c>
      <c r="E320" s="250"/>
      <c r="F320" s="250"/>
      <c r="G320" s="194"/>
      <c r="H320" s="17">
        <f t="shared" si="68"/>
        <v>0</v>
      </c>
      <c r="I320" s="18" t="e">
        <f>'INVENTORY INPUT'!#REF!</f>
        <v>#REF!</v>
      </c>
      <c r="J320" s="53" t="e">
        <f t="shared" si="69"/>
        <v>#REF!</v>
      </c>
      <c r="K320" s="20">
        <v>0.33</v>
      </c>
      <c r="L320" s="163" t="e">
        <f t="shared" si="70"/>
        <v>#REF!</v>
      </c>
      <c r="M320" s="172" t="e">
        <f t="shared" si="71"/>
        <v>#REF!</v>
      </c>
      <c r="N320" s="132">
        <f t="shared" si="72"/>
        <v>0</v>
      </c>
    </row>
    <row r="321" spans="2:14" ht="15" customHeight="1" x14ac:dyDescent="0.25">
      <c r="B321" s="118" t="s">
        <v>913</v>
      </c>
      <c r="C321" s="116" t="s">
        <v>184</v>
      </c>
      <c r="D321" s="321">
        <v>0</v>
      </c>
      <c r="E321" s="250"/>
      <c r="F321" s="250"/>
      <c r="G321" s="194"/>
      <c r="H321" s="17">
        <f t="shared" si="68"/>
        <v>0</v>
      </c>
      <c r="I321" s="18" t="e">
        <f>'INVENTORY INPUT'!#REF!</f>
        <v>#REF!</v>
      </c>
      <c r="J321" s="53" t="e">
        <f t="shared" si="69"/>
        <v>#REF!</v>
      </c>
      <c r="K321" s="20">
        <v>0.33</v>
      </c>
      <c r="L321" s="163" t="e">
        <f t="shared" si="70"/>
        <v>#REF!</v>
      </c>
      <c r="M321" s="172" t="e">
        <f t="shared" si="71"/>
        <v>#REF!</v>
      </c>
      <c r="N321" s="132">
        <f t="shared" si="72"/>
        <v>0</v>
      </c>
    </row>
    <row r="322" spans="2:14" ht="15" customHeight="1" x14ac:dyDescent="0.25">
      <c r="B322" s="128"/>
      <c r="C322" s="16"/>
      <c r="D322" s="276">
        <v>0</v>
      </c>
      <c r="E322" s="250"/>
      <c r="F322" s="250"/>
      <c r="G322" s="194"/>
      <c r="H322" s="17">
        <f t="shared" si="68"/>
        <v>0</v>
      </c>
      <c r="I322" s="18" t="e">
        <f>'INVENTORY INPUT'!#REF!</f>
        <v>#REF!</v>
      </c>
      <c r="J322" s="53" t="e">
        <f t="shared" si="69"/>
        <v>#REF!</v>
      </c>
      <c r="K322" s="20">
        <v>0</v>
      </c>
      <c r="L322" s="163" t="e">
        <f t="shared" si="70"/>
        <v>#REF!</v>
      </c>
      <c r="M322" s="172" t="e">
        <f t="shared" si="71"/>
        <v>#REF!</v>
      </c>
      <c r="N322" s="132">
        <f t="shared" si="72"/>
        <v>0</v>
      </c>
    </row>
    <row r="323" spans="2:14" ht="15" customHeight="1" x14ac:dyDescent="0.25">
      <c r="B323" s="15"/>
      <c r="C323" s="16"/>
      <c r="D323" s="276">
        <v>0</v>
      </c>
      <c r="E323" s="250"/>
      <c r="F323" s="250"/>
      <c r="G323" s="194"/>
      <c r="H323" s="17">
        <f t="shared" si="68"/>
        <v>0</v>
      </c>
      <c r="I323" s="18" t="e">
        <f>'INVENTORY INPUT'!#REF!</f>
        <v>#REF!</v>
      </c>
      <c r="J323" s="53" t="e">
        <f t="shared" si="69"/>
        <v>#REF!</v>
      </c>
      <c r="K323" s="20">
        <v>0</v>
      </c>
      <c r="L323" s="163" t="e">
        <f t="shared" si="70"/>
        <v>#REF!</v>
      </c>
      <c r="M323" s="172" t="e">
        <f t="shared" si="71"/>
        <v>#REF!</v>
      </c>
      <c r="N323" s="132">
        <f t="shared" si="72"/>
        <v>0</v>
      </c>
    </row>
    <row r="324" spans="2:14" ht="15" customHeight="1" x14ac:dyDescent="0.25">
      <c r="B324" s="15"/>
      <c r="C324" s="16"/>
      <c r="D324" s="276">
        <v>0</v>
      </c>
      <c r="E324" s="250"/>
      <c r="F324" s="250"/>
      <c r="G324" s="194"/>
      <c r="H324" s="17">
        <f t="shared" si="68"/>
        <v>0</v>
      </c>
      <c r="I324" s="18" t="e">
        <f>'INVENTORY INPUT'!#REF!</f>
        <v>#REF!</v>
      </c>
      <c r="J324" s="53" t="e">
        <f t="shared" si="69"/>
        <v>#REF!</v>
      </c>
      <c r="K324" s="20">
        <v>0</v>
      </c>
      <c r="L324" s="163" t="e">
        <f t="shared" si="70"/>
        <v>#REF!</v>
      </c>
      <c r="M324" s="172" t="e">
        <f t="shared" si="71"/>
        <v>#REF!</v>
      </c>
      <c r="N324" s="132">
        <f t="shared" si="72"/>
        <v>0</v>
      </c>
    </row>
    <row r="325" spans="2:14" ht="15" customHeight="1" x14ac:dyDescent="0.25">
      <c r="B325" s="15"/>
      <c r="C325" s="16"/>
      <c r="D325" s="276">
        <v>0</v>
      </c>
      <c r="E325" s="250"/>
      <c r="F325" s="250"/>
      <c r="G325" s="194"/>
      <c r="H325" s="17">
        <f t="shared" si="68"/>
        <v>0</v>
      </c>
      <c r="I325" s="18" t="e">
        <f>'INVENTORY INPUT'!#REF!</f>
        <v>#REF!</v>
      </c>
      <c r="J325" s="53" t="e">
        <f t="shared" si="69"/>
        <v>#REF!</v>
      </c>
      <c r="K325" s="20">
        <v>0</v>
      </c>
      <c r="L325" s="163" t="e">
        <f t="shared" si="70"/>
        <v>#REF!</v>
      </c>
      <c r="M325" s="172" t="e">
        <f t="shared" si="71"/>
        <v>#REF!</v>
      </c>
      <c r="N325" s="132">
        <f t="shared" si="72"/>
        <v>0</v>
      </c>
    </row>
    <row r="326" spans="2:14" ht="15" customHeight="1" x14ac:dyDescent="0.25">
      <c r="B326" s="21"/>
      <c r="C326" s="22"/>
      <c r="D326" s="276">
        <v>0</v>
      </c>
      <c r="E326" s="250"/>
      <c r="F326" s="250"/>
      <c r="G326" s="194"/>
      <c r="H326" s="17">
        <f t="shared" si="68"/>
        <v>0</v>
      </c>
      <c r="I326" s="18" t="e">
        <f>'INVENTORY INPUT'!#REF!</f>
        <v>#REF!</v>
      </c>
      <c r="J326" s="53" t="e">
        <f t="shared" si="69"/>
        <v>#REF!</v>
      </c>
      <c r="K326" s="20">
        <v>0</v>
      </c>
      <c r="L326" s="163" t="e">
        <f t="shared" si="70"/>
        <v>#REF!</v>
      </c>
      <c r="M326" s="172" t="e">
        <f t="shared" si="71"/>
        <v>#REF!</v>
      </c>
      <c r="N326" s="132">
        <f t="shared" si="72"/>
        <v>0</v>
      </c>
    </row>
    <row r="327" spans="2:14" ht="15" customHeight="1" x14ac:dyDescent="0.25">
      <c r="B327" s="21"/>
      <c r="C327" s="22"/>
      <c r="D327" s="276">
        <v>0</v>
      </c>
      <c r="E327" s="250"/>
      <c r="F327" s="250"/>
      <c r="G327" s="194"/>
      <c r="H327" s="17">
        <f t="shared" si="68"/>
        <v>0</v>
      </c>
      <c r="I327" s="18" t="e">
        <f>'INVENTORY INPUT'!#REF!</f>
        <v>#REF!</v>
      </c>
      <c r="J327" s="53" t="e">
        <f t="shared" si="69"/>
        <v>#REF!</v>
      </c>
      <c r="K327" s="20">
        <v>0</v>
      </c>
      <c r="L327" s="163" t="e">
        <f t="shared" si="70"/>
        <v>#REF!</v>
      </c>
      <c r="M327" s="172" t="e">
        <f t="shared" si="71"/>
        <v>#REF!</v>
      </c>
      <c r="N327" s="132">
        <f t="shared" si="72"/>
        <v>0</v>
      </c>
    </row>
    <row r="328" spans="2:14" ht="15" customHeight="1" x14ac:dyDescent="0.25">
      <c r="B328" s="21"/>
      <c r="C328" s="22"/>
      <c r="D328" s="276">
        <v>0</v>
      </c>
      <c r="E328" s="250"/>
      <c r="F328" s="250"/>
      <c r="G328" s="194"/>
      <c r="H328" s="17">
        <f t="shared" si="68"/>
        <v>0</v>
      </c>
      <c r="I328" s="18" t="e">
        <f>'INVENTORY INPUT'!#REF!</f>
        <v>#REF!</v>
      </c>
      <c r="J328" s="53" t="e">
        <f t="shared" si="69"/>
        <v>#REF!</v>
      </c>
      <c r="K328" s="20">
        <v>0</v>
      </c>
      <c r="L328" s="163" t="e">
        <f t="shared" si="70"/>
        <v>#REF!</v>
      </c>
      <c r="M328" s="172" t="e">
        <f t="shared" si="71"/>
        <v>#REF!</v>
      </c>
      <c r="N328" s="132">
        <f t="shared" si="72"/>
        <v>0</v>
      </c>
    </row>
    <row r="329" spans="2:14" ht="15" customHeight="1" x14ac:dyDescent="0.25">
      <c r="B329" s="15"/>
      <c r="C329" s="16"/>
      <c r="D329" s="276">
        <v>0</v>
      </c>
      <c r="E329" s="250"/>
      <c r="F329" s="250"/>
      <c r="G329" s="194"/>
      <c r="H329" s="17">
        <f t="shared" si="68"/>
        <v>0</v>
      </c>
      <c r="I329" s="18" t="e">
        <f>'INVENTORY INPUT'!#REF!</f>
        <v>#REF!</v>
      </c>
      <c r="J329" s="53" t="e">
        <f t="shared" si="69"/>
        <v>#REF!</v>
      </c>
      <c r="K329" s="20">
        <v>0</v>
      </c>
      <c r="L329" s="163" t="e">
        <f t="shared" si="70"/>
        <v>#REF!</v>
      </c>
      <c r="M329" s="172" t="e">
        <f t="shared" si="71"/>
        <v>#REF!</v>
      </c>
      <c r="N329" s="132">
        <f t="shared" si="72"/>
        <v>0</v>
      </c>
    </row>
    <row r="330" spans="2:14" ht="15" customHeight="1" x14ac:dyDescent="0.25">
      <c r="B330" s="15"/>
      <c r="C330" s="16"/>
      <c r="D330" s="276">
        <v>0</v>
      </c>
      <c r="E330" s="250"/>
      <c r="F330" s="250"/>
      <c r="G330" s="194"/>
      <c r="H330" s="17">
        <f t="shared" si="68"/>
        <v>0</v>
      </c>
      <c r="I330" s="18" t="e">
        <f>'INVENTORY INPUT'!#REF!</f>
        <v>#REF!</v>
      </c>
      <c r="J330" s="53" t="e">
        <f t="shared" si="69"/>
        <v>#REF!</v>
      </c>
      <c r="K330" s="20">
        <v>0</v>
      </c>
      <c r="L330" s="163" t="e">
        <f t="shared" si="70"/>
        <v>#REF!</v>
      </c>
      <c r="M330" s="172" t="e">
        <f t="shared" si="71"/>
        <v>#REF!</v>
      </c>
      <c r="N330" s="132">
        <f t="shared" si="72"/>
        <v>0</v>
      </c>
    </row>
    <row r="331" spans="2:14" ht="15" customHeight="1" thickBot="1" x14ac:dyDescent="0.3">
      <c r="B331" s="21"/>
      <c r="C331" s="22"/>
      <c r="D331" s="279">
        <v>0</v>
      </c>
      <c r="E331" s="253"/>
      <c r="F331" s="253"/>
      <c r="G331" s="197"/>
      <c r="H331" s="17">
        <f t="shared" si="68"/>
        <v>0</v>
      </c>
      <c r="I331" s="18" t="e">
        <f>'INVENTORY INPUT'!#REF!</f>
        <v>#REF!</v>
      </c>
      <c r="J331" s="53" t="e">
        <f t="shared" si="69"/>
        <v>#REF!</v>
      </c>
      <c r="K331" s="20">
        <v>0</v>
      </c>
      <c r="L331" s="163" t="e">
        <f t="shared" si="70"/>
        <v>#REF!</v>
      </c>
      <c r="M331" s="172" t="e">
        <f t="shared" si="71"/>
        <v>#REF!</v>
      </c>
      <c r="N331" s="132">
        <f t="shared" si="72"/>
        <v>0</v>
      </c>
    </row>
    <row r="332" spans="2:14" ht="15" customHeight="1" thickTop="1" thickBot="1" x14ac:dyDescent="0.3">
      <c r="B332" s="151" t="s">
        <v>358</v>
      </c>
      <c r="C332" s="153" t="e">
        <f>SUM(M307:M331)</f>
        <v>#REF!</v>
      </c>
      <c r="D332" s="284"/>
      <c r="E332" s="257"/>
      <c r="F332" s="264"/>
      <c r="G332" s="231"/>
      <c r="H332" s="154"/>
      <c r="I332" s="154"/>
      <c r="J332" s="154"/>
      <c r="K332" s="154"/>
      <c r="L332" s="167" t="e">
        <f>SUM(L307:L331)</f>
        <v>#REF!</v>
      </c>
      <c r="M332" s="171" t="e">
        <f>SUM(M307:M331)</f>
        <v>#REF!</v>
      </c>
      <c r="N332" s="138">
        <f>SUM(N307:N331)</f>
        <v>0</v>
      </c>
    </row>
    <row r="333" spans="2:14" ht="15" customHeight="1" thickTop="1" thickBot="1" x14ac:dyDescent="0.3">
      <c r="C333" s="11"/>
      <c r="D333" s="277"/>
      <c r="E333" s="251"/>
      <c r="F333" s="251"/>
      <c r="G333" s="195"/>
      <c r="H333" s="7"/>
      <c r="I333" s="8"/>
      <c r="J333" s="7"/>
      <c r="K333" s="7"/>
    </row>
    <row r="334" spans="2:14" ht="15" customHeight="1" thickTop="1" thickBot="1" x14ac:dyDescent="0.3">
      <c r="B334" s="632" t="s">
        <v>255</v>
      </c>
      <c r="C334" s="633"/>
      <c r="D334" s="634"/>
      <c r="E334" s="635"/>
      <c r="F334" s="635"/>
      <c r="G334" s="636"/>
      <c r="H334" s="637"/>
      <c r="I334" s="637"/>
      <c r="J334" s="637"/>
      <c r="K334" s="637"/>
      <c r="L334" s="607"/>
      <c r="M334" s="608"/>
      <c r="N334" s="638"/>
    </row>
    <row r="335" spans="2:14" ht="15" customHeight="1" thickBot="1" x14ac:dyDescent="0.3">
      <c r="B335" s="639"/>
      <c r="C335" s="640"/>
      <c r="D335" s="615">
        <v>0</v>
      </c>
      <c r="E335" s="616"/>
      <c r="F335" s="616"/>
      <c r="G335" s="617"/>
      <c r="H335" s="618">
        <f>SUM(D335:F335)+G335</f>
        <v>0</v>
      </c>
      <c r="I335" s="619" t="e">
        <f>'INVENTORY INPUT'!#REF!</f>
        <v>#REF!</v>
      </c>
      <c r="J335" s="618" t="e">
        <f t="shared" ref="J335:J343" si="73">H335-I335</f>
        <v>#REF!</v>
      </c>
      <c r="K335" s="700">
        <v>0</v>
      </c>
      <c r="L335" s="707" t="e">
        <f t="shared" ref="L335:L343" si="74">K335*J335</f>
        <v>#REF!</v>
      </c>
      <c r="M335" s="708" t="e">
        <f t="shared" ref="M335:M344" si="75">K335*I335</f>
        <v>#REF!</v>
      </c>
      <c r="N335" s="704">
        <f t="shared" ref="N335:N343" si="76">SUM(E335:G335)*K335</f>
        <v>0</v>
      </c>
    </row>
    <row r="336" spans="2:14" ht="15" customHeight="1" thickBot="1" x14ac:dyDescent="0.3">
      <c r="B336" s="382"/>
      <c r="C336" s="126"/>
      <c r="D336" s="321">
        <v>0</v>
      </c>
      <c r="E336" s="335"/>
      <c r="F336" s="335"/>
      <c r="G336" s="194"/>
      <c r="H336" s="17">
        <f t="shared" ref="H336:H345" si="77">SUM(D336:F336)+G336</f>
        <v>0</v>
      </c>
      <c r="I336" s="619" t="e">
        <f>'INVENTORY INPUT'!#REF!</f>
        <v>#REF!</v>
      </c>
      <c r="J336" s="17" t="e">
        <f t="shared" si="73"/>
        <v>#REF!</v>
      </c>
      <c r="K336" s="701">
        <v>0</v>
      </c>
      <c r="L336" s="709" t="e">
        <f t="shared" si="74"/>
        <v>#REF!</v>
      </c>
      <c r="M336" s="710" t="e">
        <f t="shared" si="75"/>
        <v>#REF!</v>
      </c>
      <c r="N336" s="705">
        <f t="shared" si="76"/>
        <v>0</v>
      </c>
    </row>
    <row r="337" spans="2:14" ht="15" customHeight="1" thickBot="1" x14ac:dyDescent="0.3">
      <c r="B337" s="141"/>
      <c r="C337" s="51"/>
      <c r="D337" s="321">
        <v>0</v>
      </c>
      <c r="E337" s="335"/>
      <c r="F337" s="335"/>
      <c r="G337" s="194"/>
      <c r="H337" s="17">
        <f t="shared" si="77"/>
        <v>0</v>
      </c>
      <c r="I337" s="619" t="e">
        <f>'INVENTORY INPUT'!#REF!</f>
        <v>#REF!</v>
      </c>
      <c r="J337" s="17" t="e">
        <f t="shared" si="73"/>
        <v>#REF!</v>
      </c>
      <c r="K337" s="701">
        <v>0</v>
      </c>
      <c r="L337" s="709" t="e">
        <f t="shared" si="74"/>
        <v>#REF!</v>
      </c>
      <c r="M337" s="710" t="e">
        <f t="shared" si="75"/>
        <v>#REF!</v>
      </c>
      <c r="N337" s="705">
        <f t="shared" si="76"/>
        <v>0</v>
      </c>
    </row>
    <row r="338" spans="2:14" ht="15" customHeight="1" thickBot="1" x14ac:dyDescent="0.3">
      <c r="B338" s="382"/>
      <c r="C338" s="116"/>
      <c r="D338" s="321">
        <v>0</v>
      </c>
      <c r="E338" s="335"/>
      <c r="F338" s="335"/>
      <c r="G338" s="194"/>
      <c r="H338" s="17">
        <f t="shared" si="77"/>
        <v>0</v>
      </c>
      <c r="I338" s="619" t="e">
        <f>'INVENTORY INPUT'!#REF!</f>
        <v>#REF!</v>
      </c>
      <c r="J338" s="17" t="e">
        <f t="shared" si="73"/>
        <v>#REF!</v>
      </c>
      <c r="K338" s="701">
        <v>0</v>
      </c>
      <c r="L338" s="709" t="e">
        <f t="shared" si="74"/>
        <v>#REF!</v>
      </c>
      <c r="M338" s="710" t="e">
        <f t="shared" si="75"/>
        <v>#REF!</v>
      </c>
      <c r="N338" s="705">
        <f t="shared" si="76"/>
        <v>0</v>
      </c>
    </row>
    <row r="339" spans="2:14" ht="15" customHeight="1" thickBot="1" x14ac:dyDescent="0.3">
      <c r="B339" s="382"/>
      <c r="C339" s="116"/>
      <c r="D339" s="321">
        <v>0</v>
      </c>
      <c r="E339" s="335"/>
      <c r="F339" s="335"/>
      <c r="G339" s="194"/>
      <c r="H339" s="17">
        <f t="shared" si="77"/>
        <v>0</v>
      </c>
      <c r="I339" s="619" t="e">
        <f>'INVENTORY INPUT'!#REF!</f>
        <v>#REF!</v>
      </c>
      <c r="J339" s="17" t="e">
        <f t="shared" si="73"/>
        <v>#REF!</v>
      </c>
      <c r="K339" s="701">
        <v>0</v>
      </c>
      <c r="L339" s="709" t="e">
        <f t="shared" si="74"/>
        <v>#REF!</v>
      </c>
      <c r="M339" s="710" t="e">
        <f t="shared" si="75"/>
        <v>#REF!</v>
      </c>
      <c r="N339" s="705">
        <f t="shared" si="76"/>
        <v>0</v>
      </c>
    </row>
    <row r="340" spans="2:14" ht="15" customHeight="1" thickBot="1" x14ac:dyDescent="0.3">
      <c r="B340" s="382"/>
      <c r="C340" s="116"/>
      <c r="D340" s="321">
        <v>0</v>
      </c>
      <c r="E340" s="335"/>
      <c r="F340" s="335"/>
      <c r="G340" s="194"/>
      <c r="H340" s="17">
        <f t="shared" si="77"/>
        <v>0</v>
      </c>
      <c r="I340" s="619" t="e">
        <f>'INVENTORY INPUT'!#REF!</f>
        <v>#REF!</v>
      </c>
      <c r="J340" s="17" t="e">
        <f t="shared" si="73"/>
        <v>#REF!</v>
      </c>
      <c r="K340" s="701">
        <v>0</v>
      </c>
      <c r="L340" s="709" t="e">
        <f t="shared" si="74"/>
        <v>#REF!</v>
      </c>
      <c r="M340" s="710" t="e">
        <f t="shared" si="75"/>
        <v>#REF!</v>
      </c>
      <c r="N340" s="705">
        <f t="shared" si="76"/>
        <v>0</v>
      </c>
    </row>
    <row r="341" spans="2:14" ht="15" customHeight="1" thickBot="1" x14ac:dyDescent="0.3">
      <c r="B341" s="382"/>
      <c r="C341" s="116"/>
      <c r="D341" s="276">
        <v>0</v>
      </c>
      <c r="E341" s="335"/>
      <c r="F341" s="335"/>
      <c r="G341" s="194"/>
      <c r="H341" s="17">
        <f t="shared" si="77"/>
        <v>0</v>
      </c>
      <c r="I341" s="619" t="e">
        <f>'INVENTORY INPUT'!#REF!</f>
        <v>#REF!</v>
      </c>
      <c r="J341" s="17" t="e">
        <f t="shared" si="73"/>
        <v>#REF!</v>
      </c>
      <c r="K341" s="701">
        <v>0</v>
      </c>
      <c r="L341" s="709" t="e">
        <f t="shared" si="74"/>
        <v>#REF!</v>
      </c>
      <c r="M341" s="710" t="e">
        <f t="shared" si="75"/>
        <v>#REF!</v>
      </c>
      <c r="N341" s="705">
        <f t="shared" si="76"/>
        <v>0</v>
      </c>
    </row>
    <row r="342" spans="2:14" ht="15" customHeight="1" thickBot="1" x14ac:dyDescent="0.3">
      <c r="B342" s="382"/>
      <c r="C342" s="116"/>
      <c r="D342" s="276">
        <v>0</v>
      </c>
      <c r="E342" s="335"/>
      <c r="F342" s="335"/>
      <c r="G342" s="194"/>
      <c r="H342" s="17">
        <f t="shared" si="77"/>
        <v>0</v>
      </c>
      <c r="I342" s="619" t="e">
        <f>'INVENTORY INPUT'!#REF!</f>
        <v>#REF!</v>
      </c>
      <c r="J342" s="17" t="e">
        <f t="shared" si="73"/>
        <v>#REF!</v>
      </c>
      <c r="K342" s="701">
        <v>0</v>
      </c>
      <c r="L342" s="709" t="e">
        <f t="shared" si="74"/>
        <v>#REF!</v>
      </c>
      <c r="M342" s="710" t="e">
        <f t="shared" si="75"/>
        <v>#REF!</v>
      </c>
      <c r="N342" s="705">
        <f t="shared" si="76"/>
        <v>0</v>
      </c>
    </row>
    <row r="343" spans="2:14" ht="15" customHeight="1" thickBot="1" x14ac:dyDescent="0.3">
      <c r="B343" s="382"/>
      <c r="C343" s="116"/>
      <c r="D343" s="276">
        <v>0</v>
      </c>
      <c r="E343" s="335"/>
      <c r="F343" s="335"/>
      <c r="G343" s="194"/>
      <c r="H343" s="17">
        <f t="shared" si="77"/>
        <v>0</v>
      </c>
      <c r="I343" s="619" t="e">
        <f>'INVENTORY INPUT'!#REF!</f>
        <v>#REF!</v>
      </c>
      <c r="J343" s="17" t="e">
        <f t="shared" si="73"/>
        <v>#REF!</v>
      </c>
      <c r="K343" s="701">
        <v>0</v>
      </c>
      <c r="L343" s="709" t="e">
        <f t="shared" si="74"/>
        <v>#REF!</v>
      </c>
      <c r="M343" s="710" t="e">
        <f t="shared" si="75"/>
        <v>#REF!</v>
      </c>
      <c r="N343" s="705">
        <f t="shared" si="76"/>
        <v>0</v>
      </c>
    </row>
    <row r="344" spans="2:14" ht="15" customHeight="1" thickBot="1" x14ac:dyDescent="0.3">
      <c r="B344" s="193"/>
      <c r="C344" s="116"/>
      <c r="D344" s="276">
        <v>0</v>
      </c>
      <c r="E344" s="378"/>
      <c r="F344" s="378"/>
      <c r="G344" s="197"/>
      <c r="H344" s="17">
        <f t="shared" si="77"/>
        <v>0</v>
      </c>
      <c r="I344" s="619" t="e">
        <f>'INVENTORY INPUT'!#REF!</f>
        <v>#REF!</v>
      </c>
      <c r="J344" s="53" t="e">
        <f>H344-I344</f>
        <v>#REF!</v>
      </c>
      <c r="K344" s="701">
        <v>0</v>
      </c>
      <c r="L344" s="709" t="e">
        <f>K344*J344</f>
        <v>#REF!</v>
      </c>
      <c r="M344" s="710" t="e">
        <f t="shared" si="75"/>
        <v>#REF!</v>
      </c>
      <c r="N344" s="705">
        <f>SUM(E344:G344)*K344</f>
        <v>0</v>
      </c>
    </row>
    <row r="345" spans="2:14" ht="15" customHeight="1" thickBot="1" x14ac:dyDescent="0.3">
      <c r="B345" s="620"/>
      <c r="C345" s="641"/>
      <c r="D345" s="642">
        <v>0</v>
      </c>
      <c r="E345" s="622"/>
      <c r="F345" s="622"/>
      <c r="G345" s="623"/>
      <c r="H345" s="643">
        <f t="shared" si="77"/>
        <v>0</v>
      </c>
      <c r="I345" s="619" t="e">
        <f>'INVENTORY INPUT'!#REF!</f>
        <v>#REF!</v>
      </c>
      <c r="J345" s="624" t="e">
        <f>H345-I345</f>
        <v>#REF!</v>
      </c>
      <c r="K345" s="644">
        <v>0</v>
      </c>
      <c r="L345" s="714" t="e">
        <f>K345*J345</f>
        <v>#REF!</v>
      </c>
      <c r="M345" s="715"/>
      <c r="N345" s="645">
        <f>SUM(E345:G345)*K345</f>
        <v>0</v>
      </c>
    </row>
    <row r="346" spans="2:14" ht="15" customHeight="1" thickBot="1" x14ac:dyDescent="0.3">
      <c r="B346" s="380" t="s">
        <v>359</v>
      </c>
      <c r="C346" s="627" t="e">
        <f>SUM(M335:M344)</f>
        <v>#REF!</v>
      </c>
      <c r="D346" s="628"/>
      <c r="E346" s="629"/>
      <c r="F346" s="630"/>
      <c r="G346" s="630"/>
      <c r="H346" s="631"/>
      <c r="I346" s="631"/>
      <c r="J346" s="631"/>
      <c r="K346" s="631"/>
      <c r="L346" s="186" t="e">
        <f>SUM(L335:L345)</f>
        <v>#REF!</v>
      </c>
      <c r="M346" s="174" t="e">
        <f>SUM(M335:M344)</f>
        <v>#REF!</v>
      </c>
      <c r="N346" s="187">
        <f>SUM(N335:N345)</f>
        <v>0</v>
      </c>
    </row>
    <row r="347" spans="2:14" ht="17.25" thickTop="1" thickBot="1" x14ac:dyDescent="0.3">
      <c r="B347" s="3"/>
      <c r="C347" s="3"/>
      <c r="D347" s="4"/>
      <c r="E347" s="258"/>
      <c r="F347" s="258"/>
      <c r="G347" s="228"/>
      <c r="H347" s="4"/>
      <c r="I347" s="19"/>
      <c r="J347" s="4"/>
      <c r="K347" s="4"/>
      <c r="L347" s="169"/>
      <c r="M347" s="177"/>
    </row>
    <row r="348" spans="2:14" ht="17.25" thickTop="1" thickBot="1" x14ac:dyDescent="0.3">
      <c r="B348" s="3"/>
      <c r="C348" s="60" t="s">
        <v>295</v>
      </c>
      <c r="D348" s="4"/>
      <c r="E348" s="258"/>
      <c r="F348" s="258"/>
      <c r="G348" s="228"/>
      <c r="H348" s="61" t="s">
        <v>296</v>
      </c>
      <c r="I348" s="19"/>
      <c r="J348" s="65" t="s">
        <v>297</v>
      </c>
      <c r="K348" s="311"/>
      <c r="L348" s="158" t="s">
        <v>433</v>
      </c>
      <c r="M348" s="177"/>
    </row>
    <row r="349" spans="2:14" ht="16.5" thickTop="1" thickBot="1" x14ac:dyDescent="0.3">
      <c r="B349" s="48" t="s">
        <v>256</v>
      </c>
      <c r="C349" s="66" t="e">
        <f>L16/'FRONT PAGE'!B3</f>
        <v>#REF!</v>
      </c>
      <c r="D349" s="285"/>
      <c r="E349" s="232"/>
      <c r="F349" s="232"/>
      <c r="G349" s="232"/>
      <c r="H349" s="268" t="e">
        <f>M16</f>
        <v>#REF!</v>
      </c>
      <c r="I349" s="272"/>
      <c r="J349" s="268">
        <f>N16</f>
        <v>993.19</v>
      </c>
      <c r="K349" s="312"/>
      <c r="L349" s="274" t="e">
        <f>L16</f>
        <v>#REF!</v>
      </c>
      <c r="M349" s="161"/>
      <c r="N349" s="275"/>
    </row>
    <row r="350" spans="2:14" ht="16.5" thickTop="1" thickBot="1" x14ac:dyDescent="0.3">
      <c r="B350" s="48" t="s">
        <v>257</v>
      </c>
      <c r="C350" s="66">
        <f>L24/'FRONT PAGE'!B3</f>
        <v>8.1589119047619049E-2</v>
      </c>
      <c r="D350" s="285"/>
      <c r="E350" s="232"/>
      <c r="F350" s="232"/>
      <c r="G350" s="232"/>
      <c r="H350" s="268">
        <f>M24</f>
        <v>0</v>
      </c>
      <c r="I350" s="272"/>
      <c r="J350" s="268">
        <f>N24</f>
        <v>1604.3000000000002</v>
      </c>
      <c r="K350" s="312"/>
      <c r="L350" s="274">
        <f>L24</f>
        <v>1713.3715</v>
      </c>
      <c r="M350" s="161"/>
      <c r="N350" s="275"/>
    </row>
    <row r="351" spans="2:14" ht="16.5" thickTop="1" thickBot="1" x14ac:dyDescent="0.3">
      <c r="B351" s="48" t="s">
        <v>258</v>
      </c>
      <c r="C351" s="66" t="e">
        <f>L34/'FRONT PAGE'!B3</f>
        <v>#REF!</v>
      </c>
      <c r="D351" s="285"/>
      <c r="E351" s="232"/>
      <c r="F351" s="232"/>
      <c r="G351" s="232"/>
      <c r="H351" s="268" t="e">
        <f>M34</f>
        <v>#REF!</v>
      </c>
      <c r="I351" s="272"/>
      <c r="J351" s="268">
        <f>N34</f>
        <v>357.87</v>
      </c>
      <c r="K351" s="312"/>
      <c r="L351" s="274" t="e">
        <f>L34</f>
        <v>#REF!</v>
      </c>
      <c r="M351" s="161"/>
      <c r="N351" s="275"/>
    </row>
    <row r="352" spans="2:14" ht="16.5" thickTop="1" thickBot="1" x14ac:dyDescent="0.3">
      <c r="B352" s="48" t="s">
        <v>259</v>
      </c>
      <c r="C352" s="66" t="e">
        <f>L57/'FRONT PAGE'!B3</f>
        <v>#REF!</v>
      </c>
      <c r="D352" s="285"/>
      <c r="E352" s="232"/>
      <c r="F352" s="232"/>
      <c r="G352" s="232"/>
      <c r="H352" s="268" t="e">
        <f>M57</f>
        <v>#REF!</v>
      </c>
      <c r="I352" s="272"/>
      <c r="J352" s="268">
        <f>N57</f>
        <v>536.6232</v>
      </c>
      <c r="K352" s="312"/>
      <c r="L352" s="274" t="e">
        <f>L57</f>
        <v>#REF!</v>
      </c>
      <c r="M352" s="161"/>
      <c r="N352" s="275"/>
    </row>
    <row r="353" spans="2:14" ht="16.5" thickTop="1" thickBot="1" x14ac:dyDescent="0.3">
      <c r="B353" s="48" t="s">
        <v>260</v>
      </c>
      <c r="C353" s="66" t="e">
        <f>L79/'FRONT PAGE'!B3</f>
        <v>#REF!</v>
      </c>
      <c r="D353" s="285"/>
      <c r="E353" s="232"/>
      <c r="F353" s="232"/>
      <c r="G353" s="232"/>
      <c r="H353" s="268" t="e">
        <f>M79</f>
        <v>#REF!</v>
      </c>
      <c r="I353" s="272"/>
      <c r="J353" s="268">
        <f>N79</f>
        <v>1265.0799999999997</v>
      </c>
      <c r="K353" s="312"/>
      <c r="L353" s="274" t="e">
        <f>L79</f>
        <v>#REF!</v>
      </c>
      <c r="M353" s="161"/>
      <c r="N353" s="275"/>
    </row>
    <row r="354" spans="2:14" ht="16.5" thickTop="1" thickBot="1" x14ac:dyDescent="0.3">
      <c r="B354" s="48" t="s">
        <v>261</v>
      </c>
      <c r="C354" s="66" t="e">
        <f>L92/'FRONT PAGE'!B3</f>
        <v>#REF!</v>
      </c>
      <c r="D354" s="285"/>
      <c r="E354" s="232"/>
      <c r="F354" s="232"/>
      <c r="G354" s="232"/>
      <c r="H354" s="268" t="e">
        <f>M92</f>
        <v>#REF!</v>
      </c>
      <c r="I354" s="272"/>
      <c r="J354" s="268">
        <f>N92</f>
        <v>402.99240000000003</v>
      </c>
      <c r="K354" s="312"/>
      <c r="L354" s="274" t="e">
        <f>L92</f>
        <v>#REF!</v>
      </c>
      <c r="M354" s="161"/>
      <c r="N354" s="275"/>
    </row>
    <row r="355" spans="2:14" ht="16.5" thickTop="1" thickBot="1" x14ac:dyDescent="0.3">
      <c r="B355" s="48" t="s">
        <v>393</v>
      </c>
      <c r="C355" s="66" t="e">
        <f>L108/'FRONT PAGE'!B3</f>
        <v>#REF!</v>
      </c>
      <c r="D355" s="285"/>
      <c r="E355" s="232"/>
      <c r="F355" s="232"/>
      <c r="G355" s="232"/>
      <c r="H355" s="268" t="e">
        <f>M108</f>
        <v>#REF!</v>
      </c>
      <c r="I355" s="272"/>
      <c r="J355" s="268">
        <f>N108</f>
        <v>1444.5663999999997</v>
      </c>
      <c r="K355" s="312"/>
      <c r="L355" s="274" t="e">
        <f>L108</f>
        <v>#REF!</v>
      </c>
      <c r="M355" s="161"/>
      <c r="N355" s="275"/>
    </row>
    <row r="356" spans="2:14" ht="16.5" thickTop="1" thickBot="1" x14ac:dyDescent="0.3">
      <c r="B356" s="48" t="s">
        <v>394</v>
      </c>
      <c r="C356" s="66" t="e">
        <f>L123/'FRONT PAGE'!B3</f>
        <v>#REF!</v>
      </c>
      <c r="D356" s="285"/>
      <c r="E356" s="232"/>
      <c r="F356" s="232"/>
      <c r="G356" s="232"/>
      <c r="H356" s="268" t="e">
        <f>M123</f>
        <v>#REF!</v>
      </c>
      <c r="I356" s="272"/>
      <c r="J356" s="268">
        <f>N123</f>
        <v>239.37</v>
      </c>
      <c r="K356" s="312"/>
      <c r="L356" s="274" t="e">
        <f>L123</f>
        <v>#REF!</v>
      </c>
      <c r="M356" s="161"/>
      <c r="N356" s="275"/>
    </row>
    <row r="357" spans="2:14" ht="16.5" thickTop="1" thickBot="1" x14ac:dyDescent="0.3">
      <c r="B357" s="48" t="s">
        <v>262</v>
      </c>
      <c r="C357" s="66" t="e">
        <f>L140/'FRONT PAGE'!B3</f>
        <v>#REF!</v>
      </c>
      <c r="D357" s="285"/>
      <c r="E357" s="232"/>
      <c r="F357" s="232"/>
      <c r="G357" s="232"/>
      <c r="H357" s="268" t="e">
        <f>M140</f>
        <v>#REF!</v>
      </c>
      <c r="I357" s="272"/>
      <c r="J357" s="268">
        <f>N140</f>
        <v>416.37</v>
      </c>
      <c r="K357" s="312"/>
      <c r="L357" s="274" t="e">
        <f>L140</f>
        <v>#REF!</v>
      </c>
      <c r="M357" s="161"/>
      <c r="N357" s="275"/>
    </row>
    <row r="358" spans="2:14" ht="16.5" thickTop="1" thickBot="1" x14ac:dyDescent="0.3">
      <c r="B358" s="48" t="s">
        <v>395</v>
      </c>
      <c r="C358" s="66" t="e">
        <f>L148/'FRONT PAGE'!B3</f>
        <v>#REF!</v>
      </c>
      <c r="D358" s="285"/>
      <c r="E358" s="232"/>
      <c r="F358" s="232"/>
      <c r="G358" s="232"/>
      <c r="H358" s="268" t="e">
        <f>M148</f>
        <v>#REF!</v>
      </c>
      <c r="I358" s="272"/>
      <c r="J358" s="268">
        <f>N148</f>
        <v>99.56</v>
      </c>
      <c r="K358" s="312"/>
      <c r="L358" s="274" t="e">
        <f>L148</f>
        <v>#REF!</v>
      </c>
      <c r="M358" s="161"/>
      <c r="N358" s="275"/>
    </row>
    <row r="359" spans="2:14" ht="16.5" thickTop="1" thickBot="1" x14ac:dyDescent="0.3">
      <c r="B359" s="48" t="s">
        <v>263</v>
      </c>
      <c r="C359" s="66" t="e">
        <f>L177/'FRONT PAGE'!B3</f>
        <v>#REF!</v>
      </c>
      <c r="D359" s="285"/>
      <c r="E359" s="232"/>
      <c r="F359" s="232"/>
      <c r="G359" s="232"/>
      <c r="H359" s="268" t="e">
        <f>M177</f>
        <v>#REF!</v>
      </c>
      <c r="I359" s="272"/>
      <c r="J359" s="268">
        <f>N177</f>
        <v>359.35999999999996</v>
      </c>
      <c r="K359" s="312"/>
      <c r="L359" s="274" t="e">
        <f>L177</f>
        <v>#REF!</v>
      </c>
      <c r="M359" s="161"/>
      <c r="N359" s="275"/>
    </row>
    <row r="360" spans="2:14" ht="16.5" thickTop="1" thickBot="1" x14ac:dyDescent="0.3">
      <c r="B360" s="48" t="s">
        <v>264</v>
      </c>
      <c r="C360" s="66" t="e">
        <f>L191/'FRONT PAGE'!B3</f>
        <v>#REF!</v>
      </c>
      <c r="D360" s="285"/>
      <c r="E360" s="232"/>
      <c r="F360" s="232"/>
      <c r="G360" s="232"/>
      <c r="H360" s="268" t="e">
        <f>M191</f>
        <v>#REF!</v>
      </c>
      <c r="I360" s="272"/>
      <c r="J360" s="268">
        <f>N191</f>
        <v>0</v>
      </c>
      <c r="K360" s="312"/>
      <c r="L360" s="274" t="e">
        <f>L191</f>
        <v>#REF!</v>
      </c>
      <c r="M360" s="161"/>
      <c r="N360" s="275"/>
    </row>
    <row r="361" spans="2:14" ht="16.5" thickTop="1" thickBot="1" x14ac:dyDescent="0.3">
      <c r="B361" s="48" t="s">
        <v>114</v>
      </c>
      <c r="C361" s="66" t="e">
        <f>L235/'FRONT PAGE'!B3</f>
        <v>#REF!</v>
      </c>
      <c r="D361" s="285"/>
      <c r="E361" s="232"/>
      <c r="F361" s="232"/>
      <c r="G361" s="232"/>
      <c r="H361" s="268" t="e">
        <f>M235</f>
        <v>#REF!</v>
      </c>
      <c r="I361" s="272"/>
      <c r="J361" s="268">
        <f>N235</f>
        <v>273.94</v>
      </c>
      <c r="K361" s="312"/>
      <c r="L361" s="274" t="e">
        <f>L235</f>
        <v>#REF!</v>
      </c>
      <c r="M361" s="161"/>
      <c r="N361" s="275"/>
    </row>
    <row r="362" spans="2:14" ht="16.5" thickTop="1" thickBot="1" x14ac:dyDescent="0.3">
      <c r="B362" s="48" t="s">
        <v>265</v>
      </c>
      <c r="C362" s="66" t="e">
        <f>L261/'FRONT PAGE'!B3</f>
        <v>#REF!</v>
      </c>
      <c r="D362" s="285"/>
      <c r="E362" s="232"/>
      <c r="F362" s="232"/>
      <c r="G362" s="232"/>
      <c r="H362" s="268" t="e">
        <f>M261</f>
        <v>#REF!</v>
      </c>
      <c r="I362" s="272"/>
      <c r="J362" s="268">
        <f>N261</f>
        <v>1543.4899999999998</v>
      </c>
      <c r="K362" s="312"/>
      <c r="L362" s="274" t="e">
        <f>L261</f>
        <v>#REF!</v>
      </c>
      <c r="M362" s="161"/>
      <c r="N362" s="275"/>
    </row>
    <row r="363" spans="2:14" ht="16.5" thickTop="1" thickBot="1" x14ac:dyDescent="0.3">
      <c r="B363" s="48" t="s">
        <v>266</v>
      </c>
      <c r="C363" s="66"/>
      <c r="D363" s="285"/>
      <c r="E363" s="232"/>
      <c r="F363" s="232"/>
      <c r="G363" s="232"/>
      <c r="H363" s="268" t="e">
        <f>M281</f>
        <v>#REF!</v>
      </c>
      <c r="I363" s="272"/>
      <c r="J363" s="268"/>
      <c r="K363" s="312"/>
      <c r="L363" s="274"/>
      <c r="M363" s="161"/>
      <c r="N363" s="275"/>
    </row>
    <row r="364" spans="2:14" ht="16.5" thickTop="1" thickBot="1" x14ac:dyDescent="0.3">
      <c r="B364" s="48" t="s">
        <v>267</v>
      </c>
      <c r="C364" s="66" t="e">
        <f>L332/'FRONT PAGE'!B3</f>
        <v>#REF!</v>
      </c>
      <c r="D364" s="285"/>
      <c r="E364" s="232"/>
      <c r="F364" s="232"/>
      <c r="G364" s="232"/>
      <c r="H364" s="268" t="e">
        <f>M332</f>
        <v>#REF!</v>
      </c>
      <c r="I364" s="272"/>
      <c r="J364" s="268">
        <f>N332</f>
        <v>0</v>
      </c>
      <c r="K364" s="312"/>
      <c r="L364" s="274" t="e">
        <f>L332</f>
        <v>#REF!</v>
      </c>
      <c r="M364" s="161"/>
      <c r="N364" s="275"/>
    </row>
    <row r="365" spans="2:14" ht="16.5" thickTop="1" thickBot="1" x14ac:dyDescent="0.3">
      <c r="B365" s="48" t="s">
        <v>268</v>
      </c>
      <c r="C365" s="66" t="e">
        <f>L346/'FRONT PAGE'!B3</f>
        <v>#REF!</v>
      </c>
      <c r="D365" s="285"/>
      <c r="E365" s="232"/>
      <c r="F365" s="232"/>
      <c r="G365" s="232"/>
      <c r="H365" s="268" t="e">
        <f>M346</f>
        <v>#REF!</v>
      </c>
      <c r="I365" s="272"/>
      <c r="J365" s="268">
        <f>N346</f>
        <v>0</v>
      </c>
      <c r="K365" s="312"/>
      <c r="L365" s="274" t="e">
        <f>L346</f>
        <v>#REF!</v>
      </c>
      <c r="M365" s="161"/>
      <c r="N365" s="275"/>
    </row>
    <row r="366" spans="2:14" ht="16.5" thickTop="1" thickBot="1" x14ac:dyDescent="0.3">
      <c r="B366" s="48" t="s">
        <v>269</v>
      </c>
      <c r="C366" s="119">
        <f>L304/'FRONT PAGE'!B3</f>
        <v>3.4800557380952384E-2</v>
      </c>
      <c r="D366" s="286">
        <f>L304</f>
        <v>730.81170500000007</v>
      </c>
      <c r="E366" s="259" t="s">
        <v>129</v>
      </c>
      <c r="F366" s="232"/>
      <c r="G366" s="232"/>
      <c r="H366" s="268">
        <f>M304</f>
        <v>0</v>
      </c>
      <c r="I366" s="272"/>
      <c r="J366" s="268">
        <f>N304</f>
        <v>197.36</v>
      </c>
      <c r="K366" s="312"/>
      <c r="L366" s="274">
        <f>L304</f>
        <v>730.81170500000007</v>
      </c>
      <c r="N366" s="161" t="e">
        <f>SUM(L349:L365)</f>
        <v>#REF!</v>
      </c>
    </row>
    <row r="367" spans="2:14" ht="16.5" thickTop="1" thickBot="1" x14ac:dyDescent="0.3">
      <c r="D367" s="287">
        <f>M304</f>
        <v>0</v>
      </c>
      <c r="E367" s="260" t="s">
        <v>127</v>
      </c>
      <c r="F367" s="233"/>
      <c r="G367" s="233"/>
      <c r="H367" s="269"/>
      <c r="I367" s="273"/>
      <c r="J367" s="269"/>
      <c r="K367" s="269"/>
      <c r="M367" s="161"/>
      <c r="N367" s="275"/>
    </row>
    <row r="368" spans="2:14" ht="15" x14ac:dyDescent="0.25">
      <c r="G368" s="234"/>
      <c r="H368" s="270" t="e">
        <f>SUM(H349:H366)</f>
        <v>#REF!</v>
      </c>
      <c r="J368" s="270">
        <f>SUM(J349:J366)</f>
        <v>9734.0720000000001</v>
      </c>
      <c r="L368" s="161" t="e">
        <f>SUM(L349:L365)</f>
        <v>#REF!</v>
      </c>
      <c r="M368" s="161"/>
      <c r="N368" s="275"/>
    </row>
    <row r="369" spans="7:14" ht="15" x14ac:dyDescent="0.25">
      <c r="G369" s="234"/>
      <c r="M369" s="161"/>
      <c r="N369" s="275"/>
    </row>
    <row r="370" spans="7:14" ht="15" x14ac:dyDescent="0.25">
      <c r="M370" s="161"/>
      <c r="N370" s="275"/>
    </row>
    <row r="371" spans="7:14" ht="15" x14ac:dyDescent="0.25">
      <c r="M371" s="161"/>
      <c r="N371" s="275"/>
    </row>
    <row r="372" spans="7:14" ht="15" x14ac:dyDescent="0.25">
      <c r="M372" s="161"/>
      <c r="N372" s="275"/>
    </row>
    <row r="373" spans="7:14" ht="15" x14ac:dyDescent="0.25">
      <c r="M373" s="161"/>
      <c r="N373" s="275"/>
    </row>
    <row r="374" spans="7:14" ht="15" x14ac:dyDescent="0.25">
      <c r="M374" s="161"/>
      <c r="N374" s="275"/>
    </row>
    <row r="375" spans="7:14" ht="15" x14ac:dyDescent="0.25">
      <c r="M375" s="161"/>
      <c r="N375" s="275"/>
    </row>
    <row r="376" spans="7:14" ht="15" x14ac:dyDescent="0.25">
      <c r="M376" s="161"/>
      <c r="N376" s="275"/>
    </row>
    <row r="377" spans="7:14" ht="15" x14ac:dyDescent="0.25">
      <c r="M377" s="161"/>
      <c r="N377" s="275"/>
    </row>
    <row r="378" spans="7:14" ht="15" x14ac:dyDescent="0.25">
      <c r="M378" s="161"/>
      <c r="N378" s="275"/>
    </row>
    <row r="379" spans="7:14" ht="15" x14ac:dyDescent="0.25">
      <c r="M379" s="161"/>
      <c r="N379" s="275"/>
    </row>
    <row r="380" spans="7:14" ht="15" x14ac:dyDescent="0.25">
      <c r="M380" s="161"/>
      <c r="N380" s="275"/>
    </row>
    <row r="381" spans="7:14" ht="15" x14ac:dyDescent="0.25">
      <c r="M381" s="161"/>
      <c r="N381" s="275"/>
    </row>
    <row r="382" spans="7:14" ht="15" x14ac:dyDescent="0.25">
      <c r="M382" s="161"/>
      <c r="N382" s="275"/>
    </row>
    <row r="383" spans="7:14" ht="15" x14ac:dyDescent="0.25">
      <c r="M383" s="161"/>
      <c r="N383" s="275"/>
    </row>
    <row r="384" spans="7:14" ht="15" x14ac:dyDescent="0.25">
      <c r="M384" s="161"/>
      <c r="N384" s="275"/>
    </row>
    <row r="385" spans="13:14" ht="15" x14ac:dyDescent="0.25">
      <c r="M385" s="161"/>
      <c r="N385" s="275"/>
    </row>
    <row r="386" spans="13:14" ht="15" x14ac:dyDescent="0.25">
      <c r="M386" s="161"/>
      <c r="N386" s="275"/>
    </row>
    <row r="387" spans="13:14" ht="15" x14ac:dyDescent="0.25">
      <c r="M387" s="161"/>
      <c r="N387" s="275"/>
    </row>
    <row r="388" spans="13:14" ht="15" x14ac:dyDescent="0.25">
      <c r="M388" s="161"/>
      <c r="N388" s="275"/>
    </row>
    <row r="389" spans="13:14" ht="15" x14ac:dyDescent="0.25">
      <c r="M389" s="161"/>
      <c r="N389" s="275"/>
    </row>
    <row r="390" spans="13:14" ht="15" x14ac:dyDescent="0.25">
      <c r="M390" s="161"/>
      <c r="N390" s="275"/>
    </row>
    <row r="391" spans="13:14" ht="15" x14ac:dyDescent="0.25">
      <c r="M391" s="161"/>
      <c r="N391" s="275"/>
    </row>
    <row r="392" spans="13:14" ht="15" x14ac:dyDescent="0.25">
      <c r="M392" s="161"/>
    </row>
    <row r="393" spans="13:14" ht="15" x14ac:dyDescent="0.25">
      <c r="M393" s="161"/>
    </row>
    <row r="394" spans="13:14" ht="15" x14ac:dyDescent="0.25">
      <c r="M394" s="161"/>
    </row>
    <row r="395" spans="13:14" ht="15" x14ac:dyDescent="0.25">
      <c r="M395" s="161"/>
    </row>
    <row r="504" spans="2:3" ht="12.75" customHeight="1" x14ac:dyDescent="0.25">
      <c r="C504" s="12"/>
    </row>
    <row r="505" spans="2:3" ht="12.75" customHeight="1" x14ac:dyDescent="0.25">
      <c r="B505" s="12"/>
      <c r="C505" s="12"/>
    </row>
    <row r="506" spans="2:3" ht="12.75" customHeight="1" x14ac:dyDescent="0.25">
      <c r="C506" s="12"/>
    </row>
    <row r="507" spans="2:3" ht="12.75" customHeight="1" x14ac:dyDescent="0.25">
      <c r="C507" s="12"/>
    </row>
    <row r="508" spans="2:3" ht="12.75" customHeight="1" x14ac:dyDescent="0.25">
      <c r="C508" s="12"/>
    </row>
    <row r="509" spans="2:3" ht="12.75" customHeight="1" x14ac:dyDescent="0.25">
      <c r="C509" s="12"/>
    </row>
    <row r="510" spans="2:3" ht="12.75" customHeight="1" x14ac:dyDescent="0.25">
      <c r="C510" s="12"/>
    </row>
    <row r="511" spans="2:3" ht="12.75" customHeight="1" x14ac:dyDescent="0.25">
      <c r="C511" s="12"/>
    </row>
    <row r="512" spans="2:3" ht="12.75" customHeight="1" x14ac:dyDescent="0.25">
      <c r="C512" s="13"/>
    </row>
    <row r="526" spans="1:1" ht="15" x14ac:dyDescent="0.25">
      <c r="A526" s="6"/>
    </row>
    <row r="527" spans="1:1" ht="15" x14ac:dyDescent="0.25">
      <c r="A527" s="6"/>
    </row>
    <row r="528" spans="1:1" ht="15" x14ac:dyDescent="0.25">
      <c r="A528" s="6"/>
    </row>
    <row r="529" spans="1:1" ht="15" x14ac:dyDescent="0.25">
      <c r="A529" s="6"/>
    </row>
    <row r="530" spans="1:1" ht="15" x14ac:dyDescent="0.25">
      <c r="A530" s="6"/>
    </row>
    <row r="531" spans="1:1" ht="15" x14ac:dyDescent="0.25">
      <c r="A531" s="6"/>
    </row>
    <row r="532" spans="1:1" ht="15" x14ac:dyDescent="0.25">
      <c r="A532" s="6"/>
    </row>
    <row r="533" spans="1:1" ht="15" x14ac:dyDescent="0.25">
      <c r="A533" s="6"/>
    </row>
    <row r="534" spans="1:1" ht="15" x14ac:dyDescent="0.25">
      <c r="A534" s="6"/>
    </row>
  </sheetData>
  <protectedRanges>
    <protectedRange sqref="E16:E18 E235:E237 E24:E26 E34:E36 E79:E81 E92:E94 E108:E110 E123:E125 E140:E142 E148:E150 E177:E179 E57:E59 E191:E193" name="Range1_1_1_1"/>
    <protectedRange sqref="E323:E331 E304:E306 G244 G254 F166:G172 F284:G288 F143:F147 F60:F78 F200:G234 F238:F253 F289 F52:F56 E333:E335 F82:F91 F186:G186 F255:F260 F173:F176 F180:F185 F187:F190 F194:F199 G335:G340 F336:F345 F290:G303 F95:F107 F111:F122 F126:F139 F151:F165" name="Range1_2_1_1"/>
    <protectedRange sqref="E322 F7 F335 E7:E15 F9:F15" name="Range1_1_2_1_1"/>
    <protectedRange sqref="E19:F23" name="Range1_1_3_1"/>
    <protectedRange sqref="E307 E27:F33" name="Range1_1_4_1_2"/>
    <protectedRange sqref="E308 E37:F50 F51" name="Range1_1_5_1_2"/>
    <protectedRange sqref="E309:E310 E5:F6" name="Range1_1_6_1_2"/>
    <protectedRange sqref="E311" name="Range1_1_7_1_2"/>
    <protectedRange sqref="E312 E321" name="Range1_1_9_1_1"/>
    <protectedRange sqref="E313:E316 E320" name="Range1_1_10_1_2"/>
    <protectedRange sqref="E317:E318" name="Range1_1_12_1_2"/>
    <protectedRange sqref="E319" name="Range1_2_2_1_2"/>
    <protectedRange sqref="G289 F191:F193 F177:F179 F148:F150 F140:F142 F123:F125 F108:F110 F92:F94 F79:F81 F57:F59 F34:F36 F24:F26 F235:G237 G94 G245:G253 G238:G243 F304:G321 F323:G334 G255:G260 G341:G345 G92 G79 G81 G57 G59 G34 G36 G24 G26 G16 G18 G193 G191 G179 G177 G148 G150 G140 G142 G125 G123 G110 G108 F282:G283 F261:G280" name="Range1_5_14"/>
    <protectedRange sqref="G173:G176 G187:G190 G194:G199 G192 G180:G185 G178 G124 G111:G113 G109 G93 G80 G82:G91 G58 G60:G78 G35 G25 G17 G19:G23 G5:G15 G27:G33 G37:G56 G95:G107 G115:G122 G126:G134 G152:G161" name="Range1_2_1_1_1"/>
    <protectedRange sqref="G114 G135:G139 G145:G147 G162:G165 G149 G151 G141 G143" name="Range1_5_14_1"/>
  </protectedRanges>
  <mergeCells count="2">
    <mergeCell ref="B2:B3"/>
    <mergeCell ref="C2:C3"/>
  </mergeCells>
  <phoneticPr fontId="15" type="noConversion"/>
  <hyperlinks>
    <hyperlink ref="A2" location="'Inventory Worksheet'!A399" display="JUMP TO SUMMARY" xr:uid="{42266540-AEBE-4E3F-A19A-C742FEAD4BD1}"/>
  </hyperlinks>
  <printOptions horizontalCentered="1" verticalCentered="1" gridLinesSet="0"/>
  <pageMargins left="0.511811023622047" right="0.511811023622047" top="0.196850393700787" bottom="0.15748031496063" header="0" footer="0"/>
  <pageSetup scale="65" fitToHeight="12" orientation="portrait" blackAndWhite="1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A482D-526B-44D0-A5C8-7B6D3A64DB3E}">
  <sheetPr codeName="Sheet10"/>
  <dimension ref="A1:R322"/>
  <sheetViews>
    <sheetView showGridLines="0" view="pageBreakPreview" zoomScale="93" zoomScaleNormal="100" zoomScaleSheetLayoutView="93" workbookViewId="0">
      <selection activeCell="C150" sqref="C150"/>
    </sheetView>
  </sheetViews>
  <sheetFormatPr defaultRowHeight="15.75" customHeight="1" x14ac:dyDescent="0.25"/>
  <cols>
    <col min="1" max="1" width="30" style="43" customWidth="1"/>
    <col min="2" max="2" width="8.85546875" style="44" customWidth="1"/>
    <col min="3" max="4" width="10.140625" style="184" customWidth="1"/>
    <col min="5" max="6" width="10.140625" style="1" customWidth="1"/>
    <col min="7" max="8" width="11.5703125" style="1" customWidth="1"/>
    <col min="9" max="18" width="8.85546875" style="24" customWidth="1"/>
    <col min="19" max="16384" width="9.140625" style="1"/>
  </cols>
  <sheetData>
    <row r="1" spans="1:11" x14ac:dyDescent="0.25">
      <c r="A1" s="208" t="s">
        <v>329</v>
      </c>
      <c r="B1" s="67"/>
      <c r="C1" s="179" t="s">
        <v>16</v>
      </c>
      <c r="D1" s="179" t="s">
        <v>271</v>
      </c>
      <c r="E1" s="23" t="s">
        <v>33</v>
      </c>
      <c r="F1" s="23" t="s">
        <v>34</v>
      </c>
      <c r="G1" s="23" t="s">
        <v>437</v>
      </c>
      <c r="H1" s="366" t="s">
        <v>512</v>
      </c>
    </row>
    <row r="2" spans="1:11" ht="15" x14ac:dyDescent="0.25">
      <c r="A2" s="25" t="str">
        <f>'Inventory Worksheet'!B5</f>
        <v>Burgers - 6 oz</v>
      </c>
      <c r="B2" s="26" t="str">
        <f>'Inventory Worksheet'!C5</f>
        <v>EACH</v>
      </c>
      <c r="C2" s="237"/>
      <c r="D2" s="237"/>
      <c r="E2" s="27"/>
      <c r="F2" s="200"/>
      <c r="G2" s="27">
        <f t="shared" ref="G2:G16" si="0">SUM(C2:F2)</f>
        <v>0</v>
      </c>
      <c r="H2" s="367">
        <f>'Inventory Worksheet'!D5</f>
        <v>100</v>
      </c>
    </row>
    <row r="3" spans="1:11" ht="15" x14ac:dyDescent="0.25">
      <c r="A3" s="25" t="str">
        <f>'Inventory Worksheet'!B6</f>
        <v>Veal cutlet</v>
      </c>
      <c r="B3" s="26" t="str">
        <f>'Inventory Worksheet'!C6</f>
        <v>EACH</v>
      </c>
      <c r="C3" s="237"/>
      <c r="D3" s="237"/>
      <c r="E3" s="27"/>
      <c r="F3" s="200"/>
      <c r="G3" s="27">
        <f t="shared" si="0"/>
        <v>0</v>
      </c>
      <c r="H3" s="367">
        <f>'Inventory Worksheet'!D6</f>
        <v>16</v>
      </c>
    </row>
    <row r="4" spans="1:11" ht="15" x14ac:dyDescent="0.25">
      <c r="A4" s="25" t="str">
        <f>'Inventory Worksheet'!B7</f>
        <v>Bacon bits</v>
      </c>
      <c r="B4" s="26" t="s">
        <v>140</v>
      </c>
      <c r="C4" s="237"/>
      <c r="D4" s="237"/>
      <c r="E4" s="27"/>
      <c r="F4" s="200"/>
      <c r="G4" s="27">
        <f t="shared" si="0"/>
        <v>0</v>
      </c>
      <c r="H4" s="367">
        <f>'Inventory Worksheet'!D7</f>
        <v>1</v>
      </c>
    </row>
    <row r="5" spans="1:11" ht="15" x14ac:dyDescent="0.25">
      <c r="A5" s="25" t="str">
        <f>'Inventory Worksheet'!B8</f>
        <v>1 oz Meatballs</v>
      </c>
      <c r="B5" s="26" t="s">
        <v>157</v>
      </c>
      <c r="C5" s="237"/>
      <c r="D5" s="237"/>
      <c r="E5" s="27"/>
      <c r="F5" s="200"/>
      <c r="G5" s="27">
        <f t="shared" si="0"/>
        <v>0</v>
      </c>
      <c r="H5" s="367">
        <f>'Inventory Worksheet'!D8</f>
        <v>7</v>
      </c>
      <c r="J5" s="376"/>
    </row>
    <row r="6" spans="1:11" ht="15" x14ac:dyDescent="0.25">
      <c r="A6" s="25" t="str">
        <f>'Inventory Worksheet'!B9</f>
        <v>Pre-cooked Bacon Strips</v>
      </c>
      <c r="B6" s="26" t="s">
        <v>140</v>
      </c>
      <c r="C6" s="237"/>
      <c r="D6" s="237"/>
      <c r="E6" s="27"/>
      <c r="F6" s="200"/>
      <c r="G6" s="27">
        <f t="shared" si="0"/>
        <v>0</v>
      </c>
      <c r="H6" s="367">
        <f>'Inventory Worksheet'!D9</f>
        <v>7.5</v>
      </c>
      <c r="K6" s="376"/>
    </row>
    <row r="7" spans="1:11" ht="15" x14ac:dyDescent="0.25">
      <c r="A7" s="25" t="str">
        <f>'Inventory Worksheet'!B10</f>
        <v>Sausage</v>
      </c>
      <c r="B7" s="26" t="str">
        <f>'Inventory Worksheet'!C10</f>
        <v>LB</v>
      </c>
      <c r="C7" s="237"/>
      <c r="D7" s="237"/>
      <c r="E7" s="27"/>
      <c r="F7" s="200"/>
      <c r="G7" s="27">
        <f t="shared" si="0"/>
        <v>0</v>
      </c>
      <c r="H7" s="367">
        <f>'Inventory Worksheet'!D10</f>
        <v>12</v>
      </c>
    </row>
    <row r="8" spans="1:11" ht="15" x14ac:dyDescent="0.25">
      <c r="A8" s="25" t="str">
        <f>'Inventory Worksheet'!B11</f>
        <v>Pepperoni</v>
      </c>
      <c r="B8" s="26" t="s">
        <v>140</v>
      </c>
      <c r="D8" s="237"/>
      <c r="E8" s="27"/>
      <c r="F8" s="200"/>
      <c r="G8" s="27">
        <f t="shared" si="0"/>
        <v>0</v>
      </c>
      <c r="H8" s="367">
        <f>'Inventory Worksheet'!D11</f>
        <v>3</v>
      </c>
    </row>
    <row r="9" spans="1:11" ht="15" x14ac:dyDescent="0.25">
      <c r="A9" s="25" t="str">
        <f>'Inventory Worksheet'!B12</f>
        <v>Diced Ham</v>
      </c>
      <c r="B9" s="26" t="str">
        <f>'Inventory Worksheet'!C12</f>
        <v>LB</v>
      </c>
      <c r="C9" s="237"/>
      <c r="D9" s="237"/>
      <c r="E9" s="27"/>
      <c r="F9" s="200"/>
      <c r="G9" s="27">
        <f t="shared" si="0"/>
        <v>0</v>
      </c>
      <c r="H9" s="367">
        <f>'Inventory Worksheet'!D12</f>
        <v>2</v>
      </c>
    </row>
    <row r="10" spans="1:11" ht="15" x14ac:dyDescent="0.25">
      <c r="A10" s="25" t="str">
        <f>'Inventory Worksheet'!B13</f>
        <v>Burger Sliders</v>
      </c>
      <c r="B10" s="26" t="str">
        <f>'Inventory Worksheet'!C13</f>
        <v>EACH</v>
      </c>
      <c r="C10" s="237"/>
      <c r="D10" s="237"/>
      <c r="E10" s="27"/>
      <c r="F10" s="200"/>
      <c r="G10" s="27">
        <f t="shared" si="0"/>
        <v>0</v>
      </c>
      <c r="H10" s="367">
        <f>'Inventory Worksheet'!D13</f>
        <v>46</v>
      </c>
    </row>
    <row r="11" spans="1:11" ht="15" x14ac:dyDescent="0.25">
      <c r="A11" s="209" t="s">
        <v>330</v>
      </c>
      <c r="B11" s="71"/>
      <c r="C11" s="181"/>
      <c r="D11" s="181"/>
      <c r="E11" s="70"/>
      <c r="F11" s="70"/>
      <c r="G11" s="70"/>
      <c r="H11" s="368"/>
    </row>
    <row r="12" spans="1:11" ht="15" x14ac:dyDescent="0.25">
      <c r="A12" s="28" t="str">
        <f>'Inventory Worksheet'!B19</f>
        <v>Chicken Breast - 7 oz</v>
      </c>
      <c r="B12" s="26" t="str">
        <f>'Inventory Worksheet'!C19</f>
        <v>KG</v>
      </c>
      <c r="C12" s="237"/>
      <c r="D12" s="237"/>
      <c r="E12" s="27"/>
      <c r="F12" s="200"/>
      <c r="G12" s="27">
        <f t="shared" si="0"/>
        <v>0</v>
      </c>
      <c r="H12" s="367">
        <f>'Inventory Worksheet'!D19</f>
        <v>0</v>
      </c>
    </row>
    <row r="13" spans="1:11" ht="15" x14ac:dyDescent="0.25">
      <c r="A13" s="29" t="str">
        <f>'Inventory Worksheet'!B20</f>
        <v>Julienned Chicken</v>
      </c>
      <c r="B13" s="26" t="str">
        <f>'Inventory Worksheet'!C20</f>
        <v>KG</v>
      </c>
      <c r="C13" s="237"/>
      <c r="D13" s="237"/>
      <c r="E13" s="27"/>
      <c r="F13" s="200"/>
      <c r="G13" s="27">
        <f t="shared" si="0"/>
        <v>0</v>
      </c>
      <c r="H13" s="367">
        <f>'Inventory Worksheet'!D20</f>
        <v>0.5</v>
      </c>
    </row>
    <row r="14" spans="1:11" ht="15" x14ac:dyDescent="0.25">
      <c r="A14" s="29" t="str">
        <f>'Inventory Worksheet'!B21</f>
        <v>Chicken wings</v>
      </c>
      <c r="B14" s="26" t="s">
        <v>140</v>
      </c>
      <c r="C14" s="237"/>
      <c r="D14" s="237"/>
      <c r="E14" s="27"/>
      <c r="F14" s="200"/>
      <c r="G14" s="27">
        <f t="shared" si="0"/>
        <v>0</v>
      </c>
      <c r="H14" s="367">
        <f>'Inventory Worksheet'!D21</f>
        <v>9</v>
      </c>
    </row>
    <row r="15" spans="1:11" ht="15" x14ac:dyDescent="0.25">
      <c r="A15" s="29" t="str">
        <f>'Inventory Worksheet'!B22</f>
        <v>Chicken Breast - 3.5 oz</v>
      </c>
      <c r="B15" s="26" t="str">
        <f>'Inventory Worksheet'!C22</f>
        <v>KG</v>
      </c>
      <c r="C15" s="237"/>
      <c r="D15" s="237"/>
      <c r="E15" s="27"/>
      <c r="F15" s="200"/>
      <c r="G15" s="27">
        <f t="shared" si="0"/>
        <v>0</v>
      </c>
      <c r="H15" s="367">
        <f>'Inventory Worksheet'!D22</f>
        <v>0</v>
      </c>
    </row>
    <row r="16" spans="1:11" ht="15" x14ac:dyDescent="0.25">
      <c r="A16" s="30" t="str">
        <f>'Inventory Worksheet'!B23</f>
        <v>Chicken Tenders</v>
      </c>
      <c r="B16" s="26" t="str">
        <f>'Inventory Worksheet'!C23</f>
        <v>KG</v>
      </c>
      <c r="C16" s="180"/>
      <c r="D16" s="237"/>
      <c r="E16" s="27"/>
      <c r="F16" s="200"/>
      <c r="G16" s="27">
        <f t="shared" si="0"/>
        <v>0</v>
      </c>
      <c r="H16" s="367">
        <f>'Inventory Worksheet'!D23</f>
        <v>6.5</v>
      </c>
    </row>
    <row r="17" spans="1:8" ht="15" x14ac:dyDescent="0.25">
      <c r="A17" s="209" t="s">
        <v>17</v>
      </c>
      <c r="B17" s="71"/>
      <c r="C17" s="181"/>
      <c r="D17" s="181"/>
      <c r="E17" s="70"/>
      <c r="F17" s="70"/>
      <c r="G17" s="70"/>
      <c r="H17" s="368"/>
    </row>
    <row r="18" spans="1:8" ht="15" x14ac:dyDescent="0.25">
      <c r="A18" s="29" t="str">
        <f>'Inventory Worksheet'!B27</f>
        <v>Mussels</v>
      </c>
      <c r="B18" s="26" t="str">
        <f>'Inventory Worksheet'!C27</f>
        <v>LB</v>
      </c>
      <c r="C18" s="237"/>
      <c r="D18" s="237"/>
      <c r="E18" s="27"/>
      <c r="F18" s="200"/>
      <c r="G18" s="27">
        <f t="shared" ref="G18:G23" si="1">SUM(C18:F18)</f>
        <v>0</v>
      </c>
      <c r="H18" s="367">
        <f>'Inventory Worksheet'!D27</f>
        <v>10</v>
      </c>
    </row>
    <row r="19" spans="1:8" ht="15" x14ac:dyDescent="0.25">
      <c r="A19" s="29" t="str">
        <f>'Inventory Worksheet'!B28</f>
        <v>Scallops</v>
      </c>
      <c r="B19" s="26" t="str">
        <f>'Inventory Worksheet'!C28</f>
        <v>LB</v>
      </c>
      <c r="C19" s="237"/>
      <c r="D19" s="237"/>
      <c r="E19" s="27"/>
      <c r="F19" s="200"/>
      <c r="G19" s="27">
        <f t="shared" si="1"/>
        <v>0</v>
      </c>
      <c r="H19" s="367">
        <f>'Inventory Worksheet'!D28</f>
        <v>1</v>
      </c>
    </row>
    <row r="20" spans="1:8" ht="15" x14ac:dyDescent="0.25">
      <c r="A20" s="29" t="str">
        <f>'Inventory Worksheet'!B29</f>
        <v>Shrimp 51/60</v>
      </c>
      <c r="B20" s="26" t="str">
        <f>'Inventory Worksheet'!C29</f>
        <v>LB</v>
      </c>
      <c r="C20" s="237"/>
      <c r="D20" s="237"/>
      <c r="E20" s="27"/>
      <c r="F20" s="200"/>
      <c r="G20" s="27">
        <f t="shared" si="1"/>
        <v>0</v>
      </c>
      <c r="H20" s="367" t="e">
        <f>'Inventory Worksheet'!#REF!</f>
        <v>#REF!</v>
      </c>
    </row>
    <row r="21" spans="1:8" ht="15" x14ac:dyDescent="0.25">
      <c r="A21" s="25" t="str">
        <f>'Inventory Worksheet'!B30</f>
        <v>Salmon  6 oz</v>
      </c>
      <c r="B21" s="31" t="str">
        <f>'Inventory Worksheet'!C30</f>
        <v>EACH</v>
      </c>
      <c r="C21" s="237"/>
      <c r="D21" s="237"/>
      <c r="E21" s="27"/>
      <c r="F21" s="200"/>
      <c r="G21" s="27">
        <f t="shared" si="1"/>
        <v>0</v>
      </c>
      <c r="H21" s="367">
        <f>'Inventory Worksheet'!D29</f>
        <v>15</v>
      </c>
    </row>
    <row r="22" spans="1:8" ht="15" x14ac:dyDescent="0.25">
      <c r="A22" s="32" t="str">
        <f>'Inventory Worksheet'!B31</f>
        <v>Pre-Cut Calamari</v>
      </c>
      <c r="B22" s="26" t="str">
        <f>'Inventory Worksheet'!C31</f>
        <v>LB</v>
      </c>
      <c r="C22" s="237"/>
      <c r="D22" s="237"/>
      <c r="E22" s="27"/>
      <c r="F22" s="200"/>
      <c r="G22" s="27">
        <f t="shared" si="1"/>
        <v>0</v>
      </c>
      <c r="H22" s="367">
        <f>'Inventory Worksheet'!D30</f>
        <v>21</v>
      </c>
    </row>
    <row r="23" spans="1:8" ht="15" x14ac:dyDescent="0.25">
      <c r="A23" s="32" t="s">
        <v>463</v>
      </c>
      <c r="B23" s="26" t="s">
        <v>143</v>
      </c>
      <c r="C23" s="237"/>
      <c r="D23" s="237"/>
      <c r="E23" s="27"/>
      <c r="F23" s="200"/>
      <c r="G23" s="27">
        <f t="shared" si="1"/>
        <v>0</v>
      </c>
      <c r="H23" s="367" t="e">
        <f>'Inventory Worksheet'!#REF!</f>
        <v>#REF!</v>
      </c>
    </row>
    <row r="24" spans="1:8" ht="15" x14ac:dyDescent="0.25">
      <c r="A24" s="209" t="s">
        <v>18</v>
      </c>
      <c r="B24" s="72"/>
      <c r="C24" s="181"/>
      <c r="D24" s="181"/>
      <c r="E24" s="70"/>
      <c r="F24" s="70"/>
      <c r="G24" s="70"/>
      <c r="H24" s="368"/>
    </row>
    <row r="25" spans="1:8" ht="15" x14ac:dyDescent="0.25">
      <c r="A25" s="29" t="str">
        <f>'Inventory Worksheet'!B37</f>
        <v>Margarine</v>
      </c>
      <c r="B25" s="26" t="s">
        <v>140</v>
      </c>
      <c r="C25" s="237"/>
      <c r="D25" s="237"/>
      <c r="E25" s="27"/>
      <c r="F25" s="200"/>
      <c r="G25" s="27">
        <f t="shared" ref="G25:G41" si="2">SUM(C25:F25)</f>
        <v>0</v>
      </c>
      <c r="H25" s="367">
        <f>'Inventory Worksheet'!D37</f>
        <v>0.2</v>
      </c>
    </row>
    <row r="26" spans="1:8" ht="15" x14ac:dyDescent="0.25">
      <c r="A26" s="29" t="str">
        <f>'Inventory Worksheet'!B38</f>
        <v>Salted Butter</v>
      </c>
      <c r="B26" s="26" t="str">
        <f>'Inventory Worksheet'!C38</f>
        <v>LB</v>
      </c>
      <c r="C26" s="237"/>
      <c r="D26" s="237"/>
      <c r="E26" s="27"/>
      <c r="F26" s="200"/>
      <c r="G26" s="27">
        <f t="shared" si="2"/>
        <v>0</v>
      </c>
      <c r="H26" s="367">
        <f>'Inventory Worksheet'!D38</f>
        <v>26.5</v>
      </c>
    </row>
    <row r="27" spans="1:8" ht="15" x14ac:dyDescent="0.25">
      <c r="A27" s="29" t="str">
        <f>'Inventory Worksheet'!B39</f>
        <v>Ricotta Cheese</v>
      </c>
      <c r="B27" s="26" t="s">
        <v>140</v>
      </c>
      <c r="C27" s="237"/>
      <c r="D27" s="237"/>
      <c r="E27" s="27"/>
      <c r="F27" s="200"/>
      <c r="G27" s="27">
        <f t="shared" si="2"/>
        <v>0</v>
      </c>
      <c r="H27" s="367">
        <f>'Inventory Worksheet'!D39</f>
        <v>4.4000000000000004</v>
      </c>
    </row>
    <row r="28" spans="1:8" ht="15" x14ac:dyDescent="0.25">
      <c r="A28" s="29" t="str">
        <f>'Inventory Worksheet'!B40</f>
        <v>Real Whipped Cr.</v>
      </c>
      <c r="B28" s="26" t="s">
        <v>141</v>
      </c>
      <c r="C28" s="237"/>
      <c r="D28" s="237"/>
      <c r="E28" s="27"/>
      <c r="F28" s="200"/>
      <c r="G28" s="27">
        <f t="shared" si="2"/>
        <v>0</v>
      </c>
      <c r="H28" s="367">
        <f>'Inventory Worksheet'!D40</f>
        <v>4</v>
      </c>
    </row>
    <row r="29" spans="1:8" ht="15" x14ac:dyDescent="0.25">
      <c r="A29" s="29" t="str">
        <f>'Inventory Worksheet'!B41</f>
        <v>Chocolate Milk 2L</v>
      </c>
      <c r="B29" s="26" t="str">
        <f>'Inventory Worksheet'!C41</f>
        <v>EACH</v>
      </c>
      <c r="C29" s="237"/>
      <c r="D29" s="237"/>
      <c r="E29" s="27"/>
      <c r="F29" s="200"/>
      <c r="G29" s="27">
        <f t="shared" si="2"/>
        <v>0</v>
      </c>
      <c r="H29" s="367">
        <f>'Inventory Worksheet'!D41</f>
        <v>1.1000000000000001</v>
      </c>
    </row>
    <row r="30" spans="1:8" ht="15" x14ac:dyDescent="0.25">
      <c r="A30" s="29" t="str">
        <f>'Inventory Worksheet'!B42</f>
        <v>Creamers 18 %</v>
      </c>
      <c r="B30" s="26" t="str">
        <f>'Inventory Worksheet'!C42</f>
        <v>BAG</v>
      </c>
      <c r="C30" s="237"/>
      <c r="D30" s="237"/>
      <c r="E30" s="27"/>
      <c r="F30" s="200"/>
      <c r="G30" s="27">
        <f t="shared" si="2"/>
        <v>0</v>
      </c>
      <c r="H30" s="367">
        <f>'Inventory Worksheet'!D42</f>
        <v>7.75</v>
      </c>
    </row>
    <row r="31" spans="1:8" ht="15" x14ac:dyDescent="0.25">
      <c r="A31" s="29" t="str">
        <f>'Inventory Worksheet'!B43</f>
        <v>Butter Milk</v>
      </c>
      <c r="B31" s="26" t="str">
        <f>'Inventory Worksheet'!C43</f>
        <v>EACH</v>
      </c>
      <c r="C31" s="237"/>
      <c r="D31" s="237"/>
      <c r="E31" s="27"/>
      <c r="F31" s="200"/>
      <c r="G31" s="27">
        <f t="shared" si="2"/>
        <v>0</v>
      </c>
      <c r="H31" s="367">
        <f>'Inventory Worksheet'!D43</f>
        <v>7.75</v>
      </c>
    </row>
    <row r="32" spans="1:8" ht="15" x14ac:dyDescent="0.25">
      <c r="A32" s="29" t="str">
        <f>'Inventory Worksheet'!B44</f>
        <v>Milk 2 % 2L</v>
      </c>
      <c r="B32" s="26" t="str">
        <f>'Inventory Worksheet'!C44</f>
        <v>EACH</v>
      </c>
      <c r="C32" s="237"/>
      <c r="D32" s="237"/>
      <c r="E32" s="27"/>
      <c r="F32" s="200"/>
      <c r="G32" s="27">
        <f t="shared" si="2"/>
        <v>0</v>
      </c>
      <c r="H32" s="367">
        <f>'Inventory Worksheet'!D44</f>
        <v>6.75</v>
      </c>
    </row>
    <row r="33" spans="1:8" ht="15" x14ac:dyDescent="0.25">
      <c r="A33" s="29" t="str">
        <f>'Inventory Worksheet'!B45</f>
        <v>Milkettes</v>
      </c>
      <c r="B33" s="26" t="str">
        <f>'Inventory Worksheet'!C45</f>
        <v>BAG</v>
      </c>
      <c r="C33" s="237"/>
      <c r="D33" s="237"/>
      <c r="E33" s="27"/>
      <c r="F33" s="200"/>
      <c r="G33" s="27">
        <f t="shared" si="2"/>
        <v>0</v>
      </c>
      <c r="H33" s="367">
        <f>'Inventory Worksheet'!D45</f>
        <v>2</v>
      </c>
    </row>
    <row r="34" spans="1:8" ht="15" x14ac:dyDescent="0.25">
      <c r="A34" s="29" t="str">
        <f>'Inventory Worksheet'!B46</f>
        <v>Parmesan Cheese</v>
      </c>
      <c r="B34" s="26" t="str">
        <f>'Inventory Worksheet'!C46</f>
        <v>KG</v>
      </c>
      <c r="C34" s="237"/>
      <c r="D34" s="237"/>
      <c r="E34" s="27"/>
      <c r="F34" s="200"/>
      <c r="G34" s="27">
        <f t="shared" si="2"/>
        <v>0</v>
      </c>
      <c r="H34" s="367">
        <f>'Inventory Worksheet'!D46</f>
        <v>4.5</v>
      </c>
    </row>
    <row r="35" spans="1:8" ht="15" x14ac:dyDescent="0.25">
      <c r="A35" s="29" t="str">
        <f>'Inventory Worksheet'!B47</f>
        <v>Goat Cheese</v>
      </c>
      <c r="B35" s="26" t="s">
        <v>140</v>
      </c>
      <c r="C35" s="237"/>
      <c r="D35" s="237"/>
      <c r="E35" s="27"/>
      <c r="F35" s="200"/>
      <c r="G35" s="27">
        <f t="shared" si="2"/>
        <v>0</v>
      </c>
      <c r="H35" s="367">
        <f>'Inventory Worksheet'!D47</f>
        <v>1</v>
      </c>
    </row>
    <row r="36" spans="1:8" ht="15" x14ac:dyDescent="0.25">
      <c r="A36" s="29" t="str">
        <f>'Inventory Worksheet'!B48</f>
        <v>Parmesan Cubes</v>
      </c>
      <c r="B36" s="26" t="str">
        <f>'Inventory Worksheet'!C48</f>
        <v>KG</v>
      </c>
      <c r="C36" s="237"/>
      <c r="D36" s="237"/>
      <c r="E36" s="27"/>
      <c r="F36" s="200"/>
      <c r="G36" s="27">
        <f t="shared" si="2"/>
        <v>0</v>
      </c>
      <c r="H36" s="367">
        <f>'Inventory Worksheet'!D48</f>
        <v>10</v>
      </c>
    </row>
    <row r="37" spans="1:8" ht="15" x14ac:dyDescent="0.25">
      <c r="A37" s="29" t="str">
        <f>'Inventory Worksheet'!B49</f>
        <v>Garlic Butter</v>
      </c>
      <c r="B37" s="26" t="s">
        <v>140</v>
      </c>
      <c r="C37" s="237"/>
      <c r="D37" s="237"/>
      <c r="E37" s="27"/>
      <c r="F37" s="200"/>
      <c r="G37" s="27">
        <f t="shared" si="2"/>
        <v>0</v>
      </c>
      <c r="H37" s="367">
        <f>'Inventory Worksheet'!D49</f>
        <v>0.9</v>
      </c>
    </row>
    <row r="38" spans="1:8" ht="15" x14ac:dyDescent="0.25">
      <c r="A38" s="29" t="str">
        <f>'Inventory Worksheet'!B50</f>
        <v>Shredded Mozzeralla</v>
      </c>
      <c r="B38" s="26" t="str">
        <f>'Inventory Worksheet'!C50</f>
        <v>KG</v>
      </c>
      <c r="C38" s="237"/>
      <c r="D38" s="237"/>
      <c r="E38" s="27"/>
      <c r="F38" s="200"/>
      <c r="G38" s="27">
        <f t="shared" si="2"/>
        <v>0</v>
      </c>
      <c r="H38" s="367">
        <f>'Inventory Worksheet'!D50</f>
        <v>50.5</v>
      </c>
    </row>
    <row r="39" spans="1:8" ht="15" x14ac:dyDescent="0.25">
      <c r="A39" s="29" t="str">
        <f>'Inventory Worksheet'!B51</f>
        <v>Cheese Sticks</v>
      </c>
      <c r="B39" s="26" t="str">
        <f>'Inventory Worksheet'!C51</f>
        <v>KG</v>
      </c>
      <c r="C39" s="237"/>
      <c r="D39" s="237"/>
      <c r="E39" s="27"/>
      <c r="F39" s="200"/>
      <c r="G39" s="27">
        <f t="shared" si="2"/>
        <v>0</v>
      </c>
      <c r="H39" s="367">
        <f>'Inventory Worksheet'!D51</f>
        <v>21</v>
      </c>
    </row>
    <row r="40" spans="1:8" ht="15" x14ac:dyDescent="0.25">
      <c r="A40" s="29" t="str">
        <f>'Inventory Worksheet'!B52</f>
        <v>Take Out Butter Pods</v>
      </c>
      <c r="B40" s="26" t="str">
        <f>'Inventory Worksheet'!C52</f>
        <v>BOX</v>
      </c>
      <c r="C40" s="237"/>
      <c r="D40" s="237"/>
      <c r="E40" s="27"/>
      <c r="F40" s="200"/>
      <c r="G40" s="27">
        <f t="shared" si="2"/>
        <v>0</v>
      </c>
      <c r="H40" s="367">
        <f>'Inventory Worksheet'!D52</f>
        <v>1.25</v>
      </c>
    </row>
    <row r="41" spans="1:8" ht="15" x14ac:dyDescent="0.25">
      <c r="A41" s="29" t="str">
        <f>'Inventory Worksheet'!B53</f>
        <v>Take Out Parm Cheese</v>
      </c>
      <c r="B41" s="26" t="str">
        <f>'Inventory Worksheet'!C53</f>
        <v>KG</v>
      </c>
      <c r="C41" s="237"/>
      <c r="D41" s="237"/>
      <c r="E41" s="27"/>
      <c r="F41" s="200"/>
      <c r="G41" s="27">
        <f t="shared" si="2"/>
        <v>0</v>
      </c>
      <c r="H41" s="367">
        <f>'Inventory Worksheet'!D53</f>
        <v>19</v>
      </c>
    </row>
    <row r="42" spans="1:8" ht="15" x14ac:dyDescent="0.25">
      <c r="A42" s="209" t="s">
        <v>19</v>
      </c>
      <c r="B42" s="72"/>
      <c r="C42" s="181"/>
      <c r="D42" s="181"/>
      <c r="E42" s="70"/>
      <c r="F42" s="70"/>
      <c r="G42" s="70"/>
      <c r="H42" s="368"/>
    </row>
    <row r="43" spans="1:8" ht="15" x14ac:dyDescent="0.25">
      <c r="A43" s="29" t="str">
        <f>'Inventory Worksheet'!B60</f>
        <v>Sundried Tortilla</v>
      </c>
      <c r="B43" s="26" t="str">
        <f>'Inventory Worksheet'!C60</f>
        <v>Pack</v>
      </c>
      <c r="C43" s="237"/>
      <c r="D43" s="237"/>
      <c r="E43" s="27"/>
      <c r="F43" s="200"/>
      <c r="G43" s="27">
        <f t="shared" ref="G43:G58" si="3">SUM(C43:F43)</f>
        <v>0</v>
      </c>
      <c r="H43" s="367">
        <f>'Inventory Worksheet'!D60</f>
        <v>8</v>
      </c>
    </row>
    <row r="44" spans="1:8" ht="15" x14ac:dyDescent="0.25">
      <c r="A44" s="29" t="str">
        <f>'Inventory Worksheet'!B61</f>
        <v>Italian Wedding Soup</v>
      </c>
      <c r="B44" s="26" t="str">
        <f>'Inventory Worksheet'!C61</f>
        <v>BAG</v>
      </c>
      <c r="C44" s="237"/>
      <c r="D44" s="237"/>
      <c r="E44" s="27"/>
      <c r="F44" s="200"/>
      <c r="G44" s="27">
        <f t="shared" si="3"/>
        <v>0</v>
      </c>
      <c r="H44" s="367">
        <f>'Inventory Worksheet'!D61</f>
        <v>7</v>
      </c>
    </row>
    <row r="45" spans="1:8" ht="15" x14ac:dyDescent="0.25">
      <c r="A45" s="29" t="str">
        <f>'Inventory Worksheet'!B62</f>
        <v>Croutons Portioned</v>
      </c>
      <c r="B45" s="26" t="str">
        <f>'Inventory Worksheet'!C62</f>
        <v>CASE</v>
      </c>
      <c r="C45" s="237"/>
      <c r="D45" s="237"/>
      <c r="E45" s="27"/>
      <c r="F45" s="200"/>
      <c r="G45" s="27">
        <f t="shared" si="3"/>
        <v>0</v>
      </c>
      <c r="H45" s="367">
        <f>'Inventory Worksheet'!D62</f>
        <v>0.65</v>
      </c>
    </row>
    <row r="46" spans="1:8" ht="15" x14ac:dyDescent="0.25">
      <c r="A46" s="29" t="str">
        <f>'Inventory Worksheet'!B63</f>
        <v>Home Loaf</v>
      </c>
      <c r="B46" s="26" t="str">
        <f>'Inventory Worksheet'!C63</f>
        <v>EACH</v>
      </c>
      <c r="C46" s="237"/>
      <c r="D46" s="237"/>
      <c r="E46" s="27"/>
      <c r="F46" s="200"/>
      <c r="G46" s="27">
        <f t="shared" si="3"/>
        <v>0</v>
      </c>
      <c r="H46" s="367">
        <f>'Inventory Worksheet'!D63</f>
        <v>259</v>
      </c>
    </row>
    <row r="47" spans="1:8" ht="15" x14ac:dyDescent="0.25">
      <c r="A47" s="29" t="str">
        <f>'Inventory Worksheet'!B64</f>
        <v>10 oz Pizza Dough</v>
      </c>
      <c r="B47" s="26" t="str">
        <f>'Inventory Worksheet'!C64</f>
        <v>EACH</v>
      </c>
      <c r="C47" s="237"/>
      <c r="D47" s="237"/>
      <c r="E47" s="27"/>
      <c r="F47" s="200"/>
      <c r="G47" s="27">
        <f t="shared" si="3"/>
        <v>0</v>
      </c>
      <c r="H47" s="367">
        <f>'Inventory Worksheet'!D64</f>
        <v>35</v>
      </c>
    </row>
    <row r="48" spans="1:8" ht="15" x14ac:dyDescent="0.25">
      <c r="A48" s="29" t="str">
        <f>'Inventory Worksheet'!B65</f>
        <v>16 oz Pizza Dough</v>
      </c>
      <c r="B48" s="26" t="str">
        <f>'Inventory Worksheet'!C65</f>
        <v>EACH</v>
      </c>
      <c r="C48" s="237"/>
      <c r="D48" s="237"/>
      <c r="E48" s="27"/>
      <c r="F48" s="200"/>
      <c r="G48" s="27">
        <f t="shared" si="3"/>
        <v>0</v>
      </c>
      <c r="H48" s="367">
        <f>'Inventory Worksheet'!D65</f>
        <v>44</v>
      </c>
    </row>
    <row r="49" spans="1:8" ht="15" x14ac:dyDescent="0.25">
      <c r="A49" s="29" t="str">
        <f>'Inventory Worksheet'!B66</f>
        <v>6 oz Pizza Dough</v>
      </c>
      <c r="B49" s="26" t="str">
        <f>'Inventory Worksheet'!C66</f>
        <v>EACH</v>
      </c>
      <c r="C49" s="237"/>
      <c r="D49" s="237"/>
      <c r="E49" s="27"/>
      <c r="F49" s="200"/>
      <c r="G49" s="27">
        <f t="shared" si="3"/>
        <v>0</v>
      </c>
      <c r="H49" s="367">
        <f>'Inventory Worksheet'!D66</f>
        <v>0</v>
      </c>
    </row>
    <row r="50" spans="1:8" ht="15" x14ac:dyDescent="0.25">
      <c r="A50" s="29" t="str">
        <f>'Inventory Worksheet'!B67</f>
        <v>Predone Crustini</v>
      </c>
      <c r="B50" s="26" t="str">
        <f>'Inventory Worksheet'!C67</f>
        <v>CASE</v>
      </c>
      <c r="C50" s="237"/>
      <c r="D50" s="237"/>
      <c r="E50" s="27"/>
      <c r="F50" s="200"/>
      <c r="G50" s="27">
        <f t="shared" si="3"/>
        <v>0</v>
      </c>
      <c r="H50" s="367">
        <f>'Inventory Worksheet'!D67</f>
        <v>0.5</v>
      </c>
    </row>
    <row r="51" spans="1:8" ht="15" x14ac:dyDescent="0.25">
      <c r="A51" s="29" t="str">
        <f>'Inventory Worksheet'!B68</f>
        <v>Seasoned Flour Mix</v>
      </c>
      <c r="B51" s="26" t="str">
        <f>'Inventory Worksheet'!C68</f>
        <v>PAIL</v>
      </c>
      <c r="C51" s="237"/>
      <c r="D51" s="237"/>
      <c r="E51" s="27"/>
      <c r="F51" s="200"/>
      <c r="G51" s="27">
        <f t="shared" si="3"/>
        <v>0</v>
      </c>
      <c r="H51" s="367">
        <f>'Inventory Worksheet'!D68</f>
        <v>3</v>
      </c>
    </row>
    <row r="52" spans="1:8" ht="15" x14ac:dyDescent="0.25">
      <c r="A52" s="29" t="str">
        <f>'Inventory Worksheet'!B69</f>
        <v>Cauliflower GF Dough</v>
      </c>
      <c r="B52" s="26" t="str">
        <f>'Inventory Worksheet'!C69</f>
        <v>EACH</v>
      </c>
      <c r="C52" s="237"/>
      <c r="D52" s="237"/>
      <c r="E52" s="27"/>
      <c r="F52" s="200"/>
      <c r="G52" s="27">
        <f t="shared" si="3"/>
        <v>0</v>
      </c>
      <c r="H52" s="367">
        <f>'Inventory Worksheet'!D69</f>
        <v>6</v>
      </c>
    </row>
    <row r="53" spans="1:8" ht="15" x14ac:dyDescent="0.25">
      <c r="A53" s="29" t="str">
        <f>'Inventory Worksheet'!B70</f>
        <v>Flour</v>
      </c>
      <c r="B53" s="26" t="s">
        <v>140</v>
      </c>
      <c r="C53" s="237"/>
      <c r="D53" s="237"/>
      <c r="E53" s="27"/>
      <c r="F53" s="200"/>
      <c r="G53" s="27">
        <f t="shared" si="3"/>
        <v>0</v>
      </c>
      <c r="H53" s="367">
        <f>'Inventory Worksheet'!D70</f>
        <v>28</v>
      </c>
    </row>
    <row r="54" spans="1:8" ht="15" x14ac:dyDescent="0.25">
      <c r="A54" s="29" t="str">
        <f>'Inventory Worksheet'!B71</f>
        <v>Tomato Soup</v>
      </c>
      <c r="B54" s="26" t="s">
        <v>168</v>
      </c>
      <c r="C54" s="237"/>
      <c r="D54" s="237"/>
      <c r="E54" s="27"/>
      <c r="F54" s="200"/>
      <c r="G54" s="27">
        <f t="shared" si="3"/>
        <v>0</v>
      </c>
      <c r="H54" s="367">
        <f>'Inventory Worksheet'!D71</f>
        <v>2</v>
      </c>
    </row>
    <row r="55" spans="1:8" ht="15" x14ac:dyDescent="0.25">
      <c r="A55" s="29" t="str">
        <f>'Inventory Worksheet'!B72</f>
        <v>Croutons NON Portion</v>
      </c>
      <c r="B55" s="26" t="s">
        <v>157</v>
      </c>
      <c r="C55" s="237"/>
      <c r="D55" s="237"/>
      <c r="E55" s="27"/>
      <c r="F55" s="200"/>
      <c r="G55" s="27">
        <f t="shared" si="3"/>
        <v>0</v>
      </c>
      <c r="H55" s="367">
        <f>'Inventory Worksheet'!D72</f>
        <v>1.1000000000000001</v>
      </c>
    </row>
    <row r="56" spans="1:8" ht="15" x14ac:dyDescent="0.25">
      <c r="A56" s="29" t="str">
        <f>'Inventory Worksheet'!B73</f>
        <v>Mini Slider Buns</v>
      </c>
      <c r="B56" s="26" t="s">
        <v>141</v>
      </c>
      <c r="C56" s="237"/>
      <c r="D56" s="237"/>
      <c r="E56" s="27"/>
      <c r="F56" s="200"/>
      <c r="G56" s="27">
        <f t="shared" si="3"/>
        <v>0</v>
      </c>
      <c r="H56" s="367">
        <f>'Inventory Worksheet'!D73</f>
        <v>4.5</v>
      </c>
    </row>
    <row r="57" spans="1:8" ht="15" x14ac:dyDescent="0.25">
      <c r="A57" s="29" t="str">
        <f>'Inventory Worksheet'!B74</f>
        <v>Burger Bun</v>
      </c>
      <c r="B57" s="26" t="s">
        <v>141</v>
      </c>
      <c r="C57" s="237"/>
      <c r="D57" s="237"/>
      <c r="E57" s="27"/>
      <c r="F57" s="200"/>
      <c r="G57" s="27">
        <f t="shared" si="3"/>
        <v>0</v>
      </c>
      <c r="H57" s="367">
        <f>'Inventory Worksheet'!D74</f>
        <v>9.1</v>
      </c>
    </row>
    <row r="58" spans="1:8" ht="15" x14ac:dyDescent="0.25">
      <c r="A58" s="29" t="str">
        <f>'Inventory Worksheet'!B75</f>
        <v>Panko Bread Crumbs</v>
      </c>
      <c r="B58" s="26" t="s">
        <v>140</v>
      </c>
      <c r="C58" s="237"/>
      <c r="D58" s="237"/>
      <c r="E58" s="27"/>
      <c r="F58" s="200"/>
      <c r="G58" s="27">
        <f t="shared" si="3"/>
        <v>0</v>
      </c>
      <c r="H58" s="367">
        <f>'Inventory Worksheet'!D75</f>
        <v>25</v>
      </c>
    </row>
    <row r="59" spans="1:8" ht="15" x14ac:dyDescent="0.25">
      <c r="A59" s="210" t="s">
        <v>20</v>
      </c>
      <c r="B59" s="71"/>
      <c r="C59" s="181"/>
      <c r="D59" s="181"/>
      <c r="E59" s="70"/>
      <c r="F59" s="70"/>
      <c r="G59" s="70"/>
      <c r="H59" s="368"/>
    </row>
    <row r="60" spans="1:8" ht="15" x14ac:dyDescent="0.25">
      <c r="A60" s="28" t="str">
        <f>'Inventory Worksheet'!B82</f>
        <v>Lasagna Noodles</v>
      </c>
      <c r="B60" s="26" t="str">
        <f>'Inventory Worksheet'!C82</f>
        <v>KG</v>
      </c>
      <c r="C60" s="237"/>
      <c r="D60" s="237"/>
      <c r="E60" s="27"/>
      <c r="F60" s="200"/>
      <c r="G60" s="27">
        <f t="shared" ref="G60:G68" si="4">SUM(C60:F60)</f>
        <v>0</v>
      </c>
      <c r="H60" s="367">
        <f>'Inventory Worksheet'!D82</f>
        <v>3.6</v>
      </c>
    </row>
    <row r="61" spans="1:8" ht="15" x14ac:dyDescent="0.25">
      <c r="A61" s="28" t="str">
        <f>'Inventory Worksheet'!B83</f>
        <v>Fettucini</v>
      </c>
      <c r="B61" s="26" t="s">
        <v>140</v>
      </c>
      <c r="C61" s="237"/>
      <c r="D61" s="237"/>
      <c r="E61" s="27"/>
      <c r="F61" s="200"/>
      <c r="G61" s="27">
        <f t="shared" si="4"/>
        <v>0</v>
      </c>
      <c r="H61" s="367">
        <f>'Inventory Worksheet'!D83</f>
        <v>26</v>
      </c>
    </row>
    <row r="62" spans="1:8" ht="15" x14ac:dyDescent="0.25">
      <c r="A62" s="28" t="str">
        <f>'Inventory Worksheet'!B84</f>
        <v>Linguine</v>
      </c>
      <c r="B62" s="26" t="s">
        <v>140</v>
      </c>
      <c r="C62" s="237"/>
      <c r="D62" s="237"/>
      <c r="E62" s="27"/>
      <c r="F62" s="200"/>
      <c r="G62" s="27">
        <f t="shared" si="4"/>
        <v>0</v>
      </c>
      <c r="H62" s="367">
        <f>'Inventory Worksheet'!D84</f>
        <v>10</v>
      </c>
    </row>
    <row r="63" spans="1:8" ht="15" x14ac:dyDescent="0.25">
      <c r="A63" s="28" t="str">
        <f>'Inventory Worksheet'!B85</f>
        <v>Penne</v>
      </c>
      <c r="B63" s="26" t="s">
        <v>140</v>
      </c>
      <c r="C63" s="237"/>
      <c r="D63" s="237"/>
      <c r="E63" s="27"/>
      <c r="F63" s="200"/>
      <c r="G63" s="27">
        <f t="shared" si="4"/>
        <v>0</v>
      </c>
      <c r="H63" s="367">
        <f>'Inventory Worksheet'!D85</f>
        <v>30</v>
      </c>
    </row>
    <row r="64" spans="1:8" ht="15" x14ac:dyDescent="0.25">
      <c r="A64" s="28" t="str">
        <f>'Inventory Worksheet'!B86</f>
        <v>Spaghetti</v>
      </c>
      <c r="B64" s="26" t="s">
        <v>140</v>
      </c>
      <c r="C64" s="237"/>
      <c r="D64" s="237"/>
      <c r="E64" s="27"/>
      <c r="F64" s="200"/>
      <c r="G64" s="27">
        <f t="shared" si="4"/>
        <v>0</v>
      </c>
      <c r="H64" s="367">
        <f>'Inventory Worksheet'!D86</f>
        <v>30</v>
      </c>
    </row>
    <row r="65" spans="1:8" ht="15" x14ac:dyDescent="0.25">
      <c r="A65" s="28" t="str">
        <f>'Inventory Worksheet'!B87</f>
        <v>Cheese Cappelletti</v>
      </c>
      <c r="B65" s="26" t="s">
        <v>140</v>
      </c>
      <c r="C65" s="237"/>
      <c r="D65" s="237"/>
      <c r="E65" s="27"/>
      <c r="F65" s="200"/>
      <c r="G65" s="27">
        <f t="shared" si="4"/>
        <v>0</v>
      </c>
      <c r="H65" s="367">
        <f>'Inventory Worksheet'!D87</f>
        <v>22</v>
      </c>
    </row>
    <row r="66" spans="1:8" ht="15" x14ac:dyDescent="0.25">
      <c r="A66" s="28" t="str">
        <f>'Inventory Worksheet'!B88</f>
        <v>Gluten Free</v>
      </c>
      <c r="B66" s="26" t="str">
        <f>'Inventory Worksheet'!C88</f>
        <v>BOX</v>
      </c>
      <c r="C66" s="237"/>
      <c r="D66" s="237"/>
      <c r="E66" s="27"/>
      <c r="F66" s="200"/>
      <c r="G66" s="27">
        <f t="shared" si="4"/>
        <v>0</v>
      </c>
      <c r="H66" s="367">
        <f>'Inventory Worksheet'!D88</f>
        <v>6</v>
      </c>
    </row>
    <row r="67" spans="1:8" ht="15" x14ac:dyDescent="0.25">
      <c r="A67" s="28" t="str">
        <f>'Inventory Worksheet'!B89</f>
        <v>Cavatappi</v>
      </c>
      <c r="B67" s="26" t="s">
        <v>140</v>
      </c>
      <c r="C67" s="237"/>
      <c r="D67" s="237"/>
      <c r="E67" s="27"/>
      <c r="F67" s="200"/>
      <c r="G67" s="27">
        <f t="shared" si="4"/>
        <v>0</v>
      </c>
      <c r="H67" s="367">
        <f>'Inventory Worksheet'!D89</f>
        <v>15</v>
      </c>
    </row>
    <row r="68" spans="1:8" ht="15" x14ac:dyDescent="0.25">
      <c r="A68" s="68" t="s">
        <v>21</v>
      </c>
      <c r="B68" s="69"/>
      <c r="C68" s="373"/>
      <c r="D68" s="373"/>
      <c r="E68" s="374"/>
      <c r="F68" s="374"/>
      <c r="G68" s="374">
        <f t="shared" si="4"/>
        <v>0</v>
      </c>
      <c r="H68" s="375"/>
    </row>
    <row r="69" spans="1:8" ht="15" x14ac:dyDescent="0.25">
      <c r="A69" s="33" t="str">
        <f>'Inventory Worksheet'!B95</f>
        <v>Alfredo Sauce 64oz</v>
      </c>
      <c r="B69" s="34" t="str">
        <f>'Inventory Worksheet'!C95</f>
        <v>BAG</v>
      </c>
      <c r="C69" s="237"/>
      <c r="D69" s="237"/>
      <c r="E69" s="27"/>
      <c r="F69" s="200"/>
      <c r="G69" s="27">
        <f t="shared" ref="G69:G89" si="5">SUM(C69:F69)</f>
        <v>0</v>
      </c>
      <c r="H69" s="367">
        <f>'Inventory Worksheet'!D95</f>
        <v>27.1</v>
      </c>
    </row>
    <row r="70" spans="1:8" ht="15" x14ac:dyDescent="0.25">
      <c r="A70" s="33" t="str">
        <f>'Inventory Worksheet'!B96</f>
        <v>Mother Sauce 105oz</v>
      </c>
      <c r="B70" s="34" t="str">
        <f>'Inventory Worksheet'!C96</f>
        <v>BAG</v>
      </c>
      <c r="C70" s="237"/>
      <c r="D70" s="237"/>
      <c r="E70" s="27"/>
      <c r="F70" s="200"/>
      <c r="G70" s="27">
        <f t="shared" si="5"/>
        <v>0</v>
      </c>
      <c r="H70" s="367">
        <f>'Inventory Worksheet'!D96</f>
        <v>3.1</v>
      </c>
    </row>
    <row r="71" spans="1:8" ht="15" x14ac:dyDescent="0.25">
      <c r="A71" s="33" t="str">
        <f>'Inventory Worksheet'!B97</f>
        <v>Pesto Sauce</v>
      </c>
      <c r="B71" s="34" t="str">
        <f>'Inventory Worksheet'!C97</f>
        <v>BAG</v>
      </c>
      <c r="C71" s="237"/>
      <c r="D71" s="237"/>
      <c r="E71" s="27"/>
      <c r="F71" s="200"/>
      <c r="G71" s="27">
        <f t="shared" si="5"/>
        <v>0</v>
      </c>
      <c r="H71" s="367">
        <f>'Inventory Worksheet'!D97</f>
        <v>6.3</v>
      </c>
    </row>
    <row r="72" spans="1:8" ht="15" x14ac:dyDescent="0.25">
      <c r="A72" s="33" t="str">
        <f>'Inventory Worksheet'!B98</f>
        <v>Prima Sauce</v>
      </c>
      <c r="B72" s="34" t="str">
        <f>'Inventory Worksheet'!C98</f>
        <v>BAG</v>
      </c>
      <c r="C72" s="237"/>
      <c r="D72" s="237"/>
      <c r="E72" s="27"/>
      <c r="F72" s="200"/>
      <c r="G72" s="27">
        <f t="shared" si="5"/>
        <v>0</v>
      </c>
      <c r="H72" s="367">
        <f>'Inventory Worksheet'!D98</f>
        <v>4.2</v>
      </c>
    </row>
    <row r="73" spans="1:8" ht="15" x14ac:dyDescent="0.25">
      <c r="A73" s="33" t="str">
        <f>'Inventory Worksheet'!B99</f>
        <v>Bolgnese Sauce</v>
      </c>
      <c r="B73" s="34" t="str">
        <f>'Inventory Worksheet'!C99</f>
        <v>BAG</v>
      </c>
      <c r="C73" s="237"/>
      <c r="D73" s="237"/>
      <c r="E73" s="27"/>
      <c r="F73" s="200"/>
      <c r="G73" s="27">
        <f t="shared" si="5"/>
        <v>0</v>
      </c>
      <c r="H73" s="367">
        <f>'Inventory Worksheet'!D99</f>
        <v>1.75</v>
      </c>
    </row>
    <row r="74" spans="1:8" ht="15" x14ac:dyDescent="0.25">
      <c r="A74" s="33" t="str">
        <f>'Inventory Worksheet'!B100</f>
        <v>White Wine</v>
      </c>
      <c r="B74" s="34" t="str">
        <f>'Inventory Worksheet'!C100</f>
        <v>BTL</v>
      </c>
      <c r="C74" s="237"/>
      <c r="D74" s="237"/>
      <c r="E74" s="27"/>
      <c r="F74" s="200"/>
      <c r="G74" s="27">
        <f t="shared" si="5"/>
        <v>0</v>
      </c>
      <c r="H74" s="367">
        <f>'Inventory Worksheet'!D100</f>
        <v>1.1000000000000001</v>
      </c>
    </row>
    <row r="75" spans="1:8" ht="15" x14ac:dyDescent="0.25">
      <c r="A75" s="33" t="str">
        <f>'Inventory Worksheet'!B101</f>
        <v>Calamari Sauce</v>
      </c>
      <c r="B75" s="34" t="str">
        <f>'Inventory Worksheet'!C101</f>
        <v>JUG</v>
      </c>
      <c r="C75" s="237"/>
      <c r="D75" s="237"/>
      <c r="E75" s="27"/>
      <c r="F75" s="200"/>
      <c r="G75" s="27">
        <f t="shared" si="5"/>
        <v>0</v>
      </c>
      <c r="H75" s="367">
        <f>'Inventory Worksheet'!D101</f>
        <v>0.85</v>
      </c>
    </row>
    <row r="76" spans="1:8" ht="15" x14ac:dyDescent="0.25">
      <c r="A76" s="33" t="str">
        <f>'Inventory Worksheet'!B102</f>
        <v>Hells sauce</v>
      </c>
      <c r="B76" s="34" t="str">
        <f>'Inventory Worksheet'!C102</f>
        <v>JUG</v>
      </c>
      <c r="C76" s="237"/>
      <c r="D76" s="237"/>
      <c r="E76" s="27"/>
      <c r="F76" s="200"/>
      <c r="G76" s="27">
        <f t="shared" si="5"/>
        <v>0</v>
      </c>
      <c r="H76" s="367">
        <f>'Inventory Worksheet'!D102</f>
        <v>1</v>
      </c>
    </row>
    <row r="77" spans="1:8" ht="15" x14ac:dyDescent="0.25">
      <c r="A77" s="33" t="str">
        <f>'Inventory Worksheet'!B103</f>
        <v>Pizza Sauce</v>
      </c>
      <c r="B77" s="34" t="str">
        <f>'Inventory Worksheet'!C103</f>
        <v>BAG</v>
      </c>
      <c r="C77" s="237"/>
      <c r="D77" s="237"/>
      <c r="E77" s="27"/>
      <c r="F77" s="200"/>
      <c r="G77" s="27">
        <f t="shared" si="5"/>
        <v>0</v>
      </c>
      <c r="H77" s="367">
        <f>'Inventory Worksheet'!D103</f>
        <v>3.75</v>
      </c>
    </row>
    <row r="78" spans="1:8" ht="15" x14ac:dyDescent="0.25">
      <c r="A78" s="33" t="str">
        <f>'Inventory Worksheet'!B104</f>
        <v>Arribbiatta Concentrate</v>
      </c>
      <c r="B78" s="34" t="str">
        <f>'Inventory Worksheet'!C104</f>
        <v>EACH</v>
      </c>
      <c r="C78" s="237"/>
      <c r="D78" s="237"/>
      <c r="E78" s="27"/>
      <c r="F78" s="200"/>
      <c r="G78" s="27">
        <f t="shared" si="5"/>
        <v>0</v>
      </c>
      <c r="H78" s="367">
        <f>'Inventory Worksheet'!D104</f>
        <v>4.0999999999999996</v>
      </c>
    </row>
    <row r="79" spans="1:8" ht="15" x14ac:dyDescent="0.25">
      <c r="A79" s="33" t="str">
        <f>'Inventory Worksheet'!B105</f>
        <v>Garlic Concentrate</v>
      </c>
      <c r="B79" s="34" t="str">
        <f>'Inventory Worksheet'!C105</f>
        <v>EACH</v>
      </c>
      <c r="C79" s="237"/>
      <c r="D79" s="237"/>
      <c r="E79" s="27"/>
      <c r="F79" s="200"/>
      <c r="G79" s="27">
        <f t="shared" si="5"/>
        <v>0</v>
      </c>
      <c r="H79" s="367">
        <f>'Inventory Worksheet'!D105</f>
        <v>8.3000000000000007</v>
      </c>
    </row>
    <row r="80" spans="1:8" ht="15" x14ac:dyDescent="0.25">
      <c r="A80" s="68" t="s">
        <v>22</v>
      </c>
      <c r="B80" s="69"/>
      <c r="C80" s="373"/>
      <c r="D80" s="373"/>
      <c r="E80" s="374"/>
      <c r="F80" s="374"/>
      <c r="G80" s="374"/>
      <c r="H80" s="375"/>
    </row>
    <row r="81" spans="1:8" ht="15" x14ac:dyDescent="0.25">
      <c r="A81" s="33" t="str">
        <f>'Inventory Worksheet'!B111</f>
        <v>French Fries</v>
      </c>
      <c r="B81" s="34" t="str">
        <f>'Inventory Worksheet'!C111</f>
        <v>LB</v>
      </c>
      <c r="C81" s="237"/>
      <c r="D81" s="237"/>
      <c r="E81" s="27"/>
      <c r="F81" s="200"/>
      <c r="G81" s="27">
        <f t="shared" si="5"/>
        <v>0</v>
      </c>
      <c r="H81" s="367">
        <f>'Inventory Worksheet'!D111</f>
        <v>19.5</v>
      </c>
    </row>
    <row r="82" spans="1:8" ht="15" x14ac:dyDescent="0.25">
      <c r="A82" s="33" t="str">
        <f>'Inventory Worksheet'!B112</f>
        <v>Potato Wedges</v>
      </c>
      <c r="B82" s="34" t="str">
        <f>'Inventory Worksheet'!C112</f>
        <v>LB</v>
      </c>
      <c r="C82" s="237"/>
      <c r="D82" s="237"/>
      <c r="E82" s="27"/>
      <c r="F82" s="200"/>
      <c r="G82" s="27">
        <f t="shared" si="5"/>
        <v>0</v>
      </c>
      <c r="H82" s="367">
        <f>'Inventory Worksheet'!D112</f>
        <v>17.5</v>
      </c>
    </row>
    <row r="83" spans="1:8" ht="15" x14ac:dyDescent="0.25">
      <c r="A83" s="33" t="str">
        <f>'Inventory Worksheet'!B113</f>
        <v>Pineapple Tidbits</v>
      </c>
      <c r="B83" s="34" t="str">
        <f>'Inventory Worksheet'!C113</f>
        <v>CAN</v>
      </c>
      <c r="C83" s="237"/>
      <c r="D83" s="237"/>
      <c r="E83" s="27"/>
      <c r="F83" s="200"/>
      <c r="G83" s="27">
        <f t="shared" si="5"/>
        <v>0</v>
      </c>
      <c r="H83" s="367">
        <f>'Inventory Worksheet'!D113</f>
        <v>8.5</v>
      </c>
    </row>
    <row r="84" spans="1:8" ht="15" x14ac:dyDescent="0.25">
      <c r="A84" s="33" t="str">
        <f>'Inventory Worksheet'!B114</f>
        <v>Whole Black Olives</v>
      </c>
      <c r="B84" s="34" t="str">
        <f>'Inventory Worksheet'!C114</f>
        <v>CAN</v>
      </c>
      <c r="C84" s="237"/>
      <c r="D84" s="237"/>
      <c r="E84" s="27"/>
      <c r="F84" s="200"/>
      <c r="G84" s="27">
        <f t="shared" si="5"/>
        <v>0</v>
      </c>
      <c r="H84" s="367">
        <f>'Inventory Worksheet'!D114</f>
        <v>3.5</v>
      </c>
    </row>
    <row r="85" spans="1:8" ht="15" x14ac:dyDescent="0.25">
      <c r="A85" s="33" t="str">
        <f>'Inventory Worksheet'!B115</f>
        <v>Green Stuffed Olives</v>
      </c>
      <c r="B85" s="34" t="str">
        <f>'Inventory Worksheet'!C115</f>
        <v>JAR</v>
      </c>
      <c r="C85" s="237"/>
      <c r="D85" s="237"/>
      <c r="E85" s="27"/>
      <c r="F85" s="200"/>
      <c r="G85" s="27">
        <f t="shared" si="5"/>
        <v>0</v>
      </c>
      <c r="H85" s="367">
        <f>'Inventory Worksheet'!D115</f>
        <v>0.9</v>
      </c>
    </row>
    <row r="86" spans="1:8" ht="15" x14ac:dyDescent="0.25">
      <c r="A86" s="33" t="str">
        <f>'Inventory Worksheet'!B116</f>
        <v>Hot Cherry Peppers</v>
      </c>
      <c r="B86" s="34" t="str">
        <f>'Inventory Worksheet'!C116</f>
        <v>JAR</v>
      </c>
      <c r="C86" s="237"/>
      <c r="D86" s="237"/>
      <c r="E86" s="27"/>
      <c r="F86" s="200"/>
      <c r="G86" s="27">
        <f t="shared" si="5"/>
        <v>0</v>
      </c>
      <c r="H86" s="367">
        <f>'Inventory Worksheet'!D116</f>
        <v>1.75</v>
      </c>
    </row>
    <row r="87" spans="1:8" ht="15" x14ac:dyDescent="0.25">
      <c r="A87" s="33" t="str">
        <f>'Inventory Worksheet'!B117</f>
        <v>Pepperoncini Peppers</v>
      </c>
      <c r="B87" s="34" t="str">
        <f>'Inventory Worksheet'!C117</f>
        <v>JAR</v>
      </c>
      <c r="C87" s="237"/>
      <c r="D87" s="237"/>
      <c r="E87" s="27"/>
      <c r="F87" s="200"/>
      <c r="G87" s="27">
        <f t="shared" si="5"/>
        <v>0</v>
      </c>
      <c r="H87" s="367">
        <f>'Inventory Worksheet'!D117</f>
        <v>0</v>
      </c>
    </row>
    <row r="88" spans="1:8" ht="15" x14ac:dyDescent="0.25">
      <c r="A88" s="33" t="str">
        <f>'Inventory Worksheet'!B118</f>
        <v>Cherries</v>
      </c>
      <c r="B88" s="34" t="str">
        <f>'Inventory Worksheet'!C118</f>
        <v>JUG</v>
      </c>
      <c r="C88" s="237"/>
      <c r="D88" s="237"/>
      <c r="E88" s="27"/>
      <c r="F88" s="200"/>
      <c r="G88" s="27">
        <f t="shared" si="5"/>
        <v>0</v>
      </c>
      <c r="H88" s="367">
        <f>'Inventory Worksheet'!D118</f>
        <v>1.25</v>
      </c>
    </row>
    <row r="89" spans="1:8" ht="15" x14ac:dyDescent="0.25">
      <c r="A89" s="33" t="str">
        <f>'Inventory Worksheet'!B119</f>
        <v>Spinach &amp; Artichoke Dip</v>
      </c>
      <c r="B89" s="34" t="s">
        <v>140</v>
      </c>
      <c r="C89" s="237"/>
      <c r="D89" s="237"/>
      <c r="E89" s="27"/>
      <c r="F89" s="200"/>
      <c r="G89" s="27">
        <f t="shared" si="5"/>
        <v>0</v>
      </c>
      <c r="H89" s="367">
        <f>'Inventory Worksheet'!D119</f>
        <v>3.5</v>
      </c>
    </row>
    <row r="90" spans="1:8" ht="15" x14ac:dyDescent="0.25">
      <c r="A90" s="68" t="s">
        <v>23</v>
      </c>
      <c r="B90" s="74"/>
      <c r="C90" s="181"/>
      <c r="D90" s="181"/>
      <c r="E90" s="70"/>
      <c r="F90" s="70"/>
      <c r="G90" s="70"/>
      <c r="H90" s="368"/>
    </row>
    <row r="91" spans="1:8" ht="15" x14ac:dyDescent="0.25">
      <c r="A91" s="33" t="str">
        <f>'Inventory Worksheet'!B126</f>
        <v>Nestle Vanilla</v>
      </c>
      <c r="B91" s="36" t="str">
        <f>'Inventory Worksheet'!C126</f>
        <v>TUB</v>
      </c>
      <c r="C91" s="237"/>
      <c r="D91" s="237"/>
      <c r="E91" s="27"/>
      <c r="F91" s="200"/>
      <c r="G91" s="27">
        <f t="shared" ref="G91:G102" si="6">SUM(C91:F91)</f>
        <v>0</v>
      </c>
      <c r="H91" s="367">
        <f>'Inventory Worksheet'!D126</f>
        <v>1</v>
      </c>
    </row>
    <row r="92" spans="1:8" ht="15" x14ac:dyDescent="0.25">
      <c r="A92" s="33" t="str">
        <f>'Inventory Worksheet'!B127</f>
        <v>Salted Caramel Brownie</v>
      </c>
      <c r="B92" s="36" t="s">
        <v>141</v>
      </c>
      <c r="C92" s="237"/>
      <c r="D92" s="237"/>
      <c r="E92" s="27"/>
      <c r="F92" s="200"/>
      <c r="G92" s="27">
        <f t="shared" si="6"/>
        <v>0</v>
      </c>
      <c r="H92" s="367">
        <f>'Inventory Worksheet'!D127</f>
        <v>10</v>
      </c>
    </row>
    <row r="93" spans="1:8" ht="15" x14ac:dyDescent="0.25">
      <c r="A93" s="33" t="str">
        <f>'Inventory Worksheet'!B128</f>
        <v>Caramel Topping</v>
      </c>
      <c r="B93" s="36" t="str">
        <f>'Inventory Worksheet'!C128</f>
        <v>BAG</v>
      </c>
      <c r="C93" s="237"/>
      <c r="D93" s="237"/>
      <c r="E93" s="27"/>
      <c r="F93" s="200"/>
      <c r="G93" s="27">
        <f t="shared" si="6"/>
        <v>0</v>
      </c>
      <c r="H93" s="367">
        <f>'Inventory Worksheet'!D128</f>
        <v>0.6</v>
      </c>
    </row>
    <row r="94" spans="1:8" ht="15" x14ac:dyDescent="0.25">
      <c r="A94" s="33" t="str">
        <f>'Inventory Worksheet'!B129</f>
        <v>Chocolate Syrup</v>
      </c>
      <c r="B94" s="36" t="str">
        <f>'Inventory Worksheet'!C129</f>
        <v>BAG</v>
      </c>
      <c r="C94" s="237"/>
      <c r="D94" s="237"/>
      <c r="E94" s="27"/>
      <c r="F94" s="200"/>
      <c r="G94" s="27">
        <f t="shared" si="6"/>
        <v>0</v>
      </c>
      <c r="H94" s="367">
        <f>'Inventory Worksheet'!D129</f>
        <v>6</v>
      </c>
    </row>
    <row r="95" spans="1:8" ht="15" x14ac:dyDescent="0.25">
      <c r="A95" s="33" t="str">
        <f>'Inventory Worksheet'!B130</f>
        <v>Peanut Butter Stack  8</v>
      </c>
      <c r="B95" s="36" t="str">
        <f>'Inventory Worksheet'!C130</f>
        <v>EACH</v>
      </c>
      <c r="C95" s="237"/>
      <c r="D95" s="237"/>
      <c r="E95" s="27"/>
      <c r="F95" s="200"/>
      <c r="G95" s="27">
        <f t="shared" si="6"/>
        <v>0</v>
      </c>
      <c r="H95" s="367">
        <f>'Inventory Worksheet'!D130</f>
        <v>25.5</v>
      </c>
    </row>
    <row r="96" spans="1:8" ht="15" x14ac:dyDescent="0.25">
      <c r="A96" s="33" t="str">
        <f>'Inventory Worksheet'!B131</f>
        <v>Mascarpone Cheesecake</v>
      </c>
      <c r="B96" s="36" t="str">
        <f>'Inventory Worksheet'!C131</f>
        <v>EACH</v>
      </c>
      <c r="C96" s="237"/>
      <c r="D96" s="237"/>
      <c r="E96" s="27"/>
      <c r="F96" s="200"/>
      <c r="G96" s="27">
        <f t="shared" si="6"/>
        <v>0</v>
      </c>
      <c r="H96" s="367">
        <f>'Inventory Worksheet'!D131</f>
        <v>31</v>
      </c>
    </row>
    <row r="97" spans="1:8" ht="15" x14ac:dyDescent="0.25">
      <c r="A97" s="33" t="str">
        <f>'Inventory Worksheet'!B132</f>
        <v>Cones</v>
      </c>
      <c r="B97" s="36" t="str">
        <f>'Inventory Worksheet'!C132</f>
        <v>BOX</v>
      </c>
      <c r="C97" s="237"/>
      <c r="D97" s="237"/>
      <c r="E97" s="27"/>
      <c r="F97" s="200"/>
      <c r="G97" s="27">
        <f t="shared" si="6"/>
        <v>0</v>
      </c>
      <c r="H97" s="367">
        <f>'Inventory Worksheet'!D132</f>
        <v>6.25</v>
      </c>
    </row>
    <row r="98" spans="1:8" ht="15" x14ac:dyDescent="0.25">
      <c r="A98" s="33" t="str">
        <f>'Inventory Worksheet'!B133</f>
        <v>Brownie Bites</v>
      </c>
      <c r="B98" s="36" t="str">
        <f>'Inventory Worksheet'!C133</f>
        <v>CSE</v>
      </c>
      <c r="C98" s="237"/>
      <c r="D98" s="237"/>
      <c r="E98" s="27"/>
      <c r="F98" s="200"/>
      <c r="G98" s="27">
        <f t="shared" si="6"/>
        <v>0</v>
      </c>
      <c r="H98" s="367">
        <f>'Inventory Worksheet'!D133</f>
        <v>0.43</v>
      </c>
    </row>
    <row r="99" spans="1:8" ht="15" x14ac:dyDescent="0.25">
      <c r="A99" s="33" t="str">
        <f>'Inventory Worksheet'!B134</f>
        <v>Cotton Candy</v>
      </c>
      <c r="B99" s="36" t="str">
        <f>'Inventory Worksheet'!C134</f>
        <v>EACH</v>
      </c>
      <c r="C99" s="237"/>
      <c r="D99" s="237"/>
      <c r="E99" s="27"/>
      <c r="F99" s="200"/>
      <c r="G99" s="27">
        <f t="shared" si="6"/>
        <v>0</v>
      </c>
      <c r="H99" s="367">
        <f>'Inventory Worksheet'!D134</f>
        <v>40</v>
      </c>
    </row>
    <row r="100" spans="1:8" ht="15" x14ac:dyDescent="0.25">
      <c r="A100" s="33" t="str">
        <f>'Inventory Worksheet'!B135</f>
        <v>Sprinkles</v>
      </c>
      <c r="B100" s="36" t="str">
        <f>'Inventory Worksheet'!C135</f>
        <v>JAR</v>
      </c>
      <c r="C100" s="237"/>
      <c r="D100" s="237"/>
      <c r="E100" s="27"/>
      <c r="F100" s="200"/>
      <c r="G100" s="27">
        <f t="shared" si="6"/>
        <v>0</v>
      </c>
      <c r="H100" s="367">
        <f>'Inventory Worksheet'!D135</f>
        <v>1.5</v>
      </c>
    </row>
    <row r="101" spans="1:8" ht="15" x14ac:dyDescent="0.25">
      <c r="A101" s="33" t="str">
        <f>'Inventory Worksheet'!B136</f>
        <v>Strawberry Gelato</v>
      </c>
      <c r="B101" s="36" t="str">
        <f>'Inventory Worksheet'!C136</f>
        <v>case</v>
      </c>
      <c r="C101" s="237"/>
      <c r="D101" s="237"/>
      <c r="E101" s="27"/>
      <c r="F101" s="200"/>
      <c r="G101" s="27">
        <f t="shared" si="6"/>
        <v>0</v>
      </c>
      <c r="H101" s="367">
        <f>'Inventory Worksheet'!D136</f>
        <v>0.7</v>
      </c>
    </row>
    <row r="102" spans="1:8" ht="15" x14ac:dyDescent="0.25">
      <c r="A102" s="33" t="str">
        <f>'Inventory Worksheet'!B137</f>
        <v>Chocolate Gelato</v>
      </c>
      <c r="B102" s="36" t="str">
        <f>'Inventory Worksheet'!C137</f>
        <v>case</v>
      </c>
      <c r="C102" s="237"/>
      <c r="D102" s="237"/>
      <c r="E102" s="27"/>
      <c r="F102" s="200"/>
      <c r="G102" s="27">
        <f t="shared" si="6"/>
        <v>0</v>
      </c>
      <c r="H102" s="367">
        <f>'Inventory Worksheet'!D137</f>
        <v>0.7</v>
      </c>
    </row>
    <row r="103" spans="1:8" ht="15" x14ac:dyDescent="0.25">
      <c r="A103" s="75" t="s">
        <v>355</v>
      </c>
      <c r="B103" s="74"/>
      <c r="C103" s="181"/>
      <c r="D103" s="181"/>
      <c r="E103" s="70"/>
      <c r="F103" s="70"/>
      <c r="G103" s="70"/>
      <c r="H103" s="368"/>
    </row>
    <row r="104" spans="1:8" ht="15" x14ac:dyDescent="0.25">
      <c r="A104" s="35" t="str">
        <f>'Inventory Worksheet'!B143</f>
        <v>Canola Oil</v>
      </c>
      <c r="B104" s="38" t="str">
        <f>'Inventory Worksheet'!C143</f>
        <v>JUG</v>
      </c>
      <c r="C104" s="237"/>
      <c r="D104" s="237"/>
      <c r="E104" s="27"/>
      <c r="F104" s="200"/>
      <c r="G104" s="27">
        <f>SUM(C104:F104)</f>
        <v>0</v>
      </c>
      <c r="H104" s="367">
        <f>'Inventory Worksheet'!D143</f>
        <v>0.5</v>
      </c>
    </row>
    <row r="105" spans="1:8" ht="15" x14ac:dyDescent="0.25">
      <c r="A105" s="35" t="str">
        <f>'Inventory Worksheet'!B144</f>
        <v>Hi Lo Fryer Shortening</v>
      </c>
      <c r="B105" s="38" t="str">
        <f>'Inventory Worksheet'!C144</f>
        <v>PAIL</v>
      </c>
      <c r="C105" s="237"/>
      <c r="D105" s="237"/>
      <c r="E105" s="27"/>
      <c r="F105" s="200"/>
      <c r="G105" s="27">
        <f>SUM(C105:F105)</f>
        <v>0</v>
      </c>
      <c r="H105" s="367">
        <f>'Inventory Worksheet'!D144</f>
        <v>0.75</v>
      </c>
    </row>
    <row r="106" spans="1:8" ht="15" x14ac:dyDescent="0.25">
      <c r="A106" s="35" t="str">
        <f>'Inventory Worksheet'!B145</f>
        <v>SPRAY OIL</v>
      </c>
      <c r="B106" s="38" t="str">
        <f>'Inventory Worksheet'!C145</f>
        <v>CAN</v>
      </c>
      <c r="C106" s="237"/>
      <c r="D106" s="237"/>
      <c r="E106" s="27"/>
      <c r="F106" s="200"/>
      <c r="G106" s="27">
        <f>SUM(C106:F106)</f>
        <v>0</v>
      </c>
      <c r="H106" s="367">
        <f>'Inventory Worksheet'!D145</f>
        <v>9.5</v>
      </c>
    </row>
    <row r="107" spans="1:8" ht="15" x14ac:dyDescent="0.25">
      <c r="A107" s="35" t="str">
        <f>'Inventory Worksheet'!B146</f>
        <v>Garlic Glaze</v>
      </c>
      <c r="B107" s="38" t="str">
        <f>'Inventory Worksheet'!C146</f>
        <v>BAG</v>
      </c>
      <c r="C107" s="180"/>
      <c r="D107" s="237"/>
      <c r="E107" s="27"/>
      <c r="F107" s="200"/>
      <c r="G107" s="27">
        <f>SUM(C107:F107)</f>
        <v>0</v>
      </c>
      <c r="H107" s="367">
        <f>'Inventory Worksheet'!D146</f>
        <v>10</v>
      </c>
    </row>
    <row r="108" spans="1:8" ht="15" x14ac:dyDescent="0.25">
      <c r="A108" s="75" t="s">
        <v>24</v>
      </c>
      <c r="B108" s="74"/>
      <c r="C108" s="181"/>
      <c r="D108" s="181"/>
      <c r="E108" s="70"/>
      <c r="F108" s="70"/>
      <c r="G108" s="70"/>
      <c r="H108" s="368"/>
    </row>
    <row r="109" spans="1:8" ht="15" x14ac:dyDescent="0.25">
      <c r="A109" s="29" t="str">
        <f>'Inventory Worksheet'!B151</f>
        <v>Ketchup Bottles</v>
      </c>
      <c r="B109" s="26" t="str">
        <f>'Inventory Worksheet'!C151</f>
        <v>BTL</v>
      </c>
      <c r="C109" s="237"/>
      <c r="D109" s="237"/>
      <c r="E109" s="27"/>
      <c r="F109" s="200"/>
      <c r="G109" s="27">
        <f t="shared" ref="G109:G132" si="7">SUM(C109:F109)</f>
        <v>0</v>
      </c>
      <c r="H109" s="367">
        <f>'Inventory Worksheet'!D151</f>
        <v>18</v>
      </c>
    </row>
    <row r="110" spans="1:8" ht="15" x14ac:dyDescent="0.25">
      <c r="A110" s="29" t="str">
        <f>'Inventory Worksheet'!B152</f>
        <v>White Vinegar</v>
      </c>
      <c r="B110" s="26" t="s">
        <v>178</v>
      </c>
      <c r="C110" s="237"/>
      <c r="D110" s="237"/>
      <c r="E110" s="27"/>
      <c r="F110" s="200"/>
      <c r="G110" s="27">
        <f t="shared" si="7"/>
        <v>0</v>
      </c>
      <c r="H110" s="367">
        <f>'Inventory Worksheet'!D152</f>
        <v>27</v>
      </c>
    </row>
    <row r="111" spans="1:8" ht="15" x14ac:dyDescent="0.25">
      <c r="A111" s="29" t="str">
        <f>'Inventory Worksheet'!B153</f>
        <v>Hot Wing Sauce</v>
      </c>
      <c r="B111" s="26" t="str">
        <f>'Inventory Worksheet'!C153</f>
        <v>JUG</v>
      </c>
      <c r="C111" s="237"/>
      <c r="D111" s="237"/>
      <c r="E111" s="27"/>
      <c r="F111" s="200"/>
      <c r="G111" s="27">
        <f t="shared" si="7"/>
        <v>0</v>
      </c>
      <c r="H111" s="367">
        <f>'Inventory Worksheet'!D153</f>
        <v>1.8</v>
      </c>
    </row>
    <row r="112" spans="1:8" ht="15" x14ac:dyDescent="0.25">
      <c r="A112" s="29" t="str">
        <f>'Inventory Worksheet'!B154</f>
        <v>Medium Wing Sauce</v>
      </c>
      <c r="B112" s="26" t="str">
        <f>'Inventory Worksheet'!C154</f>
        <v>JUG</v>
      </c>
      <c r="C112" s="237"/>
      <c r="D112" s="237"/>
      <c r="E112" s="27"/>
      <c r="F112" s="200"/>
      <c r="G112" s="27">
        <f t="shared" si="7"/>
        <v>0</v>
      </c>
      <c r="H112" s="367">
        <f>'Inventory Worksheet'!D154</f>
        <v>1.65</v>
      </c>
    </row>
    <row r="113" spans="1:8" ht="15" x14ac:dyDescent="0.25">
      <c r="A113" s="29" t="str">
        <f>'Inventory Worksheet'!B155</f>
        <v>Mild Wing Sauce</v>
      </c>
      <c r="B113" s="26" t="str">
        <f>'Inventory Worksheet'!C155</f>
        <v>JUG</v>
      </c>
      <c r="C113" s="237"/>
      <c r="D113" s="237"/>
      <c r="E113" s="27"/>
      <c r="F113" s="200"/>
      <c r="G113" s="27">
        <f t="shared" si="7"/>
        <v>0</v>
      </c>
      <c r="H113" s="367">
        <f>'Inventory Worksheet'!D155</f>
        <v>1.1000000000000001</v>
      </c>
    </row>
    <row r="114" spans="1:8" ht="15" x14ac:dyDescent="0.25">
      <c r="A114" s="29" t="str">
        <f>'Inventory Worksheet'!B156</f>
        <v>Honey Garlic</v>
      </c>
      <c r="B114" s="26" t="str">
        <f>'Inventory Worksheet'!C156</f>
        <v>JUG</v>
      </c>
      <c r="C114" s="237"/>
      <c r="D114" s="237"/>
      <c r="E114" s="27"/>
      <c r="F114" s="200"/>
      <c r="G114" s="27">
        <f t="shared" si="7"/>
        <v>0</v>
      </c>
      <c r="H114" s="367">
        <f>'Inventory Worksheet'!D156</f>
        <v>1.75</v>
      </c>
    </row>
    <row r="115" spans="1:8" ht="15" x14ac:dyDescent="0.25">
      <c r="A115" s="29" t="str">
        <f>'Inventory Worksheet'!B157</f>
        <v>KRAFT CAESAR DRESSING</v>
      </c>
      <c r="B115" s="26" t="str">
        <f>'Inventory Worksheet'!C157</f>
        <v>CSE</v>
      </c>
      <c r="C115" s="237"/>
      <c r="D115" s="237"/>
      <c r="E115" s="27"/>
      <c r="F115" s="200"/>
      <c r="G115" s="27">
        <f t="shared" si="7"/>
        <v>0</v>
      </c>
      <c r="H115" s="367">
        <f>'Inventory Worksheet'!D157</f>
        <v>0</v>
      </c>
    </row>
    <row r="116" spans="1:8" ht="15" x14ac:dyDescent="0.25">
      <c r="A116" s="29" t="str">
        <f>'Inventory Worksheet'!B158</f>
        <v>Relish</v>
      </c>
      <c r="B116" s="26" t="s">
        <v>178</v>
      </c>
      <c r="C116" s="237"/>
      <c r="D116" s="237"/>
      <c r="E116" s="27"/>
      <c r="F116" s="200"/>
      <c r="G116" s="27">
        <f t="shared" si="7"/>
        <v>0</v>
      </c>
      <c r="H116" s="367">
        <f>'Inventory Worksheet'!D158</f>
        <v>6</v>
      </c>
    </row>
    <row r="117" spans="1:8" ht="15" x14ac:dyDescent="0.25">
      <c r="A117" s="29"/>
      <c r="B117" s="26"/>
      <c r="C117" s="237"/>
      <c r="D117" s="237"/>
      <c r="E117" s="27"/>
      <c r="F117" s="200"/>
      <c r="G117" s="27">
        <f t="shared" si="7"/>
        <v>0</v>
      </c>
      <c r="H117" s="367">
        <f>'Inventory Worksheet'!D159</f>
        <v>1</v>
      </c>
    </row>
    <row r="118" spans="1:8" ht="15" x14ac:dyDescent="0.25">
      <c r="A118" s="29" t="str">
        <f>'Inventory Worksheet'!B160</f>
        <v>Mustard</v>
      </c>
      <c r="B118" s="26" t="s">
        <v>178</v>
      </c>
      <c r="C118" s="237"/>
      <c r="D118" s="237"/>
      <c r="E118" s="27"/>
      <c r="F118" s="200"/>
      <c r="G118" s="27">
        <f t="shared" si="7"/>
        <v>0</v>
      </c>
      <c r="H118" s="367">
        <f>'Inventory Worksheet'!D160</f>
        <v>26</v>
      </c>
    </row>
    <row r="119" spans="1:8" ht="15" x14ac:dyDescent="0.25">
      <c r="A119" s="29" t="str">
        <f>'Inventory Worksheet'!B161</f>
        <v>Sugar Sticks</v>
      </c>
      <c r="B119" s="26" t="str">
        <f>'Inventory Worksheet'!C161</f>
        <v>CASE</v>
      </c>
      <c r="C119" s="237"/>
      <c r="D119" s="237"/>
      <c r="E119" s="27"/>
      <c r="F119" s="200"/>
      <c r="G119" s="27">
        <f t="shared" si="7"/>
        <v>0</v>
      </c>
      <c r="H119" s="367">
        <f>'Inventory Worksheet'!D161</f>
        <v>1.3</v>
      </c>
    </row>
    <row r="120" spans="1:8" ht="15" x14ac:dyDescent="0.25">
      <c r="A120" s="29" t="str">
        <f>'Inventory Worksheet'!B162</f>
        <v>Sweet &amp; Low</v>
      </c>
      <c r="B120" s="26" t="s">
        <v>168</v>
      </c>
      <c r="C120" s="237"/>
      <c r="D120" s="237"/>
      <c r="E120" s="27"/>
      <c r="F120" s="200"/>
      <c r="G120" s="27">
        <f t="shared" si="7"/>
        <v>0</v>
      </c>
      <c r="H120" s="367">
        <f>'Inventory Worksheet'!D162</f>
        <v>0.6</v>
      </c>
    </row>
    <row r="121" spans="1:8" ht="15" x14ac:dyDescent="0.25">
      <c r="A121" s="29" t="str">
        <f>'Inventory Worksheet'!B163</f>
        <v>SALSA</v>
      </c>
      <c r="B121" s="26" t="str">
        <f>'Inventory Worksheet'!C163</f>
        <v>jug</v>
      </c>
      <c r="C121" s="237"/>
      <c r="D121" s="237"/>
      <c r="E121" s="27"/>
      <c r="F121" s="200"/>
      <c r="G121" s="27">
        <f t="shared" si="7"/>
        <v>0</v>
      </c>
      <c r="H121" s="367">
        <f>'Inventory Worksheet'!D163</f>
        <v>0</v>
      </c>
    </row>
    <row r="122" spans="1:8" ht="15" x14ac:dyDescent="0.25">
      <c r="A122" s="29" t="str">
        <f>'Inventory Worksheet'!B164</f>
        <v>TO Ketchup</v>
      </c>
      <c r="B122" s="26" t="str">
        <f>'Inventory Worksheet'!C164</f>
        <v>CASE</v>
      </c>
      <c r="C122" s="237"/>
      <c r="D122" s="237"/>
      <c r="E122" s="27"/>
      <c r="F122" s="200"/>
      <c r="G122" s="27">
        <f t="shared" si="7"/>
        <v>0</v>
      </c>
      <c r="H122" s="367">
        <f>'Inventory Worksheet'!D164</f>
        <v>1.5</v>
      </c>
    </row>
    <row r="123" spans="1:8" ht="15" x14ac:dyDescent="0.25">
      <c r="A123" s="29" t="str">
        <f>'Inventory Worksheet'!B165</f>
        <v>Caeser Dressing</v>
      </c>
      <c r="B123" s="26" t="str">
        <f>'Inventory Worksheet'!C165</f>
        <v>BAG</v>
      </c>
      <c r="C123" s="237"/>
      <c r="D123" s="237"/>
      <c r="E123" s="27"/>
      <c r="F123" s="200"/>
      <c r="G123" s="27">
        <f t="shared" si="7"/>
        <v>0</v>
      </c>
      <c r="H123" s="367">
        <f>'Inventory Worksheet'!D165</f>
        <v>1</v>
      </c>
    </row>
    <row r="124" spans="1:8" ht="15" x14ac:dyDescent="0.25">
      <c r="A124" s="29" t="str">
        <f>'Inventory Worksheet'!B166</f>
        <v xml:space="preserve">Blue Cheese Dressing    </v>
      </c>
      <c r="B124" s="26" t="str">
        <f>'Inventory Worksheet'!C166</f>
        <v>JUG</v>
      </c>
      <c r="C124" s="237"/>
      <c r="D124" s="237"/>
      <c r="E124" s="27"/>
      <c r="F124" s="200"/>
      <c r="G124" s="27">
        <f t="shared" si="7"/>
        <v>0</v>
      </c>
      <c r="H124" s="367">
        <f>'Inventory Worksheet'!D166</f>
        <v>1.6</v>
      </c>
    </row>
    <row r="125" spans="1:8" ht="15" x14ac:dyDescent="0.25">
      <c r="A125" s="29" t="str">
        <f>'Inventory Worksheet'!B167</f>
        <v>House Viniagrette</v>
      </c>
      <c r="B125" s="26" t="str">
        <f>'Inventory Worksheet'!C167</f>
        <v>JUG</v>
      </c>
      <c r="C125" s="237"/>
      <c r="D125" s="237"/>
      <c r="E125" s="27"/>
      <c r="F125" s="200"/>
      <c r="G125" s="27">
        <f t="shared" si="7"/>
        <v>0</v>
      </c>
      <c r="H125" s="367">
        <f>'Inventory Worksheet'!D167</f>
        <v>0.35</v>
      </c>
    </row>
    <row r="126" spans="1:8" ht="15" x14ac:dyDescent="0.25">
      <c r="A126" s="29" t="str">
        <f>'Inventory Worksheet'!B168</f>
        <v>Predone Aoli</v>
      </c>
      <c r="B126" s="26" t="str">
        <f>'Inventory Worksheet'!C168</f>
        <v>BAG</v>
      </c>
      <c r="C126" s="237"/>
      <c r="D126" s="237"/>
      <c r="E126" s="27"/>
      <c r="F126" s="200"/>
      <c r="G126" s="27">
        <f t="shared" si="7"/>
        <v>0</v>
      </c>
      <c r="H126" s="367">
        <f>'Inventory Worksheet'!D168</f>
        <v>0</v>
      </c>
    </row>
    <row r="127" spans="1:8" ht="15" x14ac:dyDescent="0.25">
      <c r="A127" s="29" t="str">
        <f>'Inventory Worksheet'!B169</f>
        <v>Plum Sauce</v>
      </c>
      <c r="B127" s="26" t="str">
        <f>'Inventory Worksheet'!C169</f>
        <v>jug</v>
      </c>
      <c r="C127" s="237"/>
      <c r="D127" s="237"/>
      <c r="E127" s="27"/>
      <c r="F127" s="200"/>
      <c r="G127" s="27">
        <f t="shared" si="7"/>
        <v>0</v>
      </c>
      <c r="H127" s="367">
        <f>'Inventory Worksheet'!D169</f>
        <v>0.75</v>
      </c>
    </row>
    <row r="128" spans="1:8" ht="15" x14ac:dyDescent="0.25">
      <c r="A128" s="29" t="str">
        <f>'Inventory Worksheet'!B170</f>
        <v>ESM Retail Dressing</v>
      </c>
      <c r="B128" s="26" t="str">
        <f>'Inventory Worksheet'!C170</f>
        <v>BTTLE</v>
      </c>
      <c r="C128" s="237"/>
      <c r="D128" s="237"/>
      <c r="E128" s="27"/>
      <c r="F128" s="200"/>
      <c r="G128" s="27">
        <f t="shared" si="7"/>
        <v>0</v>
      </c>
      <c r="H128" s="367">
        <f>'Inventory Worksheet'!D170</f>
        <v>7</v>
      </c>
    </row>
    <row r="129" spans="1:8" ht="15" x14ac:dyDescent="0.25">
      <c r="A129" s="29" t="str">
        <f>'Inventory Worksheet'!B171</f>
        <v>Beef Gravy</v>
      </c>
      <c r="B129" s="26" t="str">
        <f>'Inventory Worksheet'!C171</f>
        <v>BAG</v>
      </c>
      <c r="C129" s="237"/>
      <c r="D129" s="237"/>
      <c r="E129" s="27"/>
      <c r="F129" s="200"/>
      <c r="G129" s="27">
        <f t="shared" si="7"/>
        <v>0</v>
      </c>
      <c r="H129" s="367">
        <f>'Inventory Worksheet'!D171</f>
        <v>6.5</v>
      </c>
    </row>
    <row r="130" spans="1:8" ht="15" x14ac:dyDescent="0.25">
      <c r="A130" s="29" t="str">
        <f>'Inventory Worksheet'!B172</f>
        <v>ground black pepper</v>
      </c>
      <c r="B130" s="26" t="s">
        <v>141</v>
      </c>
      <c r="C130" s="237"/>
      <c r="D130" s="237"/>
      <c r="E130" s="27"/>
      <c r="F130" s="200"/>
      <c r="G130" s="27">
        <f t="shared" si="7"/>
        <v>0</v>
      </c>
      <c r="H130" s="367">
        <f>'Inventory Worksheet'!D172</f>
        <v>1</v>
      </c>
    </row>
    <row r="131" spans="1:8" ht="15" x14ac:dyDescent="0.25">
      <c r="A131" s="29" t="str">
        <f>'Inventory Worksheet'!B173</f>
        <v>Take Out Caesar Dressing</v>
      </c>
      <c r="B131" s="26" t="str">
        <f>'Inventory Worksheet'!C173</f>
        <v>BOX</v>
      </c>
      <c r="C131" s="237"/>
      <c r="D131" s="237"/>
      <c r="E131" s="27"/>
      <c r="F131" s="200"/>
      <c r="G131" s="27">
        <f t="shared" si="7"/>
        <v>0</v>
      </c>
      <c r="H131" s="367">
        <f>'Inventory Worksheet'!D173</f>
        <v>0.9</v>
      </c>
    </row>
    <row r="132" spans="1:8" ht="15" x14ac:dyDescent="0.25">
      <c r="A132" s="29" t="str">
        <f>'Inventory Worksheet'!B174</f>
        <v>Take Out House Dressing</v>
      </c>
      <c r="B132" s="26" t="str">
        <f>'Inventory Worksheet'!C174</f>
        <v>BOX</v>
      </c>
      <c r="C132" s="237"/>
      <c r="D132" s="237"/>
      <c r="E132" s="27"/>
      <c r="F132" s="200"/>
      <c r="G132" s="27">
        <f t="shared" si="7"/>
        <v>0</v>
      </c>
      <c r="H132" s="367">
        <f>'Inventory Worksheet'!D174</f>
        <v>0.9</v>
      </c>
    </row>
    <row r="133" spans="1:8" ht="15" x14ac:dyDescent="0.25">
      <c r="A133" s="68" t="s">
        <v>285</v>
      </c>
      <c r="B133" s="74"/>
      <c r="C133" s="181"/>
      <c r="D133" s="181"/>
      <c r="E133" s="70"/>
      <c r="F133" s="70"/>
      <c r="G133" s="70"/>
      <c r="H133" s="368"/>
    </row>
    <row r="134" spans="1:8" ht="15" x14ac:dyDescent="0.25">
      <c r="A134" s="30" t="str">
        <f>'Inventory Worksheet'!B180</f>
        <v>Crushed Chilies</v>
      </c>
      <c r="B134" s="26" t="str">
        <f>'Inventory Worksheet'!C180</f>
        <v>JUG</v>
      </c>
      <c r="C134" s="237"/>
      <c r="D134" s="237"/>
      <c r="E134" s="27"/>
      <c r="F134" s="200"/>
      <c r="G134" s="27">
        <f t="shared" ref="G134:G142" si="8">SUM(C134:F134)</f>
        <v>0</v>
      </c>
      <c r="H134" s="367">
        <f>'Inventory Worksheet'!D180</f>
        <v>0.1</v>
      </c>
    </row>
    <row r="135" spans="1:8" ht="15" x14ac:dyDescent="0.25">
      <c r="A135" s="30" t="str">
        <f>'Inventory Worksheet'!B181</f>
        <v>cajun</v>
      </c>
      <c r="B135" s="26" t="str">
        <f>'Inventory Worksheet'!C181</f>
        <v>JUG</v>
      </c>
      <c r="C135" s="237"/>
      <c r="D135" s="237"/>
      <c r="E135" s="27"/>
      <c r="F135" s="200"/>
      <c r="G135" s="27">
        <f t="shared" si="8"/>
        <v>0</v>
      </c>
      <c r="H135" s="367">
        <f>'Inventory Worksheet'!D181</f>
        <v>0.1</v>
      </c>
    </row>
    <row r="136" spans="1:8" ht="15" x14ac:dyDescent="0.25">
      <c r="A136" s="30" t="str">
        <f>'Inventory Worksheet'!B182</f>
        <v>Oregano Garlic Seasoning MPS</v>
      </c>
      <c r="B136" s="26" t="s">
        <v>140</v>
      </c>
      <c r="C136" s="237"/>
      <c r="D136" s="237"/>
      <c r="E136" s="27"/>
      <c r="F136" s="200"/>
      <c r="G136" s="27">
        <f t="shared" si="8"/>
        <v>0</v>
      </c>
      <c r="H136" s="367">
        <f>'Inventory Worksheet'!D182</f>
        <v>1.3</v>
      </c>
    </row>
    <row r="137" spans="1:8" ht="15" x14ac:dyDescent="0.25">
      <c r="A137" s="30" t="str">
        <f>'Inventory Worksheet'!B183</f>
        <v>Table Salt</v>
      </c>
      <c r="B137" s="26" t="str">
        <f>'Inventory Worksheet'!C183</f>
        <v>BOX</v>
      </c>
      <c r="C137" s="237"/>
      <c r="D137" s="237"/>
      <c r="E137" s="27"/>
      <c r="F137" s="200"/>
      <c r="G137" s="27">
        <f t="shared" si="8"/>
        <v>0</v>
      </c>
      <c r="H137" s="367">
        <f>'Inventory Worksheet'!D183</f>
        <v>24</v>
      </c>
    </row>
    <row r="138" spans="1:8" ht="15" x14ac:dyDescent="0.25">
      <c r="A138" s="30" t="str">
        <f>'Inventory Worksheet'!B184</f>
        <v>Cinnamon Sugar</v>
      </c>
      <c r="B138" s="26" t="str">
        <f>'Inventory Worksheet'!C184</f>
        <v>Jug</v>
      </c>
      <c r="C138" s="237"/>
      <c r="D138" s="237"/>
      <c r="E138" s="27"/>
      <c r="F138" s="200"/>
      <c r="G138" s="27">
        <f t="shared" si="8"/>
        <v>0</v>
      </c>
      <c r="H138" s="367">
        <f>'Inventory Worksheet'!D184</f>
        <v>0.4</v>
      </c>
    </row>
    <row r="139" spans="1:8" ht="15" x14ac:dyDescent="0.25">
      <c r="A139" s="30" t="str">
        <f>'Inventory Worksheet'!B185</f>
        <v>Cracked Black Pepper</v>
      </c>
      <c r="B139" s="26" t="str">
        <f>'Inventory Worksheet'!C185</f>
        <v>JUG</v>
      </c>
      <c r="C139" s="237"/>
      <c r="D139" s="237"/>
      <c r="E139" s="27"/>
      <c r="F139" s="200"/>
      <c r="G139" s="27">
        <f t="shared" si="8"/>
        <v>0</v>
      </c>
      <c r="H139" s="367">
        <f>'Inventory Worksheet'!D185</f>
        <v>0.6</v>
      </c>
    </row>
    <row r="140" spans="1:8" ht="15" x14ac:dyDescent="0.25">
      <c r="A140" s="30" t="str">
        <f>'Inventory Worksheet'!B186</f>
        <v>Salt Grinder</v>
      </c>
      <c r="B140" s="26" t="str">
        <f>'Inventory Worksheet'!C186</f>
        <v>EACH</v>
      </c>
      <c r="C140" s="237"/>
      <c r="D140" s="237"/>
      <c r="E140" s="27"/>
      <c r="F140" s="200"/>
      <c r="G140" s="27">
        <f t="shared" si="8"/>
        <v>0</v>
      </c>
      <c r="H140" s="367">
        <f>'Inventory Worksheet'!D186</f>
        <v>65</v>
      </c>
    </row>
    <row r="141" spans="1:8" ht="15" x14ac:dyDescent="0.25">
      <c r="A141" s="30" t="str">
        <f>'Inventory Worksheet'!B187</f>
        <v>Pepper Grinder</v>
      </c>
      <c r="B141" s="26" t="str">
        <f>'Inventory Worksheet'!C187</f>
        <v>EACH</v>
      </c>
      <c r="C141" s="237"/>
      <c r="D141" s="237"/>
      <c r="E141" s="27"/>
      <c r="F141" s="200"/>
      <c r="G141" s="27">
        <f t="shared" si="8"/>
        <v>0</v>
      </c>
      <c r="H141" s="367">
        <f>'Inventory Worksheet'!D187</f>
        <v>47</v>
      </c>
    </row>
    <row r="142" spans="1:8" ht="15" x14ac:dyDescent="0.25">
      <c r="A142" s="30" t="str">
        <f>'Inventory Worksheet'!B188</f>
        <v>Lemon Seasoning</v>
      </c>
      <c r="B142" s="26" t="s">
        <v>141</v>
      </c>
      <c r="C142" s="237"/>
      <c r="D142" s="237"/>
      <c r="E142" s="27"/>
      <c r="F142" s="200"/>
      <c r="G142" s="27">
        <f t="shared" si="8"/>
        <v>0</v>
      </c>
      <c r="H142" s="367">
        <f>'Inventory Worksheet'!D188</f>
        <v>7</v>
      </c>
    </row>
    <row r="143" spans="1:8" ht="15" x14ac:dyDescent="0.25">
      <c r="A143" s="75" t="s">
        <v>116</v>
      </c>
      <c r="B143" s="74"/>
      <c r="C143" s="181"/>
      <c r="D143" s="181"/>
      <c r="E143" s="70"/>
      <c r="F143" s="70"/>
      <c r="G143" s="70"/>
      <c r="H143" s="368"/>
    </row>
    <row r="144" spans="1:8" ht="15" x14ac:dyDescent="0.25">
      <c r="A144" s="29" t="str">
        <f>'Inventory Worksheet'!B194</f>
        <v>Oasis Apple Juice</v>
      </c>
      <c r="B144" s="26" t="str">
        <f>'Inventory Worksheet'!C194</f>
        <v>EACH</v>
      </c>
      <c r="C144" s="237"/>
      <c r="D144" s="237"/>
      <c r="E144" s="27"/>
      <c r="F144" s="200"/>
      <c r="G144" s="27">
        <f t="shared" ref="G144:G179" si="9">SUM(C144:F144)</f>
        <v>0</v>
      </c>
      <c r="H144" s="367">
        <f>'Inventory Worksheet'!D194</f>
        <v>5.25</v>
      </c>
    </row>
    <row r="145" spans="1:8" ht="15" x14ac:dyDescent="0.25">
      <c r="A145" s="29" t="str">
        <f>'Inventory Worksheet'!B195</f>
        <v>BOTTLED - Pepsi</v>
      </c>
      <c r="B145" s="26" t="str">
        <f>'Inventory Worksheet'!C195</f>
        <v>BTL</v>
      </c>
      <c r="C145" s="237"/>
      <c r="D145" s="237"/>
      <c r="E145" s="27"/>
      <c r="F145" s="200"/>
      <c r="G145" s="27">
        <f t="shared" si="9"/>
        <v>0</v>
      </c>
      <c r="H145" s="367">
        <f>'Inventory Worksheet'!D195</f>
        <v>23</v>
      </c>
    </row>
    <row r="146" spans="1:8" ht="15" x14ac:dyDescent="0.25">
      <c r="A146" s="29" t="str">
        <f>'Inventory Worksheet'!B196</f>
        <v>BOTTLED - Diet Pepsi</v>
      </c>
      <c r="B146" s="26" t="str">
        <f>'Inventory Worksheet'!C196</f>
        <v>BTL</v>
      </c>
      <c r="C146" s="237"/>
      <c r="D146" s="237"/>
      <c r="E146" s="27"/>
      <c r="F146" s="200"/>
      <c r="G146" s="27">
        <f t="shared" si="9"/>
        <v>0</v>
      </c>
      <c r="H146" s="367">
        <f>'Inventory Worksheet'!D196</f>
        <v>63</v>
      </c>
    </row>
    <row r="147" spans="1:8" ht="15" x14ac:dyDescent="0.25">
      <c r="A147" s="29" t="str">
        <f>'Inventory Worksheet'!B197</f>
        <v>BOTTLED - 7 up</v>
      </c>
      <c r="B147" s="26" t="str">
        <f>'Inventory Worksheet'!C197</f>
        <v>BTL</v>
      </c>
      <c r="C147" s="237"/>
      <c r="D147" s="237"/>
      <c r="E147" s="27"/>
      <c r="F147" s="200"/>
      <c r="G147" s="27">
        <f t="shared" si="9"/>
        <v>0</v>
      </c>
      <c r="H147" s="367">
        <f>'Inventory Worksheet'!D197</f>
        <v>31</v>
      </c>
    </row>
    <row r="148" spans="1:8" ht="15" x14ac:dyDescent="0.25">
      <c r="A148" s="29" t="str">
        <f>'Inventory Worksheet'!B198</f>
        <v>Pepsi</v>
      </c>
      <c r="B148" s="26" t="str">
        <f>'Inventory Worksheet'!C198</f>
        <v>BIB</v>
      </c>
      <c r="C148" s="237"/>
      <c r="D148" s="237"/>
      <c r="E148" s="27"/>
      <c r="F148" s="200"/>
      <c r="G148" s="27">
        <f t="shared" si="9"/>
        <v>0</v>
      </c>
      <c r="H148" s="367">
        <f>'Inventory Worksheet'!D198</f>
        <v>1.9</v>
      </c>
    </row>
    <row r="149" spans="1:8" ht="15" x14ac:dyDescent="0.25">
      <c r="A149" s="29" t="str">
        <f>'Inventory Worksheet'!B199</f>
        <v>Seven up</v>
      </c>
      <c r="B149" s="26" t="str">
        <f>'Inventory Worksheet'!C199</f>
        <v>BIB</v>
      </c>
      <c r="C149" s="237"/>
      <c r="D149" s="237"/>
      <c r="E149" s="27"/>
      <c r="F149" s="200"/>
      <c r="G149" s="27">
        <f t="shared" si="9"/>
        <v>0</v>
      </c>
      <c r="H149" s="367">
        <f>'Inventory Worksheet'!D199</f>
        <v>0.9</v>
      </c>
    </row>
    <row r="150" spans="1:8" ht="15" x14ac:dyDescent="0.25">
      <c r="A150" s="29" t="str">
        <f>'Inventory Worksheet'!B200</f>
        <v>Diet Pepsi</v>
      </c>
      <c r="B150" s="26" t="str">
        <f>'Inventory Worksheet'!C200</f>
        <v>BIB</v>
      </c>
      <c r="C150" s="237"/>
      <c r="D150" s="237"/>
      <c r="E150" s="27"/>
      <c r="F150" s="200"/>
      <c r="G150" s="27">
        <f t="shared" si="9"/>
        <v>0</v>
      </c>
      <c r="H150" s="367">
        <f>'Inventory Worksheet'!D200</f>
        <v>1.1000000000000001</v>
      </c>
    </row>
    <row r="151" spans="1:8" ht="15" x14ac:dyDescent="0.25">
      <c r="A151" s="29" t="str">
        <f>'Inventory Worksheet'!B201</f>
        <v>Mug Rootbeer</v>
      </c>
      <c r="B151" s="26" t="str">
        <f>'Inventory Worksheet'!C201</f>
        <v>BIB</v>
      </c>
      <c r="C151" s="237"/>
      <c r="D151" s="237"/>
      <c r="E151" s="27"/>
      <c r="F151" s="200"/>
      <c r="G151" s="27">
        <f t="shared" si="9"/>
        <v>0</v>
      </c>
      <c r="H151" s="367">
        <f>'Inventory Worksheet'!D201</f>
        <v>1.3</v>
      </c>
    </row>
    <row r="152" spans="1:8" ht="15" x14ac:dyDescent="0.25">
      <c r="A152" s="29" t="str">
        <f>'Inventory Worksheet'!B202</f>
        <v>Iced Tea</v>
      </c>
      <c r="B152" s="26" t="str">
        <f>'Inventory Worksheet'!C202</f>
        <v>BIB</v>
      </c>
      <c r="C152" s="237"/>
      <c r="D152" s="237"/>
      <c r="E152" s="27"/>
      <c r="F152" s="200"/>
      <c r="G152" s="27">
        <f t="shared" si="9"/>
        <v>0</v>
      </c>
      <c r="H152" s="367">
        <f>'Inventory Worksheet'!D202</f>
        <v>1.7</v>
      </c>
    </row>
    <row r="153" spans="1:8" ht="15" x14ac:dyDescent="0.25">
      <c r="A153" s="29" t="str">
        <f>'Inventory Worksheet'!B203</f>
        <v>Frozen Yogurt</v>
      </c>
      <c r="B153" s="26" t="str">
        <f>'Inventory Worksheet'!C203</f>
        <v>EACH</v>
      </c>
      <c r="C153" s="237"/>
      <c r="D153" s="237"/>
      <c r="E153" s="27"/>
      <c r="F153" s="200"/>
      <c r="G153" s="27">
        <f t="shared" si="9"/>
        <v>0</v>
      </c>
      <c r="H153" s="367">
        <f>'Inventory Worksheet'!D203</f>
        <v>9</v>
      </c>
    </row>
    <row r="154" spans="1:8" ht="15" x14ac:dyDescent="0.25">
      <c r="A154" s="29" t="str">
        <f>'Inventory Worksheet'!B204</f>
        <v>Orange Crush</v>
      </c>
      <c r="B154" s="26" t="str">
        <f>'Inventory Worksheet'!C204</f>
        <v>BIB</v>
      </c>
      <c r="C154" s="237"/>
      <c r="D154" s="237"/>
      <c r="E154" s="27"/>
      <c r="F154" s="200"/>
      <c r="G154" s="27">
        <f t="shared" si="9"/>
        <v>0</v>
      </c>
      <c r="H154" s="367">
        <f>'Inventory Worksheet'!D204</f>
        <v>1</v>
      </c>
    </row>
    <row r="155" spans="1:8" ht="15" x14ac:dyDescent="0.25">
      <c r="A155" s="29" t="str">
        <f>'Inventory Worksheet'!B205</f>
        <v>Ginger Ale</v>
      </c>
      <c r="B155" s="26" t="str">
        <f>'Inventory Worksheet'!C205</f>
        <v>BIB</v>
      </c>
      <c r="C155" s="237"/>
      <c r="D155" s="237"/>
      <c r="E155" s="27"/>
      <c r="F155" s="200"/>
      <c r="G155" s="27">
        <f t="shared" si="9"/>
        <v>0</v>
      </c>
      <c r="H155" s="367">
        <f>'Inventory Worksheet'!D205</f>
        <v>0.7</v>
      </c>
    </row>
    <row r="156" spans="1:8" ht="15" x14ac:dyDescent="0.25">
      <c r="A156" s="29" t="str">
        <f>'Inventory Worksheet'!B206</f>
        <v>dr pepper</v>
      </c>
      <c r="B156" s="26" t="str">
        <f>'Inventory Worksheet'!C206</f>
        <v>BIB</v>
      </c>
      <c r="C156" s="237"/>
      <c r="D156" s="237"/>
      <c r="E156" s="27"/>
      <c r="F156" s="200"/>
      <c r="G156" s="27">
        <f t="shared" si="9"/>
        <v>0</v>
      </c>
      <c r="H156" s="367">
        <f>'Inventory Worksheet'!D206</f>
        <v>1</v>
      </c>
    </row>
    <row r="157" spans="1:8" ht="15" x14ac:dyDescent="0.25">
      <c r="A157" s="29" t="str">
        <f>'Inventory Worksheet'!B207</f>
        <v>San Pellegrino</v>
      </c>
      <c r="B157" s="26" t="str">
        <f>'Inventory Worksheet'!C207</f>
        <v>BTL</v>
      </c>
      <c r="C157" s="237"/>
      <c r="D157" s="237"/>
      <c r="E157" s="27"/>
      <c r="F157" s="200"/>
      <c r="G157" s="27">
        <f t="shared" si="9"/>
        <v>0</v>
      </c>
      <c r="H157" s="367">
        <f>'Inventory Worksheet'!D207</f>
        <v>7</v>
      </c>
    </row>
    <row r="158" spans="1:8" ht="15" x14ac:dyDescent="0.25">
      <c r="A158" s="29" t="str">
        <f>'Inventory Worksheet'!B208</f>
        <v>Orange Pekoe</v>
      </c>
      <c r="B158" s="26" t="str">
        <f>'Inventory Worksheet'!C208</f>
        <v>BOX</v>
      </c>
      <c r="C158" s="237"/>
      <c r="D158" s="237"/>
      <c r="E158" s="27"/>
      <c r="F158" s="200"/>
      <c r="G158" s="27">
        <f t="shared" si="9"/>
        <v>0</v>
      </c>
      <c r="H158" s="367">
        <f>'Inventory Worksheet'!D208</f>
        <v>1.5</v>
      </c>
    </row>
    <row r="159" spans="1:8" ht="15" x14ac:dyDescent="0.25">
      <c r="A159" s="29" t="str">
        <f>'Inventory Worksheet'!B209</f>
        <v>Specialty Teas</v>
      </c>
      <c r="B159" s="26" t="str">
        <f>'Inventory Worksheet'!C209</f>
        <v>BOX</v>
      </c>
      <c r="C159" s="237"/>
      <c r="D159" s="237"/>
      <c r="E159" s="27"/>
      <c r="F159" s="200"/>
      <c r="G159" s="27">
        <f t="shared" si="9"/>
        <v>0</v>
      </c>
      <c r="H159" s="367">
        <f>'Inventory Worksheet'!D209</f>
        <v>14</v>
      </c>
    </row>
    <row r="160" spans="1:8" ht="15" x14ac:dyDescent="0.25">
      <c r="A160" s="29" t="str">
        <f>'Inventory Worksheet'!B210</f>
        <v>Aquafina Bottles</v>
      </c>
      <c r="B160" s="26" t="str">
        <f>'Inventory Worksheet'!C210</f>
        <v>EACH</v>
      </c>
      <c r="C160" s="237"/>
      <c r="D160" s="237"/>
      <c r="E160" s="27"/>
      <c r="F160" s="200"/>
      <c r="G160" s="27">
        <f t="shared" si="9"/>
        <v>0</v>
      </c>
      <c r="H160" s="367">
        <f>'Inventory Worksheet'!D210</f>
        <v>33</v>
      </c>
    </row>
    <row r="161" spans="1:8" ht="15" x14ac:dyDescent="0.25">
      <c r="A161" s="29" t="str">
        <f>'Inventory Worksheet'!B211</f>
        <v>Tomato Juice - small</v>
      </c>
      <c r="B161" s="26" t="str">
        <f>'Inventory Worksheet'!C211</f>
        <v>EACH</v>
      </c>
      <c r="C161" s="237"/>
      <c r="D161" s="237"/>
      <c r="E161" s="27"/>
      <c r="F161" s="200"/>
      <c r="G161" s="27">
        <f t="shared" si="9"/>
        <v>0</v>
      </c>
      <c r="H161" s="367">
        <f>'Inventory Worksheet'!D211</f>
        <v>0</v>
      </c>
    </row>
    <row r="162" spans="1:8" ht="15" x14ac:dyDescent="0.25">
      <c r="A162" s="29" t="str">
        <f>'Inventory Worksheet'!B212</f>
        <v>Oasis Orange Juice</v>
      </c>
      <c r="B162" s="26" t="str">
        <f>'Inventory Worksheet'!C212</f>
        <v>BTL</v>
      </c>
      <c r="C162" s="237"/>
      <c r="D162" s="237"/>
      <c r="E162" s="27"/>
      <c r="F162" s="200"/>
      <c r="G162" s="27">
        <f t="shared" si="9"/>
        <v>0</v>
      </c>
      <c r="H162" s="367">
        <f>'Inventory Worksheet'!D212</f>
        <v>6</v>
      </c>
    </row>
    <row r="163" spans="1:8" ht="13.5" customHeight="1" x14ac:dyDescent="0.25">
      <c r="A163" s="29" t="str">
        <f>'Inventory Worksheet'!B213</f>
        <v>Hot Chocolate</v>
      </c>
      <c r="B163" s="26" t="s">
        <v>168</v>
      </c>
      <c r="C163" s="237"/>
      <c r="D163" s="237"/>
      <c r="E163" s="27"/>
      <c r="F163" s="200"/>
      <c r="G163" s="27">
        <f t="shared" si="9"/>
        <v>0</v>
      </c>
      <c r="H163" s="367">
        <f>'Inventory Worksheet'!D213</f>
        <v>2.65</v>
      </c>
    </row>
    <row r="164" spans="1:8" ht="13.5" customHeight="1" x14ac:dyDescent="0.25">
      <c r="A164" s="29" t="str">
        <f>'Inventory Worksheet'!B214</f>
        <v>Coffee</v>
      </c>
      <c r="B164" s="26" t="str">
        <f>'Inventory Worksheet'!C214</f>
        <v>CSE</v>
      </c>
      <c r="C164" s="237"/>
      <c r="D164" s="237"/>
      <c r="E164" s="27"/>
      <c r="F164" s="200"/>
      <c r="G164" s="27">
        <f t="shared" si="9"/>
        <v>0</v>
      </c>
      <c r="H164" s="367">
        <f>'Inventory Worksheet'!D214</f>
        <v>1.05</v>
      </c>
    </row>
    <row r="165" spans="1:8" ht="15" x14ac:dyDescent="0.25">
      <c r="A165" s="29" t="str">
        <f>'Inventory Worksheet'!B218</f>
        <v>BOTTLED - Crush</v>
      </c>
      <c r="B165" s="26" t="str">
        <f>'Inventory Worksheet'!C218</f>
        <v>BTL</v>
      </c>
      <c r="C165" s="237"/>
      <c r="D165" s="237"/>
      <c r="E165" s="27"/>
      <c r="F165" s="200"/>
      <c r="G165" s="27">
        <f t="shared" si="9"/>
        <v>0</v>
      </c>
      <c r="H165" s="367">
        <f>'Inventory Worksheet'!D218</f>
        <v>39</v>
      </c>
    </row>
    <row r="166" spans="1:8" ht="15" x14ac:dyDescent="0.25">
      <c r="A166" s="29" t="str">
        <f>'Inventory Worksheet'!B219</f>
        <v>Kids Apple Juice</v>
      </c>
      <c r="B166" s="26" t="str">
        <f>'Inventory Worksheet'!C219</f>
        <v>EACH</v>
      </c>
      <c r="C166" s="237"/>
      <c r="D166" s="237"/>
      <c r="E166" s="27"/>
      <c r="F166" s="200"/>
      <c r="G166" s="27">
        <f t="shared" si="9"/>
        <v>0</v>
      </c>
      <c r="H166" s="367">
        <f>'Inventory Worksheet'!D219</f>
        <v>22</v>
      </c>
    </row>
    <row r="167" spans="1:8" ht="15" x14ac:dyDescent="0.25">
      <c r="A167" s="29" t="str">
        <f>'Inventory Worksheet'!B220</f>
        <v>Kids Orange Juice</v>
      </c>
      <c r="B167" s="26" t="str">
        <f>'Inventory Worksheet'!C220</f>
        <v>EACH</v>
      </c>
      <c r="C167" s="237"/>
      <c r="D167" s="237"/>
      <c r="E167" s="27"/>
      <c r="F167" s="200"/>
      <c r="G167" s="27">
        <f t="shared" si="9"/>
        <v>0</v>
      </c>
      <c r="H167" s="367">
        <f>'Inventory Worksheet'!D220</f>
        <v>10</v>
      </c>
    </row>
    <row r="168" spans="1:8" ht="15" x14ac:dyDescent="0.25">
      <c r="A168" s="29" t="str">
        <f>'Inventory Worksheet'!B221</f>
        <v>BOTTLED - DR.PEPPER</v>
      </c>
      <c r="B168" s="26" t="str">
        <f>'Inventory Worksheet'!C221</f>
        <v>BTL</v>
      </c>
      <c r="C168" s="237"/>
      <c r="D168" s="237"/>
      <c r="E168" s="27"/>
      <c r="F168" s="200"/>
      <c r="G168" s="27">
        <f t="shared" si="9"/>
        <v>0</v>
      </c>
      <c r="H168" s="367">
        <f>'Inventory Worksheet'!D221</f>
        <v>33</v>
      </c>
    </row>
    <row r="169" spans="1:8" ht="15" x14ac:dyDescent="0.25">
      <c r="A169" s="29" t="str">
        <f>'Inventory Worksheet'!B222</f>
        <v>Popping Strawberry Bubbles</v>
      </c>
      <c r="B169" s="26" t="str">
        <f>'Inventory Worksheet'!C222</f>
        <v>PAIL</v>
      </c>
      <c r="C169" s="237"/>
      <c r="D169" s="237"/>
      <c r="E169" s="27"/>
      <c r="F169" s="200"/>
      <c r="G169" s="27">
        <f t="shared" si="9"/>
        <v>0</v>
      </c>
      <c r="H169" s="367">
        <f>'Inventory Worksheet'!D222</f>
        <v>0</v>
      </c>
    </row>
    <row r="170" spans="1:8" ht="15" x14ac:dyDescent="0.25">
      <c r="A170" s="29" t="str">
        <f>'Inventory Worksheet'!B223</f>
        <v>BOTTLED - Iced Tea</v>
      </c>
      <c r="B170" s="26" t="str">
        <f>'Inventory Worksheet'!C223</f>
        <v>BTL</v>
      </c>
      <c r="C170" s="237"/>
      <c r="D170" s="237"/>
      <c r="E170" s="27"/>
      <c r="F170" s="200"/>
      <c r="G170" s="27">
        <f t="shared" si="9"/>
        <v>0</v>
      </c>
      <c r="H170" s="367">
        <f>'Inventory Worksheet'!D223</f>
        <v>20</v>
      </c>
    </row>
    <row r="171" spans="1:8" ht="15" x14ac:dyDescent="0.25">
      <c r="A171" s="29" t="str">
        <f>'Inventory Worksheet'!B224</f>
        <v>NEW Cotton Drink</v>
      </c>
      <c r="B171" s="26" t="s">
        <v>157</v>
      </c>
      <c r="C171" s="237"/>
      <c r="D171" s="237"/>
      <c r="E171" s="27"/>
      <c r="F171" s="200"/>
      <c r="G171" s="27">
        <f t="shared" si="9"/>
        <v>0</v>
      </c>
      <c r="H171" s="367">
        <f>'Inventory Worksheet'!D224</f>
        <v>3</v>
      </c>
    </row>
    <row r="172" spans="1:8" ht="15" x14ac:dyDescent="0.25">
      <c r="A172" s="29" t="str">
        <f>'Inventory Worksheet'!B225</f>
        <v>Blood Orange Juice</v>
      </c>
      <c r="B172" s="26" t="str">
        <f>'Inventory Worksheet'!C225</f>
        <v>EACH</v>
      </c>
      <c r="C172" s="237"/>
      <c r="D172" s="237"/>
      <c r="E172" s="27"/>
      <c r="F172" s="200"/>
      <c r="G172" s="27">
        <f t="shared" si="9"/>
        <v>0</v>
      </c>
      <c r="H172" s="367">
        <f>'Inventory Worksheet'!D225</f>
        <v>7</v>
      </c>
    </row>
    <row r="173" spans="1:8" ht="15" x14ac:dyDescent="0.25">
      <c r="A173" s="29" t="str">
        <f>'Inventory Worksheet'!B226</f>
        <v>BOTTLED - Rootbeer</v>
      </c>
      <c r="B173" s="26" t="str">
        <f>'Inventory Worksheet'!C226</f>
        <v>BTL</v>
      </c>
      <c r="C173" s="237"/>
      <c r="D173" s="237"/>
      <c r="E173" s="27"/>
      <c r="F173" s="200"/>
      <c r="G173" s="27">
        <f t="shared" si="9"/>
        <v>0</v>
      </c>
      <c r="H173" s="367">
        <f>'Inventory Worksheet'!D226</f>
        <v>18</v>
      </c>
    </row>
    <row r="174" spans="1:8" ht="15" x14ac:dyDescent="0.25">
      <c r="A174" s="29" t="str">
        <f>'Inventory Worksheet'!B227</f>
        <v>BOTTLED - Ginger Ale</v>
      </c>
      <c r="B174" s="26" t="str">
        <f>'Inventory Worksheet'!C227</f>
        <v>BTL</v>
      </c>
      <c r="C174" s="237"/>
      <c r="D174" s="237"/>
      <c r="E174" s="27"/>
      <c r="F174" s="200"/>
      <c r="G174" s="27">
        <f t="shared" si="9"/>
        <v>0</v>
      </c>
      <c r="H174" s="367">
        <f>'Inventory Worksheet'!D227</f>
        <v>33</v>
      </c>
    </row>
    <row r="175" spans="1:8" ht="15" x14ac:dyDescent="0.25">
      <c r="A175" s="29" t="str">
        <f>'Inventory Worksheet'!B228</f>
        <v>BOTTLED - Mountain Dew</v>
      </c>
      <c r="B175" s="26" t="str">
        <f>'Inventory Worksheet'!C228</f>
        <v>BTL</v>
      </c>
      <c r="C175" s="237"/>
      <c r="D175" s="237"/>
      <c r="E175" s="27"/>
      <c r="F175" s="200"/>
      <c r="G175" s="27">
        <f t="shared" si="9"/>
        <v>0</v>
      </c>
      <c r="H175" s="367">
        <f>'Inventory Worksheet'!D228</f>
        <v>36</v>
      </c>
    </row>
    <row r="176" spans="1:8" ht="15" x14ac:dyDescent="0.25">
      <c r="A176" s="29" t="str">
        <f>'Inventory Worksheet'!B229</f>
        <v>Blackberry Syrup</v>
      </c>
      <c r="B176" s="26" t="str">
        <f>'Inventory Worksheet'!C229</f>
        <v>BOX</v>
      </c>
      <c r="C176" s="237"/>
      <c r="D176" s="237"/>
      <c r="E176" s="27"/>
      <c r="F176" s="200"/>
      <c r="G176" s="27">
        <f t="shared" si="9"/>
        <v>0</v>
      </c>
      <c r="H176" s="367">
        <f>'Inventory Worksheet'!D229</f>
        <v>6.9</v>
      </c>
    </row>
    <row r="177" spans="1:8" ht="15" x14ac:dyDescent="0.25">
      <c r="A177" s="29" t="str">
        <f>'Inventory Worksheet'!B230</f>
        <v>Stonefruit Syrup</v>
      </c>
      <c r="B177" s="26" t="str">
        <f>'Inventory Worksheet'!C230</f>
        <v>BOX</v>
      </c>
      <c r="C177" s="237"/>
      <c r="D177" s="237"/>
      <c r="E177" s="27"/>
      <c r="F177" s="200"/>
      <c r="G177" s="27">
        <f t="shared" si="9"/>
        <v>0</v>
      </c>
      <c r="H177" s="367">
        <f>'Inventory Worksheet'!D230</f>
        <v>9.9</v>
      </c>
    </row>
    <row r="178" spans="1:8" ht="15" x14ac:dyDescent="0.25">
      <c r="A178" s="29" t="str">
        <f>'Inventory Worksheet'!B231</f>
        <v>Brisk Lemondae</v>
      </c>
      <c r="B178" s="26" t="str">
        <f>'Inventory Worksheet'!C231</f>
        <v>BIB</v>
      </c>
      <c r="C178" s="237"/>
      <c r="D178" s="237"/>
      <c r="E178" s="27"/>
      <c r="F178" s="200"/>
      <c r="G178" s="27">
        <f t="shared" si="9"/>
        <v>0</v>
      </c>
      <c r="H178" s="367">
        <f>'Inventory Worksheet'!D231</f>
        <v>0.5</v>
      </c>
    </row>
    <row r="179" spans="1:8" ht="15" x14ac:dyDescent="0.25">
      <c r="A179" s="29" t="str">
        <f>'Inventory Worksheet'!B232</f>
        <v>BOTTLED - Lemonade</v>
      </c>
      <c r="B179" s="26" t="str">
        <f>'Inventory Worksheet'!C232</f>
        <v>BTL</v>
      </c>
      <c r="C179" s="237"/>
      <c r="D179" s="237"/>
      <c r="E179" s="27"/>
      <c r="F179" s="200"/>
      <c r="G179" s="27">
        <f t="shared" si="9"/>
        <v>0</v>
      </c>
      <c r="H179" s="367">
        <f>'Inventory Worksheet'!D232</f>
        <v>0</v>
      </c>
    </row>
    <row r="180" spans="1:8" ht="15" x14ac:dyDescent="0.25">
      <c r="A180" s="73" t="s">
        <v>25</v>
      </c>
      <c r="B180" s="74"/>
      <c r="C180" s="181"/>
      <c r="D180" s="181"/>
      <c r="E180" s="70"/>
      <c r="F180" s="70"/>
      <c r="G180" s="70"/>
      <c r="H180" s="368"/>
    </row>
    <row r="181" spans="1:8" ht="15" x14ac:dyDescent="0.25">
      <c r="A181" s="29" t="str">
        <f>'Inventory Worksheet'!B238</f>
        <v>Basil - Fresh</v>
      </c>
      <c r="B181" s="26" t="str">
        <f>'Inventory Worksheet'!C238</f>
        <v>EACH</v>
      </c>
      <c r="C181" s="237"/>
      <c r="D181" s="237"/>
      <c r="E181" s="27"/>
      <c r="F181" s="200"/>
      <c r="G181" s="27">
        <f t="shared" ref="G181:G200" si="10">SUM(C181:F181)</f>
        <v>0</v>
      </c>
      <c r="H181" s="367">
        <f>'Inventory Worksheet'!D238</f>
        <v>0.8</v>
      </c>
    </row>
    <row r="182" spans="1:8" ht="15" x14ac:dyDescent="0.25">
      <c r="A182" s="29" t="str">
        <f>'Inventory Worksheet'!B239</f>
        <v>Baby Spinach</v>
      </c>
      <c r="B182" s="26" t="str">
        <f>'Inventory Worksheet'!C239</f>
        <v>LB</v>
      </c>
      <c r="C182" s="237"/>
      <c r="D182" s="237"/>
      <c r="E182" s="27"/>
      <c r="F182" s="200"/>
      <c r="G182" s="27">
        <f t="shared" si="10"/>
        <v>0</v>
      </c>
      <c r="H182" s="367">
        <f>'Inventory Worksheet'!D239</f>
        <v>2.5</v>
      </c>
    </row>
    <row r="183" spans="1:8" ht="15" x14ac:dyDescent="0.25">
      <c r="A183" s="29" t="str">
        <f>'Inventory Worksheet'!B240</f>
        <v>Carrots</v>
      </c>
      <c r="B183" s="26" t="str">
        <f>'Inventory Worksheet'!C240</f>
        <v>LB</v>
      </c>
      <c r="C183" s="237"/>
      <c r="D183" s="237"/>
      <c r="E183" s="27"/>
      <c r="F183" s="200"/>
      <c r="G183" s="27">
        <f t="shared" si="10"/>
        <v>0</v>
      </c>
      <c r="H183" s="367">
        <f>'Inventory Worksheet'!D240</f>
        <v>8</v>
      </c>
    </row>
    <row r="184" spans="1:8" ht="15" x14ac:dyDescent="0.25">
      <c r="A184" s="29" t="str">
        <f>'Inventory Worksheet'!B241</f>
        <v>Celery</v>
      </c>
      <c r="B184" s="26" t="str">
        <f>'Inventory Worksheet'!C241</f>
        <v>EACH</v>
      </c>
      <c r="C184" s="237"/>
      <c r="D184" s="237"/>
      <c r="E184" s="27"/>
      <c r="F184" s="200"/>
      <c r="G184" s="27">
        <f t="shared" si="10"/>
        <v>0</v>
      </c>
      <c r="H184" s="367">
        <f>'Inventory Worksheet'!D241</f>
        <v>18</v>
      </c>
    </row>
    <row r="185" spans="1:8" ht="15" x14ac:dyDescent="0.25">
      <c r="A185" s="29" t="str">
        <f>'Inventory Worksheet'!B242</f>
        <v>Garlic - Whole</v>
      </c>
      <c r="B185" s="26" t="s">
        <v>140</v>
      </c>
      <c r="C185" s="237"/>
      <c r="D185" s="237"/>
      <c r="E185" s="27"/>
      <c r="F185" s="200"/>
      <c r="G185" s="27">
        <f t="shared" si="10"/>
        <v>0</v>
      </c>
      <c r="H185" s="367">
        <f>'Inventory Worksheet'!D242</f>
        <v>0.25</v>
      </c>
    </row>
    <row r="186" spans="1:8" ht="15" x14ac:dyDescent="0.25">
      <c r="A186" s="29" t="str">
        <f>'Inventory Worksheet'!B243</f>
        <v>Green Peppers</v>
      </c>
      <c r="B186" s="26" t="str">
        <f>'Inventory Worksheet'!C243</f>
        <v>LB</v>
      </c>
      <c r="C186" s="237"/>
      <c r="D186" s="237"/>
      <c r="E186" s="27"/>
      <c r="F186" s="200"/>
      <c r="G186" s="27">
        <f t="shared" si="10"/>
        <v>0</v>
      </c>
      <c r="H186" s="367">
        <f>'Inventory Worksheet'!D243</f>
        <v>3</v>
      </c>
    </row>
    <row r="187" spans="1:8" ht="15" x14ac:dyDescent="0.25">
      <c r="A187" s="29" t="str">
        <f>'Inventory Worksheet'!B244</f>
        <v>Chopped Iceberg</v>
      </c>
      <c r="B187" s="26" t="str">
        <f>'Inventory Worksheet'!C244</f>
        <v>LB</v>
      </c>
      <c r="C187" s="237"/>
      <c r="D187" s="237"/>
      <c r="E187" s="27"/>
      <c r="F187" s="200"/>
      <c r="G187" s="27">
        <f t="shared" si="10"/>
        <v>0</v>
      </c>
      <c r="H187" s="367">
        <f>'Inventory Worksheet'!D244</f>
        <v>33</v>
      </c>
    </row>
    <row r="188" spans="1:8" ht="15" x14ac:dyDescent="0.25">
      <c r="A188" s="29" t="str">
        <f>'Inventory Worksheet'!B245</f>
        <v>Lemons</v>
      </c>
      <c r="B188" s="26" t="str">
        <f>'Inventory Worksheet'!C245</f>
        <v>CASE</v>
      </c>
      <c r="C188" s="237"/>
      <c r="D188" s="237"/>
      <c r="E188" s="27"/>
      <c r="F188" s="200"/>
      <c r="G188" s="27">
        <f t="shared" si="10"/>
        <v>0</v>
      </c>
      <c r="H188" s="367">
        <f>'Inventory Worksheet'!D245</f>
        <v>0.1</v>
      </c>
    </row>
    <row r="189" spans="1:8" ht="15" x14ac:dyDescent="0.25">
      <c r="A189" s="29" t="str">
        <f>'Inventory Worksheet'!B246</f>
        <v>Button Mushrooms</v>
      </c>
      <c r="B189" s="26" t="str">
        <f>'Inventory Worksheet'!C246</f>
        <v>LB</v>
      </c>
      <c r="C189" s="237"/>
      <c r="D189" s="237"/>
      <c r="E189" s="27"/>
      <c r="F189" s="200"/>
      <c r="G189" s="27">
        <f t="shared" si="10"/>
        <v>0</v>
      </c>
      <c r="H189" s="367">
        <f>'Inventory Worksheet'!D246</f>
        <v>5</v>
      </c>
    </row>
    <row r="190" spans="1:8" ht="15" x14ac:dyDescent="0.25">
      <c r="A190" s="29" t="str">
        <f>'Inventory Worksheet'!B247</f>
        <v>Red Onions</v>
      </c>
      <c r="B190" s="26" t="str">
        <f>'Inventory Worksheet'!C247</f>
        <v>LB</v>
      </c>
      <c r="C190" s="237"/>
      <c r="D190" s="237"/>
      <c r="E190" s="27"/>
      <c r="F190" s="200"/>
      <c r="G190" s="27">
        <f t="shared" si="10"/>
        <v>0</v>
      </c>
      <c r="H190" s="367">
        <f>'Inventory Worksheet'!D247</f>
        <v>15</v>
      </c>
    </row>
    <row r="191" spans="1:8" ht="15" x14ac:dyDescent="0.25">
      <c r="A191" s="29" t="str">
        <f>'Inventory Worksheet'!B248</f>
        <v>Parsley</v>
      </c>
      <c r="B191" s="26" t="str">
        <f>'Inventory Worksheet'!C248</f>
        <v>BUNCH</v>
      </c>
      <c r="C191" s="237"/>
      <c r="D191" s="237"/>
      <c r="E191" s="27"/>
      <c r="F191" s="200"/>
      <c r="G191" s="27">
        <f t="shared" si="10"/>
        <v>0</v>
      </c>
      <c r="H191" s="367">
        <f>'Inventory Worksheet'!D248</f>
        <v>0.6</v>
      </c>
    </row>
    <row r="192" spans="1:8" ht="15" x14ac:dyDescent="0.25">
      <c r="A192" s="29" t="str">
        <f>'Inventory Worksheet'!B249</f>
        <v>Green Zucchini</v>
      </c>
      <c r="B192" s="26" t="str">
        <f>'Inventory Worksheet'!C249</f>
        <v>LB</v>
      </c>
      <c r="C192" s="237"/>
      <c r="D192" s="237"/>
      <c r="E192" s="27"/>
      <c r="F192" s="200"/>
      <c r="G192" s="27">
        <f t="shared" si="10"/>
        <v>0</v>
      </c>
      <c r="H192" s="367">
        <f>'Inventory Worksheet'!D249</f>
        <v>23</v>
      </c>
    </row>
    <row r="193" spans="1:8" ht="15" x14ac:dyDescent="0.25">
      <c r="A193" s="29" t="str">
        <f>'Inventory Worksheet'!B250</f>
        <v>Red Peppers</v>
      </c>
      <c r="B193" s="26" t="str">
        <f>'Inventory Worksheet'!C250</f>
        <v>LB</v>
      </c>
      <c r="C193" s="237"/>
      <c r="D193" s="237"/>
      <c r="E193" s="27"/>
      <c r="F193" s="200"/>
      <c r="G193" s="27">
        <f t="shared" si="10"/>
        <v>0</v>
      </c>
      <c r="H193" s="367">
        <f>'Inventory Worksheet'!D250</f>
        <v>20</v>
      </c>
    </row>
    <row r="194" spans="1:8" ht="15" x14ac:dyDescent="0.25">
      <c r="A194" s="29" t="str">
        <f>'Inventory Worksheet'!B251</f>
        <v>Roma Tomatoes</v>
      </c>
      <c r="B194" s="26" t="str">
        <f>'Inventory Worksheet'!C251</f>
        <v>LB</v>
      </c>
      <c r="C194" s="237"/>
      <c r="D194" s="237"/>
      <c r="E194" s="27"/>
      <c r="F194" s="200"/>
      <c r="G194" s="27">
        <f t="shared" si="10"/>
        <v>0</v>
      </c>
      <c r="H194" s="367">
        <f>'Inventory Worksheet'!D251</f>
        <v>0</v>
      </c>
    </row>
    <row r="195" spans="1:8" ht="15" x14ac:dyDescent="0.25">
      <c r="A195" s="29" t="str">
        <f>'Inventory Worksheet'!B252</f>
        <v xml:space="preserve">Spanish Onion              </v>
      </c>
      <c r="B195" s="26" t="str">
        <f>'Inventory Worksheet'!C252</f>
        <v>LB</v>
      </c>
      <c r="C195" s="237"/>
      <c r="D195" s="237"/>
      <c r="E195" s="27"/>
      <c r="F195" s="200"/>
      <c r="G195" s="27">
        <f t="shared" si="10"/>
        <v>0</v>
      </c>
      <c r="H195" s="367">
        <f>'Inventory Worksheet'!D252</f>
        <v>18</v>
      </c>
    </row>
    <row r="196" spans="1:8" ht="15" x14ac:dyDescent="0.25">
      <c r="A196" s="29" t="str">
        <f>'Inventory Worksheet'!B253</f>
        <v>Green Onions</v>
      </c>
      <c r="B196" s="26" t="s">
        <v>235</v>
      </c>
      <c r="C196" s="237"/>
      <c r="D196" s="237"/>
      <c r="E196" s="27"/>
      <c r="F196" s="200"/>
      <c r="G196" s="27">
        <f t="shared" si="10"/>
        <v>0</v>
      </c>
      <c r="H196" s="367">
        <f>'Inventory Worksheet'!D253</f>
        <v>1.5</v>
      </c>
    </row>
    <row r="197" spans="1:8" ht="15" x14ac:dyDescent="0.25">
      <c r="A197" s="29" t="str">
        <f>'Inventory Worksheet'!B254</f>
        <v>Chopped Romaine</v>
      </c>
      <c r="B197" s="26" t="s">
        <v>140</v>
      </c>
      <c r="C197" s="237"/>
      <c r="D197" s="237"/>
      <c r="E197" s="27"/>
      <c r="F197" s="200"/>
      <c r="G197" s="27">
        <f t="shared" si="10"/>
        <v>0</v>
      </c>
      <c r="H197" s="367">
        <f>'Inventory Worksheet'!D254</f>
        <v>36</v>
      </c>
    </row>
    <row r="198" spans="1:8" ht="15" x14ac:dyDescent="0.25">
      <c r="A198" s="29" t="str">
        <f>'Inventory Worksheet'!B255</f>
        <v>Broccoli Crowns</v>
      </c>
      <c r="B198" s="26" t="s">
        <v>140</v>
      </c>
      <c r="C198" s="237"/>
      <c r="D198" s="237"/>
      <c r="E198" s="27"/>
      <c r="F198" s="200"/>
      <c r="G198" s="27">
        <f t="shared" si="10"/>
        <v>0</v>
      </c>
      <c r="H198" s="367">
        <f>'Inventory Worksheet'!D255</f>
        <v>15</v>
      </c>
    </row>
    <row r="199" spans="1:8" ht="15" x14ac:dyDescent="0.25">
      <c r="A199" s="29" t="str">
        <f>'Inventory Worksheet'!B256</f>
        <v>Arugala</v>
      </c>
      <c r="B199" s="26" t="s">
        <v>140</v>
      </c>
      <c r="C199" s="237"/>
      <c r="D199" s="237"/>
      <c r="E199" s="27"/>
      <c r="F199" s="200"/>
      <c r="G199" s="27">
        <f t="shared" si="10"/>
        <v>0</v>
      </c>
      <c r="H199" s="367">
        <f>'Inventory Worksheet'!D256</f>
        <v>0.2</v>
      </c>
    </row>
    <row r="200" spans="1:8" ht="15" x14ac:dyDescent="0.25">
      <c r="A200" s="29" t="str">
        <f>'Inventory Worksheet'!B257</f>
        <v>oranges</v>
      </c>
      <c r="B200" s="26" t="s">
        <v>141</v>
      </c>
      <c r="C200" s="237"/>
      <c r="D200" s="237"/>
      <c r="E200" s="27"/>
      <c r="F200" s="200"/>
      <c r="G200" s="27">
        <f t="shared" si="10"/>
        <v>0</v>
      </c>
      <c r="H200" s="367">
        <f>'Inventory Worksheet'!D257</f>
        <v>9</v>
      </c>
    </row>
    <row r="201" spans="1:8" ht="15" x14ac:dyDescent="0.25">
      <c r="A201" s="75"/>
      <c r="B201" s="74"/>
      <c r="C201" s="181"/>
      <c r="D201" s="181"/>
      <c r="E201" s="70"/>
      <c r="F201" s="70"/>
      <c r="G201" s="70"/>
      <c r="H201" s="368"/>
    </row>
    <row r="202" spans="1:8" ht="15" x14ac:dyDescent="0.25">
      <c r="A202" s="76" t="s">
        <v>332</v>
      </c>
      <c r="B202" s="77"/>
      <c r="C202" s="181"/>
      <c r="D202" s="181"/>
      <c r="E202" s="70"/>
      <c r="F202" s="70"/>
      <c r="G202" s="70"/>
      <c r="H202" s="368"/>
    </row>
    <row r="203" spans="1:8" ht="15" x14ac:dyDescent="0.25">
      <c r="A203" s="32" t="str">
        <f>'Inventory Worksheet'!B284</f>
        <v>Oasis Pineapple juice</v>
      </c>
      <c r="B203" s="37" t="str">
        <f>'Inventory Worksheet'!C284</f>
        <v>EACH</v>
      </c>
      <c r="C203" s="237"/>
      <c r="D203" s="237"/>
      <c r="E203" s="27"/>
      <c r="F203" s="200"/>
      <c r="G203" s="27">
        <f t="shared" ref="G203:G222" si="11">SUM(C203:F203)</f>
        <v>0</v>
      </c>
      <c r="H203" s="367">
        <f>'Inventory Worksheet'!D284</f>
        <v>0</v>
      </c>
    </row>
    <row r="204" spans="1:8" ht="15" x14ac:dyDescent="0.25">
      <c r="A204" s="32" t="str">
        <f>'Inventory Worksheet'!B285</f>
        <v>Grenadine</v>
      </c>
      <c r="B204" s="37" t="str">
        <f>'Inventory Worksheet'!C285</f>
        <v>JUG</v>
      </c>
      <c r="C204" s="237"/>
      <c r="D204" s="237"/>
      <c r="E204" s="27"/>
      <c r="F204" s="200"/>
      <c r="G204" s="27">
        <f t="shared" si="11"/>
        <v>0</v>
      </c>
      <c r="H204" s="367">
        <f>'Inventory Worksheet'!D285</f>
        <v>1.33</v>
      </c>
    </row>
    <row r="205" spans="1:8" ht="15" x14ac:dyDescent="0.25">
      <c r="A205" s="32" t="str">
        <f>'Inventory Worksheet'!B286</f>
        <v>Margarita Juice</v>
      </c>
      <c r="B205" s="37" t="str">
        <f>'Inventory Worksheet'!C286</f>
        <v>BTL</v>
      </c>
      <c r="C205" s="237"/>
      <c r="D205" s="237"/>
      <c r="E205" s="27"/>
      <c r="F205" s="200"/>
      <c r="G205" s="27">
        <f t="shared" si="11"/>
        <v>0</v>
      </c>
      <c r="H205" s="367">
        <f>'Inventory Worksheet'!D286</f>
        <v>14.1</v>
      </c>
    </row>
    <row r="206" spans="1:8" ht="15" x14ac:dyDescent="0.25">
      <c r="A206" s="32" t="str">
        <f>'Inventory Worksheet'!B287</f>
        <v>Oasis  Raspberry</v>
      </c>
      <c r="B206" s="37" t="str">
        <f>'Inventory Worksheet'!C287</f>
        <v>EACH</v>
      </c>
      <c r="C206" s="237"/>
      <c r="D206" s="237"/>
      <c r="E206" s="27"/>
      <c r="F206" s="200"/>
      <c r="G206" s="27">
        <f t="shared" si="11"/>
        <v>0</v>
      </c>
      <c r="H206" s="367">
        <f>'Inventory Worksheet'!D287</f>
        <v>16</v>
      </c>
    </row>
    <row r="207" spans="1:8" ht="15" x14ac:dyDescent="0.25">
      <c r="A207" s="32" t="str">
        <f>'Inventory Worksheet'!B288</f>
        <v>Oasis Peach</v>
      </c>
      <c r="B207" s="37" t="str">
        <f>'Inventory Worksheet'!C288</f>
        <v>EACH</v>
      </c>
      <c r="C207" s="237"/>
      <c r="D207" s="237"/>
      <c r="E207" s="27"/>
      <c r="F207" s="200"/>
      <c r="G207" s="27">
        <f t="shared" si="11"/>
        <v>0</v>
      </c>
      <c r="H207" s="367">
        <f>'Inventory Worksheet'!D288</f>
        <v>13</v>
      </c>
    </row>
    <row r="208" spans="1:8" ht="15" x14ac:dyDescent="0.25">
      <c r="A208" s="32" t="str">
        <f>'Inventory Worksheet'!B289</f>
        <v>Limes</v>
      </c>
      <c r="B208" s="37" t="str">
        <f>'Inventory Worksheet'!C289</f>
        <v>CASE</v>
      </c>
      <c r="C208" s="237"/>
      <c r="D208" s="237"/>
      <c r="E208" s="27"/>
      <c r="F208" s="200"/>
      <c r="G208" s="27">
        <f t="shared" si="11"/>
        <v>0</v>
      </c>
      <c r="H208" s="367">
        <f>'Inventory Worksheet'!D289</f>
        <v>0.75</v>
      </c>
    </row>
    <row r="209" spans="1:8" ht="15" x14ac:dyDescent="0.25">
      <c r="A209" s="32" t="str">
        <f>'Inventory Worksheet'!B290</f>
        <v>Cranberry juice</v>
      </c>
      <c r="B209" s="37" t="str">
        <f>'Inventory Worksheet'!C290</f>
        <v>EACH</v>
      </c>
      <c r="C209" s="237"/>
      <c r="D209" s="237"/>
      <c r="E209" s="27"/>
      <c r="F209" s="200"/>
      <c r="G209" s="27">
        <f t="shared" si="11"/>
        <v>0</v>
      </c>
      <c r="H209" s="367">
        <f>'Inventory Worksheet'!D290</f>
        <v>3.75</v>
      </c>
    </row>
    <row r="210" spans="1:8" ht="15" x14ac:dyDescent="0.25">
      <c r="A210" s="32" t="str">
        <f>'Inventory Worksheet'!B291</f>
        <v>Clamato Bottles</v>
      </c>
      <c r="B210" s="37" t="str">
        <f>'Inventory Worksheet'!C291</f>
        <v>EACH</v>
      </c>
      <c r="C210" s="237"/>
      <c r="D210" s="237"/>
      <c r="E210" s="27"/>
      <c r="F210" s="200"/>
      <c r="G210" s="27">
        <f t="shared" si="11"/>
        <v>0</v>
      </c>
      <c r="H210" s="367">
        <f>'Inventory Worksheet'!D291</f>
        <v>5.5</v>
      </c>
    </row>
    <row r="211" spans="1:8" ht="15" x14ac:dyDescent="0.25">
      <c r="A211" s="32" t="str">
        <f>'Inventory Worksheet'!B292</f>
        <v>Worchestershire</v>
      </c>
      <c r="B211" s="37" t="str">
        <f>'Inventory Worksheet'!C292</f>
        <v>BTL</v>
      </c>
      <c r="C211" s="237"/>
      <c r="D211" s="237"/>
      <c r="E211" s="27"/>
      <c r="F211" s="200"/>
      <c r="G211" s="27">
        <f t="shared" si="11"/>
        <v>0</v>
      </c>
      <c r="H211" s="367">
        <f>'Inventory Worksheet'!D292</f>
        <v>5.9</v>
      </c>
    </row>
    <row r="212" spans="1:8" ht="15" x14ac:dyDescent="0.25">
      <c r="A212" s="32" t="str">
        <f>'Inventory Worksheet'!B293</f>
        <v>Tonic water</v>
      </c>
      <c r="B212" s="37" t="str">
        <f>'Inventory Worksheet'!C293</f>
        <v>CAN</v>
      </c>
      <c r="C212" s="237"/>
      <c r="D212" s="237"/>
      <c r="E212" s="27"/>
      <c r="F212" s="200"/>
      <c r="G212" s="27">
        <f t="shared" si="11"/>
        <v>0</v>
      </c>
      <c r="H212" s="367">
        <f>'Inventory Worksheet'!D293</f>
        <v>8</v>
      </c>
    </row>
    <row r="213" spans="1:8" ht="15" x14ac:dyDescent="0.25">
      <c r="A213" s="32" t="str">
        <f>'Inventory Worksheet'!B294</f>
        <v>Tabasco</v>
      </c>
      <c r="B213" s="37" t="str">
        <f>'Inventory Worksheet'!C294</f>
        <v>EACH</v>
      </c>
      <c r="C213" s="237"/>
      <c r="D213" s="237"/>
      <c r="E213" s="27"/>
      <c r="F213" s="200"/>
      <c r="G213" s="27">
        <f t="shared" si="11"/>
        <v>0</v>
      </c>
      <c r="H213" s="367">
        <f>'Inventory Worksheet'!D294</f>
        <v>8.3000000000000007</v>
      </c>
    </row>
    <row r="214" spans="1:8" ht="15" x14ac:dyDescent="0.25">
      <c r="A214" s="32" t="str">
        <f>'Inventory Worksheet'!B295</f>
        <v>Ceasar Spice</v>
      </c>
      <c r="B214" s="37" t="str">
        <f>'Inventory Worksheet'!C295</f>
        <v>JUG</v>
      </c>
      <c r="C214" s="237"/>
      <c r="D214" s="237"/>
      <c r="E214" s="27"/>
      <c r="F214" s="200"/>
      <c r="G214" s="27">
        <f t="shared" si="11"/>
        <v>0</v>
      </c>
      <c r="H214" s="367">
        <f>'Inventory Worksheet'!D295</f>
        <v>4</v>
      </c>
    </row>
    <row r="215" spans="1:8" ht="15" x14ac:dyDescent="0.25">
      <c r="A215" s="32" t="str">
        <f>'Inventory Worksheet'!B296</f>
        <v>Pina Colada Mix</v>
      </c>
      <c r="B215" s="37" t="str">
        <f>'Inventory Worksheet'!C296</f>
        <v>EACH</v>
      </c>
      <c r="C215" s="237"/>
      <c r="D215" s="237"/>
      <c r="E215" s="27"/>
      <c r="F215" s="200"/>
      <c r="G215" s="27">
        <f t="shared" si="11"/>
        <v>0</v>
      </c>
      <c r="H215" s="367">
        <f>'Inventory Worksheet'!D296</f>
        <v>0</v>
      </c>
    </row>
    <row r="216" spans="1:8" ht="15" x14ac:dyDescent="0.25">
      <c r="A216" s="32" t="str">
        <f>'Inventory Worksheet'!B297</f>
        <v>Oasis Pomegrante</v>
      </c>
      <c r="B216" s="37" t="str">
        <f>'Inventory Worksheet'!C297</f>
        <v>EACH</v>
      </c>
      <c r="C216" s="237"/>
      <c r="D216" s="237"/>
      <c r="E216" s="27"/>
      <c r="F216" s="200"/>
      <c r="G216" s="27">
        <f t="shared" si="11"/>
        <v>0</v>
      </c>
      <c r="H216" s="367">
        <f>'Inventory Worksheet'!D297</f>
        <v>4.5</v>
      </c>
    </row>
    <row r="217" spans="1:8" ht="15" x14ac:dyDescent="0.25">
      <c r="A217" s="32" t="str">
        <f>'Inventory Worksheet'!B298</f>
        <v>Oasis Strawberry</v>
      </c>
      <c r="B217" s="37" t="str">
        <f>'Inventory Worksheet'!C298</f>
        <v>EACH</v>
      </c>
      <c r="C217" s="237"/>
      <c r="D217" s="237"/>
      <c r="E217" s="27"/>
      <c r="F217" s="200"/>
      <c r="G217" s="27">
        <f t="shared" si="11"/>
        <v>0</v>
      </c>
      <c r="H217" s="367">
        <f>'Inventory Worksheet'!D298</f>
        <v>13.1</v>
      </c>
    </row>
    <row r="218" spans="1:8" ht="15" x14ac:dyDescent="0.25">
      <c r="A218" s="32" t="str">
        <f>'Inventory Worksheet'!B299</f>
        <v>Passionfruit Juice</v>
      </c>
      <c r="B218" s="37" t="str">
        <f>'Inventory Worksheet'!C299</f>
        <v>Each</v>
      </c>
      <c r="C218" s="237"/>
      <c r="D218" s="237"/>
      <c r="E218" s="27"/>
      <c r="F218" s="200"/>
      <c r="G218" s="27">
        <f t="shared" si="11"/>
        <v>0</v>
      </c>
      <c r="H218" s="367">
        <f>'Inventory Worksheet'!D299</f>
        <v>2.5</v>
      </c>
    </row>
    <row r="219" spans="1:8" ht="15" x14ac:dyDescent="0.25">
      <c r="A219" s="32" t="str">
        <f>'Inventory Worksheet'!B300</f>
        <v>Berry Mix</v>
      </c>
      <c r="B219" s="37" t="str">
        <f>'Inventory Worksheet'!C300</f>
        <v>KG</v>
      </c>
      <c r="C219" s="237"/>
      <c r="D219" s="237"/>
      <c r="E219" s="27"/>
      <c r="F219" s="200"/>
      <c r="G219" s="27">
        <f t="shared" si="11"/>
        <v>0</v>
      </c>
      <c r="H219" s="367">
        <f>'Inventory Worksheet'!D300</f>
        <v>0</v>
      </c>
    </row>
    <row r="220" spans="1:8" ht="15" x14ac:dyDescent="0.25">
      <c r="A220" s="32" t="str">
        <f>'Inventory Worksheet'!B301</f>
        <v>STONE FRUIT</v>
      </c>
      <c r="B220" s="37" t="str">
        <f>'Inventory Worksheet'!C301</f>
        <v>EACH</v>
      </c>
      <c r="C220" s="237"/>
      <c r="D220" s="237"/>
      <c r="E220" s="27"/>
      <c r="F220" s="200"/>
      <c r="G220" s="27">
        <f t="shared" si="11"/>
        <v>0</v>
      </c>
      <c r="H220" s="367">
        <f>'Inventory Worksheet'!D301</f>
        <v>0.9</v>
      </c>
    </row>
    <row r="221" spans="1:8" ht="15" x14ac:dyDescent="0.25">
      <c r="A221" s="32">
        <f>'Inventory Worksheet'!B302</f>
        <v>0</v>
      </c>
      <c r="B221" s="37">
        <f>'Inventory Worksheet'!C302</f>
        <v>0</v>
      </c>
      <c r="C221" s="237"/>
      <c r="D221" s="237"/>
      <c r="E221" s="27"/>
      <c r="F221" s="200"/>
      <c r="G221" s="27">
        <f t="shared" si="11"/>
        <v>0</v>
      </c>
      <c r="H221" s="367">
        <f>'Inventory Worksheet'!D302</f>
        <v>0</v>
      </c>
    </row>
    <row r="222" spans="1:8" ht="15" x14ac:dyDescent="0.25">
      <c r="A222" s="32">
        <f>'Inventory Worksheet'!B303</f>
        <v>0</v>
      </c>
      <c r="B222" s="37">
        <f>'Inventory Worksheet'!C303</f>
        <v>0</v>
      </c>
      <c r="C222" s="237"/>
      <c r="D222" s="237"/>
      <c r="E222" s="27"/>
      <c r="F222" s="200"/>
      <c r="G222" s="27">
        <f t="shared" si="11"/>
        <v>0</v>
      </c>
      <c r="H222" s="367">
        <f>'Inventory Worksheet'!D303</f>
        <v>0</v>
      </c>
    </row>
    <row r="223" spans="1:8" ht="15" x14ac:dyDescent="0.25">
      <c r="A223" s="75"/>
      <c r="B223" s="74"/>
      <c r="C223" s="181"/>
      <c r="D223" s="181"/>
      <c r="E223" s="70"/>
      <c r="F223" s="70"/>
      <c r="G223" s="70"/>
      <c r="H223" s="368"/>
    </row>
    <row r="224" spans="1:8" ht="15" x14ac:dyDescent="0.25">
      <c r="A224" s="78" t="s">
        <v>272</v>
      </c>
      <c r="B224" s="74"/>
      <c r="C224" s="181"/>
      <c r="D224" s="181"/>
      <c r="E224" s="70"/>
      <c r="F224" s="70"/>
      <c r="G224" s="70"/>
      <c r="H224" s="368"/>
    </row>
    <row r="225" spans="1:8" ht="15" x14ac:dyDescent="0.25">
      <c r="A225" s="40" t="s">
        <v>298</v>
      </c>
      <c r="B225" s="41" t="s">
        <v>141</v>
      </c>
      <c r="C225" s="377">
        <v>9</v>
      </c>
      <c r="D225" s="377">
        <v>0.6</v>
      </c>
      <c r="E225" s="27">
        <v>1.2</v>
      </c>
      <c r="F225" s="200"/>
      <c r="G225" s="27">
        <f t="shared" ref="G225:G253" si="12">SUM(C225:F225)</f>
        <v>10.799999999999999</v>
      </c>
      <c r="H225" s="367">
        <f>'Supply Inventory '!D4</f>
        <v>14.3</v>
      </c>
    </row>
    <row r="226" spans="1:8" ht="15" x14ac:dyDescent="0.25">
      <c r="A226" s="29" t="s">
        <v>299</v>
      </c>
      <c r="B226" s="26" t="s">
        <v>141</v>
      </c>
      <c r="C226" s="237">
        <v>12.6</v>
      </c>
      <c r="D226" s="237"/>
      <c r="E226" s="27"/>
      <c r="F226" s="200"/>
      <c r="G226" s="27">
        <f t="shared" si="12"/>
        <v>12.6</v>
      </c>
      <c r="H226" s="367">
        <f>'Supply Inventory '!D5</f>
        <v>10.5</v>
      </c>
    </row>
    <row r="227" spans="1:8" ht="15" x14ac:dyDescent="0.25">
      <c r="A227" s="35" t="s">
        <v>300</v>
      </c>
      <c r="B227" s="39" t="s">
        <v>141</v>
      </c>
      <c r="C227" s="237">
        <v>4.5999999999999996</v>
      </c>
      <c r="D227" s="237"/>
      <c r="E227" s="27"/>
      <c r="F227" s="200"/>
      <c r="G227" s="27">
        <f t="shared" si="12"/>
        <v>4.5999999999999996</v>
      </c>
      <c r="H227" s="367">
        <f>'Supply Inventory '!D6</f>
        <v>6</v>
      </c>
    </row>
    <row r="228" spans="1:8" ht="15" x14ac:dyDescent="0.25">
      <c r="A228" s="35" t="s">
        <v>304</v>
      </c>
      <c r="B228" s="34" t="s">
        <v>141</v>
      </c>
      <c r="C228" s="237">
        <v>3.7</v>
      </c>
      <c r="D228" s="237"/>
      <c r="E228" s="27"/>
      <c r="F228" s="200"/>
      <c r="G228" s="27">
        <f t="shared" si="12"/>
        <v>3.7</v>
      </c>
      <c r="H228" s="367">
        <f>'Supply Inventory '!D7</f>
        <v>5</v>
      </c>
    </row>
    <row r="229" spans="1:8" ht="15" x14ac:dyDescent="0.25">
      <c r="A229" s="35" t="s">
        <v>8</v>
      </c>
      <c r="B229" s="36" t="s">
        <v>408</v>
      </c>
      <c r="C229" s="237">
        <v>24</v>
      </c>
      <c r="D229" s="237"/>
      <c r="E229" s="27"/>
      <c r="F229" s="200"/>
      <c r="G229" s="27">
        <f t="shared" si="12"/>
        <v>24</v>
      </c>
      <c r="H229" s="367">
        <f>'Supply Inventory '!D8</f>
        <v>7</v>
      </c>
    </row>
    <row r="230" spans="1:8" ht="15" x14ac:dyDescent="0.25">
      <c r="A230" s="29" t="s">
        <v>400</v>
      </c>
      <c r="B230" s="26" t="s">
        <v>190</v>
      </c>
      <c r="C230" s="237">
        <v>14.9</v>
      </c>
      <c r="D230" s="237">
        <v>2.5</v>
      </c>
      <c r="E230" s="27"/>
      <c r="F230" s="200"/>
      <c r="G230" s="27">
        <f t="shared" si="12"/>
        <v>17.399999999999999</v>
      </c>
      <c r="H230" s="367">
        <f>'Supply Inventory '!D9</f>
        <v>18</v>
      </c>
    </row>
    <row r="231" spans="1:8" ht="15" x14ac:dyDescent="0.25">
      <c r="A231" s="29" t="s">
        <v>401</v>
      </c>
      <c r="B231" s="26" t="s">
        <v>190</v>
      </c>
      <c r="C231" s="237">
        <v>8.5</v>
      </c>
      <c r="D231" s="237"/>
      <c r="E231" s="27"/>
      <c r="F231" s="200"/>
      <c r="G231" s="27">
        <f t="shared" si="12"/>
        <v>8.5</v>
      </c>
      <c r="H231" s="367">
        <f>'Supply Inventory '!D10</f>
        <v>5</v>
      </c>
    </row>
    <row r="232" spans="1:8" ht="15" x14ac:dyDescent="0.25">
      <c r="A232" s="29" t="s">
        <v>532</v>
      </c>
      <c r="B232" s="26" t="s">
        <v>190</v>
      </c>
      <c r="C232" s="237">
        <v>5.8</v>
      </c>
      <c r="D232" s="237"/>
      <c r="E232" s="27"/>
      <c r="F232" s="200"/>
      <c r="G232" s="27">
        <f t="shared" si="12"/>
        <v>5.8</v>
      </c>
      <c r="H232" s="367">
        <f>'Supply Inventory '!D11</f>
        <v>7</v>
      </c>
    </row>
    <row r="233" spans="1:8" ht="15" x14ac:dyDescent="0.25">
      <c r="A233" s="29" t="s">
        <v>402</v>
      </c>
      <c r="B233" s="26" t="s">
        <v>408</v>
      </c>
      <c r="C233" s="237">
        <v>13.8</v>
      </c>
      <c r="D233" s="237"/>
      <c r="E233" s="27"/>
      <c r="F233" s="200"/>
      <c r="G233" s="27">
        <f t="shared" si="12"/>
        <v>13.8</v>
      </c>
      <c r="H233" s="367">
        <f>'Supply Inventory '!D12</f>
        <v>14</v>
      </c>
    </row>
    <row r="234" spans="1:8" ht="15" x14ac:dyDescent="0.25">
      <c r="A234" s="29" t="s">
        <v>301</v>
      </c>
      <c r="B234" s="26" t="s">
        <v>190</v>
      </c>
      <c r="C234" s="237">
        <v>2.6</v>
      </c>
      <c r="D234" s="237"/>
      <c r="E234" s="27"/>
      <c r="F234" s="200"/>
      <c r="G234" s="27">
        <f t="shared" si="12"/>
        <v>2.6</v>
      </c>
      <c r="H234" s="367">
        <f>'Supply Inventory '!D13</f>
        <v>2.8</v>
      </c>
    </row>
    <row r="235" spans="1:8" x14ac:dyDescent="0.25">
      <c r="A235" s="42" t="s">
        <v>302</v>
      </c>
      <c r="B235" s="115" t="s">
        <v>190</v>
      </c>
      <c r="C235" s="352">
        <v>1.5</v>
      </c>
      <c r="D235" s="352"/>
      <c r="E235" s="27"/>
      <c r="F235" s="200"/>
      <c r="G235" s="27">
        <f t="shared" si="12"/>
        <v>1.5</v>
      </c>
      <c r="H235" s="367">
        <f>'Supply Inventory '!D14</f>
        <v>1.6</v>
      </c>
    </row>
    <row r="236" spans="1:8" x14ac:dyDescent="0.25">
      <c r="A236" s="42" t="s">
        <v>15</v>
      </c>
      <c r="B236" s="115" t="s">
        <v>408</v>
      </c>
      <c r="C236" s="352">
        <v>34</v>
      </c>
      <c r="D236" s="352"/>
      <c r="E236" s="27"/>
      <c r="F236" s="200"/>
      <c r="G236" s="27">
        <f t="shared" si="12"/>
        <v>34</v>
      </c>
      <c r="H236" s="367">
        <f>'Supply Inventory '!D15</f>
        <v>35</v>
      </c>
    </row>
    <row r="237" spans="1:8" x14ac:dyDescent="0.25">
      <c r="A237" s="42" t="s">
        <v>509</v>
      </c>
      <c r="B237" s="115" t="s">
        <v>190</v>
      </c>
      <c r="C237" s="352">
        <v>0.4</v>
      </c>
      <c r="D237" s="352"/>
      <c r="E237" s="27"/>
      <c r="F237" s="200"/>
      <c r="G237" s="27">
        <f t="shared" si="12"/>
        <v>0.4</v>
      </c>
      <c r="H237" s="367">
        <f>'Supply Inventory '!D16</f>
        <v>0.6</v>
      </c>
    </row>
    <row r="238" spans="1:8" x14ac:dyDescent="0.25">
      <c r="A238" s="42" t="s">
        <v>403</v>
      </c>
      <c r="B238" s="115" t="s">
        <v>190</v>
      </c>
      <c r="C238" s="352">
        <v>0.75</v>
      </c>
      <c r="D238" s="352"/>
      <c r="E238" s="27"/>
      <c r="F238" s="200"/>
      <c r="G238" s="27">
        <f t="shared" si="12"/>
        <v>0.75</v>
      </c>
      <c r="H238" s="367">
        <f>'Supply Inventory '!D17</f>
        <v>0.8</v>
      </c>
    </row>
    <row r="239" spans="1:8" x14ac:dyDescent="0.25">
      <c r="A239" s="42" t="s">
        <v>303</v>
      </c>
      <c r="B239" s="115" t="s">
        <v>190</v>
      </c>
      <c r="C239" s="352">
        <v>3.6</v>
      </c>
      <c r="D239" s="352"/>
      <c r="E239" s="27"/>
      <c r="F239" s="200"/>
      <c r="G239" s="27">
        <f t="shared" si="12"/>
        <v>3.6</v>
      </c>
      <c r="H239" s="367">
        <f>'Supply Inventory '!D18</f>
        <v>3</v>
      </c>
    </row>
    <row r="240" spans="1:8" x14ac:dyDescent="0.25">
      <c r="A240" s="42" t="s">
        <v>404</v>
      </c>
      <c r="B240" s="115" t="s">
        <v>190</v>
      </c>
      <c r="C240" s="352">
        <v>1.9</v>
      </c>
      <c r="D240" s="352"/>
      <c r="E240" s="27"/>
      <c r="F240" s="200"/>
      <c r="G240" s="27">
        <f t="shared" si="12"/>
        <v>1.9</v>
      </c>
      <c r="H240" s="367">
        <f>'Supply Inventory '!D19</f>
        <v>0.7</v>
      </c>
    </row>
    <row r="241" spans="1:8" x14ac:dyDescent="0.25">
      <c r="A241" s="42" t="s">
        <v>405</v>
      </c>
      <c r="B241" s="115" t="s">
        <v>175</v>
      </c>
      <c r="C241" s="352">
        <v>0.5</v>
      </c>
      <c r="D241" s="352"/>
      <c r="E241" s="27"/>
      <c r="F241" s="200"/>
      <c r="G241" s="27">
        <f t="shared" si="12"/>
        <v>0.5</v>
      </c>
      <c r="H241" s="367">
        <f>'Supply Inventory '!D20</f>
        <v>0.8</v>
      </c>
    </row>
    <row r="242" spans="1:8" x14ac:dyDescent="0.25">
      <c r="A242" s="42" t="s">
        <v>406</v>
      </c>
      <c r="B242" s="115" t="s">
        <v>409</v>
      </c>
      <c r="C242" s="352">
        <v>8.9</v>
      </c>
      <c r="D242" s="352"/>
      <c r="E242" s="27"/>
      <c r="F242" s="200"/>
      <c r="G242" s="27">
        <f t="shared" si="12"/>
        <v>8.9</v>
      </c>
      <c r="H242" s="367">
        <f>'Supply Inventory '!D21</f>
        <v>13.5</v>
      </c>
    </row>
    <row r="243" spans="1:8" x14ac:dyDescent="0.25">
      <c r="A243" s="42" t="s">
        <v>407</v>
      </c>
      <c r="B243" s="115" t="s">
        <v>175</v>
      </c>
      <c r="C243" s="352">
        <v>1</v>
      </c>
      <c r="D243" s="352"/>
      <c r="E243" s="27"/>
      <c r="F243" s="200"/>
      <c r="G243" s="27">
        <f t="shared" si="12"/>
        <v>1</v>
      </c>
      <c r="H243" s="367">
        <f>'Supply Inventory '!D22</f>
        <v>1.1000000000000001</v>
      </c>
    </row>
    <row r="244" spans="1:8" x14ac:dyDescent="0.25">
      <c r="A244" s="42" t="s">
        <v>432</v>
      </c>
      <c r="B244" s="115" t="s">
        <v>147</v>
      </c>
      <c r="C244" s="352">
        <v>63.5</v>
      </c>
      <c r="D244" s="352"/>
      <c r="E244" s="27"/>
      <c r="F244" s="200"/>
      <c r="G244" s="27">
        <f t="shared" si="12"/>
        <v>63.5</v>
      </c>
      <c r="H244" s="367">
        <f>'Supply Inventory '!D23</f>
        <v>64</v>
      </c>
    </row>
    <row r="245" spans="1:8" x14ac:dyDescent="0.25">
      <c r="A245" s="42" t="s">
        <v>331</v>
      </c>
      <c r="B245" s="115" t="s">
        <v>175</v>
      </c>
      <c r="C245" s="352">
        <v>1.1000000000000001</v>
      </c>
      <c r="D245" s="352">
        <v>0.33</v>
      </c>
      <c r="E245" s="27"/>
      <c r="F245" s="200"/>
      <c r="G245" s="27">
        <f t="shared" si="12"/>
        <v>1.4300000000000002</v>
      </c>
      <c r="H245" s="367">
        <f>'Supply Inventory '!D24</f>
        <v>1.25</v>
      </c>
    </row>
    <row r="246" spans="1:8" x14ac:dyDescent="0.25">
      <c r="A246" s="42" t="s">
        <v>428</v>
      </c>
      <c r="B246" s="115" t="s">
        <v>175</v>
      </c>
      <c r="C246" s="352">
        <v>0.9</v>
      </c>
      <c r="D246" s="352"/>
      <c r="E246" s="27"/>
      <c r="F246" s="200"/>
      <c r="G246" s="27">
        <f t="shared" si="12"/>
        <v>0.9</v>
      </c>
      <c r="H246" s="367">
        <f>'Supply Inventory '!D25</f>
        <v>1.3</v>
      </c>
    </row>
    <row r="247" spans="1:8" x14ac:dyDescent="0.25">
      <c r="A247" s="42" t="s">
        <v>430</v>
      </c>
      <c r="B247" s="115" t="s">
        <v>157</v>
      </c>
      <c r="C247" s="352">
        <v>24.6</v>
      </c>
      <c r="D247" s="352"/>
      <c r="E247" s="27"/>
      <c r="F247" s="200"/>
      <c r="G247" s="27">
        <f t="shared" si="12"/>
        <v>24.6</v>
      </c>
      <c r="H247" s="367">
        <f>'Supply Inventory '!D26</f>
        <v>28</v>
      </c>
    </row>
    <row r="248" spans="1:8" x14ac:dyDescent="0.25">
      <c r="A248" s="42" t="s">
        <v>867</v>
      </c>
      <c r="B248" s="115" t="s">
        <v>46</v>
      </c>
      <c r="C248" s="352">
        <v>0.8</v>
      </c>
      <c r="D248" s="352"/>
      <c r="E248" s="27"/>
      <c r="F248" s="200"/>
      <c r="G248" s="27">
        <f t="shared" si="12"/>
        <v>0.8</v>
      </c>
      <c r="H248" s="367">
        <f>'Supply Inventory '!D27</f>
        <v>0.75</v>
      </c>
    </row>
    <row r="249" spans="1:8" x14ac:dyDescent="0.25">
      <c r="A249" s="42" t="s">
        <v>868</v>
      </c>
      <c r="B249" s="115" t="s">
        <v>46</v>
      </c>
      <c r="C249" s="352">
        <v>2.7</v>
      </c>
      <c r="D249" s="352"/>
      <c r="E249" s="27"/>
      <c r="F249" s="200"/>
      <c r="G249" s="27">
        <f t="shared" si="12"/>
        <v>2.7</v>
      </c>
      <c r="H249" s="367">
        <f>'Supply Inventory '!D28</f>
        <v>2.7</v>
      </c>
    </row>
    <row r="250" spans="1:8" x14ac:dyDescent="0.25">
      <c r="A250" s="42" t="s">
        <v>441</v>
      </c>
      <c r="B250" s="115" t="s">
        <v>141</v>
      </c>
      <c r="C250" s="352">
        <v>45</v>
      </c>
      <c r="D250" s="352"/>
      <c r="E250" s="27"/>
      <c r="F250" s="200"/>
      <c r="G250" s="27">
        <f t="shared" si="12"/>
        <v>45</v>
      </c>
      <c r="H250" s="367">
        <f>'Supply Inventory '!D29</f>
        <v>46</v>
      </c>
    </row>
    <row r="251" spans="1:8" x14ac:dyDescent="0.25">
      <c r="A251" s="42" t="s">
        <v>306</v>
      </c>
      <c r="B251" s="115" t="s">
        <v>168</v>
      </c>
      <c r="C251" s="352">
        <v>10</v>
      </c>
      <c r="D251" s="352"/>
      <c r="E251" s="27"/>
      <c r="F251" s="200"/>
      <c r="G251" s="27">
        <f t="shared" si="12"/>
        <v>10</v>
      </c>
      <c r="H251" s="367">
        <f>'Supply Inventory '!D30</f>
        <v>10</v>
      </c>
    </row>
    <row r="252" spans="1:8" x14ac:dyDescent="0.25">
      <c r="A252" s="42" t="s">
        <v>309</v>
      </c>
      <c r="B252" s="115" t="s">
        <v>12</v>
      </c>
      <c r="C252" s="352">
        <v>1</v>
      </c>
      <c r="D252" s="352"/>
      <c r="E252" s="27"/>
      <c r="F252" s="200"/>
      <c r="G252" s="27">
        <f t="shared" si="12"/>
        <v>1</v>
      </c>
      <c r="H252" s="367">
        <f>'Supply Inventory '!D31</f>
        <v>0.75</v>
      </c>
    </row>
    <row r="253" spans="1:8" x14ac:dyDescent="0.25">
      <c r="A253" s="42" t="s">
        <v>13</v>
      </c>
      <c r="B253" s="115" t="s">
        <v>190</v>
      </c>
      <c r="C253" s="352">
        <v>0.5</v>
      </c>
      <c r="D253" s="352"/>
      <c r="E253" s="27"/>
      <c r="F253" s="200"/>
      <c r="G253" s="27">
        <f t="shared" si="12"/>
        <v>0.5</v>
      </c>
      <c r="H253" s="367">
        <f>'Supply Inventory '!D32</f>
        <v>0.7</v>
      </c>
    </row>
    <row r="254" spans="1:8" x14ac:dyDescent="0.25">
      <c r="A254" s="79" t="s">
        <v>273</v>
      </c>
      <c r="B254" s="80"/>
      <c r="C254" s="183"/>
      <c r="D254" s="183"/>
      <c r="E254" s="81"/>
      <c r="F254" s="81"/>
      <c r="G254" s="81">
        <f t="shared" ref="G254:G282" si="13">SUM(C254:F254)</f>
        <v>0</v>
      </c>
      <c r="H254" s="369"/>
    </row>
    <row r="255" spans="1:8" x14ac:dyDescent="0.25">
      <c r="A255" s="42" t="s">
        <v>410</v>
      </c>
      <c r="B255" s="115" t="s">
        <v>168</v>
      </c>
      <c r="C255" s="352">
        <v>1.2</v>
      </c>
      <c r="D255" s="352"/>
      <c r="E255" s="27"/>
      <c r="F255" s="201"/>
      <c r="G255" s="27">
        <f t="shared" si="13"/>
        <v>1.2</v>
      </c>
      <c r="H255" s="367">
        <f>'Supply Inventory '!D36</f>
        <v>0.9</v>
      </c>
    </row>
    <row r="256" spans="1:8" x14ac:dyDescent="0.25">
      <c r="A256" s="42" t="s">
        <v>411</v>
      </c>
      <c r="B256" s="115" t="s">
        <v>168</v>
      </c>
      <c r="C256" s="352">
        <v>0.7</v>
      </c>
      <c r="D256" s="352"/>
      <c r="E256" s="27"/>
      <c r="F256" s="201"/>
      <c r="G256" s="27">
        <f t="shared" si="13"/>
        <v>0.7</v>
      </c>
      <c r="H256" s="367">
        <f>'Supply Inventory '!D37</f>
        <v>0.5</v>
      </c>
    </row>
    <row r="257" spans="1:8" x14ac:dyDescent="0.25">
      <c r="A257" s="42" t="s">
        <v>527</v>
      </c>
      <c r="B257" s="115" t="s">
        <v>168</v>
      </c>
      <c r="C257" s="352">
        <v>0.25</v>
      </c>
      <c r="D257" s="352">
        <v>0.1</v>
      </c>
      <c r="E257" s="27">
        <v>0.5</v>
      </c>
      <c r="F257" s="201"/>
      <c r="G257" s="27">
        <f t="shared" si="13"/>
        <v>0.85</v>
      </c>
      <c r="H257" s="367">
        <f>'Supply Inventory '!D38</f>
        <v>2.12</v>
      </c>
    </row>
    <row r="258" spans="1:8" x14ac:dyDescent="0.25">
      <c r="A258" s="42" t="s">
        <v>869</v>
      </c>
      <c r="B258" s="115" t="s">
        <v>168</v>
      </c>
      <c r="C258" s="352">
        <v>0.5</v>
      </c>
      <c r="D258" s="352"/>
      <c r="E258" s="27"/>
      <c r="F258" s="201"/>
      <c r="G258" s="27">
        <f t="shared" si="13"/>
        <v>0.5</v>
      </c>
      <c r="H258" s="367">
        <f>'Supply Inventory '!D39</f>
        <v>1.33</v>
      </c>
    </row>
    <row r="259" spans="1:8" x14ac:dyDescent="0.25">
      <c r="A259" s="42" t="s">
        <v>870</v>
      </c>
      <c r="B259" s="115" t="s">
        <v>168</v>
      </c>
      <c r="C259" s="352">
        <v>0.5</v>
      </c>
      <c r="D259" s="352"/>
      <c r="E259" s="27"/>
      <c r="F259" s="201"/>
      <c r="G259" s="27">
        <f t="shared" si="13"/>
        <v>0.5</v>
      </c>
      <c r="H259" s="367">
        <f>'Supply Inventory '!D40</f>
        <v>0.17</v>
      </c>
    </row>
    <row r="260" spans="1:8" x14ac:dyDescent="0.25">
      <c r="A260" s="42" t="s">
        <v>245</v>
      </c>
      <c r="B260" s="115" t="s">
        <v>168</v>
      </c>
      <c r="C260" s="352">
        <v>1</v>
      </c>
      <c r="D260" s="352"/>
      <c r="E260" s="27"/>
      <c r="F260" s="201"/>
      <c r="G260" s="27">
        <f t="shared" si="13"/>
        <v>1</v>
      </c>
      <c r="H260" s="367">
        <f>'Supply Inventory '!D41</f>
        <v>1.2</v>
      </c>
    </row>
    <row r="261" spans="1:8" x14ac:dyDescent="0.25">
      <c r="A261" s="42" t="s">
        <v>246</v>
      </c>
      <c r="B261" s="115" t="s">
        <v>168</v>
      </c>
      <c r="C261" s="352">
        <v>1</v>
      </c>
      <c r="D261" s="352"/>
      <c r="E261" s="27"/>
      <c r="F261" s="201"/>
      <c r="G261" s="27">
        <f t="shared" si="13"/>
        <v>1</v>
      </c>
      <c r="H261" s="367">
        <f>'Supply Inventory '!D42</f>
        <v>1.2</v>
      </c>
    </row>
    <row r="262" spans="1:8" x14ac:dyDescent="0.25">
      <c r="A262" s="42" t="s">
        <v>310</v>
      </c>
      <c r="B262" s="115" t="s">
        <v>168</v>
      </c>
      <c r="C262" s="352">
        <v>0.8</v>
      </c>
      <c r="D262" s="352"/>
      <c r="E262" s="27"/>
      <c r="F262" s="201"/>
      <c r="G262" s="27">
        <f t="shared" si="13"/>
        <v>0.8</v>
      </c>
      <c r="H262" s="367">
        <f>'Supply Inventory '!D43</f>
        <v>0.85</v>
      </c>
    </row>
    <row r="263" spans="1:8" x14ac:dyDescent="0.25">
      <c r="A263" s="42" t="s">
        <v>508</v>
      </c>
      <c r="B263" s="115" t="s">
        <v>168</v>
      </c>
      <c r="C263" s="352">
        <v>0.9</v>
      </c>
      <c r="D263" s="352"/>
      <c r="E263" s="27"/>
      <c r="F263" s="201"/>
      <c r="G263" s="27">
        <f t="shared" si="13"/>
        <v>0.9</v>
      </c>
      <c r="H263" s="367">
        <f>'Supply Inventory '!D44</f>
        <v>0.9</v>
      </c>
    </row>
    <row r="264" spans="1:8" x14ac:dyDescent="0.25">
      <c r="A264" s="42" t="s">
        <v>486</v>
      </c>
      <c r="B264" s="115" t="s">
        <v>214</v>
      </c>
      <c r="C264" s="352">
        <v>0.8</v>
      </c>
      <c r="D264" s="352"/>
      <c r="E264" s="27"/>
      <c r="F264" s="201"/>
      <c r="G264" s="27">
        <f t="shared" si="13"/>
        <v>0.8</v>
      </c>
      <c r="H264" s="367">
        <f>'Supply Inventory '!D45</f>
        <v>0.7</v>
      </c>
    </row>
    <row r="265" spans="1:8" x14ac:dyDescent="0.25">
      <c r="A265" s="42" t="s">
        <v>484</v>
      </c>
      <c r="B265" s="115" t="s">
        <v>214</v>
      </c>
      <c r="C265" s="352">
        <v>0.1</v>
      </c>
      <c r="D265" s="352"/>
      <c r="E265" s="27"/>
      <c r="F265" s="201"/>
      <c r="G265" s="27">
        <f t="shared" si="13"/>
        <v>0.1</v>
      </c>
      <c r="H265" s="367">
        <f>'Supply Inventory '!D46</f>
        <v>0.6</v>
      </c>
    </row>
    <row r="266" spans="1:8" x14ac:dyDescent="0.25">
      <c r="A266" s="42" t="s">
        <v>485</v>
      </c>
      <c r="B266" s="115" t="s">
        <v>214</v>
      </c>
      <c r="C266" s="352">
        <v>1.2</v>
      </c>
      <c r="D266" s="352"/>
      <c r="E266" s="27"/>
      <c r="F266" s="201"/>
      <c r="G266" s="27">
        <f t="shared" si="13"/>
        <v>1.2</v>
      </c>
      <c r="H266" s="367">
        <f>'Supply Inventory '!D47</f>
        <v>0.65</v>
      </c>
    </row>
    <row r="267" spans="1:8" x14ac:dyDescent="0.25">
      <c r="A267" s="42" t="s">
        <v>311</v>
      </c>
      <c r="B267" s="115" t="s">
        <v>408</v>
      </c>
      <c r="C267" s="352">
        <v>6.2</v>
      </c>
      <c r="D267" s="352"/>
      <c r="E267" s="27"/>
      <c r="F267" s="201"/>
      <c r="G267" s="27">
        <f t="shared" si="13"/>
        <v>6.2</v>
      </c>
      <c r="H267" s="367">
        <f>'Supply Inventory '!D48</f>
        <v>20</v>
      </c>
    </row>
    <row r="268" spans="1:8" x14ac:dyDescent="0.25">
      <c r="A268" s="42" t="s">
        <v>413</v>
      </c>
      <c r="B268" s="115" t="s">
        <v>408</v>
      </c>
      <c r="C268" s="352">
        <v>2.5</v>
      </c>
      <c r="D268" s="352"/>
      <c r="E268" s="27"/>
      <c r="F268" s="201"/>
      <c r="G268" s="27">
        <f t="shared" si="13"/>
        <v>2.5</v>
      </c>
      <c r="H268" s="367">
        <f>'Supply Inventory '!D49</f>
        <v>1</v>
      </c>
    </row>
    <row r="269" spans="1:8" x14ac:dyDescent="0.25">
      <c r="A269" s="42" t="s">
        <v>871</v>
      </c>
      <c r="B269" s="115" t="s">
        <v>214</v>
      </c>
      <c r="C269" s="352">
        <v>0.8</v>
      </c>
      <c r="D269" s="352"/>
      <c r="E269" s="27"/>
      <c r="F269" s="201"/>
      <c r="G269" s="27">
        <f t="shared" si="13"/>
        <v>0.8</v>
      </c>
      <c r="H269" s="367">
        <f>'Supply Inventory '!D50</f>
        <v>0</v>
      </c>
    </row>
    <row r="270" spans="1:8" x14ac:dyDescent="0.25">
      <c r="A270" s="42" t="s">
        <v>528</v>
      </c>
      <c r="B270" s="115" t="s">
        <v>168</v>
      </c>
      <c r="C270" s="352">
        <v>0.1</v>
      </c>
      <c r="D270" s="352"/>
      <c r="E270" s="27"/>
      <c r="F270" s="201"/>
      <c r="G270" s="27">
        <f t="shared" si="13"/>
        <v>0.1</v>
      </c>
      <c r="H270" s="367">
        <f>'Supply Inventory '!D51</f>
        <v>0.8</v>
      </c>
    </row>
    <row r="271" spans="1:8" x14ac:dyDescent="0.25">
      <c r="A271" s="42" t="s">
        <v>529</v>
      </c>
      <c r="B271" s="115" t="s">
        <v>168</v>
      </c>
      <c r="C271" s="352">
        <v>0.35</v>
      </c>
      <c r="D271" s="352"/>
      <c r="E271" s="27"/>
      <c r="F271" s="201"/>
      <c r="G271" s="27">
        <f t="shared" si="13"/>
        <v>0.35</v>
      </c>
      <c r="H271" s="367">
        <f>'Supply Inventory '!D52</f>
        <v>0.33</v>
      </c>
    </row>
    <row r="272" spans="1:8" x14ac:dyDescent="0.25">
      <c r="A272" s="42" t="s">
        <v>872</v>
      </c>
      <c r="B272" s="115" t="s">
        <v>1328</v>
      </c>
      <c r="C272" s="352">
        <v>16.100000000000001</v>
      </c>
      <c r="D272" s="352"/>
      <c r="E272" s="27"/>
      <c r="F272" s="201"/>
      <c r="G272" s="27">
        <f t="shared" si="13"/>
        <v>16.100000000000001</v>
      </c>
      <c r="H272" s="367">
        <f>'Supply Inventory '!D53</f>
        <v>17</v>
      </c>
    </row>
    <row r="273" spans="1:8" x14ac:dyDescent="0.25">
      <c r="A273" s="42" t="s">
        <v>873</v>
      </c>
      <c r="B273" s="115" t="s">
        <v>1328</v>
      </c>
      <c r="C273" s="352">
        <v>8.5</v>
      </c>
      <c r="D273" s="352"/>
      <c r="E273" s="27"/>
      <c r="F273" s="201"/>
      <c r="G273" s="27">
        <f t="shared" si="13"/>
        <v>8.5</v>
      </c>
      <c r="H273" s="367">
        <f>'Supply Inventory '!D54</f>
        <v>9</v>
      </c>
    </row>
    <row r="274" spans="1:8" x14ac:dyDescent="0.25">
      <c r="A274" s="42" t="s">
        <v>487</v>
      </c>
      <c r="B274" s="115" t="s">
        <v>175</v>
      </c>
      <c r="C274" s="352">
        <v>0.98</v>
      </c>
      <c r="D274" s="352"/>
      <c r="E274" s="27"/>
      <c r="F274" s="201"/>
      <c r="G274" s="27">
        <f t="shared" si="13"/>
        <v>0.98</v>
      </c>
      <c r="H274" s="367">
        <f>'Supply Inventory '!D55</f>
        <v>1.25</v>
      </c>
    </row>
    <row r="275" spans="1:8" x14ac:dyDescent="0.25">
      <c r="A275" s="42" t="s">
        <v>530</v>
      </c>
      <c r="B275" s="115" t="s">
        <v>175</v>
      </c>
      <c r="C275" s="352">
        <v>1.1000000000000001</v>
      </c>
      <c r="D275" s="352"/>
      <c r="E275" s="27"/>
      <c r="F275" s="201"/>
      <c r="G275" s="27">
        <f t="shared" si="13"/>
        <v>1.1000000000000001</v>
      </c>
      <c r="H275" s="367">
        <f>'Supply Inventory '!D56</f>
        <v>1</v>
      </c>
    </row>
    <row r="276" spans="1:8" x14ac:dyDescent="0.25">
      <c r="A276" s="42" t="s">
        <v>526</v>
      </c>
      <c r="B276" s="115" t="s">
        <v>175</v>
      </c>
      <c r="C276" s="352">
        <v>0.9</v>
      </c>
      <c r="D276" s="352"/>
      <c r="E276" s="27"/>
      <c r="F276" s="201"/>
      <c r="G276" s="27">
        <f t="shared" si="13"/>
        <v>0.9</v>
      </c>
      <c r="H276" s="367">
        <f>'Supply Inventory '!D57</f>
        <v>0.7</v>
      </c>
    </row>
    <row r="277" spans="1:8" x14ac:dyDescent="0.25">
      <c r="A277" s="79" t="s">
        <v>274</v>
      </c>
      <c r="B277" s="80"/>
      <c r="C277" s="183"/>
      <c r="D277" s="183"/>
      <c r="E277" s="81"/>
      <c r="F277" s="202"/>
      <c r="G277" s="81">
        <f t="shared" si="13"/>
        <v>0</v>
      </c>
      <c r="H277" s="369"/>
    </row>
    <row r="278" spans="1:8" x14ac:dyDescent="0.25">
      <c r="A278" s="42" t="s">
        <v>417</v>
      </c>
      <c r="B278" s="115" t="str">
        <f>'Paper Cleaning'!C66</f>
        <v>CASE</v>
      </c>
      <c r="C278" s="352">
        <v>1</v>
      </c>
      <c r="D278" s="182"/>
      <c r="E278" s="27"/>
      <c r="F278" s="201"/>
      <c r="G278" s="27">
        <f t="shared" si="13"/>
        <v>1</v>
      </c>
      <c r="H278" s="367">
        <f>'Supply Inventory '!D61</f>
        <v>0</v>
      </c>
    </row>
    <row r="279" spans="1:8" x14ac:dyDescent="0.25">
      <c r="A279" s="42" t="s">
        <v>418</v>
      </c>
      <c r="B279" s="115" t="str">
        <f>'Paper Cleaning'!C67</f>
        <v>CASE</v>
      </c>
      <c r="C279" s="352"/>
      <c r="D279" s="182"/>
      <c r="E279" s="27"/>
      <c r="F279" s="201"/>
      <c r="G279" s="27">
        <f t="shared" si="13"/>
        <v>0</v>
      </c>
      <c r="H279" s="367">
        <f>'Supply Inventory '!D62</f>
        <v>0</v>
      </c>
    </row>
    <row r="280" spans="1:8" x14ac:dyDescent="0.25">
      <c r="A280" s="42" t="s">
        <v>314</v>
      </c>
      <c r="B280" s="115" t="str">
        <f>'Paper Cleaning'!C68</f>
        <v>CASE</v>
      </c>
      <c r="C280" s="352"/>
      <c r="D280" s="182"/>
      <c r="E280" s="27"/>
      <c r="F280" s="201"/>
      <c r="G280" s="27">
        <f t="shared" si="13"/>
        <v>0</v>
      </c>
      <c r="H280" s="367">
        <f>'Supply Inventory '!D63</f>
        <v>0.6</v>
      </c>
    </row>
    <row r="281" spans="1:8" x14ac:dyDescent="0.25">
      <c r="A281" s="42" t="s">
        <v>503</v>
      </c>
      <c r="B281" s="115" t="str">
        <f>'Paper Cleaning'!C69</f>
        <v>EACH</v>
      </c>
      <c r="C281" s="352">
        <v>0.8</v>
      </c>
      <c r="D281" s="182"/>
      <c r="E281" s="27"/>
      <c r="F281" s="201"/>
      <c r="G281" s="27">
        <f t="shared" si="13"/>
        <v>0.8</v>
      </c>
      <c r="H281" s="367">
        <f>'Supply Inventory '!D64</f>
        <v>0.33</v>
      </c>
    </row>
    <row r="282" spans="1:8" x14ac:dyDescent="0.25">
      <c r="A282" s="42" t="s">
        <v>312</v>
      </c>
      <c r="B282" s="115" t="str">
        <f>'Paper Cleaning'!C70</f>
        <v>EACH</v>
      </c>
      <c r="C282" s="352">
        <v>18</v>
      </c>
      <c r="D282" s="182"/>
      <c r="E282" s="27"/>
      <c r="F282" s="201"/>
      <c r="G282" s="27">
        <f t="shared" si="13"/>
        <v>18</v>
      </c>
      <c r="H282" s="367">
        <f>'Supply Inventory '!D65</f>
        <v>0</v>
      </c>
    </row>
    <row r="283" spans="1:8" x14ac:dyDescent="0.25">
      <c r="A283" s="42" t="s">
        <v>313</v>
      </c>
      <c r="B283" s="115" t="str">
        <f>'Paper Cleaning'!C71</f>
        <v>JUG</v>
      </c>
      <c r="C283" s="352"/>
      <c r="D283" s="182"/>
      <c r="E283" s="27"/>
      <c r="F283" s="201"/>
      <c r="G283" s="27">
        <f t="shared" ref="G283:G305" si="14">SUM(C283:F283)</f>
        <v>0</v>
      </c>
      <c r="H283" s="367">
        <f>'Supply Inventory '!D66</f>
        <v>0.6</v>
      </c>
    </row>
    <row r="284" spans="1:8" x14ac:dyDescent="0.25">
      <c r="A284" s="42" t="s">
        <v>316</v>
      </c>
      <c r="B284" s="115" t="str">
        <f>'Paper Cleaning'!C72</f>
        <v>JUG</v>
      </c>
      <c r="C284" s="352"/>
      <c r="D284" s="182"/>
      <c r="E284" s="27"/>
      <c r="F284" s="201"/>
      <c r="G284" s="27">
        <f t="shared" si="14"/>
        <v>0</v>
      </c>
      <c r="H284" s="367">
        <f>'Supply Inventory '!D67</f>
        <v>0</v>
      </c>
    </row>
    <row r="285" spans="1:8" x14ac:dyDescent="0.25">
      <c r="A285" s="42" t="s">
        <v>317</v>
      </c>
      <c r="B285" s="115" t="str">
        <f>'Paper Cleaning'!C73</f>
        <v>JUG</v>
      </c>
      <c r="C285" s="352">
        <v>1.5</v>
      </c>
      <c r="D285" s="182"/>
      <c r="E285" s="27"/>
      <c r="F285" s="201"/>
      <c r="G285" s="27">
        <f t="shared" si="14"/>
        <v>1.5</v>
      </c>
      <c r="H285" s="367">
        <f>'Supply Inventory '!D68</f>
        <v>0.7</v>
      </c>
    </row>
    <row r="286" spans="1:8" x14ac:dyDescent="0.25">
      <c r="A286" s="42" t="s">
        <v>419</v>
      </c>
      <c r="B286" s="115" t="str">
        <f>'Paper Cleaning'!C74</f>
        <v>JUG</v>
      </c>
      <c r="C286" s="352">
        <v>3.5</v>
      </c>
      <c r="D286" s="182"/>
      <c r="E286" s="27"/>
      <c r="F286" s="201"/>
      <c r="G286" s="27">
        <f t="shared" si="14"/>
        <v>3.5</v>
      </c>
      <c r="H286" s="367">
        <f>'Supply Inventory '!D69</f>
        <v>2</v>
      </c>
    </row>
    <row r="287" spans="1:8" x14ac:dyDescent="0.25">
      <c r="A287" s="42" t="s">
        <v>874</v>
      </c>
      <c r="B287" s="115" t="str">
        <f>'Paper Cleaning'!C75</f>
        <v>JUG</v>
      </c>
      <c r="C287" s="352">
        <v>3.2</v>
      </c>
      <c r="D287" s="182"/>
      <c r="E287" s="27"/>
      <c r="F287" s="201"/>
      <c r="G287" s="27">
        <f t="shared" si="14"/>
        <v>3.2</v>
      </c>
      <c r="H287" s="367">
        <f>'Supply Inventory '!D70</f>
        <v>0</v>
      </c>
    </row>
    <row r="288" spans="1:8" x14ac:dyDescent="0.25">
      <c r="A288" s="42" t="s">
        <v>875</v>
      </c>
      <c r="B288" s="115" t="str">
        <f>'Paper Cleaning'!C76</f>
        <v>JUG</v>
      </c>
      <c r="C288" s="352">
        <v>1.2</v>
      </c>
      <c r="D288" s="182"/>
      <c r="E288" s="27"/>
      <c r="F288" s="201"/>
      <c r="G288" s="27">
        <f t="shared" si="14"/>
        <v>1.2</v>
      </c>
      <c r="H288" s="367">
        <f>'Supply Inventory '!D71</f>
        <v>0</v>
      </c>
    </row>
    <row r="289" spans="1:8" x14ac:dyDescent="0.25">
      <c r="A289" s="42" t="s">
        <v>320</v>
      </c>
      <c r="B289" s="115" t="str">
        <f>'Paper Cleaning'!C77</f>
        <v>JUG</v>
      </c>
      <c r="C289" s="352">
        <v>0.2</v>
      </c>
      <c r="D289" s="182"/>
      <c r="E289" s="27"/>
      <c r="F289" s="201"/>
      <c r="G289" s="27">
        <f t="shared" si="14"/>
        <v>0.2</v>
      </c>
      <c r="H289" s="367">
        <f>'Supply Inventory '!D72</f>
        <v>1.1000000000000001</v>
      </c>
    </row>
    <row r="290" spans="1:8" x14ac:dyDescent="0.25">
      <c r="A290" s="42" t="s">
        <v>117</v>
      </c>
      <c r="B290" s="115" t="str">
        <f>'Paper Cleaning'!C78</f>
        <v>JUG</v>
      </c>
      <c r="C290" s="352">
        <v>1</v>
      </c>
      <c r="D290" s="182"/>
      <c r="E290" s="27"/>
      <c r="F290" s="201"/>
      <c r="G290" s="27">
        <f t="shared" si="14"/>
        <v>1</v>
      </c>
      <c r="H290" s="367">
        <f>'Supply Inventory '!D73</f>
        <v>1.25</v>
      </c>
    </row>
    <row r="291" spans="1:8" x14ac:dyDescent="0.25">
      <c r="A291" s="42" t="s">
        <v>420</v>
      </c>
      <c r="B291" s="115" t="str">
        <f>'Paper Cleaning'!C79</f>
        <v>JUG</v>
      </c>
      <c r="C291" s="352">
        <v>5</v>
      </c>
      <c r="D291" s="182"/>
      <c r="E291" s="27"/>
      <c r="F291" s="201"/>
      <c r="G291" s="27">
        <f t="shared" si="14"/>
        <v>5</v>
      </c>
      <c r="H291" s="367">
        <f>'Supply Inventory '!D74</f>
        <v>2</v>
      </c>
    </row>
    <row r="292" spans="1:8" x14ac:dyDescent="0.25">
      <c r="A292" s="42" t="s">
        <v>45</v>
      </c>
      <c r="B292" s="115" t="str">
        <f>'Paper Cleaning'!C80</f>
        <v>JUG</v>
      </c>
      <c r="C292" s="352">
        <v>1</v>
      </c>
      <c r="D292" s="182"/>
      <c r="E292" s="27"/>
      <c r="F292" s="201"/>
      <c r="G292" s="27">
        <f t="shared" si="14"/>
        <v>1</v>
      </c>
      <c r="H292" s="367">
        <f>'Supply Inventory '!D75</f>
        <v>2</v>
      </c>
    </row>
    <row r="293" spans="1:8" x14ac:dyDescent="0.25">
      <c r="A293" s="42" t="s">
        <v>321</v>
      </c>
      <c r="B293" s="115" t="str">
        <f>'Paper Cleaning'!C81</f>
        <v>JUG</v>
      </c>
      <c r="C293" s="352">
        <v>2.2000000000000002</v>
      </c>
      <c r="D293" s="182"/>
      <c r="E293" s="27"/>
      <c r="F293" s="201"/>
      <c r="G293" s="27">
        <f t="shared" si="14"/>
        <v>2.2000000000000002</v>
      </c>
      <c r="H293" s="367">
        <f>'Supply Inventory '!D76</f>
        <v>2</v>
      </c>
    </row>
    <row r="294" spans="1:8" x14ac:dyDescent="0.25">
      <c r="A294" s="42" t="s">
        <v>315</v>
      </c>
      <c r="B294" s="115" t="str">
        <f>'Paper Cleaning'!C82</f>
        <v>EACH</v>
      </c>
      <c r="C294" s="352">
        <v>6</v>
      </c>
      <c r="D294" s="182"/>
      <c r="E294" s="27"/>
      <c r="F294" s="201"/>
      <c r="G294" s="27">
        <f t="shared" si="14"/>
        <v>6</v>
      </c>
      <c r="H294" s="367">
        <f>'Supply Inventory '!D77</f>
        <v>3</v>
      </c>
    </row>
    <row r="295" spans="1:8" x14ac:dyDescent="0.25">
      <c r="A295" s="42" t="s">
        <v>421</v>
      </c>
      <c r="B295" s="115" t="str">
        <f>'Paper Cleaning'!C83</f>
        <v>EACH</v>
      </c>
      <c r="C295" s="352">
        <v>2</v>
      </c>
      <c r="D295" s="182"/>
      <c r="E295" s="27"/>
      <c r="F295" s="201"/>
      <c r="G295" s="27">
        <f t="shared" si="14"/>
        <v>2</v>
      </c>
      <c r="H295" s="367">
        <f>'Supply Inventory '!D78</f>
        <v>1</v>
      </c>
    </row>
    <row r="296" spans="1:8" x14ac:dyDescent="0.25">
      <c r="A296" s="42" t="s">
        <v>422</v>
      </c>
      <c r="B296" s="115" t="str">
        <f>'Paper Cleaning'!C84</f>
        <v>EACH</v>
      </c>
      <c r="C296" s="352">
        <v>4</v>
      </c>
      <c r="D296" s="182"/>
      <c r="E296" s="27"/>
      <c r="F296" s="201"/>
      <c r="G296" s="27">
        <f t="shared" si="14"/>
        <v>4</v>
      </c>
      <c r="H296" s="367">
        <f>'Supply Inventory '!D79</f>
        <v>7</v>
      </c>
    </row>
    <row r="297" spans="1:8" x14ac:dyDescent="0.25">
      <c r="A297" s="42" t="s">
        <v>423</v>
      </c>
      <c r="B297" s="115" t="str">
        <f>'Paper Cleaning'!C85</f>
        <v>each</v>
      </c>
      <c r="C297" s="352">
        <v>36</v>
      </c>
      <c r="D297" s="182"/>
      <c r="E297" s="27"/>
      <c r="F297" s="201"/>
      <c r="G297" s="27">
        <f t="shared" si="14"/>
        <v>36</v>
      </c>
      <c r="H297" s="367">
        <f>'Supply Inventory '!D80</f>
        <v>1</v>
      </c>
    </row>
    <row r="298" spans="1:8" x14ac:dyDescent="0.25">
      <c r="A298" s="42" t="s">
        <v>425</v>
      </c>
      <c r="B298" s="115" t="str">
        <f>'Paper Cleaning'!C86</f>
        <v>BOX</v>
      </c>
      <c r="C298" s="352">
        <v>1.2</v>
      </c>
      <c r="D298" s="182"/>
      <c r="E298" s="27"/>
      <c r="F298" s="201"/>
      <c r="G298" s="27">
        <f t="shared" si="14"/>
        <v>1.2</v>
      </c>
      <c r="H298" s="367">
        <f>'Supply Inventory '!D81</f>
        <v>5</v>
      </c>
    </row>
    <row r="299" spans="1:8" x14ac:dyDescent="0.25">
      <c r="A299" s="42" t="s">
        <v>435</v>
      </c>
      <c r="B299" s="115" t="str">
        <f>'Paper Cleaning'!C87</f>
        <v>BOX</v>
      </c>
      <c r="C299" s="352">
        <v>13.1</v>
      </c>
      <c r="D299" s="182"/>
      <c r="E299" s="27"/>
      <c r="F299" s="201"/>
      <c r="G299" s="27">
        <f t="shared" si="14"/>
        <v>13.1</v>
      </c>
      <c r="H299" s="367">
        <f>'Supply Inventory '!D82</f>
        <v>9</v>
      </c>
    </row>
    <row r="300" spans="1:8" x14ac:dyDescent="0.25">
      <c r="A300" s="42" t="s">
        <v>504</v>
      </c>
      <c r="B300" s="115" t="s">
        <v>178</v>
      </c>
      <c r="C300" s="352">
        <v>7.5</v>
      </c>
      <c r="D300" s="182"/>
      <c r="E300" s="27"/>
      <c r="F300" s="201"/>
      <c r="G300" s="27">
        <f t="shared" si="14"/>
        <v>7.5</v>
      </c>
      <c r="H300" s="367">
        <f>'Supply Inventory '!D83</f>
        <v>5</v>
      </c>
    </row>
    <row r="301" spans="1:8" x14ac:dyDescent="0.25">
      <c r="A301" s="42" t="s">
        <v>502</v>
      </c>
      <c r="B301" s="115" t="s">
        <v>178</v>
      </c>
      <c r="C301" s="352">
        <v>6</v>
      </c>
      <c r="D301" s="182"/>
      <c r="E301" s="27"/>
      <c r="F301" s="201"/>
      <c r="G301" s="27">
        <f t="shared" si="14"/>
        <v>6</v>
      </c>
      <c r="H301" s="367">
        <f>'Supply Inventory '!D84</f>
        <v>7.6</v>
      </c>
    </row>
    <row r="302" spans="1:8" x14ac:dyDescent="0.25">
      <c r="A302" s="42" t="s">
        <v>488</v>
      </c>
      <c r="B302" s="115" t="str">
        <f>'Paper Cleaning'!C90</f>
        <v>BOX</v>
      </c>
      <c r="C302" s="352"/>
      <c r="D302" s="182"/>
      <c r="E302" s="27"/>
      <c r="F302" s="201"/>
      <c r="G302" s="27">
        <f t="shared" si="14"/>
        <v>0</v>
      </c>
      <c r="H302" s="367">
        <f>'Supply Inventory '!D85</f>
        <v>0</v>
      </c>
    </row>
    <row r="303" spans="1:8" x14ac:dyDescent="0.25">
      <c r="A303" s="42" t="s">
        <v>489</v>
      </c>
      <c r="B303" s="115" t="str">
        <f>'Paper Cleaning'!C91</f>
        <v>BOX</v>
      </c>
      <c r="C303" s="352"/>
      <c r="D303" s="182"/>
      <c r="E303" s="27"/>
      <c r="F303" s="201"/>
      <c r="G303" s="27">
        <f t="shared" si="14"/>
        <v>0</v>
      </c>
      <c r="H303" s="367">
        <f>'Supply Inventory '!D86</f>
        <v>0</v>
      </c>
    </row>
    <row r="304" spans="1:8" x14ac:dyDescent="0.25">
      <c r="A304" s="42" t="s">
        <v>490</v>
      </c>
      <c r="B304" s="115" t="str">
        <f>'Paper Cleaning'!C92</f>
        <v>EACH</v>
      </c>
      <c r="C304" s="352">
        <v>6</v>
      </c>
      <c r="D304" s="182"/>
      <c r="E304" s="27"/>
      <c r="F304" s="201"/>
      <c r="G304" s="27">
        <f t="shared" si="14"/>
        <v>6</v>
      </c>
      <c r="H304" s="367">
        <f>'Supply Inventory '!D87</f>
        <v>6</v>
      </c>
    </row>
    <row r="305" spans="1:11" x14ac:dyDescent="0.25">
      <c r="A305" s="79" t="s">
        <v>275</v>
      </c>
      <c r="B305" s="80"/>
      <c r="C305" s="183"/>
      <c r="D305" s="183"/>
      <c r="E305" s="81"/>
      <c r="F305" s="202"/>
      <c r="G305" s="81">
        <f t="shared" si="14"/>
        <v>0</v>
      </c>
      <c r="H305" s="369"/>
    </row>
    <row r="306" spans="1:11" x14ac:dyDescent="0.25">
      <c r="A306" s="42" t="str">
        <f>'Paper Cleaning'!B96</f>
        <v xml:space="preserve">Wet Naps </v>
      </c>
      <c r="B306" s="115" t="str">
        <f>'Paper Cleaning'!C96</f>
        <v>CASE</v>
      </c>
      <c r="C306" s="352">
        <v>0.2</v>
      </c>
      <c r="D306" s="352"/>
      <c r="E306" s="27"/>
      <c r="F306" s="201"/>
      <c r="G306" s="27">
        <f t="shared" ref="G306:G312" si="15">SUM(C306:F306)</f>
        <v>0.2</v>
      </c>
      <c r="H306" s="367">
        <f>'Supply Inventory '!D91</f>
        <v>0</v>
      </c>
    </row>
    <row r="307" spans="1:11" x14ac:dyDescent="0.25">
      <c r="A307" s="42" t="str">
        <f>'Paper Cleaning'!B97</f>
        <v>Cheap Kids toys</v>
      </c>
      <c r="B307" s="115" t="str">
        <f>'Paper Cleaning'!C97</f>
        <v>CASE</v>
      </c>
      <c r="C307" s="352"/>
      <c r="D307" s="352"/>
      <c r="E307" s="27"/>
      <c r="F307" s="201"/>
      <c r="G307" s="27">
        <f t="shared" si="15"/>
        <v>0</v>
      </c>
      <c r="H307" s="367">
        <f>'Supply Inventory '!D92</f>
        <v>0</v>
      </c>
    </row>
    <row r="308" spans="1:11" x14ac:dyDescent="0.25">
      <c r="A308" s="42" t="s">
        <v>1329</v>
      </c>
      <c r="B308" s="115" t="str">
        <f>'Paper Cleaning'!C98</f>
        <v>CASE</v>
      </c>
      <c r="C308" s="352"/>
      <c r="D308" s="352"/>
      <c r="E308" s="27"/>
      <c r="F308" s="201"/>
      <c r="G308" s="27">
        <f t="shared" si="15"/>
        <v>0</v>
      </c>
      <c r="H308" s="367">
        <f>'Supply Inventory '!D93</f>
        <v>0.9</v>
      </c>
    </row>
    <row r="309" spans="1:11" x14ac:dyDescent="0.25">
      <c r="A309" s="42" t="str">
        <f>'Paper Cleaning'!B99</f>
        <v>Italian Suckers</v>
      </c>
      <c r="B309" s="115" t="str">
        <f>'Paper Cleaning'!C99</f>
        <v>CASE</v>
      </c>
      <c r="C309" s="352">
        <v>0.9</v>
      </c>
      <c r="D309" s="352"/>
      <c r="E309" s="27"/>
      <c r="F309" s="201"/>
      <c r="G309" s="27">
        <f t="shared" si="15"/>
        <v>0.9</v>
      </c>
      <c r="H309" s="367">
        <f>'Supply Inventory '!D94</f>
        <v>0.7</v>
      </c>
    </row>
    <row r="310" spans="1:11" x14ac:dyDescent="0.25">
      <c r="A310" s="42" t="str">
        <f>'Paper Cleaning'!B100</f>
        <v>ESM Kids Toys</v>
      </c>
      <c r="B310" s="115" t="str">
        <f>'Paper Cleaning'!C100</f>
        <v>CASE</v>
      </c>
      <c r="C310" s="352"/>
      <c r="D310" s="352"/>
      <c r="E310" s="27"/>
      <c r="F310" s="201"/>
      <c r="G310" s="27">
        <f t="shared" si="15"/>
        <v>0</v>
      </c>
      <c r="H310" s="367">
        <f>'Supply Inventory '!D95</f>
        <v>0.3</v>
      </c>
    </row>
    <row r="311" spans="1:11" x14ac:dyDescent="0.25">
      <c r="A311" s="42" t="str">
        <f>'Paper Cleaning'!B101</f>
        <v>ESM Wet Naps</v>
      </c>
      <c r="B311" s="115" t="str">
        <f>'Paper Cleaning'!C101</f>
        <v>CASE</v>
      </c>
      <c r="C311" s="352"/>
      <c r="D311" s="352"/>
      <c r="E311" s="27"/>
      <c r="F311" s="201"/>
      <c r="G311" s="27">
        <f t="shared" si="15"/>
        <v>0</v>
      </c>
      <c r="H311" s="367">
        <f>'Supply Inventory '!D96</f>
        <v>1.3</v>
      </c>
    </row>
    <row r="312" spans="1:11" x14ac:dyDescent="0.25">
      <c r="A312" s="42">
        <f>'Paper Cleaning'!B102</f>
        <v>0</v>
      </c>
      <c r="B312" s="115">
        <f>'Paper Cleaning'!C102</f>
        <v>0</v>
      </c>
      <c r="C312" s="182"/>
      <c r="D312" s="352"/>
      <c r="E312" s="27"/>
      <c r="F312" s="201"/>
      <c r="G312" s="27">
        <f t="shared" si="15"/>
        <v>0</v>
      </c>
      <c r="H312" s="367">
        <f>'Supply Inventory '!D97</f>
        <v>0</v>
      </c>
    </row>
    <row r="313" spans="1:11" x14ac:dyDescent="0.25">
      <c r="A313" s="79" t="s">
        <v>276</v>
      </c>
      <c r="B313" s="80"/>
      <c r="C313" s="183"/>
      <c r="D313" s="183"/>
      <c r="E313" s="81"/>
      <c r="F313" s="202"/>
      <c r="G313" s="81"/>
      <c r="H313" s="369"/>
      <c r="K313" s="367"/>
    </row>
    <row r="314" spans="1:11" x14ac:dyDescent="0.25">
      <c r="A314" s="42" t="str">
        <f>'Paper Cleaning'!B106</f>
        <v>Dishwasher RINSE</v>
      </c>
      <c r="B314" s="115" t="str">
        <f>'Paper Cleaning'!C106</f>
        <v>pail</v>
      </c>
      <c r="C314" s="352">
        <v>2.7</v>
      </c>
      <c r="D314" s="182"/>
      <c r="E314" s="27"/>
      <c r="F314" s="201"/>
      <c r="G314" s="27">
        <f>SUM(C314:F314)</f>
        <v>2.7</v>
      </c>
      <c r="H314" s="367">
        <f>'Supply Inventory '!D99</f>
        <v>0</v>
      </c>
    </row>
    <row r="315" spans="1:11" x14ac:dyDescent="0.25">
      <c r="A315" s="42" t="str">
        <f>'Paper Cleaning'!B107</f>
        <v>Dishwasher DETERGENT</v>
      </c>
      <c r="B315" s="115" t="str">
        <f>'Paper Cleaning'!C107</f>
        <v>pail</v>
      </c>
      <c r="C315" s="352">
        <v>2.1</v>
      </c>
      <c r="D315" s="182"/>
      <c r="E315" s="27"/>
      <c r="F315" s="201"/>
      <c r="G315" s="27">
        <f>SUM(C315:F315)</f>
        <v>2.1</v>
      </c>
      <c r="H315" s="367">
        <f>'Supply Inventory '!D100</f>
        <v>0</v>
      </c>
    </row>
    <row r="316" spans="1:11" x14ac:dyDescent="0.25">
      <c r="A316" s="42" t="str">
        <f>'Paper Cleaning'!B108</f>
        <v>Dishwasher SANITIZER</v>
      </c>
      <c r="B316" s="115" t="str">
        <f>'Paper Cleaning'!C108</f>
        <v>pail</v>
      </c>
      <c r="C316" s="352">
        <v>0.9</v>
      </c>
      <c r="D316" s="182">
        <v>0.5</v>
      </c>
      <c r="E316" s="27"/>
      <c r="F316" s="201"/>
      <c r="G316" s="27">
        <f>SUM(C316:F316)</f>
        <v>1.4</v>
      </c>
      <c r="H316" s="367">
        <f>'Supply Inventory '!D101</f>
        <v>1.8</v>
      </c>
    </row>
    <row r="317" spans="1:11" x14ac:dyDescent="0.25">
      <c r="A317" s="42" t="str">
        <f>'Paper Cleaning'!B109</f>
        <v>Random Crap</v>
      </c>
      <c r="B317" s="115" t="str">
        <f>'Paper Cleaning'!C109</f>
        <v>pail</v>
      </c>
      <c r="C317" s="352"/>
      <c r="D317" s="182"/>
      <c r="E317" s="27"/>
      <c r="F317" s="201"/>
      <c r="G317" s="27">
        <f>SUM(C317:F317)</f>
        <v>0</v>
      </c>
      <c r="H317" s="367">
        <f>'Supply Inventory '!D102</f>
        <v>1.87</v>
      </c>
    </row>
    <row r="318" spans="1:11" x14ac:dyDescent="0.25">
      <c r="A318" s="42">
        <f>'Paper Cleaning'!B110</f>
        <v>0</v>
      </c>
      <c r="B318" s="115">
        <f>'Paper Cleaning'!C110</f>
        <v>0</v>
      </c>
      <c r="C318" s="182"/>
      <c r="D318" s="182"/>
      <c r="E318" s="27"/>
      <c r="F318" s="201"/>
      <c r="G318" s="2"/>
      <c r="H318" s="370"/>
    </row>
    <row r="319" spans="1:11" x14ac:dyDescent="0.25">
      <c r="A319" s="42">
        <f>'Paper Cleaning'!B111</f>
        <v>0</v>
      </c>
      <c r="B319" s="115">
        <f>'Paper Cleaning'!C111</f>
        <v>0</v>
      </c>
      <c r="C319" s="182"/>
      <c r="D319" s="182"/>
      <c r="E319" s="27"/>
      <c r="F319" s="201"/>
      <c r="G319" s="2"/>
      <c r="H319" s="370"/>
    </row>
    <row r="320" spans="1:11" ht="15.75" customHeight="1" x14ac:dyDescent="0.25">
      <c r="A320" s="203" t="s">
        <v>438</v>
      </c>
      <c r="B320" s="206" t="s">
        <v>26</v>
      </c>
      <c r="C320" s="182"/>
      <c r="D320" s="182"/>
      <c r="E320" s="200"/>
      <c r="F320" s="207"/>
      <c r="G320" s="2"/>
      <c r="H320" s="370"/>
    </row>
    <row r="321" spans="1:8" ht="15.75" customHeight="1" x14ac:dyDescent="0.25">
      <c r="A321" s="188" t="s">
        <v>439</v>
      </c>
      <c r="B321" s="204" t="s">
        <v>26</v>
      </c>
      <c r="C321" s="205"/>
      <c r="D321" s="182"/>
      <c r="E321" s="200"/>
      <c r="F321" s="207"/>
      <c r="G321" s="2"/>
      <c r="H321" s="370"/>
    </row>
    <row r="322" spans="1:8" ht="15.75" customHeight="1" x14ac:dyDescent="0.25">
      <c r="A322" s="188" t="s">
        <v>440</v>
      </c>
      <c r="B322" s="189" t="s">
        <v>26</v>
      </c>
      <c r="C322" s="182"/>
      <c r="D322" s="182"/>
      <c r="E322" s="200"/>
      <c r="F322" s="207"/>
      <c r="G322" s="2"/>
      <c r="H322" s="370"/>
    </row>
  </sheetData>
  <phoneticPr fontId="15" type="noConversion"/>
  <printOptions horizontalCentered="1"/>
  <pageMargins left="0" right="0" top="0.98425196850393704" bottom="0" header="0" footer="0"/>
  <pageSetup scale="49" orientation="portrait" r:id="rId1"/>
  <headerFooter alignWithMargins="0"/>
  <rowBreaks count="3" manualBreakCount="3">
    <brk id="89" max="7" man="1"/>
    <brk id="179" max="7" man="1"/>
    <brk id="276" max="7" man="1"/>
  </rowBreaks>
  <colBreaks count="1" manualBreakCount="1">
    <brk id="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13E5-595B-4537-BAE6-21C2C4FEF6CD}">
  <sheetPr codeName="Sheet11">
    <pageSetUpPr fitToPage="1"/>
  </sheetPr>
  <dimension ref="B1:T143"/>
  <sheetViews>
    <sheetView showGridLines="0" view="pageBreakPreview" topLeftCell="B1" zoomScaleNormal="100" zoomScaleSheetLayoutView="100" workbookViewId="0">
      <pane ySplit="2" topLeftCell="A3" activePane="bottomLeft" state="frozen"/>
      <selection activeCell="E52" sqref="E52"/>
      <selection pane="bottomLeft" activeCell="M4" sqref="M4:M112"/>
    </sheetView>
  </sheetViews>
  <sheetFormatPr defaultColWidth="7.140625" defaultRowHeight="12.75" customHeight="1" x14ac:dyDescent="0.2"/>
  <cols>
    <col min="1" max="1" width="34.5703125" style="83" customWidth="1"/>
    <col min="2" max="2" width="22.85546875" style="83" customWidth="1"/>
    <col min="3" max="3" width="5.5703125" style="84" customWidth="1"/>
    <col min="4" max="4" width="11.5703125" style="83" customWidth="1"/>
    <col min="5" max="6" width="8.5703125" style="216" customWidth="1"/>
    <col min="7" max="8" width="8.7109375" style="216" customWidth="1"/>
    <col min="9" max="9" width="8.42578125" style="84" customWidth="1"/>
    <col min="10" max="10" width="8" style="83" customWidth="1"/>
    <col min="11" max="12" width="9" style="83" customWidth="1"/>
    <col min="13" max="14" width="10.140625" style="223" customWidth="1"/>
    <col min="15" max="16" width="9.28515625" style="223" customWidth="1"/>
    <col min="17" max="17" width="10.42578125" style="223" customWidth="1"/>
    <col min="18" max="18" width="10.5703125" style="83" customWidth="1"/>
    <col min="19" max="19" width="8.7109375" style="83" customWidth="1"/>
    <col min="20" max="20" width="9.7109375" style="83" customWidth="1"/>
    <col min="21" max="22" width="5.42578125" style="83" customWidth="1"/>
    <col min="23" max="30" width="7.28515625" style="83" customWidth="1"/>
    <col min="31" max="16384" width="7.140625" style="83"/>
  </cols>
  <sheetData>
    <row r="1" spans="2:20" ht="12.75" customHeight="1" x14ac:dyDescent="0.25">
      <c r="B1" s="823" t="s">
        <v>131</v>
      </c>
      <c r="C1" s="825" t="s">
        <v>132</v>
      </c>
      <c r="D1" s="45" t="s">
        <v>124</v>
      </c>
      <c r="E1" s="827" t="s">
        <v>125</v>
      </c>
      <c r="F1" s="827" t="s">
        <v>130</v>
      </c>
      <c r="G1" s="831" t="s">
        <v>457</v>
      </c>
      <c r="H1" s="831" t="s">
        <v>510</v>
      </c>
      <c r="I1" s="45" t="s">
        <v>126</v>
      </c>
      <c r="J1" s="45" t="s">
        <v>127</v>
      </c>
      <c r="K1" s="45" t="s">
        <v>128</v>
      </c>
      <c r="L1" s="821" t="s">
        <v>456</v>
      </c>
      <c r="M1" s="819" t="s">
        <v>115</v>
      </c>
      <c r="N1" s="371" t="s">
        <v>513</v>
      </c>
      <c r="O1" s="829" t="s">
        <v>454</v>
      </c>
      <c r="P1" s="829" t="s">
        <v>455</v>
      </c>
      <c r="Q1" s="829" t="s">
        <v>130</v>
      </c>
      <c r="R1" s="307" t="s">
        <v>127</v>
      </c>
    </row>
    <row r="2" spans="2:20" ht="15.75" thickBot="1" x14ac:dyDescent="0.3">
      <c r="B2" s="824"/>
      <c r="C2" s="826"/>
      <c r="D2" s="46" t="s">
        <v>133</v>
      </c>
      <c r="E2" s="828"/>
      <c r="F2" s="828"/>
      <c r="G2" s="832"/>
      <c r="H2" s="832"/>
      <c r="I2" s="46" t="s">
        <v>134</v>
      </c>
      <c r="J2" s="46" t="s">
        <v>135</v>
      </c>
      <c r="K2" s="46" t="s">
        <v>129</v>
      </c>
      <c r="L2" s="822"/>
      <c r="M2" s="820"/>
      <c r="N2" s="372"/>
      <c r="O2" s="830"/>
      <c r="P2" s="830"/>
      <c r="Q2" s="830"/>
      <c r="R2" s="308" t="s">
        <v>429</v>
      </c>
    </row>
    <row r="3" spans="2:20" ht="21.75" thickBot="1" x14ac:dyDescent="0.3">
      <c r="B3" s="100" t="s">
        <v>272</v>
      </c>
      <c r="C3" s="101"/>
      <c r="D3" s="288"/>
      <c r="E3" s="289"/>
      <c r="F3" s="289"/>
      <c r="G3" s="211"/>
      <c r="H3" s="211"/>
      <c r="I3" s="45"/>
      <c r="J3" s="45"/>
      <c r="K3" s="45"/>
      <c r="L3" s="288"/>
      <c r="M3" s="217"/>
      <c r="N3" s="217"/>
      <c r="O3" s="217"/>
      <c r="P3" s="217"/>
      <c r="Q3" s="217"/>
      <c r="R3" s="307"/>
    </row>
    <row r="4" spans="2:20" ht="15.75" customHeight="1" thickBot="1" x14ac:dyDescent="0.3">
      <c r="B4" s="111" t="s">
        <v>298</v>
      </c>
      <c r="C4" s="105" t="s">
        <v>141</v>
      </c>
      <c r="D4" s="326">
        <v>17.399999999999999</v>
      </c>
      <c r="E4" s="250">
        <f>IFERROR(VLOOKUP("789772",#REF!,7,FALSE),0)*IFERROR(VLOOKUP("789772",#REF!,2,FALSE),0)</f>
        <v>0</v>
      </c>
      <c r="F4" s="250">
        <f>IFERROR(VLOOKUP("789772",#REF!,7,FALSE),0)*IFERROR(VLOOKUP("789772",#REF!,2,FALSE),0)</f>
        <v>0</v>
      </c>
      <c r="G4" s="336">
        <f>SUM(E4:F4)</f>
        <v>0</v>
      </c>
      <c r="H4" s="212"/>
      <c r="I4" s="303">
        <f>D4+G4+H4</f>
        <v>17.399999999999999</v>
      </c>
      <c r="J4" s="304">
        <f>'INVENTORY INPUT'!G225</f>
        <v>10.799999999999999</v>
      </c>
      <c r="K4" s="290">
        <f t="shared" ref="K4:K33" si="0">(I4-J4)</f>
        <v>6.6</v>
      </c>
      <c r="L4" s="317">
        <f t="shared" ref="L4:L28" si="1">IFERROR(Q4/G4,0)</f>
        <v>0</v>
      </c>
      <c r="M4" s="218">
        <v>6.62</v>
      </c>
      <c r="N4" s="313">
        <f>IF(L4=0,M4,(Q4/H4))</f>
        <v>6.62</v>
      </c>
      <c r="O4" s="313">
        <f>IFERROR(VLOOKUP("789772",#REF!,10,FALSE),0)</f>
        <v>0</v>
      </c>
      <c r="P4" s="313">
        <f>IFERROR(VLOOKUP("789772",#REF!,10,FALSE),0)</f>
        <v>0</v>
      </c>
      <c r="Q4" s="313">
        <f t="shared" ref="Q4:Q35" si="2">IF(G4,(SUM(O4:P4)),(H4*M4))</f>
        <v>0</v>
      </c>
      <c r="R4" s="309">
        <f t="shared" ref="R4:R35" si="3">IF(L4,(L4*J4),(M4*J4))</f>
        <v>71.495999999999995</v>
      </c>
    </row>
    <row r="5" spans="2:20" ht="15.75" customHeight="1" thickBot="1" x14ac:dyDescent="0.3">
      <c r="B5" s="103" t="s">
        <v>299</v>
      </c>
      <c r="C5" s="106" t="s">
        <v>141</v>
      </c>
      <c r="D5" s="327">
        <v>13.53</v>
      </c>
      <c r="E5" s="250">
        <f>IFERROR(VLOOKUP("100139",#REF!,7,FALSE),0)*IFERROR(VLOOKUP("100139",#REF!,2,FALSE),0)</f>
        <v>0</v>
      </c>
      <c r="F5" s="250">
        <f>IFERROR(VLOOKUP("100139",#REF!,7,FALSE),0)*IFERROR(VLOOKUP("100139",#REF!,2,FALSE),0)</f>
        <v>0</v>
      </c>
      <c r="G5" s="336">
        <f t="shared" ref="G5:G35" si="4">SUM(E5:F5)</f>
        <v>0</v>
      </c>
      <c r="H5" s="242"/>
      <c r="I5" s="303">
        <f t="shared" ref="I5:I35" si="5">D5+G5+H5</f>
        <v>13.53</v>
      </c>
      <c r="J5" s="304">
        <f>'INVENTORY INPUT'!G226</f>
        <v>12.6</v>
      </c>
      <c r="K5" s="290">
        <f t="shared" si="0"/>
        <v>0.92999999999999972</v>
      </c>
      <c r="L5" s="317">
        <f t="shared" si="1"/>
        <v>0</v>
      </c>
      <c r="M5" s="219">
        <v>4.6399999999999997</v>
      </c>
      <c r="N5" s="313">
        <f t="shared" ref="N5:N35" si="6">IF(L5=0,M5,(Q5/H5))</f>
        <v>4.6399999999999997</v>
      </c>
      <c r="O5" s="313">
        <f>IFERROR(VLOOKUP("100139",#REF!,10,FALSE),0)</f>
        <v>0</v>
      </c>
      <c r="P5" s="313">
        <f>IFERROR(VLOOKUP("100139",#REF!,10,FALSE),0)</f>
        <v>0</v>
      </c>
      <c r="Q5" s="313">
        <f t="shared" si="2"/>
        <v>0</v>
      </c>
      <c r="R5" s="309">
        <f t="shared" si="3"/>
        <v>58.463999999999992</v>
      </c>
    </row>
    <row r="6" spans="2:20" ht="15.75" customHeight="1" thickBot="1" x14ac:dyDescent="0.3">
      <c r="B6" s="103" t="s">
        <v>300</v>
      </c>
      <c r="C6" s="114" t="s">
        <v>141</v>
      </c>
      <c r="D6" s="328">
        <v>23</v>
      </c>
      <c r="E6" s="250">
        <f>IFERROR(VLOOKUP("717510",#REF!,7,FALSE),0)*IFERROR(VLOOKUP("717510",#REF!,2,FALSE),0)</f>
        <v>0</v>
      </c>
      <c r="F6" s="250">
        <f>IFERROR(VLOOKUP("717510",#REF!,7,FALSE),0)*IFERROR(VLOOKUP("717510",#REF!,2,FALSE),0)</f>
        <v>0</v>
      </c>
      <c r="G6" s="336">
        <f t="shared" si="4"/>
        <v>0</v>
      </c>
      <c r="H6" s="242"/>
      <c r="I6" s="303">
        <f t="shared" si="5"/>
        <v>23</v>
      </c>
      <c r="J6" s="304">
        <f>'INVENTORY INPUT'!G227</f>
        <v>4.5999999999999996</v>
      </c>
      <c r="K6" s="290">
        <f t="shared" si="0"/>
        <v>18.399999999999999</v>
      </c>
      <c r="L6" s="317">
        <f t="shared" si="1"/>
        <v>0</v>
      </c>
      <c r="M6" s="219">
        <v>5.98</v>
      </c>
      <c r="N6" s="313">
        <f t="shared" si="6"/>
        <v>5.98</v>
      </c>
      <c r="O6" s="313">
        <f>IFERROR(VLOOKUP("717510",#REF!,10,FALSE),0)</f>
        <v>0</v>
      </c>
      <c r="P6" s="313">
        <f>IFERROR(VLOOKUP("717510",#REF!,10,FALSE),0)</f>
        <v>0</v>
      </c>
      <c r="Q6" s="313">
        <f t="shared" si="2"/>
        <v>0</v>
      </c>
      <c r="R6" s="309">
        <f t="shared" si="3"/>
        <v>27.507999999999999</v>
      </c>
    </row>
    <row r="7" spans="2:20" ht="15.75" customHeight="1" thickBot="1" x14ac:dyDescent="0.3">
      <c r="B7" s="103" t="s">
        <v>304</v>
      </c>
      <c r="C7" s="106" t="s">
        <v>141</v>
      </c>
      <c r="D7" s="327">
        <v>7.5</v>
      </c>
      <c r="E7" s="250">
        <f>IFERROR(VLOOKUP("119630",#REF!,7,FALSE),0)*IFERROR(VLOOKUP("119630",#REF!,2,FALSE),0)</f>
        <v>0</v>
      </c>
      <c r="F7" s="250">
        <f>IFERROR(VLOOKUP("119630",#REF!,7,FALSE),0)*IFERROR(VLOOKUP("119630",#REF!,2,FALSE),0)</f>
        <v>0</v>
      </c>
      <c r="G7" s="336">
        <f t="shared" si="4"/>
        <v>0</v>
      </c>
      <c r="H7" s="242"/>
      <c r="I7" s="303">
        <f t="shared" si="5"/>
        <v>7.5</v>
      </c>
      <c r="J7" s="304">
        <f>'INVENTORY INPUT'!G228</f>
        <v>3.7</v>
      </c>
      <c r="K7" s="290">
        <f t="shared" si="0"/>
        <v>3.8</v>
      </c>
      <c r="L7" s="317">
        <f t="shared" si="1"/>
        <v>0</v>
      </c>
      <c r="M7" s="219">
        <v>5.0999999999999996</v>
      </c>
      <c r="N7" s="313">
        <f t="shared" si="6"/>
        <v>5.0999999999999996</v>
      </c>
      <c r="O7" s="313">
        <f>IFERROR(VLOOKUP("119630",#REF!,10,FALSE),0)</f>
        <v>0</v>
      </c>
      <c r="P7" s="313">
        <f>IFERROR(VLOOKUP("119630",#REF!,10,FALSE),0)</f>
        <v>0</v>
      </c>
      <c r="Q7" s="313">
        <f t="shared" si="2"/>
        <v>0</v>
      </c>
      <c r="R7" s="309">
        <f t="shared" si="3"/>
        <v>18.87</v>
      </c>
      <c r="T7" s="313"/>
    </row>
    <row r="8" spans="2:20" ht="15.75" customHeight="1" thickBot="1" x14ac:dyDescent="0.3">
      <c r="B8" s="103" t="s">
        <v>8</v>
      </c>
      <c r="C8" s="106" t="s">
        <v>168</v>
      </c>
      <c r="D8" s="329">
        <v>1.1000000000000001</v>
      </c>
      <c r="E8" s="250">
        <f>IFERROR(VLOOKUP("750472",#REF!,7,FALSE),0)*IFERROR(VLOOKUP("750472",#REF!,2,FALSE),0)/10</f>
        <v>0</v>
      </c>
      <c r="F8" s="250">
        <f>IFERROR(VLOOKUP("750472",#REF!,7,FALSE),0)*IFERROR(VLOOKUP("750472",#REF!,2,FALSE),0)/10</f>
        <v>0</v>
      </c>
      <c r="G8" s="336">
        <f t="shared" si="4"/>
        <v>0</v>
      </c>
      <c r="H8" s="242"/>
      <c r="I8" s="303">
        <f t="shared" si="5"/>
        <v>1.1000000000000001</v>
      </c>
      <c r="J8" s="304">
        <f>'INVENTORY INPUT'!G229</f>
        <v>24</v>
      </c>
      <c r="K8" s="290">
        <f t="shared" si="0"/>
        <v>-22.9</v>
      </c>
      <c r="L8" s="317">
        <f t="shared" si="1"/>
        <v>0</v>
      </c>
      <c r="M8" s="219">
        <v>43.31</v>
      </c>
      <c r="N8" s="313">
        <f t="shared" si="6"/>
        <v>43.31</v>
      </c>
      <c r="O8" s="313">
        <f>IFERROR(VLOOKUP("750472",#REF!,10,FALSE),0)</f>
        <v>0</v>
      </c>
      <c r="P8" s="313">
        <f>IFERROR(VLOOKUP("750472",#REF!,10,FALSE),0)</f>
        <v>0</v>
      </c>
      <c r="Q8" s="313">
        <f t="shared" si="2"/>
        <v>0</v>
      </c>
      <c r="R8" s="309">
        <f t="shared" si="3"/>
        <v>1039.44</v>
      </c>
      <c r="T8" s="351"/>
    </row>
    <row r="9" spans="2:20" ht="15.75" customHeight="1" thickBot="1" x14ac:dyDescent="0.3">
      <c r="B9" s="103" t="s">
        <v>501</v>
      </c>
      <c r="C9" s="106" t="s">
        <v>168</v>
      </c>
      <c r="D9" s="329">
        <v>0.95</v>
      </c>
      <c r="E9" s="250">
        <f>IFERROR(VLOOKUP("112616",#REF!,7,FALSE),0)*IFERROR(VLOOKUP("112616",#REF!,2,FALSE),0)/50</f>
        <v>0</v>
      </c>
      <c r="F9" s="250">
        <f>IFERROR(VLOOKUP("112616",#REF!,7,FALSE),0)*IFERROR(VLOOKUP("112616",#REF!,2,FALSE),0)/50</f>
        <v>0</v>
      </c>
      <c r="G9" s="336">
        <f t="shared" si="4"/>
        <v>0</v>
      </c>
      <c r="H9" s="242"/>
      <c r="I9" s="303">
        <f t="shared" si="5"/>
        <v>0.95</v>
      </c>
      <c r="J9" s="304" t="e">
        <f>'INVENTORY INPUT'!#REF!</f>
        <v>#REF!</v>
      </c>
      <c r="K9" s="290" t="e">
        <f t="shared" si="0"/>
        <v>#REF!</v>
      </c>
      <c r="L9" s="317">
        <f t="shared" si="1"/>
        <v>0</v>
      </c>
      <c r="M9" s="219">
        <v>49.7</v>
      </c>
      <c r="N9" s="313">
        <f t="shared" si="6"/>
        <v>49.7</v>
      </c>
      <c r="O9" s="313">
        <f>IFERROR(VLOOKUP("112616",#REF!,10,FALSE),0)</f>
        <v>0</v>
      </c>
      <c r="P9" s="313">
        <f>IFERROR(VLOOKUP("112616",#REF!,10,FALSE),0)</f>
        <v>0</v>
      </c>
      <c r="Q9" s="313">
        <f t="shared" si="2"/>
        <v>0</v>
      </c>
      <c r="R9" s="309" t="e">
        <f t="shared" si="3"/>
        <v>#REF!</v>
      </c>
      <c r="T9" s="351"/>
    </row>
    <row r="10" spans="2:20" ht="15.75" customHeight="1" thickBot="1" x14ac:dyDescent="0.3">
      <c r="B10" s="103" t="s">
        <v>500</v>
      </c>
      <c r="C10" s="106" t="s">
        <v>168</v>
      </c>
      <c r="D10" s="329">
        <v>0.45</v>
      </c>
      <c r="E10" s="250">
        <f>IFERROR(VLOOKUP("112617",#REF!,7,FALSE),0)*IFERROR(VLOOKUP("112617",#REF!,2,FALSE),0)/20</f>
        <v>0</v>
      </c>
      <c r="F10" s="250">
        <f>IFERROR(VLOOKUP("112617",#REF!,7,FALSE),0)*IFERROR(VLOOKUP("112617",#REF!,2,FALSE),0)/20</f>
        <v>0</v>
      </c>
      <c r="G10" s="336">
        <f t="shared" si="4"/>
        <v>0</v>
      </c>
      <c r="H10" s="242"/>
      <c r="I10" s="303">
        <f t="shared" si="5"/>
        <v>0.45</v>
      </c>
      <c r="J10" s="304" t="e">
        <f>'INVENTORY INPUT'!#REF!</f>
        <v>#REF!</v>
      </c>
      <c r="K10" s="290" t="e">
        <f t="shared" si="0"/>
        <v>#REF!</v>
      </c>
      <c r="L10" s="317">
        <f t="shared" si="1"/>
        <v>0</v>
      </c>
      <c r="M10" s="219">
        <v>36.9</v>
      </c>
      <c r="N10" s="313">
        <f t="shared" si="6"/>
        <v>36.9</v>
      </c>
      <c r="O10" s="313">
        <f>IFERROR(VLOOKUP("112617",#REF!,10,FALSE),0)</f>
        <v>0</v>
      </c>
      <c r="P10" s="313">
        <f>IFERROR(VLOOKUP("112617",#REF!,10,FALSE),0)</f>
        <v>0</v>
      </c>
      <c r="Q10" s="313">
        <f t="shared" si="2"/>
        <v>0</v>
      </c>
      <c r="R10" s="309" t="e">
        <f t="shared" si="3"/>
        <v>#REF!</v>
      </c>
      <c r="T10" s="351"/>
    </row>
    <row r="11" spans="2:20" ht="15.75" customHeight="1" thickBot="1" x14ac:dyDescent="0.3">
      <c r="B11" s="103" t="s">
        <v>400</v>
      </c>
      <c r="C11" s="106" t="s">
        <v>190</v>
      </c>
      <c r="D11" s="327">
        <v>9.5</v>
      </c>
      <c r="E11" s="250">
        <f>IFERROR(VLOOKUP("119194",#REF!,7,FALSE),0)*IFERROR(VLOOKUP("119194",#REF!,2,FALSE),0)</f>
        <v>0</v>
      </c>
      <c r="F11" s="250">
        <f>IFERROR(VLOOKUP("119194",#REF!,7,FALSE),0)*IFERROR(VLOOKUP("119194",#REF!,2,FALSE),0)/1500</f>
        <v>0</v>
      </c>
      <c r="G11" s="336">
        <f t="shared" si="4"/>
        <v>0</v>
      </c>
      <c r="H11" s="242"/>
      <c r="I11" s="303">
        <f t="shared" si="5"/>
        <v>9.5</v>
      </c>
      <c r="J11" s="304">
        <f>'INVENTORY INPUT'!G230</f>
        <v>17.399999999999999</v>
      </c>
      <c r="K11" s="290">
        <f t="shared" si="0"/>
        <v>-7.8999999999999986</v>
      </c>
      <c r="L11" s="317">
        <f t="shared" si="1"/>
        <v>0</v>
      </c>
      <c r="M11" s="219">
        <v>8.24</v>
      </c>
      <c r="N11" s="313">
        <f t="shared" si="6"/>
        <v>8.24</v>
      </c>
      <c r="O11" s="313">
        <f>IFERROR(VLOOKUP("119194",#REF!,10,FALSE),0)</f>
        <v>0</v>
      </c>
      <c r="P11" s="313">
        <f>IFERROR(VLOOKUP("119194",#REF!,10,FALSE),0)</f>
        <v>0</v>
      </c>
      <c r="Q11" s="313">
        <f t="shared" si="2"/>
        <v>0</v>
      </c>
      <c r="R11" s="309">
        <f t="shared" si="3"/>
        <v>143.376</v>
      </c>
      <c r="T11" s="351"/>
    </row>
    <row r="12" spans="2:20" ht="15.75" customHeight="1" thickBot="1" x14ac:dyDescent="0.3">
      <c r="B12" s="102" t="s">
        <v>401</v>
      </c>
      <c r="C12" s="106" t="s">
        <v>190</v>
      </c>
      <c r="D12" s="327">
        <v>5</v>
      </c>
      <c r="E12" s="250">
        <f>IFERROR(VLOOKUP("118209",#REF!,7,FALSE),0)*IFERROR(VLOOKUP("118209",#REF!,2,FALSE),0)</f>
        <v>0</v>
      </c>
      <c r="F12" s="250">
        <f>IFERROR(VLOOKUP("118209",#REF!,7,FALSE),0)*IFERROR(VLOOKUP("118209",#REF!,2,FALSE),0)</f>
        <v>0</v>
      </c>
      <c r="G12" s="336">
        <f t="shared" si="4"/>
        <v>0</v>
      </c>
      <c r="H12" s="242"/>
      <c r="I12" s="303">
        <f t="shared" si="5"/>
        <v>5</v>
      </c>
      <c r="J12" s="304">
        <f>'INVENTORY INPUT'!G231</f>
        <v>8.5</v>
      </c>
      <c r="K12" s="290">
        <f t="shared" si="0"/>
        <v>-3.5</v>
      </c>
      <c r="L12" s="317">
        <f t="shared" si="1"/>
        <v>0</v>
      </c>
      <c r="M12" s="219">
        <v>9.5500000000000007</v>
      </c>
      <c r="N12" s="313">
        <f t="shared" si="6"/>
        <v>9.5500000000000007</v>
      </c>
      <c r="O12" s="313">
        <f>IFERROR(VLOOKUP("118209",#REF!,10,FALSE),0)</f>
        <v>0</v>
      </c>
      <c r="P12" s="313">
        <f>IFERROR(VLOOKUP("118209",#REF!,10,FALSE),0)</f>
        <v>0</v>
      </c>
      <c r="Q12" s="313">
        <f t="shared" si="2"/>
        <v>0</v>
      </c>
      <c r="R12" s="309">
        <f t="shared" si="3"/>
        <v>81.175000000000011</v>
      </c>
      <c r="T12" s="351"/>
    </row>
    <row r="13" spans="2:20" ht="15.75" customHeight="1" thickBot="1" x14ac:dyDescent="0.3">
      <c r="B13" s="103" t="s">
        <v>532</v>
      </c>
      <c r="C13" s="106" t="s">
        <v>190</v>
      </c>
      <c r="D13" s="327">
        <v>7</v>
      </c>
      <c r="E13" s="250">
        <f>IFERROR(VLOOKUP("113554",#REF!,7,FALSE),0)*IFERROR(VLOOKUP("113554",#REF!,2,FALSE),0)</f>
        <v>0</v>
      </c>
      <c r="F13" s="250">
        <f>IFERROR(VLOOKUP("113554",#REF!,7,FALSE),0)*IFERROR(VLOOKUP("113554",#REF!,2,FALSE),0)</f>
        <v>0</v>
      </c>
      <c r="G13" s="336">
        <f t="shared" si="4"/>
        <v>0</v>
      </c>
      <c r="H13" s="242"/>
      <c r="I13" s="303">
        <f t="shared" si="5"/>
        <v>7</v>
      </c>
      <c r="J13" s="304">
        <f>'INVENTORY INPUT'!G232</f>
        <v>5.8</v>
      </c>
      <c r="K13" s="290">
        <f t="shared" si="0"/>
        <v>1.2000000000000002</v>
      </c>
      <c r="L13" s="317">
        <f t="shared" si="1"/>
        <v>0</v>
      </c>
      <c r="M13" s="219">
        <v>1.48</v>
      </c>
      <c r="N13" s="313">
        <f t="shared" si="6"/>
        <v>1.48</v>
      </c>
      <c r="O13" s="313">
        <f>IFERROR(VLOOKUP("113554",#REF!,10,FALSE),0)</f>
        <v>0</v>
      </c>
      <c r="P13" s="313">
        <f>IFERROR(VLOOKUP("113554",#REF!,10,FALSE),0)</f>
        <v>0</v>
      </c>
      <c r="Q13" s="313">
        <f t="shared" si="2"/>
        <v>0</v>
      </c>
      <c r="R13" s="309">
        <f t="shared" si="3"/>
        <v>8.5839999999999996</v>
      </c>
      <c r="T13" s="351"/>
    </row>
    <row r="14" spans="2:20" ht="15.75" customHeight="1" thickBot="1" x14ac:dyDescent="0.3">
      <c r="B14" s="103" t="s">
        <v>402</v>
      </c>
      <c r="C14" s="106" t="s">
        <v>175</v>
      </c>
      <c r="D14" s="327">
        <v>1.6</v>
      </c>
      <c r="E14" s="250">
        <f>IFERROR(VLOOKUP("107301",#REF!,7,FALSE),0)*IFERROR(VLOOKUP("107301",#REF!,2,FALSE),0)/1000</f>
        <v>0</v>
      </c>
      <c r="F14" s="250">
        <f>IFERROR(VLOOKUP("107301",#REF!,7,FALSE),0)*IFERROR(VLOOKUP("107301",#REF!,2,FALSE),0)/1000</f>
        <v>0</v>
      </c>
      <c r="G14" s="336">
        <f t="shared" si="4"/>
        <v>0</v>
      </c>
      <c r="H14" s="242"/>
      <c r="I14" s="303">
        <f t="shared" si="5"/>
        <v>1.6</v>
      </c>
      <c r="J14" s="304">
        <f>'INVENTORY INPUT'!G233</f>
        <v>13.8</v>
      </c>
      <c r="K14" s="290">
        <f t="shared" si="0"/>
        <v>-12.200000000000001</v>
      </c>
      <c r="L14" s="317">
        <f t="shared" si="1"/>
        <v>0</v>
      </c>
      <c r="M14" s="219">
        <v>34.979999999999997</v>
      </c>
      <c r="N14" s="313">
        <f t="shared" si="6"/>
        <v>34.979999999999997</v>
      </c>
      <c r="O14" s="313">
        <f>IFERROR(VLOOKUP("107301",#REF!,10,FALSE),0)</f>
        <v>0</v>
      </c>
      <c r="P14" s="313">
        <f>IFERROR(VLOOKUP("107301",#REF!,10,FALSE),0)</f>
        <v>0</v>
      </c>
      <c r="Q14" s="313">
        <f t="shared" si="2"/>
        <v>0</v>
      </c>
      <c r="R14" s="309">
        <f t="shared" si="3"/>
        <v>482.72399999999999</v>
      </c>
      <c r="T14" s="351"/>
    </row>
    <row r="15" spans="2:20" ht="15.75" customHeight="1" thickBot="1" x14ac:dyDescent="0.3">
      <c r="B15" s="102" t="s">
        <v>301</v>
      </c>
      <c r="C15" s="106" t="s">
        <v>190</v>
      </c>
      <c r="D15" s="327">
        <v>2.9</v>
      </c>
      <c r="E15" s="250">
        <f>IFERROR(VLOOKUP("123649",#REF!,7,FALSE),0)*IFERROR(VLOOKUP("123649",#REF!,2,FALSE),0)/1</f>
        <v>0</v>
      </c>
      <c r="F15" s="250">
        <f>IFERROR(VLOOKUP("123649",#REF!,7,FALSE),0)*IFERROR(VLOOKUP("123649",#REF!,2,FALSE),0)/1</f>
        <v>0</v>
      </c>
      <c r="G15" s="336">
        <f t="shared" si="4"/>
        <v>0</v>
      </c>
      <c r="H15" s="242"/>
      <c r="I15" s="303">
        <f t="shared" si="5"/>
        <v>2.9</v>
      </c>
      <c r="J15" s="304">
        <f>'INVENTORY INPUT'!G234</f>
        <v>2.6</v>
      </c>
      <c r="K15" s="290">
        <f t="shared" si="0"/>
        <v>0.29999999999999982</v>
      </c>
      <c r="L15" s="317">
        <f t="shared" si="1"/>
        <v>0</v>
      </c>
      <c r="M15" s="219">
        <v>19.510000000000002</v>
      </c>
      <c r="N15" s="313">
        <f t="shared" si="6"/>
        <v>19.510000000000002</v>
      </c>
      <c r="O15" s="313">
        <f>IFERROR(VLOOKUP("123649",#REF!,10,FALSE),0)</f>
        <v>0</v>
      </c>
      <c r="P15" s="313">
        <f>IFERROR(VLOOKUP("123649",#REF!,10,FALSE),0)</f>
        <v>0</v>
      </c>
      <c r="Q15" s="313">
        <f t="shared" si="2"/>
        <v>0</v>
      </c>
      <c r="R15" s="309">
        <f t="shared" si="3"/>
        <v>50.726000000000006</v>
      </c>
    </row>
    <row r="16" spans="2:20" ht="15.75" customHeight="1" thickBot="1" x14ac:dyDescent="0.3">
      <c r="B16" s="104" t="s">
        <v>302</v>
      </c>
      <c r="C16" s="106" t="s">
        <v>190</v>
      </c>
      <c r="D16" s="327">
        <v>1.1000000000000001</v>
      </c>
      <c r="E16" s="250">
        <f>IFERROR(VLOOKUP("102962",#REF!,7,FALSE),0)*IFERROR(VLOOKUP("102962",#REF!,2,FALSE),0)/1</f>
        <v>0</v>
      </c>
      <c r="F16" s="250">
        <f>IFERROR(VLOOKUP("102962",#REF!,7,FALSE),0)*IFERROR(VLOOKUP("102962",#REF!,2,FALSE),0)/1</f>
        <v>0</v>
      </c>
      <c r="G16" s="336">
        <f t="shared" si="4"/>
        <v>0</v>
      </c>
      <c r="H16" s="242"/>
      <c r="I16" s="303">
        <f t="shared" si="5"/>
        <v>1.1000000000000001</v>
      </c>
      <c r="J16" s="304">
        <f>'INVENTORY INPUT'!G235</f>
        <v>1.5</v>
      </c>
      <c r="K16" s="290">
        <f t="shared" si="0"/>
        <v>-0.39999999999999991</v>
      </c>
      <c r="L16" s="317">
        <f t="shared" si="1"/>
        <v>0</v>
      </c>
      <c r="M16" s="219">
        <v>23.64</v>
      </c>
      <c r="N16" s="313">
        <f t="shared" si="6"/>
        <v>23.64</v>
      </c>
      <c r="O16" s="313">
        <f>IFERROR(VLOOKUP("102962",#REF!,10,FALSE),0)</f>
        <v>0</v>
      </c>
      <c r="P16" s="313">
        <f>IFERROR(VLOOKUP("102962",#REF!,10,FALSE),0)</f>
        <v>0</v>
      </c>
      <c r="Q16" s="313">
        <v>33.97</v>
      </c>
      <c r="R16" s="309">
        <f t="shared" si="3"/>
        <v>35.46</v>
      </c>
    </row>
    <row r="17" spans="2:20" ht="15.75" customHeight="1" thickBot="1" x14ac:dyDescent="0.3">
      <c r="B17" s="102" t="s">
        <v>15</v>
      </c>
      <c r="C17" s="106" t="s">
        <v>190</v>
      </c>
      <c r="D17" s="327">
        <v>0.4</v>
      </c>
      <c r="E17" s="250">
        <f>IFERROR(VLOOKUP("755567",#REF!,7,FALSE),0)*IFERROR(VLOOKUP("755567",#REF!,2,FALSE),0)/24</f>
        <v>0</v>
      </c>
      <c r="F17" s="250">
        <f>IFERROR(VLOOKUP("755567",#REF!,7,FALSE),0)*IFERROR(VLOOKUP("755567",#REF!,2,FALSE),0)/24</f>
        <v>0</v>
      </c>
      <c r="G17" s="336">
        <f t="shared" si="4"/>
        <v>0</v>
      </c>
      <c r="H17" s="242"/>
      <c r="I17" s="303">
        <f t="shared" si="5"/>
        <v>0.4</v>
      </c>
      <c r="J17" s="304">
        <f>'INVENTORY INPUT'!G236</f>
        <v>34</v>
      </c>
      <c r="K17" s="290">
        <f t="shared" si="0"/>
        <v>-33.6</v>
      </c>
      <c r="L17" s="317">
        <f t="shared" si="1"/>
        <v>0</v>
      </c>
      <c r="M17" s="219">
        <v>21.87</v>
      </c>
      <c r="N17" s="313">
        <f t="shared" si="6"/>
        <v>21.87</v>
      </c>
      <c r="O17" s="313">
        <f>IFERROR(VLOOKUP("755567",#REF!,10,FALSE),0)</f>
        <v>0</v>
      </c>
      <c r="P17" s="313">
        <f>IFERROR(VLOOKUP("755567",#REF!,10,FALSE),0)</f>
        <v>0</v>
      </c>
      <c r="Q17" s="313">
        <f t="shared" si="2"/>
        <v>0</v>
      </c>
      <c r="R17" s="309">
        <f t="shared" si="3"/>
        <v>743.58</v>
      </c>
      <c r="T17" s="351"/>
    </row>
    <row r="18" spans="2:20" ht="15.75" customHeight="1" thickBot="1" x14ac:dyDescent="0.3">
      <c r="B18" s="102" t="s">
        <v>509</v>
      </c>
      <c r="C18" s="106" t="s">
        <v>190</v>
      </c>
      <c r="D18" s="327">
        <v>0.5</v>
      </c>
      <c r="E18" s="250">
        <f>IFERROR(VLOOKUP("114813",#REF!,7,FALSE),0)*IFERROR(VLOOKUP("114813",#REF!,2,FALSE),0)/1000</f>
        <v>0</v>
      </c>
      <c r="F18" s="250">
        <f>IFERROR(VLOOKUP("114813",#REF!,7,FALSE),0)*IFERROR(VLOOKUP("114813",#REF!,2,FALSE),0)/1000</f>
        <v>0</v>
      </c>
      <c r="G18" s="336">
        <f t="shared" si="4"/>
        <v>0</v>
      </c>
      <c r="H18" s="242"/>
      <c r="I18" s="303">
        <f t="shared" si="5"/>
        <v>0.5</v>
      </c>
      <c r="J18" s="304">
        <f>'INVENTORY INPUT'!G237</f>
        <v>0.4</v>
      </c>
      <c r="K18" s="290">
        <f t="shared" si="0"/>
        <v>9.9999999999999978E-2</v>
      </c>
      <c r="L18" s="317">
        <f t="shared" si="1"/>
        <v>0</v>
      </c>
      <c r="M18" s="219">
        <v>7.63</v>
      </c>
      <c r="N18" s="313">
        <f t="shared" si="6"/>
        <v>7.63</v>
      </c>
      <c r="O18" s="313">
        <f>IFERROR(VLOOKUP("114813",#REF!,10,FALSE),0)</f>
        <v>0</v>
      </c>
      <c r="P18" s="313">
        <f>IFERROR(VLOOKUP("114813",#REF!,10,FALSE),0)</f>
        <v>0</v>
      </c>
      <c r="Q18" s="313">
        <f>11*0.97</f>
        <v>10.67</v>
      </c>
      <c r="R18" s="309">
        <f t="shared" si="3"/>
        <v>3.052</v>
      </c>
    </row>
    <row r="19" spans="2:20" ht="15.75" customHeight="1" thickBot="1" x14ac:dyDescent="0.3">
      <c r="B19" s="112" t="s">
        <v>403</v>
      </c>
      <c r="C19" s="107" t="s">
        <v>190</v>
      </c>
      <c r="D19" s="330">
        <v>1.5</v>
      </c>
      <c r="E19" s="250">
        <f>IFERROR(VLOOKUP("119377",#REF!,7,FALSE),0)*IFERROR(VLOOKUP("119377",#REF!,2,FALSE),0)/1000</f>
        <v>0</v>
      </c>
      <c r="F19" s="250">
        <f>IFERROR(VLOOKUP("119377",#REF!,7,FALSE),0)*IFERROR(VLOOKUP("119377",#REF!,2,FALSE),0)/1000</f>
        <v>0</v>
      </c>
      <c r="G19" s="336">
        <f t="shared" si="4"/>
        <v>0</v>
      </c>
      <c r="H19" s="242"/>
      <c r="I19" s="303">
        <f t="shared" si="5"/>
        <v>1.5</v>
      </c>
      <c r="J19" s="304">
        <f>'INVENTORY INPUT'!G238</f>
        <v>0.75</v>
      </c>
      <c r="K19" s="290">
        <f t="shared" si="0"/>
        <v>0.75</v>
      </c>
      <c r="L19" s="317">
        <f t="shared" si="1"/>
        <v>0</v>
      </c>
      <c r="M19" s="220">
        <v>23.78</v>
      </c>
      <c r="N19" s="313">
        <f t="shared" si="6"/>
        <v>23.78</v>
      </c>
      <c r="O19" s="313">
        <f>IFERROR(VLOOKUP("119377",#REF!,10,FALSE),0)</f>
        <v>0</v>
      </c>
      <c r="P19" s="313">
        <f>IFERROR(VLOOKUP("119377",#REF!,10,FALSE),0)</f>
        <v>0</v>
      </c>
      <c r="Q19" s="313">
        <f t="shared" si="2"/>
        <v>0</v>
      </c>
      <c r="R19" s="309">
        <f t="shared" si="3"/>
        <v>17.835000000000001</v>
      </c>
      <c r="T19" s="351"/>
    </row>
    <row r="20" spans="2:20" ht="15.75" customHeight="1" thickBot="1" x14ac:dyDescent="0.3">
      <c r="B20" s="112" t="s">
        <v>303</v>
      </c>
      <c r="C20" s="107" t="s">
        <v>190</v>
      </c>
      <c r="D20" s="330">
        <v>1.33</v>
      </c>
      <c r="E20" s="250">
        <f>IFERROR(VLOOKUP("692989",#REF!,7,FALSE),0)*IFERROR(VLOOKUP("692989",#REF!,2,FALSE),0)/4</f>
        <v>0</v>
      </c>
      <c r="F20" s="250">
        <f>IFERROR(VLOOKUP("692989",#REF!,7,FALSE),0)*IFERROR(VLOOKUP("692989",#REF!,2,FALSE),0)/4</f>
        <v>0</v>
      </c>
      <c r="G20" s="336">
        <f t="shared" si="4"/>
        <v>0</v>
      </c>
      <c r="H20" s="242"/>
      <c r="I20" s="303">
        <f t="shared" si="5"/>
        <v>1.33</v>
      </c>
      <c r="J20" s="304">
        <f>'INVENTORY INPUT'!G239</f>
        <v>3.6</v>
      </c>
      <c r="K20" s="290">
        <f t="shared" si="0"/>
        <v>-2.27</v>
      </c>
      <c r="L20" s="317">
        <f t="shared" si="1"/>
        <v>0</v>
      </c>
      <c r="M20" s="220">
        <v>19.13</v>
      </c>
      <c r="N20" s="313">
        <f t="shared" si="6"/>
        <v>19.13</v>
      </c>
      <c r="O20" s="313">
        <f>IFERROR(VLOOKUP("692989",#REF!,10,FALSE),0)</f>
        <v>0</v>
      </c>
      <c r="P20" s="313">
        <f>IFERROR(VLOOKUP("692989",#REF!,10,FALSE),0)</f>
        <v>0</v>
      </c>
      <c r="Q20" s="313">
        <f t="shared" si="2"/>
        <v>0</v>
      </c>
      <c r="R20" s="309">
        <f t="shared" si="3"/>
        <v>68.867999999999995</v>
      </c>
    </row>
    <row r="21" spans="2:20" ht="15.75" customHeight="1" thickBot="1" x14ac:dyDescent="0.3">
      <c r="B21" s="102" t="s">
        <v>404</v>
      </c>
      <c r="C21" s="106" t="s">
        <v>190</v>
      </c>
      <c r="D21" s="327">
        <v>1.1000000000000001</v>
      </c>
      <c r="E21" s="250">
        <f>IFERROR(VLOOKUP("693401",#REF!,7,FALSE),0)*IFERROR(VLOOKUP("693401",#REF!,2,FALSE),0)/2000</f>
        <v>0</v>
      </c>
      <c r="F21" s="250">
        <f>IFERROR(VLOOKUP("693401",#REF!,7,FALSE),0)*IFERROR(VLOOKUP("693401",#REF!,2,FALSE),0)/2000</f>
        <v>0</v>
      </c>
      <c r="G21" s="336">
        <f t="shared" si="4"/>
        <v>0</v>
      </c>
      <c r="H21" s="242"/>
      <c r="I21" s="303">
        <f t="shared" si="5"/>
        <v>1.1000000000000001</v>
      </c>
      <c r="J21" s="304">
        <f>'INVENTORY INPUT'!G240</f>
        <v>1.9</v>
      </c>
      <c r="K21" s="290">
        <f t="shared" si="0"/>
        <v>-0.79999999999999982</v>
      </c>
      <c r="L21" s="317">
        <f t="shared" si="1"/>
        <v>0</v>
      </c>
      <c r="M21" s="219">
        <v>34.42</v>
      </c>
      <c r="N21" s="313">
        <f t="shared" si="6"/>
        <v>34.42</v>
      </c>
      <c r="O21" s="313">
        <f>IFERROR(VLOOKUP("693401",#REF!,10,FALSE),0)</f>
        <v>0</v>
      </c>
      <c r="P21" s="313">
        <f>IFERROR(VLOOKUP("693401",#REF!,10,FALSE),0)</f>
        <v>0</v>
      </c>
      <c r="Q21" s="313">
        <f t="shared" si="2"/>
        <v>0</v>
      </c>
      <c r="R21" s="309">
        <f t="shared" si="3"/>
        <v>65.397999999999996</v>
      </c>
      <c r="T21" s="351"/>
    </row>
    <row r="22" spans="2:20" ht="15.75" customHeight="1" thickBot="1" x14ac:dyDescent="0.3">
      <c r="B22" s="102" t="s">
        <v>405</v>
      </c>
      <c r="C22" s="106" t="s">
        <v>175</v>
      </c>
      <c r="D22" s="327">
        <v>1.4</v>
      </c>
      <c r="E22" s="250">
        <f>IFERROR(VLOOKUP("140046",#REF!,7,FALSE),0)*IFERROR(VLOOKUP("140046",#REF!,2,FALSE),0)/500</f>
        <v>0</v>
      </c>
      <c r="F22" s="250">
        <f>IFERROR(VLOOKUP("140046",#REF!,7,FALSE),0)*IFERROR(VLOOKUP("140046",#REF!,2,FALSE),0)/500</f>
        <v>0</v>
      </c>
      <c r="G22" s="336">
        <f t="shared" si="4"/>
        <v>0</v>
      </c>
      <c r="H22" s="242"/>
      <c r="I22" s="303">
        <f t="shared" si="5"/>
        <v>1.4</v>
      </c>
      <c r="J22" s="304">
        <f>'INVENTORY INPUT'!G241</f>
        <v>0.5</v>
      </c>
      <c r="K22" s="290">
        <f t="shared" si="0"/>
        <v>0.89999999999999991</v>
      </c>
      <c r="L22" s="317">
        <f t="shared" si="1"/>
        <v>0</v>
      </c>
      <c r="M22" s="219">
        <v>43.11</v>
      </c>
      <c r="N22" s="313">
        <f t="shared" si="6"/>
        <v>43.11</v>
      </c>
      <c r="O22" s="313">
        <f>IFERROR(VLOOKUP("140046",#REF!,10,FALSE),0)</f>
        <v>0</v>
      </c>
      <c r="P22" s="313">
        <f>IFERROR(VLOOKUP("140046",#REF!,10,FALSE),0)</f>
        <v>0</v>
      </c>
      <c r="Q22" s="313">
        <f t="shared" si="2"/>
        <v>0</v>
      </c>
      <c r="R22" s="309">
        <f t="shared" si="3"/>
        <v>21.555</v>
      </c>
      <c r="T22" s="351"/>
    </row>
    <row r="23" spans="2:20" ht="15.75" customHeight="1" thickBot="1" x14ac:dyDescent="0.3">
      <c r="B23" s="102" t="s">
        <v>406</v>
      </c>
      <c r="C23" s="106" t="s">
        <v>409</v>
      </c>
      <c r="D23" s="327">
        <v>13.5</v>
      </c>
      <c r="E23" s="250"/>
      <c r="F23" s="250">
        <v>2</v>
      </c>
      <c r="G23" s="336">
        <f t="shared" si="4"/>
        <v>2</v>
      </c>
      <c r="H23" s="242"/>
      <c r="I23" s="303">
        <f t="shared" si="5"/>
        <v>15.5</v>
      </c>
      <c r="J23" s="304">
        <f>'INVENTORY INPUT'!G242</f>
        <v>8.9</v>
      </c>
      <c r="K23" s="290">
        <f t="shared" si="0"/>
        <v>6.6</v>
      </c>
      <c r="L23" s="317">
        <f t="shared" si="1"/>
        <v>0</v>
      </c>
      <c r="M23" s="219">
        <v>6.1</v>
      </c>
      <c r="N23" s="313">
        <f t="shared" si="6"/>
        <v>6.1</v>
      </c>
      <c r="O23" s="313">
        <f>IFERROR(VLOOKUP("750472",#REF!,10,FALSE),0)</f>
        <v>0</v>
      </c>
      <c r="P23" s="313">
        <f>IFERROR(VLOOKUP("750472",#REF!,10,FALSE),0)</f>
        <v>0</v>
      </c>
      <c r="Q23" s="313">
        <f t="shared" si="2"/>
        <v>0</v>
      </c>
      <c r="R23" s="309">
        <f t="shared" si="3"/>
        <v>54.29</v>
      </c>
    </row>
    <row r="24" spans="2:20" ht="15.75" customHeight="1" thickBot="1" x14ac:dyDescent="0.3">
      <c r="B24" s="112" t="s">
        <v>407</v>
      </c>
      <c r="C24" s="107" t="s">
        <v>175</v>
      </c>
      <c r="D24" s="330">
        <v>1.1000000000000001</v>
      </c>
      <c r="E24" s="250">
        <f>IFERROR(VLOOKUP("108694",#REF!,7,FALSE),0)*IFERROR(VLOOKUP("108694",#REF!,2,FALSE),0)/5000</f>
        <v>0</v>
      </c>
      <c r="F24" s="250">
        <f>IFERROR(VLOOKUP("108694",#REF!,7,FALSE),0)*IFERROR(VLOOKUP("108694",#REF!,2,FALSE),0)/5000</f>
        <v>0</v>
      </c>
      <c r="G24" s="336">
        <f t="shared" si="4"/>
        <v>0</v>
      </c>
      <c r="H24" s="242"/>
      <c r="I24" s="303">
        <f t="shared" si="5"/>
        <v>1.1000000000000001</v>
      </c>
      <c r="J24" s="304">
        <f>'INVENTORY INPUT'!G243</f>
        <v>1</v>
      </c>
      <c r="K24" s="290">
        <f t="shared" si="0"/>
        <v>0.10000000000000009</v>
      </c>
      <c r="L24" s="317">
        <f t="shared" si="1"/>
        <v>0</v>
      </c>
      <c r="M24" s="220">
        <v>128.80000000000001</v>
      </c>
      <c r="N24" s="313">
        <f t="shared" si="6"/>
        <v>128.80000000000001</v>
      </c>
      <c r="O24" s="313">
        <f>IFERROR(VLOOKUP("108694",#REF!,10,FALSE),0)</f>
        <v>0</v>
      </c>
      <c r="P24" s="313">
        <f>IFERROR(VLOOKUP("108694",#REF!,10,FALSE),0)</f>
        <v>0</v>
      </c>
      <c r="Q24" s="313">
        <f t="shared" si="2"/>
        <v>0</v>
      </c>
      <c r="R24" s="309">
        <f t="shared" si="3"/>
        <v>128.80000000000001</v>
      </c>
      <c r="T24" s="351"/>
    </row>
    <row r="25" spans="2:20" ht="15.75" customHeight="1" thickBot="1" x14ac:dyDescent="0.3">
      <c r="B25" s="103" t="s">
        <v>305</v>
      </c>
      <c r="C25" s="106" t="s">
        <v>190</v>
      </c>
      <c r="D25" s="327">
        <v>0</v>
      </c>
      <c r="E25" s="250">
        <f>IFERROR(VLOOKUP("729430",#REF!,7,FALSE),0)*IFERROR(VLOOKUP("729430",#REF!,2,FALSE),0)/1000</f>
        <v>0</v>
      </c>
      <c r="F25" s="250">
        <f>IFERROR(VLOOKUP("729430",#REF!,7,FALSE),0)*IFERROR(VLOOKUP("729430",#REF!,2,FALSE),0)/1000</f>
        <v>0</v>
      </c>
      <c r="G25" s="336">
        <f t="shared" si="4"/>
        <v>0</v>
      </c>
      <c r="H25" s="243"/>
      <c r="I25" s="303">
        <f t="shared" si="5"/>
        <v>0</v>
      </c>
      <c r="J25" s="304" t="e">
        <f>'INVENTORY INPUT'!#REF!</f>
        <v>#REF!</v>
      </c>
      <c r="K25" s="290" t="e">
        <f t="shared" si="0"/>
        <v>#REF!</v>
      </c>
      <c r="L25" s="317">
        <f t="shared" si="1"/>
        <v>0</v>
      </c>
      <c r="M25" s="219">
        <v>27.48</v>
      </c>
      <c r="N25" s="313">
        <f t="shared" si="6"/>
        <v>27.48</v>
      </c>
      <c r="O25" s="313">
        <f>IFERROR(VLOOKUP("729430",#REF!,10,FALSE),0)</f>
        <v>0</v>
      </c>
      <c r="P25" s="313">
        <f>IFERROR(VLOOKUP("729430",#REF!,10,FALSE),0)</f>
        <v>0</v>
      </c>
      <c r="Q25" s="313">
        <f t="shared" si="2"/>
        <v>0</v>
      </c>
      <c r="R25" s="309" t="e">
        <f t="shared" si="3"/>
        <v>#REF!</v>
      </c>
    </row>
    <row r="26" spans="2:20" ht="15.75" customHeight="1" thickBot="1" x14ac:dyDescent="0.3">
      <c r="B26" s="103" t="s">
        <v>432</v>
      </c>
      <c r="C26" s="106" t="s">
        <v>147</v>
      </c>
      <c r="D26" s="327">
        <v>1</v>
      </c>
      <c r="E26" s="250">
        <f>IFERROR(VLOOKUP("108821",#REF!,7,FALSE),0)*IFERROR(VLOOKUP("108821",#REF!,2,FALSE),0)/24</f>
        <v>0</v>
      </c>
      <c r="F26" s="250">
        <f>IFERROR(VLOOKUP("108821",#REF!,7,FALSE),0)*IFERROR(VLOOKUP("108821",#REF!,2,FALSE),0)/24</f>
        <v>0</v>
      </c>
      <c r="G26" s="336">
        <f t="shared" si="4"/>
        <v>0</v>
      </c>
      <c r="H26" s="242"/>
      <c r="I26" s="303">
        <f t="shared" si="5"/>
        <v>1</v>
      </c>
      <c r="J26" s="304">
        <f>'INVENTORY INPUT'!G244</f>
        <v>63.5</v>
      </c>
      <c r="K26" s="290">
        <f t="shared" si="0"/>
        <v>-62.5</v>
      </c>
      <c r="L26" s="317">
        <f t="shared" si="1"/>
        <v>0</v>
      </c>
      <c r="M26" s="219">
        <v>11.97</v>
      </c>
      <c r="N26" s="313">
        <f t="shared" si="6"/>
        <v>11.97</v>
      </c>
      <c r="O26" s="313">
        <f>IFERROR(VLOOKUP("108821",#REF!,10,FALSE),0)</f>
        <v>0</v>
      </c>
      <c r="P26" s="313">
        <f>IFERROR(VLOOKUP("108821",#REF!,10,FALSE),0)</f>
        <v>0</v>
      </c>
      <c r="Q26" s="313">
        <f t="shared" si="2"/>
        <v>0</v>
      </c>
      <c r="R26" s="309">
        <f t="shared" si="3"/>
        <v>760.09500000000003</v>
      </c>
      <c r="T26" s="351"/>
    </row>
    <row r="27" spans="2:20" ht="15.75" customHeight="1" thickBot="1" x14ac:dyDescent="0.3">
      <c r="B27" s="103" t="s">
        <v>331</v>
      </c>
      <c r="C27" s="106" t="s">
        <v>175</v>
      </c>
      <c r="D27" s="327">
        <v>0.5</v>
      </c>
      <c r="E27" s="250">
        <f>IFERROR(VLOOKUP("671637",#REF!,7,FALSE),0)*IFERROR(VLOOKUP("671637",#REF!,2,FALSE),0)/1000</f>
        <v>0</v>
      </c>
      <c r="F27" s="250">
        <f>IFERROR(VLOOKUP("671637",#REF!,7,FALSE),0)*IFERROR(VLOOKUP("671637",#REF!,2,FALSE),0)/1000</f>
        <v>0</v>
      </c>
      <c r="G27" s="336">
        <f t="shared" si="4"/>
        <v>0</v>
      </c>
      <c r="H27" s="242"/>
      <c r="I27" s="303">
        <f t="shared" si="5"/>
        <v>0.5</v>
      </c>
      <c r="J27" s="304">
        <f>'INVENTORY INPUT'!G245</f>
        <v>1.4300000000000002</v>
      </c>
      <c r="K27" s="290">
        <f t="shared" si="0"/>
        <v>-0.93000000000000016</v>
      </c>
      <c r="L27" s="317">
        <f t="shared" si="1"/>
        <v>0</v>
      </c>
      <c r="M27" s="219">
        <v>12.01</v>
      </c>
      <c r="N27" s="313">
        <f t="shared" si="6"/>
        <v>12.01</v>
      </c>
      <c r="O27" s="313">
        <f>IFERROR(VLOOKUP("671637",#REF!,10,FALSE),0)</f>
        <v>0</v>
      </c>
      <c r="P27" s="313">
        <f>IFERROR(VLOOKUP("671637",#REF!,10,FALSE),0)</f>
        <v>0</v>
      </c>
      <c r="Q27" s="313">
        <f t="shared" si="2"/>
        <v>0</v>
      </c>
      <c r="R27" s="309">
        <f t="shared" si="3"/>
        <v>17.174300000000002</v>
      </c>
      <c r="T27" s="351"/>
    </row>
    <row r="28" spans="2:20" ht="15.75" customHeight="1" thickBot="1" x14ac:dyDescent="0.3">
      <c r="B28" s="103" t="s">
        <v>428</v>
      </c>
      <c r="C28" s="106" t="s">
        <v>175</v>
      </c>
      <c r="D28" s="327">
        <v>1.5</v>
      </c>
      <c r="E28" s="250">
        <f>IFERROR(VLOOKUP("127108",#REF!,7,FALSE),0)*IFERROR(VLOOKUP("127108",#REF!,2,FALSE),0)/1000</f>
        <v>0</v>
      </c>
      <c r="F28" s="250">
        <f>IFERROR(VLOOKUP("127108",#REF!,7,FALSE),0)*IFERROR(VLOOKUP("127108",#REF!,2,FALSE),0)/1000</f>
        <v>0</v>
      </c>
      <c r="G28" s="336">
        <f t="shared" si="4"/>
        <v>0</v>
      </c>
      <c r="H28" s="242"/>
      <c r="I28" s="303">
        <f t="shared" si="5"/>
        <v>1.5</v>
      </c>
      <c r="J28" s="304">
        <f>'INVENTORY INPUT'!G246</f>
        <v>0.9</v>
      </c>
      <c r="K28" s="290">
        <f t="shared" si="0"/>
        <v>0.6</v>
      </c>
      <c r="L28" s="317">
        <f t="shared" si="1"/>
        <v>0</v>
      </c>
      <c r="M28" s="219">
        <v>18.11</v>
      </c>
      <c r="N28" s="313">
        <f t="shared" si="6"/>
        <v>18.11</v>
      </c>
      <c r="O28" s="313">
        <f>IFERROR(VLOOKUP("127108",#REF!,10,FALSE),0)</f>
        <v>0</v>
      </c>
      <c r="P28" s="313">
        <f>IFERROR(VLOOKUP("127108",#REF!,10,FALSE),0)</f>
        <v>0</v>
      </c>
      <c r="Q28" s="313">
        <f t="shared" si="2"/>
        <v>0</v>
      </c>
      <c r="R28" s="309">
        <f t="shared" si="3"/>
        <v>16.298999999999999</v>
      </c>
      <c r="T28" s="351"/>
    </row>
    <row r="29" spans="2:20" ht="15.75" customHeight="1" thickBot="1" x14ac:dyDescent="0.25">
      <c r="B29" s="112" t="s">
        <v>430</v>
      </c>
      <c r="C29" s="107" t="s">
        <v>157</v>
      </c>
      <c r="D29" s="330">
        <v>35</v>
      </c>
      <c r="E29" s="250"/>
      <c r="F29" s="250"/>
      <c r="G29" s="336">
        <f t="shared" si="4"/>
        <v>0</v>
      </c>
      <c r="H29" s="244"/>
      <c r="I29" s="303">
        <f t="shared" si="5"/>
        <v>35</v>
      </c>
      <c r="J29" s="304">
        <f>'INVENTORY INPUT'!G247</f>
        <v>24.6</v>
      </c>
      <c r="K29" s="290">
        <f t="shared" si="0"/>
        <v>10.399999999999999</v>
      </c>
      <c r="L29" s="291"/>
      <c r="M29" s="220">
        <v>0.6</v>
      </c>
      <c r="N29" s="313">
        <f t="shared" si="6"/>
        <v>0.6</v>
      </c>
      <c r="O29" s="314"/>
      <c r="P29" s="314"/>
      <c r="Q29" s="313">
        <f t="shared" si="2"/>
        <v>0</v>
      </c>
      <c r="R29" s="309">
        <f t="shared" si="3"/>
        <v>14.76</v>
      </c>
    </row>
    <row r="30" spans="2:20" ht="15.75" customHeight="1" thickBot="1" x14ac:dyDescent="0.3">
      <c r="B30" s="147" t="s">
        <v>11</v>
      </c>
      <c r="C30" s="148" t="s">
        <v>46</v>
      </c>
      <c r="D30" s="291">
        <v>0</v>
      </c>
      <c r="E30" s="250">
        <f>IFERROR(VLOOKUP("107558",#REF!,7,FALSE),0)*IFERROR(VLOOKUP("107558",#REF!,2,FALSE),0)/1000</f>
        <v>0</v>
      </c>
      <c r="F30" s="250">
        <f>IFERROR(VLOOKUP("107558",#REF!,7,FALSE),0)*IFERROR(VLOOKUP("107558",#REF!,2,FALSE),0)/1000</f>
        <v>0</v>
      </c>
      <c r="G30" s="336">
        <f t="shared" si="4"/>
        <v>0</v>
      </c>
      <c r="H30" s="242"/>
      <c r="I30" s="303">
        <f t="shared" si="5"/>
        <v>0</v>
      </c>
      <c r="J30" s="304" t="e">
        <f>'INVENTORY INPUT'!#REF!</f>
        <v>#REF!</v>
      </c>
      <c r="K30" s="290" t="e">
        <f t="shared" si="0"/>
        <v>#REF!</v>
      </c>
      <c r="L30" s="317">
        <f>IFERROR(Q30/G30,0)</f>
        <v>0</v>
      </c>
      <c r="M30" s="220">
        <v>28.91</v>
      </c>
      <c r="N30" s="313">
        <f t="shared" si="6"/>
        <v>28.91</v>
      </c>
      <c r="O30" s="313">
        <f>IFERROR(VLOOKUP("107558",#REF!,10,FALSE),0)</f>
        <v>0</v>
      </c>
      <c r="P30" s="313">
        <f>IFERROR(VLOOKUP("107558",#REF!,10,FALSE),0)</f>
        <v>0</v>
      </c>
      <c r="Q30" s="313">
        <f t="shared" si="2"/>
        <v>0</v>
      </c>
      <c r="R30" s="309" t="e">
        <f t="shared" si="3"/>
        <v>#REF!</v>
      </c>
    </row>
    <row r="31" spans="2:20" ht="15.75" customHeight="1" thickBot="1" x14ac:dyDescent="0.25">
      <c r="B31" s="147" t="s">
        <v>47</v>
      </c>
      <c r="C31" s="148" t="s">
        <v>353</v>
      </c>
      <c r="D31" s="330">
        <v>0</v>
      </c>
      <c r="E31" s="292"/>
      <c r="F31" s="244"/>
      <c r="G31" s="336">
        <f t="shared" si="4"/>
        <v>0</v>
      </c>
      <c r="H31" s="244"/>
      <c r="I31" s="303">
        <f t="shared" si="5"/>
        <v>0</v>
      </c>
      <c r="J31" s="304" t="e">
        <f>'INVENTORY INPUT'!#REF!</f>
        <v>#REF!</v>
      </c>
      <c r="K31" s="290" t="e">
        <f t="shared" si="0"/>
        <v>#REF!</v>
      </c>
      <c r="L31" s="291"/>
      <c r="M31" s="220">
        <v>2.4900000000000002</v>
      </c>
      <c r="N31" s="313">
        <f t="shared" si="6"/>
        <v>2.4900000000000002</v>
      </c>
      <c r="O31" s="314"/>
      <c r="P31" s="314"/>
      <c r="Q31" s="313">
        <f t="shared" si="2"/>
        <v>0</v>
      </c>
      <c r="R31" s="309" t="e">
        <f t="shared" si="3"/>
        <v>#REF!</v>
      </c>
    </row>
    <row r="32" spans="2:20" ht="15.75" customHeight="1" thickBot="1" x14ac:dyDescent="0.3">
      <c r="B32" s="112" t="s">
        <v>441</v>
      </c>
      <c r="C32" s="107" t="s">
        <v>141</v>
      </c>
      <c r="D32" s="330">
        <v>123</v>
      </c>
      <c r="E32" s="250">
        <f>IFERROR(VLOOKUP("106986",#REF!,7,FALSE),0)*IFERROR(VLOOKUP("106986",#REF!,2,FALSE),0)</f>
        <v>0</v>
      </c>
      <c r="F32" s="250">
        <f>IFERROR(VLOOKUP("106986",#REF!,7,FALSE),0)*IFERROR(VLOOKUP("106986",#REF!,2,FALSE),0)</f>
        <v>0</v>
      </c>
      <c r="G32" s="336">
        <f t="shared" si="4"/>
        <v>0</v>
      </c>
      <c r="H32" s="242"/>
      <c r="I32" s="303">
        <f t="shared" si="5"/>
        <v>123</v>
      </c>
      <c r="J32" s="304">
        <f>'INVENTORY INPUT'!G248</f>
        <v>0.8</v>
      </c>
      <c r="K32" s="290">
        <f t="shared" si="0"/>
        <v>122.2</v>
      </c>
      <c r="L32" s="317">
        <f>IFERROR(Q32/G32,0)</f>
        <v>0</v>
      </c>
      <c r="M32" s="220">
        <v>1</v>
      </c>
      <c r="N32" s="313">
        <f t="shared" si="6"/>
        <v>1</v>
      </c>
      <c r="O32" s="313">
        <f>IFERROR(VLOOKUP("106986",#REF!,10,FALSE),0)</f>
        <v>0</v>
      </c>
      <c r="P32" s="313">
        <f>IFERROR(VLOOKUP("106986",#REF!,10,FALSE),0)</f>
        <v>0</v>
      </c>
      <c r="Q32" s="313">
        <f t="shared" si="2"/>
        <v>0</v>
      </c>
      <c r="R32" s="309">
        <f t="shared" si="3"/>
        <v>0.8</v>
      </c>
      <c r="T32" s="351"/>
    </row>
    <row r="33" spans="2:20" ht="15.75" customHeight="1" thickBot="1" x14ac:dyDescent="0.3">
      <c r="B33" s="112" t="s">
        <v>306</v>
      </c>
      <c r="C33" s="107" t="s">
        <v>168</v>
      </c>
      <c r="D33" s="330">
        <v>10</v>
      </c>
      <c r="E33" s="250">
        <f>IFERROR(VLOOKUP("122891",#REF!,7,FALSE),0)*IFERROR(VLOOKUP("122981",#REF!,2,FALSE),0)</f>
        <v>0</v>
      </c>
      <c r="F33" s="250">
        <f>IFERROR(VLOOKUP("122981",#REF!,7,FALSE),0)*IFERROR(VLOOKUP("122981",#REF!,2,FALSE),0)</f>
        <v>0</v>
      </c>
      <c r="G33" s="336">
        <f t="shared" si="4"/>
        <v>0</v>
      </c>
      <c r="H33" s="242"/>
      <c r="I33" s="303">
        <f t="shared" si="5"/>
        <v>10</v>
      </c>
      <c r="J33" s="304">
        <f>'INVENTORY INPUT'!G249</f>
        <v>2.7</v>
      </c>
      <c r="K33" s="290">
        <f t="shared" si="0"/>
        <v>7.3</v>
      </c>
      <c r="L33" s="317">
        <f>IFERROR(Q33/G33,0)</f>
        <v>0</v>
      </c>
      <c r="M33" s="220">
        <v>7.44</v>
      </c>
      <c r="N33" s="313">
        <f t="shared" si="6"/>
        <v>7.44</v>
      </c>
      <c r="O33" s="313">
        <f>IFERROR(VLOOKUP("122891",#REF!,10,FALSE),0)</f>
        <v>0</v>
      </c>
      <c r="P33" s="313">
        <f>IFERROR(VLOOKUP("122891",#REF!,10,FALSE),0)</f>
        <v>0</v>
      </c>
      <c r="Q33" s="313">
        <f t="shared" si="2"/>
        <v>0</v>
      </c>
      <c r="R33" s="309">
        <f t="shared" si="3"/>
        <v>20.088000000000001</v>
      </c>
      <c r="T33" s="351"/>
    </row>
    <row r="34" spans="2:20" ht="15.75" customHeight="1" thickBot="1" x14ac:dyDescent="0.3">
      <c r="B34" s="113" t="s">
        <v>309</v>
      </c>
      <c r="C34" s="108" t="s">
        <v>12</v>
      </c>
      <c r="D34" s="331">
        <v>1.25</v>
      </c>
      <c r="E34" s="250">
        <f>IFERROR(VLOOKUP("114812",#REF!,7,FALSE),0)*IFERROR(VLOOKUP("114812",#REF!,2,FALSE),0)/1000</f>
        <v>0</v>
      </c>
      <c r="F34" s="250">
        <f>IFERROR(VLOOKUP("114812",#REF!,7,FALSE),0)*IFERROR(VLOOKUP("114812",#REF!,2,FALSE),0)/1000</f>
        <v>0</v>
      </c>
      <c r="G34" s="336">
        <f t="shared" si="4"/>
        <v>0</v>
      </c>
      <c r="H34" s="318"/>
      <c r="I34" s="303">
        <f t="shared" si="5"/>
        <v>1.25</v>
      </c>
      <c r="J34" s="304">
        <f>'INVENTORY INPUT'!G250</f>
        <v>45</v>
      </c>
      <c r="K34" s="290">
        <f>(I34-J34)</f>
        <v>-43.75</v>
      </c>
      <c r="L34" s="317">
        <f>IFERROR(Q34/G34,0)</f>
        <v>0</v>
      </c>
      <c r="M34" s="221">
        <v>5.05</v>
      </c>
      <c r="N34" s="313">
        <f t="shared" si="6"/>
        <v>5.05</v>
      </c>
      <c r="O34" s="313">
        <f>IFERROR(VLOOKUP("114812",#REF!,10,FALSE),0)</f>
        <v>0</v>
      </c>
      <c r="P34" s="313">
        <f>IFERROR(VLOOKUP("114812",#REF!,10,FALSE),0)</f>
        <v>0</v>
      </c>
      <c r="Q34" s="313">
        <f t="shared" si="2"/>
        <v>0</v>
      </c>
      <c r="R34" s="309">
        <f t="shared" si="3"/>
        <v>227.25</v>
      </c>
    </row>
    <row r="35" spans="2:20" ht="15.75" customHeight="1" thickBot="1" x14ac:dyDescent="0.25">
      <c r="B35" s="85" t="s">
        <v>13</v>
      </c>
      <c r="C35" s="86" t="s">
        <v>190</v>
      </c>
      <c r="D35" s="332">
        <v>0.15</v>
      </c>
      <c r="E35" s="250">
        <f>IFERROR(VLOOKUP("343037",#REF!,7,FALSE),0)*IFERROR(VLOOKUP("343037",#REF!,2,FALSE),0)</f>
        <v>0</v>
      </c>
      <c r="F35" s="250">
        <f>IFERROR(VLOOKUP("343037",#REF!,7,FALSE),0)*IFERROR(VLOOKUP("343037",#REF!,2,FALSE),0)</f>
        <v>0</v>
      </c>
      <c r="G35" s="336">
        <f t="shared" si="4"/>
        <v>0</v>
      </c>
      <c r="H35" s="319"/>
      <c r="I35" s="303">
        <f t="shared" si="5"/>
        <v>0.15</v>
      </c>
      <c r="J35" s="304">
        <f>'INVENTORY INPUT'!G251</f>
        <v>10</v>
      </c>
      <c r="K35" s="299">
        <f>(I35-J35)</f>
        <v>-9.85</v>
      </c>
      <c r="L35" s="299"/>
      <c r="M35" s="222">
        <v>11.53</v>
      </c>
      <c r="N35" s="313">
        <f t="shared" si="6"/>
        <v>11.53</v>
      </c>
      <c r="O35" s="313">
        <f>IFERROR(VLOOKUP("343037",#REF!,10,FALSE),0)</f>
        <v>0</v>
      </c>
      <c r="P35" s="313">
        <f>IFERROR(VLOOKUP("343037",#REF!,10,FALSE),0)</f>
        <v>0</v>
      </c>
      <c r="Q35" s="313">
        <f t="shared" si="2"/>
        <v>0</v>
      </c>
      <c r="R35" s="309">
        <f t="shared" si="3"/>
        <v>115.3</v>
      </c>
    </row>
    <row r="36" spans="2:20" ht="15.75" customHeight="1" thickBot="1" x14ac:dyDescent="0.25">
      <c r="B36" s="109" t="s">
        <v>398</v>
      </c>
      <c r="C36" s="110"/>
      <c r="D36" s="293" t="e">
        <f>SUM(R4:R35)</f>
        <v>#REF!</v>
      </c>
      <c r="E36" s="213"/>
      <c r="F36" s="213"/>
      <c r="G36" s="213"/>
      <c r="H36" s="213"/>
      <c r="I36" s="305"/>
      <c r="J36" s="305"/>
      <c r="K36" s="306"/>
      <c r="L36" s="306"/>
      <c r="O36" s="353"/>
      <c r="P36" s="353"/>
      <c r="Q36" s="353">
        <f>SUM(Q4:Q35)</f>
        <v>44.64</v>
      </c>
      <c r="T36" s="350"/>
    </row>
    <row r="37" spans="2:20" ht="15.75" customHeight="1" x14ac:dyDescent="0.2">
      <c r="B37" s="87"/>
      <c r="C37" s="87"/>
      <c r="D37" s="294"/>
      <c r="E37" s="213"/>
      <c r="F37" s="213"/>
      <c r="G37" s="213"/>
      <c r="H37" s="213"/>
      <c r="I37" s="305"/>
      <c r="J37" s="305"/>
      <c r="K37" s="306"/>
      <c r="L37" s="306"/>
    </row>
    <row r="38" spans="2:20" ht="15.75" customHeight="1" thickBot="1" x14ac:dyDescent="0.3">
      <c r="B38" s="97" t="s">
        <v>273</v>
      </c>
      <c r="C38" s="95"/>
      <c r="D38" s="295"/>
      <c r="E38" s="296"/>
      <c r="F38" s="296"/>
      <c r="G38" s="214"/>
      <c r="H38" s="214"/>
      <c r="I38" s="96"/>
      <c r="J38" s="96"/>
      <c r="K38" s="96"/>
      <c r="L38" s="295"/>
      <c r="M38" s="224"/>
      <c r="N38" s="224"/>
      <c r="O38" s="224"/>
      <c r="P38" s="224"/>
      <c r="Q38" s="224"/>
      <c r="R38" s="310"/>
    </row>
    <row r="39" spans="2:20" ht="15.75" customHeight="1" thickBot="1" x14ac:dyDescent="0.3">
      <c r="B39" s="90" t="s">
        <v>410</v>
      </c>
      <c r="C39" s="89" t="s">
        <v>168</v>
      </c>
      <c r="D39" s="333">
        <v>1.5</v>
      </c>
      <c r="E39" s="250">
        <f>IFERROR(VLOOKUP("115769",#REF!,7,FALSE),0)*IFERROR(VLOOKUP("115769",#REF!,2,FALSE),0)/500</f>
        <v>0</v>
      </c>
      <c r="F39" s="250">
        <f>IFERROR(VLOOKUP("115769",#REF!,7,FALSE),0)*IFERROR(VLOOKUP("115769",#REF!,2,FALSE),0)/500</f>
        <v>0</v>
      </c>
      <c r="G39" s="336">
        <f t="shared" ref="G39:G62" si="7">SUM(E39:F39)</f>
        <v>0</v>
      </c>
      <c r="H39" s="245"/>
      <c r="I39" s="303">
        <f t="shared" ref="I39:I62" si="8">D39+G39+H39</f>
        <v>1.5</v>
      </c>
      <c r="J39" s="304">
        <f>'INVENTORY INPUT'!G255</f>
        <v>1.2</v>
      </c>
      <c r="K39" s="299">
        <f t="shared" ref="K39:K62" si="9">(I39-J39)</f>
        <v>0.30000000000000004</v>
      </c>
      <c r="L39" s="317">
        <f t="shared" ref="L39:L54" si="10">IFERROR(Q39/G39,0)</f>
        <v>0</v>
      </c>
      <c r="M39" s="225">
        <v>34.340000000000003</v>
      </c>
      <c r="N39" s="313">
        <f t="shared" ref="N39:N62" si="11">IF(L39=0,M39,(Q39/H39))</f>
        <v>34.340000000000003</v>
      </c>
      <c r="O39" s="313">
        <f>IFERROR(VLOOKUP("115769",#REF!,10,FALSE),0)</f>
        <v>0</v>
      </c>
      <c r="P39" s="313">
        <f>IFERROR(VLOOKUP("115769",#REF!,10,FALSE),0)</f>
        <v>0</v>
      </c>
      <c r="Q39" s="313">
        <f t="shared" ref="Q39:Q62" si="12">IF(G39,(SUM(O39:P39)),(H39*M39))</f>
        <v>0</v>
      </c>
      <c r="R39" s="309">
        <f t="shared" ref="R39:R49" si="13">IF(L39,(L39*J39),(M39*J39))</f>
        <v>41.208000000000006</v>
      </c>
      <c r="S39" s="236"/>
    </row>
    <row r="40" spans="2:20" ht="15.75" customHeight="1" thickBot="1" x14ac:dyDescent="0.3">
      <c r="B40" s="90" t="s">
        <v>411</v>
      </c>
      <c r="C40" s="89" t="s">
        <v>168</v>
      </c>
      <c r="D40" s="333">
        <v>0</v>
      </c>
      <c r="E40" s="250">
        <f>IFERROR(VLOOKUP("127072",#REF!,7,FALSE),0)*IFERROR(VLOOKUP("127072",#REF!,2,FALSE),0)/1000</f>
        <v>0</v>
      </c>
      <c r="F40" s="250">
        <f>IFERROR(VLOOKUP("127072",#REF!,7,FALSE),0)*IFERROR(VLOOKUP("127072",#REF!,2,FALSE),0)/1000</f>
        <v>0</v>
      </c>
      <c r="G40" s="336">
        <f t="shared" si="7"/>
        <v>0</v>
      </c>
      <c r="H40" s="242"/>
      <c r="I40" s="303">
        <f t="shared" si="8"/>
        <v>0</v>
      </c>
      <c r="J40" s="304">
        <f>'INVENTORY INPUT'!G256</f>
        <v>0.7</v>
      </c>
      <c r="K40" s="299">
        <f t="shared" si="9"/>
        <v>-0.7</v>
      </c>
      <c r="L40" s="317">
        <f t="shared" si="10"/>
        <v>0</v>
      </c>
      <c r="M40" s="225">
        <v>46.38</v>
      </c>
      <c r="N40" s="313">
        <f t="shared" si="11"/>
        <v>46.38</v>
      </c>
      <c r="O40" s="313">
        <f>IFERROR(VLOOKUP("127072",#REF!,10,FALSE),0)</f>
        <v>0</v>
      </c>
      <c r="P40" s="313">
        <f>IFERROR(VLOOKUP("127072",#REF!,10,FALSE),0)</f>
        <v>0</v>
      </c>
      <c r="Q40" s="313">
        <f t="shared" si="12"/>
        <v>0</v>
      </c>
      <c r="R40" s="309">
        <f t="shared" si="13"/>
        <v>32.466000000000001</v>
      </c>
      <c r="S40" s="236"/>
      <c r="T40" s="351"/>
    </row>
    <row r="41" spans="2:20" ht="15.75" customHeight="1" thickBot="1" x14ac:dyDescent="0.3">
      <c r="B41" s="90" t="s">
        <v>527</v>
      </c>
      <c r="C41" s="89" t="s">
        <v>168</v>
      </c>
      <c r="D41" s="333">
        <v>3.2</v>
      </c>
      <c r="E41" s="250">
        <f>IFERROR(VLOOKUP("117699",#REF!,7,FALSE),0)*IFERROR(VLOOKUP("117699",#REF!,2,FALSE),0)/300</f>
        <v>0</v>
      </c>
      <c r="F41" s="250">
        <f>IFERROR(VLOOKUP("117699",#REF!,7,FALSE),0)*IFERROR(VLOOKUP("117699",#REF!,2,FALSE),0)/300</f>
        <v>0</v>
      </c>
      <c r="G41" s="336">
        <f t="shared" si="7"/>
        <v>0</v>
      </c>
      <c r="H41" s="245"/>
      <c r="I41" s="303">
        <f t="shared" si="8"/>
        <v>3.2</v>
      </c>
      <c r="J41" s="304">
        <f>'INVENTORY INPUT'!G257</f>
        <v>0.85</v>
      </c>
      <c r="K41" s="299">
        <f t="shared" si="9"/>
        <v>2.35</v>
      </c>
      <c r="L41" s="317">
        <f t="shared" si="10"/>
        <v>0</v>
      </c>
      <c r="M41" s="225">
        <v>45</v>
      </c>
      <c r="N41" s="313">
        <f>IF(L41=0,M41,(Q41/H41))</f>
        <v>45</v>
      </c>
      <c r="O41" s="313">
        <f>IFERROR(VLOOKUP("117699",#REF!,10,FALSE),0)</f>
        <v>0</v>
      </c>
      <c r="P41" s="313">
        <f>IFERROR(VLOOKUP("117699",#REF!,10,FALSE),0)</f>
        <v>0</v>
      </c>
      <c r="Q41" s="313">
        <f t="shared" si="12"/>
        <v>0</v>
      </c>
      <c r="R41" s="309">
        <f t="shared" si="13"/>
        <v>38.25</v>
      </c>
      <c r="S41" s="236"/>
    </row>
    <row r="42" spans="2:20" ht="15.75" customHeight="1" thickBot="1" x14ac:dyDescent="0.3">
      <c r="B42" s="90" t="s">
        <v>412</v>
      </c>
      <c r="C42" s="89" t="s">
        <v>168</v>
      </c>
      <c r="D42" s="333">
        <v>0</v>
      </c>
      <c r="E42" s="250">
        <f>IFERROR(VLOOKUP("114056",#REF!,7,FALSE),0)*IFERROR(VLOOKUP("114056",#REF!,2,FALSE),0)/150</f>
        <v>0</v>
      </c>
      <c r="F42" s="250">
        <f>IFERROR(VLOOKUP("114056",#REF!,7,FALSE),0)*IFERROR(VLOOKUP("114056",#REF!,2,FALSE),0)/150</f>
        <v>0</v>
      </c>
      <c r="G42" s="336">
        <f t="shared" si="7"/>
        <v>0</v>
      </c>
      <c r="H42" s="242"/>
      <c r="I42" s="303">
        <f t="shared" si="8"/>
        <v>0</v>
      </c>
      <c r="J42" s="304" t="e">
        <f>'INVENTORY INPUT'!#REF!</f>
        <v>#REF!</v>
      </c>
      <c r="K42" s="299" t="e">
        <f t="shared" si="9"/>
        <v>#REF!</v>
      </c>
      <c r="L42" s="317">
        <f t="shared" si="10"/>
        <v>0</v>
      </c>
      <c r="M42" s="225">
        <v>61.71</v>
      </c>
      <c r="N42" s="313">
        <f t="shared" si="11"/>
        <v>61.71</v>
      </c>
      <c r="O42" s="313">
        <f>IFERROR(VLOOKUP("114056",#REF!,10,FALSE),0)</f>
        <v>0</v>
      </c>
      <c r="P42" s="313">
        <f>IFERROR(VLOOKUP("114056",#REF!,10,FALSE),0)</f>
        <v>0</v>
      </c>
      <c r="Q42" s="313">
        <f t="shared" si="12"/>
        <v>0</v>
      </c>
      <c r="R42" s="309" t="e">
        <f t="shared" si="13"/>
        <v>#REF!</v>
      </c>
      <c r="S42" s="236"/>
      <c r="T42" s="351"/>
    </row>
    <row r="43" spans="2:20" ht="15.75" customHeight="1" thickBot="1" x14ac:dyDescent="0.3">
      <c r="B43" s="90" t="s">
        <v>308</v>
      </c>
      <c r="C43" s="89" t="s">
        <v>168</v>
      </c>
      <c r="D43" s="333">
        <v>0</v>
      </c>
      <c r="E43" s="250">
        <f>IFERROR(VLOOKUP("734962",#REF!,7,FALSE),0)*IFERROR(VLOOKUP("734962",#REF!,2,FALSE),0)/200</f>
        <v>0</v>
      </c>
      <c r="F43" s="250">
        <f>IFERROR(VLOOKUP("734962",#REF!,7,FALSE),0)*IFERROR(VLOOKUP("734962",#REF!,2,FALSE),0)/200</f>
        <v>0</v>
      </c>
      <c r="G43" s="336">
        <f t="shared" si="7"/>
        <v>0</v>
      </c>
      <c r="H43" s="242"/>
      <c r="I43" s="303">
        <f t="shared" si="8"/>
        <v>0</v>
      </c>
      <c r="J43" s="304" t="e">
        <f>'INVENTORY INPUT'!#REF!</f>
        <v>#REF!</v>
      </c>
      <c r="K43" s="299" t="e">
        <f t="shared" si="9"/>
        <v>#REF!</v>
      </c>
      <c r="L43" s="317">
        <f t="shared" si="10"/>
        <v>0</v>
      </c>
      <c r="M43" s="225">
        <v>56.23</v>
      </c>
      <c r="N43" s="313">
        <f t="shared" si="11"/>
        <v>56.23</v>
      </c>
      <c r="O43" s="313">
        <f>IFERROR(VLOOKUP("734962",#REF!,10,FALSE),0)</f>
        <v>0</v>
      </c>
      <c r="P43" s="313">
        <f>IFERROR(VLOOKUP("734962",#REF!,10,FALSE),0)</f>
        <v>0</v>
      </c>
      <c r="Q43" s="313">
        <f t="shared" si="12"/>
        <v>0</v>
      </c>
      <c r="R43" s="309" t="e">
        <f t="shared" si="13"/>
        <v>#REF!</v>
      </c>
      <c r="S43" s="236"/>
      <c r="T43" s="351"/>
    </row>
    <row r="44" spans="2:20" ht="15.75" customHeight="1" thickBot="1" x14ac:dyDescent="0.3">
      <c r="B44" s="90" t="s">
        <v>245</v>
      </c>
      <c r="C44" s="89" t="s">
        <v>168</v>
      </c>
      <c r="D44" s="333">
        <v>0</v>
      </c>
      <c r="E44" s="250">
        <f>IFERROR(VLOOKUP("140103",#REF!,7,FALSE),0)*IFERROR(VLOOKUP("140103",#REF!,2,FALSE),0)/300</f>
        <v>0</v>
      </c>
      <c r="F44" s="250">
        <f>IFERROR(VLOOKUP("140103",#REF!,7,FALSE),0)*IFERROR(VLOOKUP("140103",#REF!,2,FALSE),0)/300</f>
        <v>0</v>
      </c>
      <c r="G44" s="336">
        <f t="shared" si="7"/>
        <v>0</v>
      </c>
      <c r="H44" s="242"/>
      <c r="I44" s="303">
        <f t="shared" si="8"/>
        <v>0</v>
      </c>
      <c r="J44" s="304">
        <f>'INVENTORY INPUT'!G258</f>
        <v>0.5</v>
      </c>
      <c r="K44" s="299">
        <f t="shared" si="9"/>
        <v>-0.5</v>
      </c>
      <c r="L44" s="317">
        <f t="shared" si="10"/>
        <v>0</v>
      </c>
      <c r="M44" s="225">
        <v>60.18</v>
      </c>
      <c r="N44" s="313">
        <f t="shared" si="11"/>
        <v>60.18</v>
      </c>
      <c r="O44" s="313">
        <f>IFERROR(VLOOKUP("140103",#REF!,10,FALSE),0)</f>
        <v>0</v>
      </c>
      <c r="P44" s="313">
        <f>IFERROR(VLOOKUP("140103",#REF!,10,FALSE),0)</f>
        <v>0</v>
      </c>
      <c r="Q44" s="313">
        <f t="shared" si="12"/>
        <v>0</v>
      </c>
      <c r="R44" s="309">
        <f t="shared" si="13"/>
        <v>30.09</v>
      </c>
      <c r="S44" s="236"/>
      <c r="T44" s="351"/>
    </row>
    <row r="45" spans="2:20" ht="15.75" customHeight="1" thickBot="1" x14ac:dyDescent="0.3">
      <c r="B45" s="90" t="s">
        <v>246</v>
      </c>
      <c r="C45" s="89" t="s">
        <v>168</v>
      </c>
      <c r="D45" s="333">
        <v>1</v>
      </c>
      <c r="E45" s="250">
        <f>IFERROR(VLOOKUP("125975",#REF!,7,FALSE),0)*IFERROR(VLOOKUP("125975",#REF!,2,FALSE),0)/300</f>
        <v>0</v>
      </c>
      <c r="F45" s="250">
        <f>IFERROR(VLOOKUP("125975",#REF!,7,FALSE),0)*IFERROR(VLOOKUP("125975",#REF!,2,FALSE),0)/300</f>
        <v>0</v>
      </c>
      <c r="G45" s="336">
        <f t="shared" si="7"/>
        <v>0</v>
      </c>
      <c r="H45" s="242"/>
      <c r="I45" s="303">
        <f t="shared" si="8"/>
        <v>1</v>
      </c>
      <c r="J45" s="304">
        <f>'INVENTORY INPUT'!G259</f>
        <v>0.5</v>
      </c>
      <c r="K45" s="299">
        <f t="shared" si="9"/>
        <v>0.5</v>
      </c>
      <c r="L45" s="317">
        <f t="shared" si="10"/>
        <v>0</v>
      </c>
      <c r="M45" s="225">
        <v>46.81</v>
      </c>
      <c r="N45" s="313">
        <f t="shared" si="11"/>
        <v>46.81</v>
      </c>
      <c r="O45" s="313">
        <f>IFERROR(VLOOKUP("125975",#REF!,10,FALSE),0)</f>
        <v>0</v>
      </c>
      <c r="P45" s="313">
        <f>IFERROR(VLOOKUP("125975",#REF!,10,FALSE),0)</f>
        <v>0</v>
      </c>
      <c r="Q45" s="313">
        <f t="shared" si="12"/>
        <v>0</v>
      </c>
      <c r="R45" s="309">
        <f t="shared" si="13"/>
        <v>23.405000000000001</v>
      </c>
      <c r="S45" s="236"/>
      <c r="T45" s="351"/>
    </row>
    <row r="46" spans="2:20" ht="15.75" customHeight="1" thickBot="1" x14ac:dyDescent="0.3">
      <c r="B46" s="88" t="s">
        <v>307</v>
      </c>
      <c r="C46" s="89" t="s">
        <v>451</v>
      </c>
      <c r="D46" s="333">
        <v>0</v>
      </c>
      <c r="E46" s="250">
        <f>IFERROR(VLOOKUP("737262",#REF!,7,FALSE),0)*IFERROR(VLOOKUP("737262",#REF!,2,FALSE),0)/4</f>
        <v>0</v>
      </c>
      <c r="F46" s="250">
        <f>IFERROR(VLOOKUP("737262",#REF!,7,FALSE),0)*IFERROR(VLOOKUP("737262",#REF!,2,FALSE),0)/4</f>
        <v>0</v>
      </c>
      <c r="G46" s="336">
        <f t="shared" si="7"/>
        <v>0</v>
      </c>
      <c r="H46" s="242"/>
      <c r="I46" s="303">
        <f t="shared" si="8"/>
        <v>0</v>
      </c>
      <c r="J46" s="304" t="e">
        <f>'INVENTORY INPUT'!#REF!</f>
        <v>#REF!</v>
      </c>
      <c r="K46" s="299" t="e">
        <f t="shared" si="9"/>
        <v>#REF!</v>
      </c>
      <c r="L46" s="317">
        <f t="shared" si="10"/>
        <v>0</v>
      </c>
      <c r="M46" s="225">
        <v>55.15</v>
      </c>
      <c r="N46" s="313">
        <f t="shared" si="11"/>
        <v>55.15</v>
      </c>
      <c r="O46" s="313">
        <f>IFERROR(VLOOKUP("737262",#REF!,10,FALSE),0)</f>
        <v>0</v>
      </c>
      <c r="P46" s="313">
        <f>IFERROR(VLOOKUP("737262",#REF!,10,FALSE),0)</f>
        <v>0</v>
      </c>
      <c r="Q46" s="313">
        <f t="shared" si="12"/>
        <v>0</v>
      </c>
      <c r="R46" s="309" t="e">
        <f t="shared" si="13"/>
        <v>#REF!</v>
      </c>
      <c r="S46" s="236"/>
      <c r="T46" s="351"/>
    </row>
    <row r="47" spans="2:20" ht="15.75" customHeight="1" thickBot="1" x14ac:dyDescent="0.3">
      <c r="B47" s="88" t="s">
        <v>35</v>
      </c>
      <c r="C47" s="89" t="s">
        <v>451</v>
      </c>
      <c r="D47" s="333">
        <v>0</v>
      </c>
      <c r="E47" s="250">
        <f>IFERROR(VLOOKUP("758210",#REF!,7,FALSE),0)*IFERROR(VLOOKUP("758210",#REF!,2,FALSE),0)/4</f>
        <v>0</v>
      </c>
      <c r="F47" s="250">
        <f>IFERROR(VLOOKUP("758210",#REF!,7,FALSE),0)*IFERROR(VLOOKUP("758210",#REF!,2,FALSE),0)/4</f>
        <v>0</v>
      </c>
      <c r="G47" s="336">
        <f t="shared" si="7"/>
        <v>0</v>
      </c>
      <c r="H47" s="242"/>
      <c r="I47" s="303">
        <f t="shared" si="8"/>
        <v>0</v>
      </c>
      <c r="J47" s="304" t="e">
        <f>'INVENTORY INPUT'!#REF!</f>
        <v>#REF!</v>
      </c>
      <c r="K47" s="299" t="e">
        <f t="shared" si="9"/>
        <v>#REF!</v>
      </c>
      <c r="L47" s="317">
        <f t="shared" si="10"/>
        <v>0</v>
      </c>
      <c r="M47" s="225">
        <v>40.08</v>
      </c>
      <c r="N47" s="313">
        <f t="shared" si="11"/>
        <v>40.08</v>
      </c>
      <c r="O47" s="313">
        <f>IFERROR(VLOOKUP("758210",#REF!,10,FALSE),0)</f>
        <v>0</v>
      </c>
      <c r="P47" s="313">
        <f>IFERROR(VLOOKUP("758210",#REF!,10,FALSE),0)</f>
        <v>0</v>
      </c>
      <c r="Q47" s="313">
        <f t="shared" si="12"/>
        <v>0</v>
      </c>
      <c r="R47" s="309" t="e">
        <f t="shared" si="13"/>
        <v>#REF!</v>
      </c>
      <c r="S47" s="236"/>
      <c r="T47" s="351"/>
    </row>
    <row r="48" spans="2:20" ht="15.75" customHeight="1" thickBot="1" x14ac:dyDescent="0.3">
      <c r="B48" s="91" t="s">
        <v>310</v>
      </c>
      <c r="C48" s="89" t="s">
        <v>168</v>
      </c>
      <c r="D48" s="333">
        <v>1.3</v>
      </c>
      <c r="E48" s="250">
        <f>IFERROR(VLOOKUP("117226",#REF!,7,FALSE),0)*IFERROR(VLOOKUP("117226",#REF!,2,FALSE),0)/500</f>
        <v>0</v>
      </c>
      <c r="F48" s="250">
        <f>IFERROR(VLOOKUP("117226",#REF!,7,FALSE),0)*IFERROR(VLOOKUP("117226",#REF!,2,FALSE),0)/500</f>
        <v>0</v>
      </c>
      <c r="G48" s="336">
        <f t="shared" si="7"/>
        <v>0</v>
      </c>
      <c r="H48" s="242"/>
      <c r="I48" s="303">
        <f t="shared" si="8"/>
        <v>1.3</v>
      </c>
      <c r="J48" s="304">
        <f>'INVENTORY INPUT'!G260</f>
        <v>1</v>
      </c>
      <c r="K48" s="299">
        <f t="shared" si="9"/>
        <v>0.30000000000000004</v>
      </c>
      <c r="L48" s="317">
        <f t="shared" si="10"/>
        <v>0</v>
      </c>
      <c r="M48" s="225">
        <v>33.69</v>
      </c>
      <c r="N48" s="313">
        <f t="shared" si="11"/>
        <v>33.69</v>
      </c>
      <c r="O48" s="313">
        <f>IFERROR(VLOOKUP("117226",#REF!,10,FALSE),0)</f>
        <v>0</v>
      </c>
      <c r="P48" s="313">
        <f>IFERROR(VLOOKUP("117226",#REF!,10,FALSE),0)</f>
        <v>0</v>
      </c>
      <c r="Q48" s="313">
        <f t="shared" si="12"/>
        <v>0</v>
      </c>
      <c r="R48" s="309">
        <f t="shared" si="13"/>
        <v>33.69</v>
      </c>
      <c r="S48" s="236"/>
      <c r="T48" s="351"/>
    </row>
    <row r="49" spans="2:20" ht="15.75" customHeight="1" thickBot="1" x14ac:dyDescent="0.3">
      <c r="B49" s="88" t="s">
        <v>508</v>
      </c>
      <c r="C49" s="89" t="s">
        <v>168</v>
      </c>
      <c r="D49" s="333">
        <v>0.7</v>
      </c>
      <c r="E49" s="250">
        <f>IFERROR(VLOOKUP("117701",#REF!,7,FALSE),0)*IFERROR(VLOOKUP("117701",#REF!,2,FALSE),0)/1000</f>
        <v>0</v>
      </c>
      <c r="F49" s="250">
        <f>IFERROR(VLOOKUP("117701",#REF!,7,FALSE),0)*IFERROR(VLOOKUP("117701",#REF!,2,FALSE),0)/1000</f>
        <v>0</v>
      </c>
      <c r="G49" s="336">
        <f t="shared" si="7"/>
        <v>0</v>
      </c>
      <c r="H49" s="242"/>
      <c r="I49" s="303">
        <f t="shared" si="8"/>
        <v>0.7</v>
      </c>
      <c r="J49" s="304">
        <f>'INVENTORY INPUT'!G261</f>
        <v>1</v>
      </c>
      <c r="K49" s="299">
        <f t="shared" si="9"/>
        <v>-0.30000000000000004</v>
      </c>
      <c r="L49" s="317">
        <f t="shared" si="10"/>
        <v>0</v>
      </c>
      <c r="M49" s="225">
        <v>33.69</v>
      </c>
      <c r="N49" s="313">
        <f t="shared" si="11"/>
        <v>33.69</v>
      </c>
      <c r="O49" s="313">
        <f>IFERROR(VLOOKUP("117701",#REF!,10,FALSE),0)</f>
        <v>0</v>
      </c>
      <c r="P49" s="313">
        <f>IFERROR(VLOOKUP("117701",#REF!,10,FALSE),0)</f>
        <v>0</v>
      </c>
      <c r="Q49" s="313">
        <f t="shared" si="12"/>
        <v>0</v>
      </c>
      <c r="R49" s="309">
        <f t="shared" si="13"/>
        <v>33.69</v>
      </c>
      <c r="S49" s="236"/>
      <c r="T49" s="351"/>
    </row>
    <row r="50" spans="2:20" ht="15.75" customHeight="1" thickBot="1" x14ac:dyDescent="0.3">
      <c r="B50" s="88" t="s">
        <v>486</v>
      </c>
      <c r="C50" s="89" t="s">
        <v>214</v>
      </c>
      <c r="D50" s="333">
        <v>1.25</v>
      </c>
      <c r="E50" s="250">
        <f>IFERROR(VLOOKUP("110476",#REF!,7,FALSE),0)*IFERROR(VLOOKUP("110476",#REF!,2,FALSE),0)/50</f>
        <v>0</v>
      </c>
      <c r="F50" s="250">
        <f>IFERROR(VLOOKUP("110476",#REF!,7,FALSE),0)*IFERROR(VLOOKUP("110476",#REF!,2,FALSE),0)/50</f>
        <v>0</v>
      </c>
      <c r="G50" s="336">
        <f t="shared" si="7"/>
        <v>0</v>
      </c>
      <c r="H50" s="245"/>
      <c r="I50" s="303">
        <f t="shared" si="8"/>
        <v>1.25</v>
      </c>
      <c r="J50" s="304">
        <f>'INVENTORY INPUT'!G262</f>
        <v>0.8</v>
      </c>
      <c r="K50" s="299">
        <f t="shared" si="9"/>
        <v>0.44999999999999996</v>
      </c>
      <c r="L50" s="317">
        <f t="shared" si="10"/>
        <v>0</v>
      </c>
      <c r="M50" s="225">
        <v>13.3</v>
      </c>
      <c r="N50" s="313">
        <f t="shared" si="11"/>
        <v>13.3</v>
      </c>
      <c r="O50" s="313">
        <f>IFERROR(VLOOKUP("110476",#REF!,10,FALSE),0)</f>
        <v>0</v>
      </c>
      <c r="P50" s="313">
        <f>IFERROR(VLOOKUP("110476",#REF!,10,FALSE),0)</f>
        <v>0</v>
      </c>
      <c r="Q50" s="313">
        <f t="shared" si="12"/>
        <v>0</v>
      </c>
      <c r="R50" s="309">
        <f t="shared" ref="R50:R62" si="14">IF(L50,(L50*J50),(M50*J50))</f>
        <v>10.64</v>
      </c>
      <c r="S50" s="236"/>
    </row>
    <row r="51" spans="2:20" ht="15.75" customHeight="1" thickBot="1" x14ac:dyDescent="0.3">
      <c r="B51" s="88" t="s">
        <v>484</v>
      </c>
      <c r="C51" s="89" t="s">
        <v>214</v>
      </c>
      <c r="D51" s="333">
        <v>1.25</v>
      </c>
      <c r="E51" s="250">
        <f>IFERROR(VLOOKUP("110511",#REF!,7,FALSE),0)*IFERROR(VLOOKUP("110511",#REF!,2,FALSE),0)/50</f>
        <v>0</v>
      </c>
      <c r="F51" s="250">
        <f>IFERROR(VLOOKUP("110511",#REF!,7,FALSE),0)*IFERROR(VLOOKUP("110511",#REF!,2,FALSE),0)/50</f>
        <v>0</v>
      </c>
      <c r="G51" s="336">
        <f t="shared" si="7"/>
        <v>0</v>
      </c>
      <c r="H51" s="245"/>
      <c r="I51" s="303">
        <f t="shared" si="8"/>
        <v>1.25</v>
      </c>
      <c r="J51" s="304">
        <f>'INVENTORY INPUT'!G263</f>
        <v>0.9</v>
      </c>
      <c r="K51" s="299">
        <f t="shared" si="9"/>
        <v>0.35</v>
      </c>
      <c r="L51" s="317">
        <f t="shared" si="10"/>
        <v>0</v>
      </c>
      <c r="M51" s="225">
        <v>16.13</v>
      </c>
      <c r="N51" s="313">
        <f t="shared" si="11"/>
        <v>16.13</v>
      </c>
      <c r="O51" s="313">
        <f>IFERROR(VLOOKUP("110511",#REF!,10,FALSE),0)</f>
        <v>0</v>
      </c>
      <c r="P51" s="313">
        <f>IFERROR(VLOOKUP("110511",#REF!,10,FALSE),0)</f>
        <v>0</v>
      </c>
      <c r="Q51" s="313">
        <f t="shared" si="12"/>
        <v>0</v>
      </c>
      <c r="R51" s="309">
        <f t="shared" si="14"/>
        <v>14.516999999999999</v>
      </c>
      <c r="S51" s="236"/>
    </row>
    <row r="52" spans="2:20" ht="15.75" customHeight="1" thickBot="1" x14ac:dyDescent="0.3">
      <c r="B52" s="88" t="s">
        <v>485</v>
      </c>
      <c r="C52" s="89" t="s">
        <v>214</v>
      </c>
      <c r="D52" s="333">
        <v>0.5</v>
      </c>
      <c r="E52" s="250">
        <f>IFERROR(VLOOKUP("110481",#REF!,7,FALSE),0)*IFERROR(VLOOKUP("110481",#REF!,2,FALSE),0)/50</f>
        <v>0</v>
      </c>
      <c r="F52" s="250">
        <f>IFERROR(VLOOKUP("110481",#REF!,7,FALSE),0)*IFERROR(VLOOKUP("110481",#REF!,2,FALSE),0)/50</f>
        <v>0</v>
      </c>
      <c r="G52" s="336">
        <f t="shared" si="7"/>
        <v>0</v>
      </c>
      <c r="H52" s="245"/>
      <c r="I52" s="303">
        <f t="shared" si="8"/>
        <v>0.5</v>
      </c>
      <c r="J52" s="304">
        <f>'INVENTORY INPUT'!G264</f>
        <v>0.8</v>
      </c>
      <c r="K52" s="299">
        <f t="shared" si="9"/>
        <v>-0.30000000000000004</v>
      </c>
      <c r="L52" s="317">
        <f t="shared" si="10"/>
        <v>0</v>
      </c>
      <c r="M52" s="225">
        <v>25.9</v>
      </c>
      <c r="N52" s="313">
        <f t="shared" si="11"/>
        <v>25.9</v>
      </c>
      <c r="O52" s="313">
        <f>IFERROR(VLOOKUP("110481",#REF!,10,FALSE),0)</f>
        <v>0</v>
      </c>
      <c r="P52" s="313">
        <f>IFERROR(VLOOKUP("110481",#REF!,10,FALSE),0)</f>
        <v>0</v>
      </c>
      <c r="Q52" s="313">
        <f t="shared" si="12"/>
        <v>0</v>
      </c>
      <c r="R52" s="309">
        <f t="shared" si="14"/>
        <v>20.72</v>
      </c>
      <c r="S52" s="236"/>
    </row>
    <row r="53" spans="2:20" ht="15.75" customHeight="1" thickBot="1" x14ac:dyDescent="0.3">
      <c r="B53" s="85" t="s">
        <v>311</v>
      </c>
      <c r="C53" s="86" t="s">
        <v>408</v>
      </c>
      <c r="D53" s="332">
        <v>14</v>
      </c>
      <c r="E53" s="250">
        <f>IFERROR(VLOOKUP("126270",#REF!,7,FALSE),0)*IFERROR(VLOOKUP("126270",#REF!,2,FALSE),0)/50</f>
        <v>0</v>
      </c>
      <c r="F53" s="250">
        <f>IFERROR(VLOOKUP("126270",#REF!,7,FALSE),0)*IFERROR(VLOOKUP("126270",#REF!,2,FALSE),0)/50</f>
        <v>0</v>
      </c>
      <c r="G53" s="336">
        <f t="shared" si="7"/>
        <v>0</v>
      </c>
      <c r="H53" s="242"/>
      <c r="I53" s="303">
        <f t="shared" si="8"/>
        <v>14</v>
      </c>
      <c r="J53" s="304">
        <f>'INVENTORY INPUT'!G265</f>
        <v>0.1</v>
      </c>
      <c r="K53" s="299">
        <f t="shared" si="9"/>
        <v>13.9</v>
      </c>
      <c r="L53" s="317">
        <f t="shared" si="10"/>
        <v>0</v>
      </c>
      <c r="M53" s="222">
        <v>3.22</v>
      </c>
      <c r="N53" s="313">
        <f t="shared" si="11"/>
        <v>3.22</v>
      </c>
      <c r="O53" s="313">
        <f>IFERROR(VLOOKUP("126270",#REF!,10,FALSE),0)</f>
        <v>0</v>
      </c>
      <c r="P53" s="313">
        <f>IFERROR(VLOOKUP("126270",#REF!,10,FALSE),0)</f>
        <v>0</v>
      </c>
      <c r="Q53" s="313">
        <f t="shared" si="12"/>
        <v>0</v>
      </c>
      <c r="R53" s="309">
        <f t="shared" si="14"/>
        <v>0.32200000000000006</v>
      </c>
      <c r="S53" s="236"/>
      <c r="T53" s="351"/>
    </row>
    <row r="54" spans="2:20" ht="15.75" customHeight="1" thickBot="1" x14ac:dyDescent="0.3">
      <c r="B54" s="85" t="s">
        <v>413</v>
      </c>
      <c r="C54" s="86" t="s">
        <v>408</v>
      </c>
      <c r="D54" s="332">
        <v>8</v>
      </c>
      <c r="E54" s="250">
        <f>IFERROR(VLOOKUP("755677",#REF!,7,FALSE),0)*IFERROR(VLOOKUP("755677",#REF!,2,FALSE),0)/50</f>
        <v>0</v>
      </c>
      <c r="F54" s="250">
        <f>IFERROR(VLOOKUP("755677",#REF!,7,FALSE),0)*IFERROR(VLOOKUP("755677",#REF!,2,FALSE),0)/50</f>
        <v>0</v>
      </c>
      <c r="G54" s="336">
        <f t="shared" si="7"/>
        <v>0</v>
      </c>
      <c r="H54" s="242"/>
      <c r="I54" s="303">
        <f t="shared" si="8"/>
        <v>8</v>
      </c>
      <c r="J54" s="304">
        <f>'INVENTORY INPUT'!G266</f>
        <v>1.2</v>
      </c>
      <c r="K54" s="299">
        <f t="shared" si="9"/>
        <v>6.8</v>
      </c>
      <c r="L54" s="317">
        <f t="shared" si="10"/>
        <v>0</v>
      </c>
      <c r="M54" s="222">
        <v>1.61</v>
      </c>
      <c r="N54" s="313">
        <f t="shared" si="11"/>
        <v>1.61</v>
      </c>
      <c r="O54" s="313">
        <f>IFERROR(VLOOKUP("755677",#REF!,10,FALSE),0)</f>
        <v>0</v>
      </c>
      <c r="P54" s="313">
        <f>IFERROR(VLOOKUP("755677",#REF!,10,FALSE),0)</f>
        <v>0</v>
      </c>
      <c r="Q54" s="313">
        <f t="shared" si="12"/>
        <v>0</v>
      </c>
      <c r="R54" s="309">
        <f t="shared" si="14"/>
        <v>1.9319999999999999</v>
      </c>
      <c r="S54" s="236"/>
      <c r="T54" s="351"/>
    </row>
    <row r="55" spans="2:20" ht="15.75" customHeight="1" thickBot="1" x14ac:dyDescent="0.25">
      <c r="B55" s="85" t="s">
        <v>414</v>
      </c>
      <c r="C55" s="86" t="s">
        <v>214</v>
      </c>
      <c r="D55" s="332">
        <v>0.5</v>
      </c>
      <c r="E55" s="297"/>
      <c r="F55" s="245"/>
      <c r="G55" s="336">
        <f t="shared" si="7"/>
        <v>0</v>
      </c>
      <c r="H55" s="245"/>
      <c r="I55" s="303">
        <f t="shared" si="8"/>
        <v>0.5</v>
      </c>
      <c r="J55" s="304">
        <f>'INVENTORY INPUT'!G267</f>
        <v>6.2</v>
      </c>
      <c r="K55" s="299">
        <f t="shared" si="9"/>
        <v>-5.7</v>
      </c>
      <c r="L55" s="299"/>
      <c r="M55" s="222">
        <v>14.99</v>
      </c>
      <c r="N55" s="313">
        <f t="shared" si="11"/>
        <v>14.99</v>
      </c>
      <c r="O55" s="315"/>
      <c r="P55" s="315"/>
      <c r="Q55" s="313">
        <f t="shared" si="12"/>
        <v>0</v>
      </c>
      <c r="R55" s="309">
        <f t="shared" si="14"/>
        <v>92.938000000000002</v>
      </c>
      <c r="S55" s="236"/>
    </row>
    <row r="56" spans="2:20" ht="15.75" customHeight="1" thickBot="1" x14ac:dyDescent="0.25">
      <c r="B56" s="85" t="s">
        <v>528</v>
      </c>
      <c r="C56" s="86" t="s">
        <v>168</v>
      </c>
      <c r="D56" s="332">
        <v>2.67</v>
      </c>
      <c r="E56" s="250">
        <f>IFERROR(VLOOKUP("116128",#REF!,7,FALSE),0)*IFERROR(VLOOKUP("116128",#REF!,2,FALSE),0)/150</f>
        <v>0</v>
      </c>
      <c r="F56" s="250">
        <f>IFERROR(VLOOKUP("116128",#REF!,7,FALSE),0)*IFERROR(VLOOKUP("116128",#REF!,2,FALSE),0)/150</f>
        <v>0</v>
      </c>
      <c r="G56" s="336">
        <f t="shared" si="7"/>
        <v>0</v>
      </c>
      <c r="H56" s="245"/>
      <c r="I56" s="303">
        <f t="shared" si="8"/>
        <v>2.67</v>
      </c>
      <c r="J56" s="304">
        <f>'INVENTORY INPUT'!G268</f>
        <v>2.5</v>
      </c>
      <c r="K56" s="299">
        <f t="shared" si="9"/>
        <v>0.16999999999999993</v>
      </c>
      <c r="L56" s="299"/>
      <c r="M56" s="222">
        <v>91.22</v>
      </c>
      <c r="N56" s="313">
        <f t="shared" si="11"/>
        <v>91.22</v>
      </c>
      <c r="O56" s="313">
        <f>IFERROR(VLOOKUP("116128",#REF!,10,FALSE),0)</f>
        <v>0</v>
      </c>
      <c r="P56" s="313">
        <f>IFERROR(VLOOKUP("116128",#REF!,10,FALSE),0)</f>
        <v>0</v>
      </c>
      <c r="Q56" s="313">
        <f t="shared" si="12"/>
        <v>0</v>
      </c>
      <c r="R56" s="309">
        <f t="shared" si="14"/>
        <v>228.05</v>
      </c>
      <c r="S56" s="236"/>
    </row>
    <row r="57" spans="2:20" ht="15.75" customHeight="1" thickBot="1" x14ac:dyDescent="0.25">
      <c r="B57" s="85" t="s">
        <v>529</v>
      </c>
      <c r="C57" s="86" t="s">
        <v>168</v>
      </c>
      <c r="D57" s="332">
        <v>3.67</v>
      </c>
      <c r="E57" s="250">
        <f>IFERROR(VLOOKUP("116127",#REF!,7,FALSE),0)*IFERROR(VLOOKUP("116127",#REF!,2,FALSE),0)/150</f>
        <v>0</v>
      </c>
      <c r="F57" s="250">
        <f>IFERROR(VLOOKUP("116127",#REF!,7,FALSE),0)*IFERROR(VLOOKUP("116127",#REF!,2,FALSE),0)/150</f>
        <v>0</v>
      </c>
      <c r="G57" s="336">
        <f t="shared" si="7"/>
        <v>0</v>
      </c>
      <c r="H57" s="245"/>
      <c r="I57" s="303">
        <f t="shared" si="8"/>
        <v>3.67</v>
      </c>
      <c r="J57" s="304">
        <f>'INVENTORY INPUT'!G269</f>
        <v>0.8</v>
      </c>
      <c r="K57" s="299">
        <f t="shared" si="9"/>
        <v>2.87</v>
      </c>
      <c r="L57" s="299"/>
      <c r="M57" s="222">
        <v>71.16</v>
      </c>
      <c r="N57" s="313">
        <f t="shared" si="11"/>
        <v>71.16</v>
      </c>
      <c r="O57" s="313">
        <f>IFERROR(VLOOKUP("116127",#REF!,10,FALSE),0)</f>
        <v>0</v>
      </c>
      <c r="P57" s="313">
        <f>IFERROR(VLOOKUP("116127",#REF!,10,FALSE),0)</f>
        <v>0</v>
      </c>
      <c r="Q57" s="313">
        <f t="shared" si="12"/>
        <v>0</v>
      </c>
      <c r="R57" s="309">
        <f t="shared" si="14"/>
        <v>56.927999999999997</v>
      </c>
      <c r="S57" s="236"/>
    </row>
    <row r="58" spans="2:20" ht="15.75" customHeight="1" thickBot="1" x14ac:dyDescent="0.3">
      <c r="B58" s="85" t="s">
        <v>6</v>
      </c>
      <c r="C58" s="86" t="s">
        <v>168</v>
      </c>
      <c r="D58" s="332">
        <v>0</v>
      </c>
      <c r="E58" s="250">
        <f>IFERROR(VLOOKUP("107302",#REF!,7,FALSE),0)*IFERROR(VLOOKUP("107302",#REF!,2,FALSE),0)/500</f>
        <v>0</v>
      </c>
      <c r="F58" s="250">
        <f>IFERROR(VLOOKUP("107302",#REF!,7,FALSE),0)*IFERROR(VLOOKUP("107302",#REF!,2,FALSE),0)/500</f>
        <v>0</v>
      </c>
      <c r="G58" s="336">
        <f t="shared" si="7"/>
        <v>0</v>
      </c>
      <c r="H58" s="242"/>
      <c r="I58" s="303">
        <f t="shared" si="8"/>
        <v>0</v>
      </c>
      <c r="J58" s="304" t="e">
        <f>'INVENTORY INPUT'!#REF!</f>
        <v>#REF!</v>
      </c>
      <c r="K58" s="299" t="e">
        <f t="shared" si="9"/>
        <v>#REF!</v>
      </c>
      <c r="L58" s="317">
        <f>IFERROR(Q58/G58,0)</f>
        <v>0</v>
      </c>
      <c r="M58" s="222">
        <v>85.43</v>
      </c>
      <c r="N58" s="313">
        <f t="shared" si="11"/>
        <v>85.43</v>
      </c>
      <c r="O58" s="313">
        <f>IFERROR(VLOOKUP("107302",#REF!,10,FALSE),0)</f>
        <v>0</v>
      </c>
      <c r="P58" s="313">
        <f>IFERROR(VLOOKUP("107302",#REF!,10,FALSE),0)</f>
        <v>0</v>
      </c>
      <c r="Q58" s="313">
        <f t="shared" si="12"/>
        <v>0</v>
      </c>
      <c r="R58" s="309" t="e">
        <f t="shared" si="14"/>
        <v>#REF!</v>
      </c>
      <c r="S58" s="236"/>
      <c r="T58" s="351"/>
    </row>
    <row r="59" spans="2:20" ht="15.75" customHeight="1" thickBot="1" x14ac:dyDescent="0.3">
      <c r="B59" s="85" t="s">
        <v>7</v>
      </c>
      <c r="C59" s="86" t="s">
        <v>168</v>
      </c>
      <c r="D59" s="332">
        <v>0</v>
      </c>
      <c r="E59" s="250">
        <f>IFERROR(VLOOKUP("107310",#REF!,7,FALSE),0)*IFERROR(VLOOKUP("107310",#REF!,2,FALSE),0)/500</f>
        <v>0</v>
      </c>
      <c r="F59" s="250">
        <f>IFERROR(VLOOKUP("107310",#REF!,7,FALSE),0)*IFERROR(VLOOKUP("107310",#REF!,2,FALSE),0)/500</f>
        <v>0</v>
      </c>
      <c r="G59" s="336">
        <f t="shared" si="7"/>
        <v>0</v>
      </c>
      <c r="H59" s="242"/>
      <c r="I59" s="303">
        <f t="shared" si="8"/>
        <v>0</v>
      </c>
      <c r="J59" s="304" t="e">
        <f>'INVENTORY INPUT'!#REF!</f>
        <v>#REF!</v>
      </c>
      <c r="K59" s="299" t="e">
        <f t="shared" si="9"/>
        <v>#REF!</v>
      </c>
      <c r="L59" s="317">
        <f>IFERROR(Q59/G59,0)</f>
        <v>0</v>
      </c>
      <c r="M59" s="222">
        <v>96.37</v>
      </c>
      <c r="N59" s="313">
        <f t="shared" si="11"/>
        <v>96.37</v>
      </c>
      <c r="O59" s="313">
        <f>IFERROR(VLOOKUP("107310",#REF!,10,FALSE),0)</f>
        <v>0</v>
      </c>
      <c r="P59" s="313">
        <f>IFERROR(VLOOKUP("107310",#REF!,10,FALSE),0)</f>
        <v>0</v>
      </c>
      <c r="Q59" s="313">
        <f t="shared" si="12"/>
        <v>0</v>
      </c>
      <c r="R59" s="309" t="e">
        <f t="shared" si="14"/>
        <v>#REF!</v>
      </c>
      <c r="S59" s="236"/>
      <c r="T59" s="351"/>
    </row>
    <row r="60" spans="2:20" ht="15.75" customHeight="1" thickBot="1" x14ac:dyDescent="0.3">
      <c r="B60" s="85" t="s">
        <v>487</v>
      </c>
      <c r="C60" s="86" t="s">
        <v>175</v>
      </c>
      <c r="D60" s="332">
        <v>0.8</v>
      </c>
      <c r="E60" s="250">
        <f>IFERROR(VLOOKUP("747347",#REF!,7,FALSE),0)*IFERROR(VLOOKUP("747347",#REF!,2,FALSE),0)/450</f>
        <v>0</v>
      </c>
      <c r="F60" s="250">
        <f>IFERROR(VLOOKUP("747347",#REF!,7,FALSE),0)*IFERROR(VLOOKUP("747347",#REF!,2,FALSE),0)/450</f>
        <v>0</v>
      </c>
      <c r="G60" s="336">
        <f t="shared" si="7"/>
        <v>0</v>
      </c>
      <c r="H60" s="245"/>
      <c r="I60" s="303">
        <f t="shared" si="8"/>
        <v>0.8</v>
      </c>
      <c r="J60" s="304">
        <f>'INVENTORY INPUT'!G270</f>
        <v>0.1</v>
      </c>
      <c r="K60" s="299">
        <f t="shared" si="9"/>
        <v>0.70000000000000007</v>
      </c>
      <c r="L60" s="317">
        <f>IFERROR(Q60/G60,0)</f>
        <v>0</v>
      </c>
      <c r="M60" s="222">
        <v>24.6</v>
      </c>
      <c r="N60" s="313">
        <f t="shared" si="11"/>
        <v>24.6</v>
      </c>
      <c r="O60" s="313">
        <f>IFERROR(VLOOKUP("747347",#REF!,10,FALSE),0)</f>
        <v>0</v>
      </c>
      <c r="P60" s="313">
        <f>IFERROR(VLOOKUP("747347",#REF!,10,FALSE),0)</f>
        <v>0</v>
      </c>
      <c r="Q60" s="313">
        <f t="shared" si="12"/>
        <v>0</v>
      </c>
      <c r="R60" s="309">
        <f t="shared" si="14"/>
        <v>2.4600000000000004</v>
      </c>
      <c r="S60" s="236"/>
    </row>
    <row r="61" spans="2:20" ht="15.75" customHeight="1" thickBot="1" x14ac:dyDescent="0.25">
      <c r="B61" s="85" t="s">
        <v>530</v>
      </c>
      <c r="C61" s="86" t="s">
        <v>175</v>
      </c>
      <c r="D61" s="332">
        <v>2</v>
      </c>
      <c r="E61" s="250">
        <f>IFERROR(VLOOKUP("117386",#REF!,7,FALSE),0)*IFERROR(VLOOKUP("117386",#REF!,2,FALSE),0)/150</f>
        <v>0</v>
      </c>
      <c r="F61" s="250">
        <f>IFERROR(VLOOKUP("117386",#REF!,7,FALSE),0)*IFERROR(VLOOKUP("117386",#REF!,2,FALSE),0)/150</f>
        <v>0</v>
      </c>
      <c r="G61" s="336">
        <f t="shared" si="7"/>
        <v>0</v>
      </c>
      <c r="H61" s="245"/>
      <c r="I61" s="303">
        <f t="shared" si="8"/>
        <v>2</v>
      </c>
      <c r="J61" s="304">
        <f>'INVENTORY INPUT'!G271</f>
        <v>0.35</v>
      </c>
      <c r="K61" s="299">
        <f t="shared" si="9"/>
        <v>1.65</v>
      </c>
      <c r="L61" s="299"/>
      <c r="M61" s="222">
        <v>33.5</v>
      </c>
      <c r="N61" s="313">
        <f t="shared" si="11"/>
        <v>33.5</v>
      </c>
      <c r="O61" s="313">
        <f>IFERROR(VLOOKUP("117386",#REF!,10,FALSE),0)</f>
        <v>0</v>
      </c>
      <c r="P61" s="313">
        <f>IFERROR(VLOOKUP("117386",#REF!,10,FALSE),0)</f>
        <v>0</v>
      </c>
      <c r="Q61" s="313">
        <f t="shared" si="12"/>
        <v>0</v>
      </c>
      <c r="R61" s="309">
        <f t="shared" si="14"/>
        <v>11.725</v>
      </c>
      <c r="S61" s="236"/>
    </row>
    <row r="62" spans="2:20" ht="15.75" customHeight="1" x14ac:dyDescent="0.2">
      <c r="B62" s="85" t="s">
        <v>526</v>
      </c>
      <c r="C62" s="86" t="s">
        <v>175</v>
      </c>
      <c r="D62" s="332">
        <v>0.25</v>
      </c>
      <c r="E62" s="297">
        <f>IFERROR(VLOOKUP("127072",#REF!,7,FALSE),0)*IFERROR(VLOOKUP("127072",#REF!,2,FALSE),0)/1000</f>
        <v>0</v>
      </c>
      <c r="F62" s="245">
        <f>IFERROR(VLOOKUP("127072",#REF!,7,FALSE),0)*IFERROR(VLOOKUP("127072",#REF!,2,FALSE),0)/1000</f>
        <v>0</v>
      </c>
      <c r="G62" s="336">
        <f t="shared" si="7"/>
        <v>0</v>
      </c>
      <c r="H62" s="245"/>
      <c r="I62" s="303">
        <f t="shared" si="8"/>
        <v>0.25</v>
      </c>
      <c r="J62" s="304">
        <f>'INVENTORY INPUT'!G272</f>
        <v>16.100000000000001</v>
      </c>
      <c r="K62" s="299">
        <f t="shared" si="9"/>
        <v>-15.850000000000001</v>
      </c>
      <c r="L62" s="299"/>
      <c r="M62" s="222">
        <v>1.76</v>
      </c>
      <c r="N62" s="313">
        <f t="shared" si="11"/>
        <v>1.76</v>
      </c>
      <c r="O62" s="313">
        <f>IFERROR(VLOOKUP("127072",#REF!,10,FALSE),0)</f>
        <v>0</v>
      </c>
      <c r="P62" s="313">
        <f>IFERROR(VLOOKUP("127072",#REF!,10,FALSE),0)</f>
        <v>0</v>
      </c>
      <c r="Q62" s="313">
        <f t="shared" si="12"/>
        <v>0</v>
      </c>
      <c r="R62" s="309">
        <f t="shared" si="14"/>
        <v>28.336000000000002</v>
      </c>
      <c r="S62" s="236"/>
    </row>
    <row r="63" spans="2:20" ht="15.75" customHeight="1" x14ac:dyDescent="0.2">
      <c r="B63" s="92" t="s">
        <v>398</v>
      </c>
      <c r="C63" s="92"/>
      <c r="D63" s="298" t="e">
        <f>SUM(R39:R62)</f>
        <v>#REF!</v>
      </c>
      <c r="E63" s="213"/>
      <c r="F63" s="213"/>
      <c r="G63" s="213"/>
      <c r="H63" s="213"/>
      <c r="I63" s="305"/>
      <c r="J63" s="305"/>
      <c r="K63" s="306"/>
      <c r="L63" s="306"/>
      <c r="O63" s="353">
        <f>SUM(O39:O62)</f>
        <v>0</v>
      </c>
      <c r="P63" s="353">
        <f>SUM(P39:P62)</f>
        <v>0</v>
      </c>
      <c r="Q63" s="353">
        <f>SUM(Q39:Q62)</f>
        <v>0</v>
      </c>
      <c r="S63" s="236"/>
    </row>
    <row r="64" spans="2:20" ht="15.75" customHeight="1" x14ac:dyDescent="0.2">
      <c r="B64" s="87"/>
      <c r="C64" s="87"/>
      <c r="D64" s="294"/>
      <c r="E64" s="213"/>
      <c r="F64" s="213"/>
      <c r="G64" s="213"/>
      <c r="H64" s="213"/>
      <c r="I64" s="305"/>
      <c r="J64" s="305"/>
      <c r="K64" s="306"/>
      <c r="L64" s="306"/>
    </row>
    <row r="65" spans="2:20" ht="15.75" customHeight="1" thickBot="1" x14ac:dyDescent="0.3">
      <c r="B65" s="97" t="s">
        <v>274</v>
      </c>
      <c r="C65" s="95"/>
      <c r="D65" s="295"/>
      <c r="E65" s="296"/>
      <c r="F65" s="296"/>
      <c r="G65" s="214"/>
      <c r="H65" s="214"/>
      <c r="I65" s="96"/>
      <c r="J65" s="96"/>
      <c r="K65" s="96"/>
      <c r="L65" s="295"/>
      <c r="M65" s="224"/>
      <c r="N65" s="224"/>
      <c r="O65" s="224"/>
      <c r="P65" s="224"/>
      <c r="Q65" s="224"/>
      <c r="R65" s="310"/>
    </row>
    <row r="66" spans="2:20" ht="15.75" customHeight="1" thickBot="1" x14ac:dyDescent="0.3">
      <c r="B66" s="88" t="s">
        <v>417</v>
      </c>
      <c r="C66" s="89" t="s">
        <v>168</v>
      </c>
      <c r="D66" s="334">
        <v>1.25</v>
      </c>
      <c r="E66" s="250">
        <f>IFERROR(VLOOKUP("710136",#REF!,7,FALSE),0)*IFERROR(VLOOKUP("710136",#REF!,2,FALSE),0)/125</f>
        <v>0</v>
      </c>
      <c r="F66" s="250">
        <f>IFERROR(VLOOKUP("710136",#REF!,7,FALSE),0)*IFERROR(VLOOKUP("710136",#REF!,2,FALSE),0)/125</f>
        <v>0</v>
      </c>
      <c r="G66" s="336">
        <f t="shared" ref="G66:G92" si="15">SUM(E66:F66)</f>
        <v>0</v>
      </c>
      <c r="H66" s="215"/>
      <c r="I66" s="303">
        <f t="shared" ref="I66:I92" si="16">D66+G66+H66</f>
        <v>1.25</v>
      </c>
      <c r="J66" s="304">
        <f>'INVENTORY INPUT'!G278</f>
        <v>1</v>
      </c>
      <c r="K66" s="299">
        <f t="shared" ref="K66:K92" si="17">(I66-J66)</f>
        <v>0.25</v>
      </c>
      <c r="L66" s="317">
        <f t="shared" ref="L66:L71" si="18">IFERROR(Q66/G66,0)</f>
        <v>0</v>
      </c>
      <c r="M66" s="225">
        <v>33.090000000000003</v>
      </c>
      <c r="N66" s="313">
        <f t="shared" ref="N66:N92" si="19">IF(L66=0,M66,(Q66/H66))</f>
        <v>33.090000000000003</v>
      </c>
      <c r="O66" s="313">
        <f>IFERROR(VLOOKUP("710136",#REF!,10,FALSE),0)</f>
        <v>0</v>
      </c>
      <c r="P66" s="313">
        <f>IFERROR(VLOOKUP("710136",#REF!,10,FALSE),0)</f>
        <v>0</v>
      </c>
      <c r="Q66" s="313">
        <f t="shared" ref="Q66:Q92" si="20">IF(G66,(SUM(O66:P66)),(H66*M66))</f>
        <v>0</v>
      </c>
      <c r="R66" s="309">
        <f t="shared" ref="R66:R92" si="21">IF(L66,(L66*J66),(M66*J66))</f>
        <v>33.090000000000003</v>
      </c>
      <c r="S66" s="236"/>
    </row>
    <row r="67" spans="2:20" ht="15.75" customHeight="1" thickBot="1" x14ac:dyDescent="0.3">
      <c r="B67" s="90" t="s">
        <v>418</v>
      </c>
      <c r="C67" s="89" t="s">
        <v>168</v>
      </c>
      <c r="D67" s="334">
        <v>0.25</v>
      </c>
      <c r="E67" s="250">
        <f>IFERROR(VLOOKUP("113117",#REF!,7,FALSE),0)*IFERROR(VLOOKUP("113117",#REF!,2,FALSE),0)/250</f>
        <v>0</v>
      </c>
      <c r="F67" s="250">
        <f>IFERROR(VLOOKUP("113117",#REF!,7,FALSE),0)*IFERROR(VLOOKUP("113117",#REF!,2,FALSE),0)/250</f>
        <v>0</v>
      </c>
      <c r="G67" s="336">
        <f t="shared" si="15"/>
        <v>0</v>
      </c>
      <c r="H67" s="245"/>
      <c r="I67" s="303">
        <f t="shared" si="16"/>
        <v>0.25</v>
      </c>
      <c r="J67" s="304">
        <f>'INVENTORY INPUT'!G279</f>
        <v>0</v>
      </c>
      <c r="K67" s="299">
        <f t="shared" si="17"/>
        <v>0.25</v>
      </c>
      <c r="L67" s="317">
        <f t="shared" si="18"/>
        <v>0</v>
      </c>
      <c r="M67" s="225">
        <v>19.87</v>
      </c>
      <c r="N67" s="313">
        <f t="shared" si="19"/>
        <v>19.87</v>
      </c>
      <c r="O67" s="313">
        <f>IFERROR(VLOOKUP("113117",#REF!,10,FALSE),0)</f>
        <v>0</v>
      </c>
      <c r="P67" s="313">
        <f>IFERROR(VLOOKUP("113117",#REF!,10,FALSE),0)</f>
        <v>0</v>
      </c>
      <c r="Q67" s="313">
        <v>26.97</v>
      </c>
      <c r="R67" s="309">
        <f t="shared" si="21"/>
        <v>0</v>
      </c>
      <c r="S67" s="236"/>
    </row>
    <row r="68" spans="2:20" ht="15.75" customHeight="1" thickBot="1" x14ac:dyDescent="0.3">
      <c r="B68" s="88" t="s">
        <v>314</v>
      </c>
      <c r="C68" s="89" t="s">
        <v>168</v>
      </c>
      <c r="D68" s="334">
        <v>1.5</v>
      </c>
      <c r="E68" s="250">
        <f>IFERROR(VLOOKUP("113115",#REF!,7,FALSE),0)*IFERROR(VLOOKUP("113115",#REF!,2,FALSE),0)/200</f>
        <v>0</v>
      </c>
      <c r="F68" s="250">
        <f>IFERROR(VLOOKUP("113115",#REF!,7,FALSE),0)*IFERROR(VLOOKUP("113115",#REF!,2,FALSE),0)/200</f>
        <v>0</v>
      </c>
      <c r="G68" s="336">
        <f t="shared" si="15"/>
        <v>0</v>
      </c>
      <c r="H68" s="245"/>
      <c r="I68" s="303">
        <f t="shared" si="16"/>
        <v>1.5</v>
      </c>
      <c r="J68" s="304">
        <f>'INVENTORY INPUT'!G280</f>
        <v>0</v>
      </c>
      <c r="K68" s="299">
        <f t="shared" si="17"/>
        <v>1.5</v>
      </c>
      <c r="L68" s="317">
        <f t="shared" si="18"/>
        <v>0</v>
      </c>
      <c r="M68" s="225">
        <v>40.15</v>
      </c>
      <c r="N68" s="313">
        <f t="shared" si="19"/>
        <v>40.15</v>
      </c>
      <c r="O68" s="313">
        <f>IFERROR(VLOOKUP("113115",#REF!,10,FALSE),0)</f>
        <v>0</v>
      </c>
      <c r="P68" s="313">
        <f>IFERROR(VLOOKUP("113115",#REF!,10,FALSE),0)</f>
        <v>0</v>
      </c>
      <c r="Q68" s="313">
        <f t="shared" si="20"/>
        <v>0</v>
      </c>
      <c r="R68" s="309">
        <f t="shared" si="21"/>
        <v>0</v>
      </c>
      <c r="S68" s="236"/>
    </row>
    <row r="69" spans="2:20" ht="15.75" customHeight="1" thickBot="1" x14ac:dyDescent="0.3">
      <c r="B69" s="90" t="s">
        <v>503</v>
      </c>
      <c r="C69" s="89" t="s">
        <v>141</v>
      </c>
      <c r="D69" s="334">
        <v>4</v>
      </c>
      <c r="E69" s="250">
        <f>IFERROR(VLOOKUP("799017",#REF!,7,FALSE),0)*IFERROR(VLOOKUP("799017",#REF!,2,FALSE),0)</f>
        <v>0</v>
      </c>
      <c r="F69" s="250">
        <f>IFERROR(VLOOKUP("799017",#REF!,7,FALSE),0)*IFERROR(VLOOKUP("799017",#REF!,2,FALSE),0)</f>
        <v>0</v>
      </c>
      <c r="G69" s="336">
        <f t="shared" si="15"/>
        <v>0</v>
      </c>
      <c r="H69" s="245"/>
      <c r="I69" s="303">
        <f t="shared" si="16"/>
        <v>4</v>
      </c>
      <c r="J69" s="304">
        <f>'INVENTORY INPUT'!G281</f>
        <v>0.8</v>
      </c>
      <c r="K69" s="299">
        <f t="shared" si="17"/>
        <v>3.2</v>
      </c>
      <c r="L69" s="317">
        <f t="shared" si="18"/>
        <v>0</v>
      </c>
      <c r="M69" s="225">
        <v>6.15</v>
      </c>
      <c r="N69" s="313">
        <f t="shared" si="19"/>
        <v>6.15</v>
      </c>
      <c r="O69" s="313">
        <f>IFERROR(VLOOKUP("799017",#REF!,10,FALSE),0)</f>
        <v>0</v>
      </c>
      <c r="P69" s="313">
        <f>IFERROR(VLOOKUP("799017",#REF!,10,FALSE),0)</f>
        <v>0</v>
      </c>
      <c r="Q69" s="313">
        <f t="shared" si="20"/>
        <v>0</v>
      </c>
      <c r="R69" s="309">
        <f t="shared" si="21"/>
        <v>4.9200000000000008</v>
      </c>
      <c r="S69" s="236"/>
    </row>
    <row r="70" spans="2:20" ht="15.75" customHeight="1" thickBot="1" x14ac:dyDescent="0.3">
      <c r="B70" s="90" t="s">
        <v>312</v>
      </c>
      <c r="C70" s="89" t="s">
        <v>141</v>
      </c>
      <c r="D70" s="334">
        <v>4</v>
      </c>
      <c r="E70" s="250">
        <f>IFERROR(VLOOKUP("795850",#REF!,7,FALSE),0)*IFERROR(VLOOKUP("795850",#REF!,2,FALSE),0)</f>
        <v>0</v>
      </c>
      <c r="F70" s="250">
        <f>IFERROR(VLOOKUP("795850",#REF!,7,FALSE),0)*IFERROR(VLOOKUP("795850",#REF!,2,FALSE),0)</f>
        <v>0</v>
      </c>
      <c r="G70" s="336">
        <f t="shared" si="15"/>
        <v>0</v>
      </c>
      <c r="H70" s="245"/>
      <c r="I70" s="303">
        <f t="shared" si="16"/>
        <v>4</v>
      </c>
      <c r="J70" s="304">
        <f>'INVENTORY INPUT'!G282</f>
        <v>18</v>
      </c>
      <c r="K70" s="299">
        <f t="shared" si="17"/>
        <v>-14</v>
      </c>
      <c r="L70" s="317">
        <f t="shared" si="18"/>
        <v>0</v>
      </c>
      <c r="M70" s="225">
        <v>0.45</v>
      </c>
      <c r="N70" s="313">
        <f t="shared" si="19"/>
        <v>0.45</v>
      </c>
      <c r="O70" s="313">
        <f>IFERROR(VLOOKUP("795850",#REF!,10,FALSE),0)</f>
        <v>0</v>
      </c>
      <c r="P70" s="313">
        <f>IFERROR(VLOOKUP("795850",#REF!,10,FALSE),0)</f>
        <v>0</v>
      </c>
      <c r="Q70" s="313">
        <f t="shared" si="20"/>
        <v>0</v>
      </c>
      <c r="R70" s="309">
        <f t="shared" si="21"/>
        <v>8.1</v>
      </c>
      <c r="S70" s="236"/>
    </row>
    <row r="71" spans="2:20" ht="15.75" customHeight="1" thickBot="1" x14ac:dyDescent="0.3">
      <c r="B71" s="90" t="s">
        <v>313</v>
      </c>
      <c r="C71" s="89" t="s">
        <v>179</v>
      </c>
      <c r="D71" s="334">
        <v>0.8</v>
      </c>
      <c r="E71" s="250">
        <f>IFERROR(VLOOKUP("106821",#REF!,7,FALSE),0)*IFERROR(VLOOKUP("106821",#REF!,2,FALSE),0)</f>
        <v>0</v>
      </c>
      <c r="F71" s="250">
        <f>IFERROR(VLOOKUP("106821",#REF!,7,FALSE),0)*IFERROR(VLOOKUP("106821",#REF!,2,FALSE),0)</f>
        <v>0</v>
      </c>
      <c r="G71" s="336">
        <f t="shared" si="15"/>
        <v>0</v>
      </c>
      <c r="H71" s="245"/>
      <c r="I71" s="303">
        <f t="shared" si="16"/>
        <v>0.8</v>
      </c>
      <c r="J71" s="304">
        <f>'INVENTORY INPUT'!G283</f>
        <v>0</v>
      </c>
      <c r="K71" s="299">
        <f t="shared" si="17"/>
        <v>0.8</v>
      </c>
      <c r="L71" s="317">
        <f t="shared" si="18"/>
        <v>0</v>
      </c>
      <c r="M71" s="225">
        <v>3.99</v>
      </c>
      <c r="N71" s="313">
        <f t="shared" si="19"/>
        <v>3.99</v>
      </c>
      <c r="O71" s="313">
        <f>IFERROR(VLOOKUP("106821",#REF!,10,FALSE),0)</f>
        <v>0</v>
      </c>
      <c r="P71" s="313">
        <f>IFERROR(VLOOKUP("106821",#REF!,10,FALSE),0)</f>
        <v>0</v>
      </c>
      <c r="Q71" s="313">
        <v>7.47</v>
      </c>
      <c r="R71" s="309">
        <f t="shared" si="21"/>
        <v>0</v>
      </c>
      <c r="S71" s="236"/>
    </row>
    <row r="72" spans="2:20" ht="15.75" customHeight="1" thickBot="1" x14ac:dyDescent="0.25">
      <c r="B72" s="90" t="s">
        <v>316</v>
      </c>
      <c r="C72" s="89" t="s">
        <v>179</v>
      </c>
      <c r="D72" s="334">
        <v>0</v>
      </c>
      <c r="E72" s="297"/>
      <c r="F72" s="245"/>
      <c r="G72" s="336">
        <f t="shared" si="15"/>
        <v>0</v>
      </c>
      <c r="H72" s="245"/>
      <c r="I72" s="303">
        <f t="shared" si="16"/>
        <v>0</v>
      </c>
      <c r="J72" s="304">
        <f>'INVENTORY INPUT'!G284</f>
        <v>0</v>
      </c>
      <c r="K72" s="299">
        <f t="shared" si="17"/>
        <v>0</v>
      </c>
      <c r="L72" s="299"/>
      <c r="M72" s="225">
        <v>10.99</v>
      </c>
      <c r="N72" s="313">
        <f t="shared" si="19"/>
        <v>10.99</v>
      </c>
      <c r="O72" s="316"/>
      <c r="P72" s="316"/>
      <c r="Q72" s="313">
        <f t="shared" si="20"/>
        <v>0</v>
      </c>
      <c r="R72" s="309">
        <f t="shared" si="21"/>
        <v>0</v>
      </c>
      <c r="S72" s="236"/>
    </row>
    <row r="73" spans="2:20" ht="15.75" customHeight="1" thickBot="1" x14ac:dyDescent="0.3">
      <c r="B73" s="90" t="s">
        <v>317</v>
      </c>
      <c r="C73" s="89" t="s">
        <v>179</v>
      </c>
      <c r="D73" s="334">
        <v>0.5</v>
      </c>
      <c r="E73" s="250">
        <f>IFERROR(VLOOKUP("125839",#REF!,7,FALSE),0)*IFERROR(VLOOKUP("125839",#REF!,2,FALSE),0)</f>
        <v>0</v>
      </c>
      <c r="F73" s="250">
        <f>IFERROR(VLOOKUP("125839",#REF!,7,FALSE),0)*IFERROR(VLOOKUP("125839",#REF!,2,FALSE),0)</f>
        <v>0</v>
      </c>
      <c r="G73" s="336">
        <f t="shared" si="15"/>
        <v>0</v>
      </c>
      <c r="H73" s="245"/>
      <c r="I73" s="303">
        <f t="shared" si="16"/>
        <v>0.5</v>
      </c>
      <c r="J73" s="304">
        <f>'INVENTORY INPUT'!G285</f>
        <v>1.5</v>
      </c>
      <c r="K73" s="299">
        <f t="shared" si="17"/>
        <v>-1</v>
      </c>
      <c r="L73" s="317">
        <f t="shared" ref="L73:L90" si="22">IFERROR(Q73/G73,0)</f>
        <v>0</v>
      </c>
      <c r="M73" s="225">
        <v>69.849999999999994</v>
      </c>
      <c r="N73" s="313">
        <f t="shared" si="19"/>
        <v>69.849999999999994</v>
      </c>
      <c r="O73" s="316"/>
      <c r="P73" s="316"/>
      <c r="Q73" s="313">
        <f t="shared" si="20"/>
        <v>0</v>
      </c>
      <c r="R73" s="309">
        <f t="shared" si="21"/>
        <v>104.77499999999999</v>
      </c>
      <c r="S73" s="236"/>
      <c r="T73" s="351"/>
    </row>
    <row r="74" spans="2:20" ht="15.75" customHeight="1" thickBot="1" x14ac:dyDescent="0.3">
      <c r="B74" s="90" t="s">
        <v>419</v>
      </c>
      <c r="C74" s="89" t="s">
        <v>179</v>
      </c>
      <c r="D74" s="334">
        <v>2</v>
      </c>
      <c r="E74" s="250">
        <f>IFERROR(VLOOKUP("106896",#REF!,7,FALSE),0)*IFERROR(VLOOKUP("106896",#REF!,2,FALSE),0)</f>
        <v>0</v>
      </c>
      <c r="F74" s="250">
        <f>IFERROR(VLOOKUP("106896",#REF!,7,FALSE),0)*IFERROR(VLOOKUP("106896",#REF!,2,FALSE),0)</f>
        <v>0</v>
      </c>
      <c r="G74" s="336">
        <f t="shared" si="15"/>
        <v>0</v>
      </c>
      <c r="H74" s="245"/>
      <c r="I74" s="303">
        <f t="shared" si="16"/>
        <v>2</v>
      </c>
      <c r="J74" s="304">
        <f>'INVENTORY INPUT'!G286</f>
        <v>3.5</v>
      </c>
      <c r="K74" s="299">
        <f t="shared" si="17"/>
        <v>-1.5</v>
      </c>
      <c r="L74" s="317">
        <f t="shared" si="22"/>
        <v>0</v>
      </c>
      <c r="M74" s="225">
        <v>28.08</v>
      </c>
      <c r="N74" s="313">
        <f t="shared" si="19"/>
        <v>28.08</v>
      </c>
      <c r="O74" s="313">
        <f>IFERROR(VLOOKUP("106896",#REF!,10,FALSE),0)</f>
        <v>0</v>
      </c>
      <c r="P74" s="313">
        <f>IFERROR(VLOOKUP("106896",#REF!,10,FALSE),0)</f>
        <v>0</v>
      </c>
      <c r="Q74" s="313">
        <f t="shared" si="20"/>
        <v>0</v>
      </c>
      <c r="R74" s="309">
        <f t="shared" si="21"/>
        <v>98.28</v>
      </c>
      <c r="S74" s="236"/>
      <c r="T74" s="351"/>
    </row>
    <row r="75" spans="2:20" ht="15.75" customHeight="1" thickBot="1" x14ac:dyDescent="0.3">
      <c r="B75" s="90" t="s">
        <v>318</v>
      </c>
      <c r="C75" s="89" t="s">
        <v>179</v>
      </c>
      <c r="D75" s="334">
        <v>0</v>
      </c>
      <c r="E75" s="250">
        <f>IFERROR(VLOOKUP("108555",#REF!,7,FALSE),0)*IFERROR(VLOOKUP("108555",#REF!,2,FALSE),0)</f>
        <v>0</v>
      </c>
      <c r="F75" s="250">
        <f>IFERROR(VLOOKUP("108555",#REF!,7,FALSE),0)*IFERROR(VLOOKUP("108555",#REF!,2,FALSE),0)</f>
        <v>0</v>
      </c>
      <c r="G75" s="336">
        <f t="shared" si="15"/>
        <v>0</v>
      </c>
      <c r="H75" s="245"/>
      <c r="I75" s="303">
        <f t="shared" si="16"/>
        <v>0</v>
      </c>
      <c r="J75" s="304">
        <f>'INVENTORY INPUT'!G287</f>
        <v>3.2</v>
      </c>
      <c r="K75" s="299">
        <f t="shared" si="17"/>
        <v>-3.2</v>
      </c>
      <c r="L75" s="317">
        <f t="shared" si="22"/>
        <v>0</v>
      </c>
      <c r="M75" s="225">
        <v>12.65</v>
      </c>
      <c r="N75" s="313">
        <f t="shared" si="19"/>
        <v>12.65</v>
      </c>
      <c r="O75" s="313">
        <f>IFERROR(VLOOKUP("108555",#REF!,10,FALSE),0)</f>
        <v>0</v>
      </c>
      <c r="P75" s="313">
        <f>IFERROR(VLOOKUP("108555",#REF!,10,FALSE),0)</f>
        <v>0</v>
      </c>
      <c r="Q75" s="313">
        <f t="shared" si="20"/>
        <v>0</v>
      </c>
      <c r="R75" s="309">
        <f t="shared" si="21"/>
        <v>40.480000000000004</v>
      </c>
      <c r="S75" s="236"/>
      <c r="T75" s="351"/>
    </row>
    <row r="76" spans="2:20" ht="15.75" customHeight="1" thickBot="1" x14ac:dyDescent="0.3">
      <c r="B76" s="88" t="s">
        <v>319</v>
      </c>
      <c r="C76" s="89" t="s">
        <v>179</v>
      </c>
      <c r="D76" s="334">
        <v>0</v>
      </c>
      <c r="E76" s="250">
        <f>IFERROR(VLOOKUP("125938",#REF!,7,FALSE),0)*IFERROR(VLOOKUP("125938",#REF!,2,FALSE),0)</f>
        <v>0</v>
      </c>
      <c r="F76" s="250">
        <f>IFERROR(VLOOKUP("125938",#REF!,7,FALSE),0)*IFERROR(VLOOKUP("125938",#REF!,2,FALSE),0)</f>
        <v>0</v>
      </c>
      <c r="G76" s="336">
        <f t="shared" si="15"/>
        <v>0</v>
      </c>
      <c r="H76" s="245"/>
      <c r="I76" s="303">
        <f t="shared" si="16"/>
        <v>0</v>
      </c>
      <c r="J76" s="304">
        <f>'INVENTORY INPUT'!G288</f>
        <v>1.2</v>
      </c>
      <c r="K76" s="299">
        <f t="shared" si="17"/>
        <v>-1.2</v>
      </c>
      <c r="L76" s="317">
        <f t="shared" si="22"/>
        <v>0</v>
      </c>
      <c r="M76" s="225">
        <v>10.06</v>
      </c>
      <c r="N76" s="313">
        <f t="shared" si="19"/>
        <v>10.06</v>
      </c>
      <c r="O76" s="313">
        <f>IFERROR(VLOOKUP("125938",#REF!,10,FALSE),0)</f>
        <v>0</v>
      </c>
      <c r="P76" s="313">
        <f>IFERROR(VLOOKUP("125938",#REF!,10,FALSE),0)</f>
        <v>0</v>
      </c>
      <c r="Q76" s="313">
        <f t="shared" si="20"/>
        <v>0</v>
      </c>
      <c r="R76" s="309">
        <f t="shared" si="21"/>
        <v>12.072000000000001</v>
      </c>
      <c r="S76" s="236"/>
      <c r="T76" s="351"/>
    </row>
    <row r="77" spans="2:20" ht="15.75" customHeight="1" thickBot="1" x14ac:dyDescent="0.3">
      <c r="B77" s="88" t="s">
        <v>320</v>
      </c>
      <c r="C77" s="89" t="s">
        <v>179</v>
      </c>
      <c r="D77" s="334">
        <v>0.2</v>
      </c>
      <c r="E77" s="250">
        <f>IFERROR(VLOOKUP("125872",#REF!,7,FALSE),0)*IFERROR(VLOOKUP("125872",#REF!,2,FALSE),0)</f>
        <v>0</v>
      </c>
      <c r="F77" s="250">
        <f>IFERROR(VLOOKUP("125872",#REF!,7,FALSE),0)*IFERROR(VLOOKUP("125872",#REF!,2,FALSE),0)</f>
        <v>0</v>
      </c>
      <c r="G77" s="336">
        <f t="shared" si="15"/>
        <v>0</v>
      </c>
      <c r="H77" s="245"/>
      <c r="I77" s="303">
        <f t="shared" si="16"/>
        <v>0.2</v>
      </c>
      <c r="J77" s="304">
        <f>'INVENTORY INPUT'!G289</f>
        <v>0.2</v>
      </c>
      <c r="K77" s="299">
        <f t="shared" si="17"/>
        <v>0</v>
      </c>
      <c r="L77" s="317">
        <f t="shared" si="22"/>
        <v>0</v>
      </c>
      <c r="M77" s="225">
        <v>223.83</v>
      </c>
      <c r="N77" s="313">
        <f t="shared" si="19"/>
        <v>223.83</v>
      </c>
      <c r="O77" s="313">
        <f>IFERROR(VLOOKUP("125872",#REF!,10,FALSE),0)</f>
        <v>0</v>
      </c>
      <c r="P77" s="313">
        <f>IFERROR(VLOOKUP("125872",#REF!,10,FALSE),0)</f>
        <v>0</v>
      </c>
      <c r="Q77" s="313">
        <f t="shared" si="20"/>
        <v>0</v>
      </c>
      <c r="R77" s="309">
        <f t="shared" si="21"/>
        <v>44.766000000000005</v>
      </c>
      <c r="S77" s="236"/>
      <c r="T77" s="351"/>
    </row>
    <row r="78" spans="2:20" ht="15.75" customHeight="1" thickBot="1" x14ac:dyDescent="0.3">
      <c r="B78" s="88" t="s">
        <v>117</v>
      </c>
      <c r="C78" s="89" t="s">
        <v>179</v>
      </c>
      <c r="D78" s="334">
        <v>1</v>
      </c>
      <c r="E78" s="250">
        <f>IFERROR(VLOOKUP("125871",#REF!,7,FALSE),0)*IFERROR(VLOOKUP("125871",#REF!,2,FALSE),0)</f>
        <v>0</v>
      </c>
      <c r="F78" s="250">
        <f>IFERROR(VLOOKUP("125871",#REF!,7,FALSE),0)*IFERROR(VLOOKUP("125871",#REF!,2,FALSE),0)</f>
        <v>0</v>
      </c>
      <c r="G78" s="336">
        <f t="shared" si="15"/>
        <v>0</v>
      </c>
      <c r="H78" s="245"/>
      <c r="I78" s="303">
        <f t="shared" si="16"/>
        <v>1</v>
      </c>
      <c r="J78" s="304">
        <f>'INVENTORY INPUT'!G290</f>
        <v>1</v>
      </c>
      <c r="K78" s="299">
        <f t="shared" si="17"/>
        <v>0</v>
      </c>
      <c r="L78" s="317">
        <f t="shared" si="22"/>
        <v>0</v>
      </c>
      <c r="M78" s="225">
        <v>36.54</v>
      </c>
      <c r="N78" s="313">
        <f t="shared" si="19"/>
        <v>36.54</v>
      </c>
      <c r="O78" s="313">
        <f>IFERROR(VLOOKUP("125871",#REF!,10,FALSE),0)</f>
        <v>0</v>
      </c>
      <c r="P78" s="313">
        <f>IFERROR(VLOOKUP("125871",#REF!,10,FALSE),0)</f>
        <v>0</v>
      </c>
      <c r="Q78" s="313">
        <f t="shared" si="20"/>
        <v>0</v>
      </c>
      <c r="R78" s="309">
        <f t="shared" si="21"/>
        <v>36.54</v>
      </c>
      <c r="S78" s="236"/>
      <c r="T78" s="351"/>
    </row>
    <row r="79" spans="2:20" ht="15.75" customHeight="1" thickBot="1" x14ac:dyDescent="0.3">
      <c r="B79" s="88" t="s">
        <v>420</v>
      </c>
      <c r="C79" s="89" t="s">
        <v>179</v>
      </c>
      <c r="D79" s="334">
        <v>4</v>
      </c>
      <c r="E79" s="250">
        <f>IFERROR(VLOOKUP("125937",#REF!,7,FALSE),0)*IFERROR(VLOOKUP("125937",#REF!,2,FALSE),0)</f>
        <v>0</v>
      </c>
      <c r="F79" s="250">
        <f>IFERROR(VLOOKUP("125937",#REF!,7,FALSE),0)*IFERROR(VLOOKUP("125937",#REF!,2,FALSE),0)</f>
        <v>0</v>
      </c>
      <c r="G79" s="336">
        <f t="shared" si="15"/>
        <v>0</v>
      </c>
      <c r="H79" s="245"/>
      <c r="I79" s="303">
        <f t="shared" si="16"/>
        <v>4</v>
      </c>
      <c r="J79" s="304">
        <f>'INVENTORY INPUT'!G291</f>
        <v>5</v>
      </c>
      <c r="K79" s="299">
        <f t="shared" si="17"/>
        <v>-1</v>
      </c>
      <c r="L79" s="317">
        <f t="shared" si="22"/>
        <v>0</v>
      </c>
      <c r="M79" s="225">
        <v>7.49</v>
      </c>
      <c r="N79" s="313">
        <f t="shared" si="19"/>
        <v>7.49</v>
      </c>
      <c r="O79" s="313">
        <f>IFERROR(VLOOKUP("125937",#REF!,10,FALSE),0)</f>
        <v>0</v>
      </c>
      <c r="P79" s="313">
        <f>IFERROR(VLOOKUP("125937",#REF!,10,FALSE),0)</f>
        <v>0</v>
      </c>
      <c r="Q79" s="313">
        <f t="shared" si="20"/>
        <v>0</v>
      </c>
      <c r="R79" s="309">
        <f t="shared" si="21"/>
        <v>37.450000000000003</v>
      </c>
      <c r="S79" s="236"/>
      <c r="T79" s="351"/>
    </row>
    <row r="80" spans="2:20" ht="15.75" customHeight="1" thickBot="1" x14ac:dyDescent="0.3">
      <c r="B80" s="88" t="s">
        <v>45</v>
      </c>
      <c r="C80" s="89" t="s">
        <v>179</v>
      </c>
      <c r="D80" s="334">
        <v>5</v>
      </c>
      <c r="E80" s="250">
        <f>IFERROR(VLOOKUP("",#REF!,7,FALSE),0)*IFERROR(VLOOKUP("",#REF!,2,FALSE),0)</f>
        <v>0</v>
      </c>
      <c r="F80" s="250">
        <f>IFERROR(VLOOKUP("",#REF!,7,FALSE),0)*IFERROR(VLOOKUP("",#REF!,2,FALSE),0)/10</f>
        <v>0</v>
      </c>
      <c r="G80" s="336">
        <f t="shared" si="15"/>
        <v>0</v>
      </c>
      <c r="H80" s="245"/>
      <c r="I80" s="303">
        <f t="shared" si="16"/>
        <v>5</v>
      </c>
      <c r="J80" s="304">
        <f>'INVENTORY INPUT'!G292</f>
        <v>1</v>
      </c>
      <c r="K80" s="299">
        <f t="shared" si="17"/>
        <v>4</v>
      </c>
      <c r="L80" s="317">
        <f t="shared" si="22"/>
        <v>0</v>
      </c>
      <c r="M80" s="225">
        <v>3.32</v>
      </c>
      <c r="N80" s="313">
        <f t="shared" si="19"/>
        <v>3.32</v>
      </c>
      <c r="O80" s="313">
        <f>IFERROR(VLOOKUP("750472",#REF!,10,FALSE),0)</f>
        <v>0</v>
      </c>
      <c r="P80" s="313">
        <f>IFERROR(VLOOKUP("750472",#REF!,10,FALSE),0)</f>
        <v>0</v>
      </c>
      <c r="Q80" s="313">
        <f t="shared" si="20"/>
        <v>0</v>
      </c>
      <c r="R80" s="309">
        <f t="shared" si="21"/>
        <v>3.32</v>
      </c>
      <c r="S80" s="236"/>
      <c r="T80" s="351"/>
    </row>
    <row r="81" spans="2:20" ht="15.75" customHeight="1" thickBot="1" x14ac:dyDescent="0.3">
      <c r="B81" s="88" t="s">
        <v>321</v>
      </c>
      <c r="C81" s="89" t="s">
        <v>179</v>
      </c>
      <c r="D81" s="334">
        <v>4</v>
      </c>
      <c r="E81" s="250">
        <f>IFERROR(VLOOKUP("790690",#REF!,7,FALSE),0)*IFERROR(VLOOKUP("790690",#REF!,2,FALSE),0)</f>
        <v>0</v>
      </c>
      <c r="F81" s="250">
        <f>IFERROR(VLOOKUP("790690",#REF!,7,FALSE),0)*IFERROR(VLOOKUP("790690",#REF!,2,FALSE),0)</f>
        <v>0</v>
      </c>
      <c r="G81" s="336">
        <f t="shared" si="15"/>
        <v>0</v>
      </c>
      <c r="H81" s="245"/>
      <c r="I81" s="303">
        <f t="shared" si="16"/>
        <v>4</v>
      </c>
      <c r="J81" s="304">
        <f>'INVENTORY INPUT'!G293</f>
        <v>2.2000000000000002</v>
      </c>
      <c r="K81" s="299">
        <f t="shared" si="17"/>
        <v>1.7999999999999998</v>
      </c>
      <c r="L81" s="317">
        <f t="shared" si="22"/>
        <v>0</v>
      </c>
      <c r="M81" s="225">
        <v>18.2</v>
      </c>
      <c r="N81" s="313">
        <f t="shared" si="19"/>
        <v>18.2</v>
      </c>
      <c r="O81" s="313">
        <f>IFERROR(VLOOKUP("790690",#REF!,10,FALSE),0)</f>
        <v>0</v>
      </c>
      <c r="P81" s="313">
        <f>IFERROR(VLOOKUP("790690",#REF!,10,FALSE),0)</f>
        <v>0</v>
      </c>
      <c r="Q81" s="313">
        <f t="shared" si="20"/>
        <v>0</v>
      </c>
      <c r="R81" s="309">
        <f t="shared" si="21"/>
        <v>40.04</v>
      </c>
      <c r="S81" s="236"/>
      <c r="T81" s="351"/>
    </row>
    <row r="82" spans="2:20" ht="15.75" customHeight="1" thickBot="1" x14ac:dyDescent="0.3">
      <c r="B82" s="85" t="s">
        <v>315</v>
      </c>
      <c r="C82" s="86" t="s">
        <v>141</v>
      </c>
      <c r="D82" s="299">
        <v>4</v>
      </c>
      <c r="E82" s="250">
        <f>IFERROR(VLOOKUP("118279",#REF!,7,FALSE),0)*IFERROR(VLOOKUP("118279",#REF!,2,FALSE),0)</f>
        <v>0</v>
      </c>
      <c r="F82" s="250">
        <f>IFERROR(VLOOKUP("118279",#REF!,7,FALSE),0)*IFERROR(VLOOKUP("118279",#REF!,2,FALSE),0)</f>
        <v>0</v>
      </c>
      <c r="G82" s="336">
        <f t="shared" si="15"/>
        <v>0</v>
      </c>
      <c r="H82" s="245"/>
      <c r="I82" s="303">
        <f t="shared" si="16"/>
        <v>4</v>
      </c>
      <c r="J82" s="304">
        <f>'INVENTORY INPUT'!G294</f>
        <v>6</v>
      </c>
      <c r="K82" s="299">
        <f t="shared" si="17"/>
        <v>-2</v>
      </c>
      <c r="L82" s="317">
        <f t="shared" si="22"/>
        <v>0</v>
      </c>
      <c r="M82" s="222">
        <v>6.12</v>
      </c>
      <c r="N82" s="313">
        <f t="shared" si="19"/>
        <v>6.12</v>
      </c>
      <c r="O82" s="313">
        <f>IFERROR(VLOOKUP("118279",#REF!,10,FALSE),0)</f>
        <v>0</v>
      </c>
      <c r="P82" s="313">
        <f>IFERROR(VLOOKUP("118279",#REF!,10,FALSE),0)</f>
        <v>0</v>
      </c>
      <c r="Q82" s="313">
        <f t="shared" si="20"/>
        <v>0</v>
      </c>
      <c r="R82" s="309">
        <f t="shared" si="21"/>
        <v>36.72</v>
      </c>
      <c r="S82" s="236"/>
    </row>
    <row r="83" spans="2:20" ht="15.75" customHeight="1" thickBot="1" x14ac:dyDescent="0.3">
      <c r="B83" s="85" t="s">
        <v>421</v>
      </c>
      <c r="C83" s="86" t="s">
        <v>141</v>
      </c>
      <c r="D83" s="299">
        <v>2</v>
      </c>
      <c r="E83" s="250">
        <f>IFERROR(VLOOKUP("125954",#REF!,6,FALSE),0)*IFERROR(VLOOKUP("125954",#REF!,2,FALSE),0)</f>
        <v>0</v>
      </c>
      <c r="F83" s="250">
        <f>IFERROR(VLOOKUP("125954",#REF!,7,FALSE),0)*IFERROR(VLOOKUP("125954",#REF!,2,FALSE),0)</f>
        <v>0</v>
      </c>
      <c r="G83" s="336">
        <f t="shared" si="15"/>
        <v>0</v>
      </c>
      <c r="H83" s="245"/>
      <c r="I83" s="303">
        <f t="shared" si="16"/>
        <v>2</v>
      </c>
      <c r="J83" s="304">
        <f>'INVENTORY INPUT'!G295</f>
        <v>2</v>
      </c>
      <c r="K83" s="299">
        <f t="shared" si="17"/>
        <v>0</v>
      </c>
      <c r="L83" s="317">
        <f t="shared" si="22"/>
        <v>0</v>
      </c>
      <c r="M83" s="222">
        <v>8.73</v>
      </c>
      <c r="N83" s="313">
        <f t="shared" si="19"/>
        <v>8.73</v>
      </c>
      <c r="O83" s="313">
        <f>IFERROR(VLOOKUP("125954",#REF!,10,FALSE),0)</f>
        <v>0</v>
      </c>
      <c r="P83" s="313">
        <f>IFERROR(VLOOKUP("125954",#REF!,10,FALSE),0)</f>
        <v>0</v>
      </c>
      <c r="Q83" s="313">
        <f t="shared" si="20"/>
        <v>0</v>
      </c>
      <c r="R83" s="309">
        <f t="shared" si="21"/>
        <v>17.46</v>
      </c>
      <c r="S83" s="236"/>
      <c r="T83" s="351"/>
    </row>
    <row r="84" spans="2:20" ht="15.75" customHeight="1" thickBot="1" x14ac:dyDescent="0.3">
      <c r="B84" s="85" t="s">
        <v>422</v>
      </c>
      <c r="C84" s="86" t="s">
        <v>141</v>
      </c>
      <c r="D84" s="299">
        <v>0</v>
      </c>
      <c r="E84" s="250">
        <f>IFERROR(VLOOKUP("785866",#REF!,6,FALSE),0)*IFERROR(VLOOKUP("785866",#REF!,2,FALSE),0)/1</f>
        <v>0</v>
      </c>
      <c r="F84" s="250">
        <f>IFERROR(VLOOKUP("125954",#REF!,7,FALSE),0)*IFERROR(VLOOKUP("125954",#REF!,2,FALSE),0)</f>
        <v>0</v>
      </c>
      <c r="G84" s="336">
        <f t="shared" si="15"/>
        <v>0</v>
      </c>
      <c r="H84" s="245"/>
      <c r="I84" s="303">
        <f t="shared" si="16"/>
        <v>0</v>
      </c>
      <c r="J84" s="304">
        <f>'INVENTORY INPUT'!G296</f>
        <v>4</v>
      </c>
      <c r="K84" s="299">
        <f t="shared" si="17"/>
        <v>-4</v>
      </c>
      <c r="L84" s="317">
        <f t="shared" si="22"/>
        <v>0</v>
      </c>
      <c r="M84" s="222">
        <v>9.8800000000000008</v>
      </c>
      <c r="N84" s="313">
        <f t="shared" si="19"/>
        <v>9.8800000000000008</v>
      </c>
      <c r="O84" s="313">
        <f>IFERROR(VLOOKUP("125954",#REF!,10,FALSE),0)</f>
        <v>0</v>
      </c>
      <c r="P84" s="313">
        <f>IFERROR(VLOOKUP("125954",#REF!,10,FALSE),0)</f>
        <v>0</v>
      </c>
      <c r="Q84" s="313">
        <f t="shared" si="20"/>
        <v>0</v>
      </c>
      <c r="R84" s="309">
        <f t="shared" si="21"/>
        <v>39.520000000000003</v>
      </c>
      <c r="S84" s="236"/>
    </row>
    <row r="85" spans="2:20" ht="15.75" customHeight="1" thickBot="1" x14ac:dyDescent="0.3">
      <c r="B85" s="88" t="s">
        <v>423</v>
      </c>
      <c r="C85" s="89" t="s">
        <v>142</v>
      </c>
      <c r="D85" s="334">
        <v>10</v>
      </c>
      <c r="E85" s="250">
        <f>IFERROR(VLOOKUP("795900",#REF!,6,FALSE),0)*IFERROR(VLOOKUP("795900",#REF!,2,FALSE),0)</f>
        <v>0</v>
      </c>
      <c r="F85" s="250">
        <f>IFERROR(VLOOKUP("795900",#REF!,7,FALSE),0)*IFERROR(VLOOKUP("795900",#REF!,2,FALSE),0)</f>
        <v>0</v>
      </c>
      <c r="G85" s="336">
        <f t="shared" si="15"/>
        <v>0</v>
      </c>
      <c r="H85" s="245"/>
      <c r="I85" s="303">
        <f t="shared" si="16"/>
        <v>10</v>
      </c>
      <c r="J85" s="304">
        <f>'INVENTORY INPUT'!G297</f>
        <v>36</v>
      </c>
      <c r="K85" s="299">
        <f t="shared" si="17"/>
        <v>-26</v>
      </c>
      <c r="L85" s="317">
        <f t="shared" si="22"/>
        <v>0</v>
      </c>
      <c r="M85" s="225">
        <v>1.07</v>
      </c>
      <c r="N85" s="313">
        <f t="shared" si="19"/>
        <v>1.07</v>
      </c>
      <c r="O85" s="313">
        <f>IFERROR(VLOOKUP("795900",#REF!,10,FALSE),0)</f>
        <v>0</v>
      </c>
      <c r="P85" s="313">
        <f>IFERROR(VLOOKUP("795900",#REF!,10,FALSE),0)</f>
        <v>0</v>
      </c>
      <c r="Q85" s="313">
        <f t="shared" si="20"/>
        <v>0</v>
      </c>
      <c r="R85" s="309">
        <f t="shared" si="21"/>
        <v>38.520000000000003</v>
      </c>
      <c r="S85" s="236"/>
    </row>
    <row r="86" spans="2:20" ht="15.75" customHeight="1" thickBot="1" x14ac:dyDescent="0.3">
      <c r="B86" s="88" t="s">
        <v>425</v>
      </c>
      <c r="C86" s="89" t="s">
        <v>190</v>
      </c>
      <c r="D86" s="334">
        <v>1.25</v>
      </c>
      <c r="E86" s="250">
        <f>IFERROR(VLOOKUP("787586",#REF!,6,FALSE),0)*IFERROR(VLOOKUP("787586",#REF!,2,FALSE),0)/10</f>
        <v>0</v>
      </c>
      <c r="F86" s="250">
        <f>IFERROR(VLOOKUP("787586",#REF!,7,FALSE),0)*IFERROR(VLOOKUP("787586",#REF!,2,FALSE),0)/10</f>
        <v>0</v>
      </c>
      <c r="G86" s="336">
        <f t="shared" si="15"/>
        <v>0</v>
      </c>
      <c r="H86" s="245"/>
      <c r="I86" s="303">
        <f t="shared" si="16"/>
        <v>1.25</v>
      </c>
      <c r="J86" s="304">
        <f>'INVENTORY INPUT'!G298</f>
        <v>1.2</v>
      </c>
      <c r="K86" s="299">
        <f t="shared" si="17"/>
        <v>5.0000000000000044E-2</v>
      </c>
      <c r="L86" s="317">
        <f t="shared" si="22"/>
        <v>0</v>
      </c>
      <c r="M86" s="225">
        <v>4.58</v>
      </c>
      <c r="N86" s="313">
        <f t="shared" si="19"/>
        <v>4.58</v>
      </c>
      <c r="O86" s="313">
        <f>IFERROR(VLOOKUP("787586",#REF!,10,FALSE),0)</f>
        <v>0</v>
      </c>
      <c r="P86" s="313">
        <f>IFERROR(VLOOKUP("787586",#REF!,10,FALSE),0)</f>
        <v>0</v>
      </c>
      <c r="Q86" s="313">
        <f t="shared" si="20"/>
        <v>0</v>
      </c>
      <c r="R86" s="309">
        <f t="shared" si="21"/>
        <v>5.4959999999999996</v>
      </c>
      <c r="S86" s="236"/>
    </row>
    <row r="87" spans="2:20" ht="15.75" customHeight="1" thickBot="1" x14ac:dyDescent="0.3">
      <c r="B87" s="88" t="s">
        <v>435</v>
      </c>
      <c r="C87" s="89" t="s">
        <v>190</v>
      </c>
      <c r="D87" s="334">
        <v>1.5</v>
      </c>
      <c r="E87" s="250">
        <f>IFERROR(VLOOKUP("713176",#REF!,6,FALSE),0)*IFERROR(VLOOKUP("713176",#REF!,2,FALSE),0)/10</f>
        <v>0</v>
      </c>
      <c r="F87" s="250">
        <f>IFERROR(VLOOKUP("713176",#REF!,7,FALSE),0)*IFERROR(VLOOKUP("713176",#REF!,2,FALSE),0)/10</f>
        <v>0</v>
      </c>
      <c r="G87" s="336">
        <f t="shared" si="15"/>
        <v>0</v>
      </c>
      <c r="H87" s="245"/>
      <c r="I87" s="303">
        <f t="shared" si="16"/>
        <v>1.5</v>
      </c>
      <c r="J87" s="304">
        <f>'INVENTORY INPUT'!G299</f>
        <v>13.1</v>
      </c>
      <c r="K87" s="299">
        <f t="shared" si="17"/>
        <v>-11.6</v>
      </c>
      <c r="L87" s="317">
        <f t="shared" si="22"/>
        <v>0</v>
      </c>
      <c r="M87" s="225">
        <v>21.9</v>
      </c>
      <c r="N87" s="313">
        <f t="shared" si="19"/>
        <v>21.9</v>
      </c>
      <c r="O87" s="313">
        <f>IFERROR(VLOOKUP("713176",#REF!,10,FALSE),0)</f>
        <v>0</v>
      </c>
      <c r="P87" s="313">
        <f>IFERROR(VLOOKUP("713176",#REF!,10,FALSE),0)</f>
        <v>0</v>
      </c>
      <c r="Q87" s="313">
        <f t="shared" si="20"/>
        <v>0</v>
      </c>
      <c r="R87" s="309">
        <f t="shared" si="21"/>
        <v>286.89</v>
      </c>
      <c r="S87" s="236"/>
    </row>
    <row r="88" spans="2:20" ht="15.75" customHeight="1" thickBot="1" x14ac:dyDescent="0.3">
      <c r="B88" s="88" t="s">
        <v>504</v>
      </c>
      <c r="C88" s="89" t="s">
        <v>178</v>
      </c>
      <c r="D88" s="334">
        <v>6</v>
      </c>
      <c r="E88" s="250">
        <f>IFERROR(VLOOKUP("113555",#REF!,6,FALSE),0)*IFERROR(VLOOKUP("113555",#REF!,2,FALSE),0)</f>
        <v>0</v>
      </c>
      <c r="F88" s="250">
        <f>IFERROR(VLOOKUP("113555",#REF!,7,FALSE),0)*IFERROR(VLOOKUP("113555",#REF!,2,FALSE),0)</f>
        <v>0</v>
      </c>
      <c r="G88" s="336">
        <f t="shared" si="15"/>
        <v>0</v>
      </c>
      <c r="H88" s="245"/>
      <c r="I88" s="303">
        <f t="shared" si="16"/>
        <v>6</v>
      </c>
      <c r="J88" s="304">
        <f>'INVENTORY INPUT'!G300</f>
        <v>7.5</v>
      </c>
      <c r="K88" s="299">
        <f t="shared" si="17"/>
        <v>-1.5</v>
      </c>
      <c r="L88" s="317">
        <f t="shared" si="22"/>
        <v>0</v>
      </c>
      <c r="M88" s="225">
        <v>21.9</v>
      </c>
      <c r="N88" s="313">
        <f t="shared" si="19"/>
        <v>21.9</v>
      </c>
      <c r="O88" s="313">
        <f>IFERROR(VLOOKUP("113555",#REF!,10,FALSE),0)</f>
        <v>0</v>
      </c>
      <c r="P88" s="313">
        <f>IFERROR(VLOOKUP("113555",#REF!,10,FALSE),0)</f>
        <v>0</v>
      </c>
      <c r="Q88" s="313">
        <f t="shared" si="20"/>
        <v>0</v>
      </c>
      <c r="R88" s="309">
        <f t="shared" si="21"/>
        <v>164.25</v>
      </c>
      <c r="S88" s="236"/>
    </row>
    <row r="89" spans="2:20" ht="15.75" customHeight="1" thickBot="1" x14ac:dyDescent="0.3">
      <c r="B89" s="88" t="s">
        <v>502</v>
      </c>
      <c r="C89" s="89" t="s">
        <v>178</v>
      </c>
      <c r="D89" s="334">
        <v>6.1</v>
      </c>
      <c r="E89" s="250">
        <f>IFERROR(VLOOKUP("113557",#REF!,6,FALSE),0)*IFERROR(VLOOKUP("113557",#REF!,2,FALSE),0)</f>
        <v>0</v>
      </c>
      <c r="F89" s="250">
        <f>IFERROR(VLOOKUP("113557",#REF!,7,FALSE),0)*IFERROR(VLOOKUP("113557",#REF!,2,FALSE),0)</f>
        <v>0</v>
      </c>
      <c r="G89" s="336">
        <f t="shared" si="15"/>
        <v>0</v>
      </c>
      <c r="H89" s="245"/>
      <c r="I89" s="303">
        <f t="shared" si="16"/>
        <v>6.1</v>
      </c>
      <c r="J89" s="304">
        <f>'INVENTORY INPUT'!G301</f>
        <v>6</v>
      </c>
      <c r="K89" s="299">
        <f t="shared" si="17"/>
        <v>9.9999999999999645E-2</v>
      </c>
      <c r="L89" s="317">
        <f t="shared" si="22"/>
        <v>0</v>
      </c>
      <c r="M89" s="225">
        <v>21.9</v>
      </c>
      <c r="N89" s="313">
        <f t="shared" si="19"/>
        <v>21.9</v>
      </c>
      <c r="O89" s="313">
        <f>IFERROR(VLOOKUP("113557",#REF!,10,FALSE),0)</f>
        <v>0</v>
      </c>
      <c r="P89" s="313">
        <f>IFERROR(VLOOKUP("113557",#REF!,10,FALSE),0)</f>
        <v>0</v>
      </c>
      <c r="Q89" s="313">
        <f t="shared" si="20"/>
        <v>0</v>
      </c>
      <c r="R89" s="309">
        <f t="shared" si="21"/>
        <v>131.39999999999998</v>
      </c>
      <c r="S89" s="236"/>
    </row>
    <row r="90" spans="2:20" ht="15.75" customHeight="1" thickBot="1" x14ac:dyDescent="0.3">
      <c r="B90" s="88" t="s">
        <v>488</v>
      </c>
      <c r="C90" s="89" t="s">
        <v>190</v>
      </c>
      <c r="D90" s="334">
        <v>0.45</v>
      </c>
      <c r="E90" s="250">
        <f>IFERROR(VLOOKUP("713125",#REF!,6,FALSE),0)*IFERROR(VLOOKUP("713125",#REF!,2,FALSE),0)/100</f>
        <v>0</v>
      </c>
      <c r="F90" s="250">
        <f>IFERROR(VLOOKUP("713125",#REF!,7,FALSE),0)*IFERROR(VLOOKUP("713125",#REF!,2,FALSE),0)/100</f>
        <v>0</v>
      </c>
      <c r="G90" s="336">
        <f t="shared" si="15"/>
        <v>0</v>
      </c>
      <c r="H90" s="245"/>
      <c r="I90" s="303">
        <f t="shared" si="16"/>
        <v>0.45</v>
      </c>
      <c r="J90" s="304">
        <f>'INVENTORY INPUT'!G302</f>
        <v>0</v>
      </c>
      <c r="K90" s="299">
        <f t="shared" si="17"/>
        <v>0.45</v>
      </c>
      <c r="L90" s="317">
        <f t="shared" si="22"/>
        <v>0</v>
      </c>
      <c r="M90" s="225">
        <v>1.99</v>
      </c>
      <c r="N90" s="313">
        <f t="shared" si="19"/>
        <v>1.99</v>
      </c>
      <c r="O90" s="313">
        <f>IFERROR(VLOOKUP("713125",#REF!,10,FALSE),0)</f>
        <v>0</v>
      </c>
      <c r="P90" s="313">
        <f>IFERROR(VLOOKUP("713125",#REF!,10,FALSE),0)</f>
        <v>0</v>
      </c>
      <c r="Q90" s="313">
        <f t="shared" si="20"/>
        <v>0</v>
      </c>
      <c r="R90" s="309">
        <f t="shared" si="21"/>
        <v>0</v>
      </c>
      <c r="S90" s="236"/>
    </row>
    <row r="91" spans="2:20" ht="15.75" customHeight="1" thickBot="1" x14ac:dyDescent="0.25">
      <c r="B91" s="85" t="s">
        <v>489</v>
      </c>
      <c r="C91" s="86" t="s">
        <v>190</v>
      </c>
      <c r="D91" s="299">
        <v>0</v>
      </c>
      <c r="E91" s="250">
        <f>IFERROR(VLOOKUP("721253",#REF!,6,FALSE),0)*IFERROR(VLOOKUP("721253",#REF!,2,FALSE),0)/100</f>
        <v>0</v>
      </c>
      <c r="F91" s="250">
        <f>IFERROR(VLOOKUP("721253",#REF!,7,FALSE),0)*IFERROR(VLOOKUP("721253",#REF!,2,FALSE),0)/100</f>
        <v>0</v>
      </c>
      <c r="G91" s="336">
        <f t="shared" si="15"/>
        <v>0</v>
      </c>
      <c r="H91" s="245"/>
      <c r="I91" s="303">
        <f t="shared" si="16"/>
        <v>0</v>
      </c>
      <c r="J91" s="304">
        <f>'INVENTORY INPUT'!G303</f>
        <v>0</v>
      </c>
      <c r="K91" s="299">
        <f t="shared" si="17"/>
        <v>0</v>
      </c>
      <c r="L91" s="299"/>
      <c r="M91" s="222">
        <v>0.24</v>
      </c>
      <c r="N91" s="313">
        <f t="shared" si="19"/>
        <v>0.24</v>
      </c>
      <c r="O91" s="313">
        <f>IFERROR(VLOOKUP("721253",#REF!,10,FALSE),0)</f>
        <v>0</v>
      </c>
      <c r="P91" s="313">
        <f>IFERROR(VLOOKUP("721253",#REF!,10,FALSE),0)</f>
        <v>0</v>
      </c>
      <c r="Q91" s="313">
        <f t="shared" si="20"/>
        <v>0</v>
      </c>
      <c r="R91" s="309">
        <f t="shared" si="21"/>
        <v>0</v>
      </c>
      <c r="S91" s="236"/>
    </row>
    <row r="92" spans="2:20" ht="15.75" customHeight="1" x14ac:dyDescent="0.25">
      <c r="B92" s="85" t="s">
        <v>490</v>
      </c>
      <c r="C92" s="86" t="s">
        <v>141</v>
      </c>
      <c r="D92" s="299">
        <v>9</v>
      </c>
      <c r="E92" s="250">
        <f>IFERROR(VLOOKUP("791640",#REF!,6,FALSE),0)*IFERROR(VLOOKUP("791640",#REF!,2,FALSE),0)</f>
        <v>0</v>
      </c>
      <c r="F92" s="250">
        <f>IFERROR(VLOOKUP("791640",#REF!,7,FALSE),0)*IFERROR(VLOOKUP("791640",#REF!,2,FALSE),0)</f>
        <v>0</v>
      </c>
      <c r="G92" s="336">
        <f t="shared" si="15"/>
        <v>0</v>
      </c>
      <c r="H92" s="245"/>
      <c r="I92" s="303">
        <f t="shared" si="16"/>
        <v>9</v>
      </c>
      <c r="J92" s="304">
        <f>'INVENTORY INPUT'!G304</f>
        <v>6</v>
      </c>
      <c r="K92" s="299">
        <f t="shared" si="17"/>
        <v>3</v>
      </c>
      <c r="L92" s="317">
        <f>IFERROR(Q92/G92,0)</f>
        <v>0</v>
      </c>
      <c r="M92" s="222">
        <v>0</v>
      </c>
      <c r="N92" s="313">
        <f t="shared" si="19"/>
        <v>0</v>
      </c>
      <c r="O92" s="313">
        <f>IFERROR(VLOOKUP("791640",#REF!,10,FALSE),0)</f>
        <v>0</v>
      </c>
      <c r="P92" s="313">
        <f>IFERROR(VLOOKUP("791640",#REF!,10,FALSE),0)</f>
        <v>0</v>
      </c>
      <c r="Q92" s="313">
        <f t="shared" si="20"/>
        <v>0</v>
      </c>
      <c r="R92" s="309">
        <f t="shared" si="21"/>
        <v>0</v>
      </c>
      <c r="S92" s="236"/>
    </row>
    <row r="93" spans="2:20" ht="15.75" customHeight="1" x14ac:dyDescent="0.2">
      <c r="B93" s="92" t="s">
        <v>398</v>
      </c>
      <c r="C93" s="92"/>
      <c r="D93" s="298">
        <f>SUM(R66:R92)</f>
        <v>1184.0889999999999</v>
      </c>
      <c r="E93" s="213"/>
      <c r="F93" s="213"/>
      <c r="G93" s="213"/>
      <c r="H93" s="213"/>
      <c r="I93" s="305"/>
      <c r="J93" s="305"/>
      <c r="K93" s="306"/>
      <c r="L93" s="306"/>
      <c r="O93" s="353">
        <f>SUM(O66:O92)</f>
        <v>0</v>
      </c>
      <c r="P93" s="353">
        <f>SUM(P66:P92)</f>
        <v>0</v>
      </c>
      <c r="Q93" s="353">
        <f>SUM(Q66:Q92)</f>
        <v>34.44</v>
      </c>
      <c r="S93" s="236"/>
    </row>
    <row r="94" spans="2:20" ht="15.75" customHeight="1" x14ac:dyDescent="0.2">
      <c r="B94" s="87"/>
      <c r="C94" s="87"/>
      <c r="D94" s="294"/>
      <c r="E94" s="213"/>
      <c r="F94" s="213"/>
      <c r="G94" s="213"/>
      <c r="H94" s="213"/>
      <c r="I94" s="305"/>
      <c r="J94" s="305"/>
      <c r="K94" s="306"/>
      <c r="L94" s="306"/>
    </row>
    <row r="95" spans="2:20" ht="15.75" customHeight="1" thickBot="1" x14ac:dyDescent="0.3">
      <c r="B95" s="97" t="s">
        <v>275</v>
      </c>
      <c r="C95" s="95"/>
      <c r="D95" s="295"/>
      <c r="E95" s="296"/>
      <c r="F95" s="296"/>
      <c r="G95" s="214"/>
      <c r="H95" s="214"/>
      <c r="I95" s="96"/>
      <c r="J95" s="96"/>
      <c r="K95" s="96"/>
      <c r="L95" s="295"/>
      <c r="M95" s="224"/>
      <c r="N95" s="224"/>
      <c r="O95" s="224"/>
      <c r="P95" s="224"/>
      <c r="Q95" s="224"/>
      <c r="R95" s="310"/>
    </row>
    <row r="96" spans="2:20" ht="15.75" customHeight="1" thickBot="1" x14ac:dyDescent="0.25">
      <c r="B96" s="90" t="s">
        <v>322</v>
      </c>
      <c r="C96" s="89" t="s">
        <v>168</v>
      </c>
      <c r="D96" s="334">
        <v>0</v>
      </c>
      <c r="E96" s="297"/>
      <c r="F96" s="245"/>
      <c r="G96" s="336">
        <f t="shared" ref="G96:G102" si="23">SUM(E96:F96)</f>
        <v>0</v>
      </c>
      <c r="H96" s="245"/>
      <c r="I96" s="303">
        <f t="shared" ref="I96:I102" si="24">D96+G96+H96</f>
        <v>0</v>
      </c>
      <c r="J96" s="304">
        <f>'INVENTORY INPUT'!G306</f>
        <v>0.2</v>
      </c>
      <c r="K96" s="299">
        <f t="shared" ref="K96:K102" si="25">(I96-J96)</f>
        <v>-0.2</v>
      </c>
      <c r="L96" s="299"/>
      <c r="M96" s="98">
        <v>15.24</v>
      </c>
      <c r="N96" s="313">
        <f t="shared" ref="N96:N102" si="26">IF(L96=0,M96,(Q96/H96))</f>
        <v>15.24</v>
      </c>
      <c r="O96" s="364"/>
      <c r="P96" s="364"/>
      <c r="Q96" s="313">
        <f t="shared" ref="Q96:Q102" si="27">IF(G96,(SUM(O96:P96)),(H96*M96))</f>
        <v>0</v>
      </c>
      <c r="R96" s="309">
        <f t="shared" ref="R96:R102" si="28">IF(L96,(L96*J96),(M96*J96))</f>
        <v>3.048</v>
      </c>
      <c r="S96" s="146"/>
    </row>
    <row r="97" spans="2:20" ht="15.75" customHeight="1" thickBot="1" x14ac:dyDescent="0.25">
      <c r="B97" s="88" t="s">
        <v>426</v>
      </c>
      <c r="C97" s="89" t="s">
        <v>168</v>
      </c>
      <c r="D97" s="334">
        <v>0</v>
      </c>
      <c r="E97" s="297"/>
      <c r="F97" s="245"/>
      <c r="G97" s="336">
        <f t="shared" si="23"/>
        <v>0</v>
      </c>
      <c r="H97" s="245"/>
      <c r="I97" s="303">
        <f t="shared" si="24"/>
        <v>0</v>
      </c>
      <c r="J97" s="304">
        <v>0</v>
      </c>
      <c r="K97" s="299">
        <f t="shared" si="25"/>
        <v>0</v>
      </c>
      <c r="L97" s="299"/>
      <c r="M97" s="98">
        <v>269</v>
      </c>
      <c r="N97" s="313">
        <f t="shared" si="26"/>
        <v>269</v>
      </c>
      <c r="O97" s="98"/>
      <c r="P97" s="98"/>
      <c r="Q97" s="313">
        <f t="shared" si="27"/>
        <v>0</v>
      </c>
      <c r="R97" s="309">
        <f t="shared" si="28"/>
        <v>0</v>
      </c>
      <c r="S97" s="146"/>
    </row>
    <row r="98" spans="2:20" ht="15.75" customHeight="1" thickBot="1" x14ac:dyDescent="0.3">
      <c r="B98" s="90" t="s">
        <v>323</v>
      </c>
      <c r="C98" s="89" t="s">
        <v>168</v>
      </c>
      <c r="D98" s="334">
        <v>0</v>
      </c>
      <c r="E98" s="250">
        <f>IFERROR(VLOOKUP("118258",#REF!,7,FALSE),0)*IFERROR(VLOOKUP("118258",#REF!,2,FALSE),0)/500</f>
        <v>0</v>
      </c>
      <c r="F98" s="250">
        <f>IFERROR(VLOOKUP("118258",#REF!,7,FALSE),0)*IFERROR(VLOOKUP("118258",#REF!,2,FALSE),0)/500</f>
        <v>0</v>
      </c>
      <c r="G98" s="336">
        <f t="shared" si="23"/>
        <v>0</v>
      </c>
      <c r="H98" s="245"/>
      <c r="I98" s="303">
        <f t="shared" si="24"/>
        <v>0</v>
      </c>
      <c r="J98" s="304">
        <f>'INVENTORY INPUT'!G308</f>
        <v>0</v>
      </c>
      <c r="K98" s="299">
        <f t="shared" si="25"/>
        <v>0</v>
      </c>
      <c r="L98" s="317">
        <f>IFERROR(Q98/G98,0)</f>
        <v>0</v>
      </c>
      <c r="M98" s="98">
        <v>120.02</v>
      </c>
      <c r="N98" s="313">
        <f t="shared" si="26"/>
        <v>120.02</v>
      </c>
      <c r="O98" s="313">
        <f>IFERROR(VLOOKUP("118258",#REF!,10,FALSE),0)</f>
        <v>0</v>
      </c>
      <c r="P98" s="313">
        <f>IFERROR(VLOOKUP("118258",#REF!,10,FALSE),0)</f>
        <v>0</v>
      </c>
      <c r="Q98" s="313">
        <f t="shared" si="27"/>
        <v>0</v>
      </c>
      <c r="R98" s="309">
        <f t="shared" si="28"/>
        <v>0</v>
      </c>
      <c r="S98" s="146"/>
    </row>
    <row r="99" spans="2:20" ht="15.75" customHeight="1" thickBot="1" x14ac:dyDescent="0.3">
      <c r="B99" s="90" t="s">
        <v>416</v>
      </c>
      <c r="C99" s="89" t="s">
        <v>168</v>
      </c>
      <c r="D99" s="334">
        <v>0.5</v>
      </c>
      <c r="E99" s="250">
        <f>IFERROR(VLOOKUP("111640",#REF!,7,FALSE),0)*IFERROR(VLOOKUP("111640",#REF!,2,FALSE),0)</f>
        <v>0</v>
      </c>
      <c r="F99" s="250">
        <f>IFERROR(VLOOKUP("111640",#REF!,7,FALSE),0)*IFERROR(VLOOKUP("111640",#REF!,2,FALSE),0)</f>
        <v>0</v>
      </c>
      <c r="G99" s="336">
        <f t="shared" si="23"/>
        <v>0</v>
      </c>
      <c r="H99" s="245"/>
      <c r="I99" s="303">
        <f t="shared" si="24"/>
        <v>0.5</v>
      </c>
      <c r="J99" s="304">
        <f>'INVENTORY INPUT'!G309</f>
        <v>0.9</v>
      </c>
      <c r="K99" s="299">
        <f t="shared" si="25"/>
        <v>-0.4</v>
      </c>
      <c r="L99" s="317">
        <f>IFERROR(Q99/G99,0)</f>
        <v>0</v>
      </c>
      <c r="M99" s="98">
        <v>52.1</v>
      </c>
      <c r="N99" s="313">
        <f t="shared" si="26"/>
        <v>52.1</v>
      </c>
      <c r="O99" s="313">
        <f>IFERROR(VLOOKUP("111640",#REF!,10,FALSE),0)</f>
        <v>0</v>
      </c>
      <c r="P99" s="313">
        <f>IFERROR(VLOOKUP("111640",#REF!,10,FALSE),0)</f>
        <v>0</v>
      </c>
      <c r="Q99" s="313">
        <f t="shared" si="27"/>
        <v>0</v>
      </c>
      <c r="R99" s="309">
        <f t="shared" si="28"/>
        <v>46.89</v>
      </c>
      <c r="S99" s="146"/>
      <c r="T99" s="146"/>
    </row>
    <row r="100" spans="2:20" ht="15.75" customHeight="1" thickBot="1" x14ac:dyDescent="0.3">
      <c r="B100" s="88" t="s">
        <v>427</v>
      </c>
      <c r="C100" s="89" t="s">
        <v>168</v>
      </c>
      <c r="D100" s="334">
        <v>0.5</v>
      </c>
      <c r="E100" s="250">
        <f>IFERROR(VLOOKUP("119463",#REF!,7,FALSE),0)*IFERROR(VLOOKUP("119463",#REF!,2,FALSE),0)/100</f>
        <v>0</v>
      </c>
      <c r="F100" s="250">
        <f>IFERROR(VLOOKUP("119463",#REF!,7,FALSE),0)*IFERROR(VLOOKUP("119463",#REF!,2,FALSE),0)/100</f>
        <v>0</v>
      </c>
      <c r="G100" s="336">
        <f t="shared" si="23"/>
        <v>0</v>
      </c>
      <c r="H100" s="246"/>
      <c r="I100" s="303">
        <f t="shared" si="24"/>
        <v>0.5</v>
      </c>
      <c r="J100" s="304">
        <f>'INVENTORY INPUT'!G310</f>
        <v>0</v>
      </c>
      <c r="K100" s="299">
        <f t="shared" si="25"/>
        <v>0.5</v>
      </c>
      <c r="L100" s="317">
        <f>IFERROR(Q100/G100,0)</f>
        <v>0</v>
      </c>
      <c r="M100" s="99">
        <v>50.28</v>
      </c>
      <c r="N100" s="313">
        <f t="shared" si="26"/>
        <v>50.28</v>
      </c>
      <c r="O100" s="313">
        <f>IFERROR(VLOOKUP("119021",#REF!,10,FALSE),0)</f>
        <v>0</v>
      </c>
      <c r="P100" s="313">
        <f>IFERROR(VLOOKUP("119021",#REF!,10,FALSE),0)</f>
        <v>0</v>
      </c>
      <c r="Q100" s="313">
        <f t="shared" si="27"/>
        <v>0</v>
      </c>
      <c r="R100" s="309">
        <f t="shared" si="28"/>
        <v>0</v>
      </c>
      <c r="S100" s="146"/>
    </row>
    <row r="101" spans="2:20" ht="15.75" customHeight="1" thickBot="1" x14ac:dyDescent="0.3">
      <c r="B101" s="85" t="s">
        <v>491</v>
      </c>
      <c r="C101" s="86" t="s">
        <v>168</v>
      </c>
      <c r="D101" s="299">
        <v>1</v>
      </c>
      <c r="E101" s="250">
        <f>IFERROR(VLOOKUP("113512",#REF!,7,FALSE),0)*IFERROR(VLOOKUP("113512",#REF!,2,FALSE),0)/100</f>
        <v>0</v>
      </c>
      <c r="F101" s="250">
        <f>IFERROR(VLOOKUP("113512",#REF!,7,FALSE),0)*IFERROR(VLOOKUP("113512",#REF!,2,FALSE),0)/100</f>
        <v>0</v>
      </c>
      <c r="G101" s="336">
        <f t="shared" si="23"/>
        <v>0</v>
      </c>
      <c r="H101" s="246"/>
      <c r="I101" s="303">
        <f t="shared" si="24"/>
        <v>1</v>
      </c>
      <c r="J101" s="304">
        <f>'INVENTORY INPUT'!G311</f>
        <v>0</v>
      </c>
      <c r="K101" s="299">
        <f t="shared" si="25"/>
        <v>1</v>
      </c>
      <c r="L101" s="317">
        <f>IFERROR(Q101/G101,0)</f>
        <v>0</v>
      </c>
      <c r="M101" s="99">
        <v>0</v>
      </c>
      <c r="N101" s="313">
        <f t="shared" si="26"/>
        <v>0</v>
      </c>
      <c r="O101" s="313">
        <f>IFERROR(VLOOKUP("113512",#REF!,10,FALSE),0)</f>
        <v>0</v>
      </c>
      <c r="P101" s="313">
        <f>IFERROR(VLOOKUP("113512",#REF!,10,FALSE),0)</f>
        <v>0</v>
      </c>
      <c r="Q101" s="313">
        <f t="shared" si="27"/>
        <v>0</v>
      </c>
      <c r="R101" s="309">
        <f t="shared" si="28"/>
        <v>0</v>
      </c>
      <c r="S101" s="146"/>
    </row>
    <row r="102" spans="2:20" ht="15.75" customHeight="1" x14ac:dyDescent="0.2">
      <c r="B102" s="85"/>
      <c r="C102" s="86"/>
      <c r="D102" s="299">
        <v>0</v>
      </c>
      <c r="E102" s="300"/>
      <c r="F102" s="246"/>
      <c r="G102" s="336">
        <f t="shared" si="23"/>
        <v>0</v>
      </c>
      <c r="H102" s="246"/>
      <c r="I102" s="303">
        <f t="shared" si="24"/>
        <v>0</v>
      </c>
      <c r="J102" s="304">
        <f>'INVENTORY INPUT'!G312</f>
        <v>0</v>
      </c>
      <c r="K102" s="299">
        <f t="shared" si="25"/>
        <v>0</v>
      </c>
      <c r="L102" s="299"/>
      <c r="M102" s="99">
        <v>0</v>
      </c>
      <c r="N102" s="313">
        <f t="shared" si="26"/>
        <v>0</v>
      </c>
      <c r="O102" s="99"/>
      <c r="P102" s="99"/>
      <c r="Q102" s="313">
        <f t="shared" si="27"/>
        <v>0</v>
      </c>
      <c r="R102" s="309">
        <f t="shared" si="28"/>
        <v>0</v>
      </c>
      <c r="S102" s="146"/>
    </row>
    <row r="103" spans="2:20" ht="15.75" customHeight="1" x14ac:dyDescent="0.2">
      <c r="B103" s="92" t="s">
        <v>398</v>
      </c>
      <c r="C103" s="92"/>
      <c r="D103" s="298">
        <f>SUM(R96:R102)</f>
        <v>49.938000000000002</v>
      </c>
      <c r="E103" s="213"/>
      <c r="F103" s="213"/>
      <c r="G103" s="213"/>
      <c r="H103" s="213"/>
      <c r="I103" s="305"/>
      <c r="J103" s="305"/>
      <c r="K103" s="306"/>
      <c r="L103" s="306"/>
      <c r="O103" s="354">
        <f>SUM(O96:O100)</f>
        <v>0</v>
      </c>
      <c r="P103" s="354">
        <f>SUM(P96:P100)</f>
        <v>0</v>
      </c>
      <c r="Q103" s="354">
        <f>SUM(Q96:Q102)</f>
        <v>0</v>
      </c>
      <c r="S103" s="146"/>
    </row>
    <row r="104" spans="2:20" ht="15.75" customHeight="1" x14ac:dyDescent="0.2">
      <c r="B104" s="87"/>
      <c r="C104" s="87"/>
      <c r="D104" s="294"/>
      <c r="E104" s="213"/>
      <c r="F104" s="213"/>
      <c r="G104" s="213"/>
      <c r="H104" s="213"/>
      <c r="I104" s="305"/>
      <c r="J104" s="305"/>
      <c r="K104" s="306"/>
      <c r="L104" s="306"/>
    </row>
    <row r="105" spans="2:20" ht="15.75" customHeight="1" thickBot="1" x14ac:dyDescent="0.3">
      <c r="B105" s="97" t="s">
        <v>415</v>
      </c>
      <c r="C105" s="95"/>
      <c r="D105" s="295"/>
      <c r="E105" s="296"/>
      <c r="F105" s="296"/>
      <c r="G105" s="214"/>
      <c r="H105" s="214"/>
      <c r="I105" s="96"/>
      <c r="J105" s="96"/>
      <c r="K105" s="96"/>
      <c r="L105" s="295"/>
      <c r="M105" s="224"/>
      <c r="N105" s="224"/>
      <c r="O105" s="224"/>
      <c r="P105" s="224"/>
      <c r="Q105" s="224"/>
      <c r="R105" s="310"/>
    </row>
    <row r="106" spans="2:20" ht="15.75" customHeight="1" thickBot="1" x14ac:dyDescent="0.3">
      <c r="B106" s="90" t="s">
        <v>324</v>
      </c>
      <c r="C106" s="89" t="s">
        <v>399</v>
      </c>
      <c r="D106" s="349">
        <v>2.1</v>
      </c>
      <c r="E106" s="250">
        <f>IFERROR(VLOOKUP("125939",#REF!,7,FALSE),0)*IFERROR(VLOOKUP("125939",#REF!,2,FALSE),0)</f>
        <v>0</v>
      </c>
      <c r="F106" s="250">
        <f>IFERROR(VLOOKUP("125939",#REF!,7,FALSE),0)*IFERROR(VLOOKUP("125939",#REF!,2,FALSE),0)</f>
        <v>0</v>
      </c>
      <c r="G106" s="336">
        <f>SUM(E106:F106)</f>
        <v>0</v>
      </c>
      <c r="H106" s="319"/>
      <c r="I106" s="303">
        <f t="shared" ref="I106:I111" si="29">D106+G106+H106</f>
        <v>2.1</v>
      </c>
      <c r="J106" s="304">
        <f>'INVENTORY INPUT'!G314</f>
        <v>2.7</v>
      </c>
      <c r="K106" s="299">
        <f t="shared" ref="K106:K111" si="30">(I106-J106)</f>
        <v>-0.60000000000000009</v>
      </c>
      <c r="L106" s="317">
        <f>IFERROR(Q106/G106,0)</f>
        <v>0</v>
      </c>
      <c r="M106" s="226">
        <v>116.31</v>
      </c>
      <c r="N106" s="313">
        <f t="shared" ref="N106:N111" si="31">IF(L106=0,M106,(Q106/H106))</f>
        <v>116.31</v>
      </c>
      <c r="O106" s="313">
        <f>IFERROR(VLOOKUP("125939",#REF!,10,FALSE),0)</f>
        <v>0</v>
      </c>
      <c r="P106" s="313">
        <f>IFERROR(VLOOKUP("125939",#REF!,10,FALSE),0)</f>
        <v>0</v>
      </c>
      <c r="Q106" s="313">
        <f t="shared" ref="Q106:Q111" si="32">IF(G106,(SUM(O106:P106)),(H106*M106))</f>
        <v>0</v>
      </c>
      <c r="R106" s="309">
        <f t="shared" ref="R106:R111" si="33">IF(L106,(L106*J106),(M106*J106))</f>
        <v>314.03700000000003</v>
      </c>
      <c r="T106" s="146"/>
    </row>
    <row r="107" spans="2:20" ht="15.75" customHeight="1" thickBot="1" x14ac:dyDescent="0.3">
      <c r="B107" s="90" t="s">
        <v>325</v>
      </c>
      <c r="C107" s="89" t="s">
        <v>399</v>
      </c>
      <c r="D107" s="349">
        <v>2</v>
      </c>
      <c r="E107" s="250">
        <f>IFERROR(VLOOKUP("125841",#REF!,7,FALSE),0)*IFERROR(VLOOKUP("125841",#REF!,2,FALSE),0)</f>
        <v>0</v>
      </c>
      <c r="F107" s="250">
        <f>IFERROR(VLOOKUP("125841",#REF!,7,FALSE),0)*IFERROR(VLOOKUP("125841",#REF!,2,FALSE),0)</f>
        <v>0</v>
      </c>
      <c r="G107" s="336">
        <f>SUM(E107:F107)</f>
        <v>0</v>
      </c>
      <c r="H107" s="319"/>
      <c r="I107" s="303">
        <f t="shared" si="29"/>
        <v>2</v>
      </c>
      <c r="J107" s="304">
        <f>'INVENTORY INPUT'!G315</f>
        <v>2.1</v>
      </c>
      <c r="K107" s="299">
        <f t="shared" si="30"/>
        <v>-0.10000000000000009</v>
      </c>
      <c r="L107" s="317">
        <f>IFERROR(Q107/G107,0)</f>
        <v>0</v>
      </c>
      <c r="M107" s="226">
        <v>77.540000000000006</v>
      </c>
      <c r="N107" s="313">
        <f t="shared" si="31"/>
        <v>77.540000000000006</v>
      </c>
      <c r="O107" s="313">
        <f>IFERROR(VLOOKUP("125841",#REF!,10,FALSE),0)</f>
        <v>0</v>
      </c>
      <c r="P107" s="313">
        <f>IFERROR(VLOOKUP("125841",#REF!,10,FALSE),0)</f>
        <v>0</v>
      </c>
      <c r="Q107" s="313">
        <f t="shared" si="32"/>
        <v>0</v>
      </c>
      <c r="R107" s="309">
        <f t="shared" si="33"/>
        <v>162.83400000000003</v>
      </c>
      <c r="T107" s="146"/>
    </row>
    <row r="108" spans="2:20" ht="15.75" customHeight="1" thickBot="1" x14ac:dyDescent="0.3">
      <c r="B108" s="88" t="s">
        <v>326</v>
      </c>
      <c r="C108" s="89" t="s">
        <v>399</v>
      </c>
      <c r="D108" s="349">
        <v>1.1000000000000001</v>
      </c>
      <c r="E108" s="250">
        <f>IFERROR(VLOOKUP("125831",#REF!,7,FALSE),0)*IFERROR(VLOOKUP("125831",#REF!,2,FALSE),0)</f>
        <v>0</v>
      </c>
      <c r="F108" s="250">
        <f>IFERROR(VLOOKUP("125831",#REF!,7,FALSE),0)*IFERROR(VLOOKUP("125831",#REF!,2,FALSE),0)</f>
        <v>0</v>
      </c>
      <c r="G108" s="336">
        <f>SUM(E108:F108)</f>
        <v>0</v>
      </c>
      <c r="H108" s="319"/>
      <c r="I108" s="303">
        <f t="shared" si="29"/>
        <v>1.1000000000000001</v>
      </c>
      <c r="J108" s="304">
        <f>'INVENTORY INPUT'!G316</f>
        <v>1.4</v>
      </c>
      <c r="K108" s="299">
        <f t="shared" si="30"/>
        <v>-0.29999999999999982</v>
      </c>
      <c r="L108" s="317">
        <f>IFERROR(Q108/G108,0)</f>
        <v>0</v>
      </c>
      <c r="M108" s="226">
        <v>38.76</v>
      </c>
      <c r="N108" s="313">
        <f t="shared" si="31"/>
        <v>38.76</v>
      </c>
      <c r="O108" s="313">
        <f>IFERROR(VLOOKUP("125831",#REF!,10,FALSE),0)</f>
        <v>0</v>
      </c>
      <c r="P108" s="313">
        <f>IFERROR(VLOOKUP("125831",#REF!,10,FALSE),0)</f>
        <v>0</v>
      </c>
      <c r="Q108" s="313">
        <f t="shared" si="32"/>
        <v>0</v>
      </c>
      <c r="R108" s="309">
        <f t="shared" si="33"/>
        <v>54.263999999999996</v>
      </c>
      <c r="T108" s="146"/>
    </row>
    <row r="109" spans="2:20" ht="15.75" customHeight="1" thickBot="1" x14ac:dyDescent="0.3">
      <c r="B109" s="90" t="s">
        <v>14</v>
      </c>
      <c r="C109" s="89" t="s">
        <v>399</v>
      </c>
      <c r="D109" s="347">
        <v>0</v>
      </c>
      <c r="E109" s="301"/>
      <c r="F109" s="301"/>
      <c r="G109" s="337"/>
      <c r="H109" s="319"/>
      <c r="I109" s="303">
        <f t="shared" si="29"/>
        <v>0</v>
      </c>
      <c r="J109" s="304">
        <f>'INVENTORY INPUT'!G317</f>
        <v>0</v>
      </c>
      <c r="K109" s="299">
        <f t="shared" si="30"/>
        <v>0</v>
      </c>
      <c r="L109" s="317">
        <f>IFERROR(O109+P109/G109,0)</f>
        <v>0</v>
      </c>
      <c r="M109" s="226">
        <v>80.3</v>
      </c>
      <c r="N109" s="313">
        <f t="shared" si="31"/>
        <v>80.3</v>
      </c>
      <c r="O109" s="226"/>
      <c r="P109" s="226"/>
      <c r="Q109" s="313">
        <f t="shared" si="32"/>
        <v>0</v>
      </c>
      <c r="R109" s="365">
        <f t="shared" si="33"/>
        <v>0</v>
      </c>
      <c r="T109" s="146"/>
    </row>
    <row r="110" spans="2:20" ht="15.75" customHeight="1" thickBot="1" x14ac:dyDescent="0.25">
      <c r="B110" s="90"/>
      <c r="C110" s="89"/>
      <c r="D110" s="347">
        <v>0</v>
      </c>
      <c r="E110" s="301"/>
      <c r="F110" s="301"/>
      <c r="G110" s="337"/>
      <c r="H110" s="319"/>
      <c r="I110" s="303">
        <f t="shared" si="29"/>
        <v>0</v>
      </c>
      <c r="J110" s="304">
        <f>'INVENTORY INPUT'!G326</f>
        <v>0</v>
      </c>
      <c r="K110" s="299">
        <f t="shared" si="30"/>
        <v>0</v>
      </c>
      <c r="L110" s="299"/>
      <c r="M110" s="226">
        <v>0</v>
      </c>
      <c r="N110" s="313">
        <f t="shared" si="31"/>
        <v>0</v>
      </c>
      <c r="O110" s="226"/>
      <c r="P110" s="226"/>
      <c r="Q110" s="313">
        <f t="shared" si="32"/>
        <v>0</v>
      </c>
      <c r="R110" s="365">
        <f t="shared" si="33"/>
        <v>0</v>
      </c>
      <c r="T110" s="146"/>
    </row>
    <row r="111" spans="2:20" ht="15.75" customHeight="1" x14ac:dyDescent="0.2">
      <c r="B111" s="93"/>
      <c r="C111" s="94"/>
      <c r="D111" s="348">
        <v>0</v>
      </c>
      <c r="E111" s="302"/>
      <c r="F111" s="302"/>
      <c r="G111" s="338"/>
      <c r="H111" s="320"/>
      <c r="I111" s="303">
        <f t="shared" si="29"/>
        <v>0</v>
      </c>
      <c r="J111" s="304">
        <f>'INVENTORY INPUT'!G327</f>
        <v>0</v>
      </c>
      <c r="K111" s="299">
        <f t="shared" si="30"/>
        <v>0</v>
      </c>
      <c r="L111" s="299"/>
      <c r="M111" s="226">
        <v>0</v>
      </c>
      <c r="N111" s="313">
        <f t="shared" si="31"/>
        <v>0</v>
      </c>
      <c r="O111" s="226"/>
      <c r="P111" s="226"/>
      <c r="Q111" s="313">
        <f t="shared" si="32"/>
        <v>0</v>
      </c>
      <c r="R111" s="365">
        <f t="shared" si="33"/>
        <v>0</v>
      </c>
      <c r="T111" s="146"/>
    </row>
    <row r="112" spans="2:20" ht="15.75" customHeight="1" x14ac:dyDescent="0.2">
      <c r="B112" s="92" t="s">
        <v>398</v>
      </c>
      <c r="C112" s="92"/>
      <c r="D112" s="298">
        <f>SUM(R106:R111)</f>
        <v>531.1350000000001</v>
      </c>
      <c r="E112" s="213"/>
      <c r="F112" s="213"/>
      <c r="G112" s="213"/>
      <c r="H112" s="213"/>
      <c r="I112" s="305"/>
      <c r="J112" s="305"/>
      <c r="K112" s="306"/>
      <c r="L112" s="306"/>
      <c r="O112" s="353">
        <f>SUM(O106:O109)</f>
        <v>0</v>
      </c>
      <c r="P112" s="353">
        <f>SUM(P106:P109)</f>
        <v>0</v>
      </c>
      <c r="Q112" s="353">
        <f>SUM(Q106:Q111)</f>
        <v>0</v>
      </c>
      <c r="T112" s="146"/>
    </row>
    <row r="113" spans="15:20" ht="15.75" customHeight="1" x14ac:dyDescent="0.2">
      <c r="O113" s="353"/>
    </row>
    <row r="114" spans="15:20" ht="15.75" customHeight="1" x14ac:dyDescent="0.2"/>
    <row r="115" spans="15:20" ht="15.75" customHeight="1" x14ac:dyDescent="0.2">
      <c r="T115" s="146"/>
    </row>
    <row r="116" spans="15:20" ht="15.75" customHeight="1" x14ac:dyDescent="0.2">
      <c r="O116" s="355">
        <f>O36+O63+O93+O103+O112</f>
        <v>0</v>
      </c>
      <c r="P116" s="355">
        <f>P36+P63+P93+P103+P112</f>
        <v>0</v>
      </c>
      <c r="Q116" s="355"/>
    </row>
    <row r="117" spans="15:20" ht="15.75" customHeight="1" x14ac:dyDescent="0.2"/>
    <row r="118" spans="15:20" ht="15.75" customHeight="1" x14ac:dyDescent="0.2"/>
    <row r="119" spans="15:20" ht="15.75" customHeight="1" x14ac:dyDescent="0.2"/>
    <row r="120" spans="15:20" ht="15.75" customHeight="1" x14ac:dyDescent="0.2"/>
    <row r="121" spans="15:20" ht="15.75" customHeight="1" x14ac:dyDescent="0.2"/>
    <row r="122" spans="15:20" ht="15.75" customHeight="1" x14ac:dyDescent="0.2"/>
    <row r="123" spans="15:20" ht="15.75" customHeight="1" x14ac:dyDescent="0.2"/>
    <row r="124" spans="15:20" ht="15.75" customHeight="1" x14ac:dyDescent="0.2"/>
    <row r="125" spans="15:20" ht="15.75" customHeight="1" x14ac:dyDescent="0.2"/>
    <row r="126" spans="15:20" ht="15.75" customHeight="1" x14ac:dyDescent="0.2"/>
    <row r="127" spans="15:20" ht="15.75" customHeight="1" x14ac:dyDescent="0.2"/>
    <row r="128" spans="15:20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</sheetData>
  <protectedRanges>
    <protectedRange sqref="E109:H110" name="Range5_2_1_1"/>
    <protectedRange sqref="H106:H108 H25" name="Range5_1_1_1_1"/>
    <protectedRange sqref="E106:F108 E66:F71 E98:F101 E4:F30 E39:F54 E73:F92 E32:F35 E56:F61" name="Range1_1_3_1"/>
  </protectedRanges>
  <mergeCells count="11">
    <mergeCell ref="P1:P2"/>
    <mergeCell ref="M1:M2"/>
    <mergeCell ref="L1:L2"/>
    <mergeCell ref="B1:B2"/>
    <mergeCell ref="C1:C2"/>
    <mergeCell ref="E1:E2"/>
    <mergeCell ref="Q1:Q2"/>
    <mergeCell ref="F1:F2"/>
    <mergeCell ref="G1:G2"/>
    <mergeCell ref="H1:H2"/>
    <mergeCell ref="O1:O2"/>
  </mergeCells>
  <phoneticPr fontId="15" type="noConversion"/>
  <printOptions verticalCentered="1"/>
  <pageMargins left="0.74803149606299213" right="0.74803149606299213" top="0.23622047244094491" bottom="0.23622047244094491" header="0.51181102362204722" footer="0.51181102362204722"/>
  <pageSetup scale="52" fitToHeight="0" orientation="portrait" verticalDpi="1200" r:id="rId1"/>
  <headerFooter alignWithMargins="0"/>
  <rowBreaks count="1" manualBreakCount="1">
    <brk id="3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C7BB-9DD4-43DC-B1AA-B888C734EF25}">
  <sheetPr codeName="Sheet4"/>
  <dimension ref="A1:I193"/>
  <sheetViews>
    <sheetView topLeftCell="A27" zoomScaleNormal="100" workbookViewId="0">
      <selection activeCell="A15" sqref="A15"/>
    </sheetView>
  </sheetViews>
  <sheetFormatPr defaultRowHeight="15" customHeight="1" x14ac:dyDescent="0.25"/>
  <cols>
    <col min="1" max="1" width="23.7109375" style="383" customWidth="1"/>
    <col min="2" max="2" width="9.140625" style="392" customWidth="1"/>
    <col min="3" max="3" width="9.140625" style="383" customWidth="1"/>
    <col min="4" max="4" width="9.140625" style="392" customWidth="1"/>
    <col min="5" max="5" width="9.140625" style="383" customWidth="1"/>
    <col min="6" max="6" width="9.140625" style="392" customWidth="1"/>
    <col min="7" max="7" width="9.140625" style="383" customWidth="1"/>
    <col min="8" max="8" width="9.140625" style="392" customWidth="1"/>
    <col min="9" max="9" width="9.140625" style="383" customWidth="1"/>
  </cols>
  <sheetData>
    <row r="1" spans="1:9" x14ac:dyDescent="0.25">
      <c r="B1" s="384" t="s">
        <v>548</v>
      </c>
      <c r="C1" s="385" t="s">
        <v>549</v>
      </c>
      <c r="D1" s="384" t="s">
        <v>550</v>
      </c>
      <c r="E1" s="385" t="s">
        <v>551</v>
      </c>
      <c r="F1" s="384" t="s">
        <v>552</v>
      </c>
      <c r="G1" s="385" t="s">
        <v>553</v>
      </c>
      <c r="H1" s="384" t="s">
        <v>554</v>
      </c>
      <c r="I1" s="385" t="s">
        <v>555</v>
      </c>
    </row>
    <row r="2" spans="1:9" hidden="1" x14ac:dyDescent="0.25">
      <c r="A2" s="383" t="s">
        <v>556</v>
      </c>
      <c r="B2" s="384"/>
      <c r="C2" s="385"/>
      <c r="D2" s="384"/>
      <c r="E2" s="385"/>
      <c r="F2" s="384"/>
      <c r="G2" s="385"/>
      <c r="H2" s="384"/>
      <c r="I2" s="385"/>
    </row>
    <row r="3" spans="1:9" x14ac:dyDescent="0.25">
      <c r="A3" s="383" t="s">
        <v>925</v>
      </c>
      <c r="B3" s="384">
        <f>DSUM(Recipes!$B$4:$K$3940, "MON", A2:A3)</f>
        <v>3</v>
      </c>
      <c r="C3" s="385">
        <f>DSUM(Recipes!$B$4:$K$3940, "TUES", A2:A3)</f>
        <v>1</v>
      </c>
      <c r="D3" s="384">
        <f>DSUM(Recipes!$B$4:$K$3940, "WED", A2:A3)</f>
        <v>6</v>
      </c>
      <c r="E3" s="385">
        <f>DSUM(Recipes!$B$4:$K$3940, "THURS", A2:A3)</f>
        <v>1</v>
      </c>
      <c r="F3" s="384">
        <f>DSUM(Recipes!$B$4:$K$3940, "FRI", A2:A3)</f>
        <v>12</v>
      </c>
      <c r="G3" s="385">
        <f>DSUM(Recipes!$B$4:$K$3940, "SAT", A2:A3)</f>
        <v>14</v>
      </c>
      <c r="H3" s="384">
        <f>DSUM(Recipes!$B$4:$K$3940, "SUN", A2:A3)</f>
        <v>5</v>
      </c>
      <c r="I3" s="385">
        <f>DSUM(Recipes!$B$4:$K$3940, "TOTAL", A2:A3)</f>
        <v>42</v>
      </c>
    </row>
    <row r="4" spans="1:9" hidden="1" x14ac:dyDescent="0.25">
      <c r="A4" s="383" t="s">
        <v>556</v>
      </c>
      <c r="B4" s="384"/>
      <c r="C4" s="385"/>
      <c r="D4" s="384"/>
      <c r="E4" s="385"/>
      <c r="F4" s="384"/>
      <c r="G4" s="385"/>
      <c r="H4" s="384"/>
      <c r="I4" s="385"/>
    </row>
    <row r="5" spans="1:9" x14ac:dyDescent="0.25">
      <c r="A5" s="383" t="s">
        <v>923</v>
      </c>
      <c r="B5" s="384">
        <f>DSUM(Recipes!$B$4:$K$3940, "MON", A4:A5)</f>
        <v>4</v>
      </c>
      <c r="C5" s="385">
        <f>DSUM(Recipes!$B$4:$K$3940, "TUES", A4:A5)</f>
        <v>5</v>
      </c>
      <c r="D5" s="384">
        <f>DSUM(Recipes!$B$4:$K$3940, "WED", A4:A5)</f>
        <v>5</v>
      </c>
      <c r="E5" s="385">
        <f>DSUM(Recipes!$B$4:$K$3940, "THURS", A4:A5)</f>
        <v>3</v>
      </c>
      <c r="F5" s="384">
        <f>DSUM(Recipes!$B$4:$K$3940, "FRI", A4:A5)</f>
        <v>9</v>
      </c>
      <c r="G5" s="385">
        <f>DSUM(Recipes!$B$4:$K$3940, "SAT", A4:A5)</f>
        <v>22</v>
      </c>
      <c r="H5" s="384">
        <f>DSUM(Recipes!$B$4:$K$3940, "SUN", A4:A5)</f>
        <v>4</v>
      </c>
      <c r="I5" s="385">
        <f>DSUM(Recipes!$B$4:$K$3940, "TOTAL", A4:A5)</f>
        <v>52</v>
      </c>
    </row>
    <row r="6" spans="1:9" hidden="1" x14ac:dyDescent="0.25">
      <c r="A6" s="383" t="s">
        <v>556</v>
      </c>
      <c r="B6" s="384">
        <f>DSUM(Recipes!$B$4:$K$3940, "MON", A5:A6)</f>
        <v>0</v>
      </c>
      <c r="C6" s="385">
        <f>DSUM(Recipes!$B$4:$K$3940, "TUES", A5:A6)</f>
        <v>0</v>
      </c>
      <c r="D6" s="384">
        <f>DSUM(Recipes!$B$4:$K$3940, "WED", A5:A6)</f>
        <v>0</v>
      </c>
      <c r="E6" s="385">
        <f>DSUM(Recipes!$B$4:$K$3940, "THURS", A5:A6)</f>
        <v>0</v>
      </c>
      <c r="F6" s="384">
        <f>DSUM(Recipes!$B$4:$K$3940, "FRI", A5:A6)</f>
        <v>0</v>
      </c>
      <c r="G6" s="385">
        <f>DSUM(Recipes!$B$4:$K$3940, "SAT", A5:A6)</f>
        <v>0</v>
      </c>
      <c r="H6" s="384">
        <f>DSUM(Recipes!$B$4:$K$3940, "SUN", A5:A6)</f>
        <v>0</v>
      </c>
      <c r="I6" s="385">
        <f>DSUM(Recipes!$B$4:$K$3940, "TOTAL", A5:A6)</f>
        <v>0</v>
      </c>
    </row>
    <row r="7" spans="1:9" x14ac:dyDescent="0.25">
      <c r="A7" s="383" t="s">
        <v>919</v>
      </c>
      <c r="B7" s="384">
        <f>DSUM(Recipes!$B$4:$K$3940, "MON", A6:A7)</f>
        <v>1</v>
      </c>
      <c r="C7" s="385">
        <f>DSUM(Recipes!$B$4:$K$3940, "TUES", A6:A7)</f>
        <v>0</v>
      </c>
      <c r="D7" s="384">
        <f>DSUM(Recipes!$B$4:$K$3940, "WED", A6:A7)</f>
        <v>0</v>
      </c>
      <c r="E7" s="385">
        <f>DSUM(Recipes!$B$4:$K$3940, "THURS", A6:A7)</f>
        <v>2</v>
      </c>
      <c r="F7" s="384">
        <f>DSUM(Recipes!$B$4:$K$3940, "FRI", A6:A7)</f>
        <v>4</v>
      </c>
      <c r="G7" s="385">
        <f>DSUM(Recipes!$B$4:$K$3940, "SAT", A6:A7)</f>
        <v>3</v>
      </c>
      <c r="H7" s="384">
        <f>DSUM(Recipes!$B$4:$K$3940, "SUN", A6:A7)</f>
        <v>4</v>
      </c>
      <c r="I7" s="385">
        <f>DSUM(Recipes!$B$4:$K$3940, "TOTAL", A6:A7)</f>
        <v>14</v>
      </c>
    </row>
    <row r="8" spans="1:9" hidden="1" x14ac:dyDescent="0.25">
      <c r="A8" s="383" t="s">
        <v>556</v>
      </c>
      <c r="B8" s="384">
        <f>DSUM(Recipes!$B$4:$K$3940, "MON", A7:A8)</f>
        <v>0</v>
      </c>
      <c r="C8" s="385">
        <f>DSUM(Recipes!$B$4:$K$3940, "TUES", A7:A8)</f>
        <v>0</v>
      </c>
      <c r="D8" s="384">
        <f>DSUM(Recipes!$B$4:$K$3940, "WED", A7:A8)</f>
        <v>0</v>
      </c>
      <c r="E8" s="385">
        <f>DSUM(Recipes!$B$4:$K$3940, "THURS", A7:A8)</f>
        <v>0</v>
      </c>
      <c r="F8" s="384">
        <f>DSUM(Recipes!$B$4:$K$3940, "FRI", A7:A8)</f>
        <v>0</v>
      </c>
      <c r="G8" s="385">
        <f>DSUM(Recipes!$B$4:$K$3940, "SAT", A7:A8)</f>
        <v>0</v>
      </c>
      <c r="H8" s="384">
        <f>DSUM(Recipes!$B$4:$K$3940, "SUN", A7:A8)</f>
        <v>0</v>
      </c>
      <c r="I8" s="385">
        <f>DSUM(Recipes!$B$4:$K$3940, "TOTAL", A7:A8)</f>
        <v>0</v>
      </c>
    </row>
    <row r="9" spans="1:9" x14ac:dyDescent="0.25">
      <c r="A9" s="383" t="s">
        <v>918</v>
      </c>
      <c r="B9" s="384">
        <f>DSUM(Recipes!$B$4:$K$3940, "MON", A8:A9)</f>
        <v>2</v>
      </c>
      <c r="C9" s="385">
        <f>DSUM(Recipes!$B$4:$K$3940, "TUES", A8:A9)</f>
        <v>7</v>
      </c>
      <c r="D9" s="384">
        <f>DSUM(Recipes!$B$4:$K$3940, "WED", A8:A9)</f>
        <v>14</v>
      </c>
      <c r="E9" s="385">
        <f>DSUM(Recipes!$B$4:$K$3940, "THURS", A8:A9)</f>
        <v>14</v>
      </c>
      <c r="F9" s="384">
        <f>DSUM(Recipes!$B$4:$K$3940, "FRI", A8:A9)</f>
        <v>23</v>
      </c>
      <c r="G9" s="385">
        <f>DSUM(Recipes!$B$4:$K$3940, "SAT", A8:A9)</f>
        <v>37</v>
      </c>
      <c r="H9" s="384">
        <f>DSUM(Recipes!$B$4:$K$3940, "SUN", A8:A9)</f>
        <v>11</v>
      </c>
      <c r="I9" s="385">
        <f>DSUM(Recipes!$B$4:$K$3940, "TOTAL", A8:A9)</f>
        <v>108</v>
      </c>
    </row>
    <row r="10" spans="1:9" hidden="1" x14ac:dyDescent="0.25">
      <c r="A10" s="383" t="s">
        <v>556</v>
      </c>
      <c r="B10" s="384">
        <f>DSUM(Recipes!$B$4:$K$3940, "MON", A9:A10)</f>
        <v>0</v>
      </c>
      <c r="C10" s="385">
        <f>DSUM(Recipes!$B$4:$K$3940, "TUES", A9:A10)</f>
        <v>0</v>
      </c>
      <c r="D10" s="384">
        <f>DSUM(Recipes!$B$4:$K$3940, "WED", A9:A10)</f>
        <v>0</v>
      </c>
      <c r="E10" s="385">
        <f>DSUM(Recipes!$B$4:$K$3940, "THURS", A9:A10)</f>
        <v>0</v>
      </c>
      <c r="F10" s="384">
        <f>DSUM(Recipes!$B$4:$K$3940, "FRI", A9:A10)</f>
        <v>0</v>
      </c>
      <c r="G10" s="385">
        <f>DSUM(Recipes!$B$4:$K$3940, "SAT", A9:A10)</f>
        <v>0</v>
      </c>
      <c r="H10" s="384">
        <f>DSUM(Recipes!$B$4:$K$3940, "SUN", A9:A10)</f>
        <v>0</v>
      </c>
      <c r="I10" s="385">
        <f>DSUM(Recipes!$B$4:$K$3940, "TOTAL", A9:A10)</f>
        <v>0</v>
      </c>
    </row>
    <row r="11" spans="1:9" x14ac:dyDescent="0.25">
      <c r="A11" s="383" t="s">
        <v>924</v>
      </c>
      <c r="B11" s="384">
        <f>DSUM(Recipes!$B$4:$K$3940, "MON", A10:A11)</f>
        <v>0</v>
      </c>
      <c r="C11" s="385">
        <f>DSUM(Recipes!$B$4:$K$3940, "TUES", A10:A11)</f>
        <v>0</v>
      </c>
      <c r="D11" s="384">
        <f>DSUM(Recipes!$B$4:$K$3940, "WED", A10:A11)</f>
        <v>1</v>
      </c>
      <c r="E11" s="385">
        <f>DSUM(Recipes!$B$4:$K$3940, "THURS", A10:A11)</f>
        <v>0</v>
      </c>
      <c r="F11" s="384">
        <f>DSUM(Recipes!$B$4:$K$3940, "FRI", A10:A11)</f>
        <v>1</v>
      </c>
      <c r="G11" s="385">
        <f>DSUM(Recipes!$B$4:$K$3940, "SAT", A10:A11)</f>
        <v>4</v>
      </c>
      <c r="H11" s="384">
        <f>DSUM(Recipes!$B$4:$K$3940, "SUN", A10:A11)</f>
        <v>1</v>
      </c>
      <c r="I11" s="385">
        <f>DSUM(Recipes!$B$4:$K$3940, "TOTAL", A10:A11)</f>
        <v>7</v>
      </c>
    </row>
    <row r="12" spans="1:9" hidden="1" x14ac:dyDescent="0.25">
      <c r="A12" s="383" t="s">
        <v>556</v>
      </c>
      <c r="B12" s="384">
        <f>DSUM(Recipes!$B$4:$K$3940, "MON", A11:A12)</f>
        <v>0</v>
      </c>
      <c r="C12" s="385">
        <f>DSUM(Recipes!$B$4:$K$3940, "TUES", A11:A12)</f>
        <v>0</v>
      </c>
      <c r="D12" s="384">
        <f>DSUM(Recipes!$B$4:$K$3940, "WED", A11:A12)</f>
        <v>0</v>
      </c>
      <c r="E12" s="385">
        <f>DSUM(Recipes!$B$4:$K$3940, "THURS", A11:A12)</f>
        <v>0</v>
      </c>
      <c r="F12" s="384">
        <f>DSUM(Recipes!$B$4:$K$3940, "FRI", A11:A12)</f>
        <v>0</v>
      </c>
      <c r="G12" s="385">
        <f>DSUM(Recipes!$B$4:$K$3940, "SAT", A11:A12)</f>
        <v>0</v>
      </c>
      <c r="H12" s="384">
        <f>DSUM(Recipes!$B$4:$K$3940, "SUN", A11:A12)</f>
        <v>0</v>
      </c>
      <c r="I12" s="385">
        <f>DSUM(Recipes!$B$4:$K$3940, "TOTAL", A11:A12)</f>
        <v>0</v>
      </c>
    </row>
    <row r="13" spans="1:9" x14ac:dyDescent="0.25">
      <c r="A13" s="383" t="s">
        <v>922</v>
      </c>
      <c r="B13" s="384">
        <f>DSUM(Recipes!$B$4:$K$3940, "MON", A12:A13)</f>
        <v>3</v>
      </c>
      <c r="C13" s="385">
        <f>DSUM(Recipes!$B$4:$K$3940, "TUES", A12:A13)</f>
        <v>3</v>
      </c>
      <c r="D13" s="384">
        <f>DSUM(Recipes!$B$4:$K$3940, "WED", A12:A13)</f>
        <v>3</v>
      </c>
      <c r="E13" s="385">
        <f>DSUM(Recipes!$B$4:$K$3940, "THURS", A12:A13)</f>
        <v>0</v>
      </c>
      <c r="F13" s="384">
        <f>DSUM(Recipes!$B$4:$K$3940, "FRI", A12:A13)</f>
        <v>12</v>
      </c>
      <c r="G13" s="385">
        <f>DSUM(Recipes!$B$4:$K$3940, "SAT", A12:A13)</f>
        <v>18</v>
      </c>
      <c r="H13" s="384">
        <f>DSUM(Recipes!$B$4:$K$3940, "SUN", A12:A13)</f>
        <v>10</v>
      </c>
      <c r="I13" s="385">
        <f>DSUM(Recipes!$B$4:$K$3940, "TOTAL", A12:A13)</f>
        <v>49</v>
      </c>
    </row>
    <row r="14" spans="1:9" hidden="1" x14ac:dyDescent="0.25">
      <c r="A14" s="383" t="s">
        <v>556</v>
      </c>
      <c r="B14" s="384">
        <f>DSUM(Recipes!$B$4:$K$3940, "MON", A13:A14)</f>
        <v>0</v>
      </c>
      <c r="C14" s="385">
        <f>DSUM(Recipes!$B$4:$K$3940, "TUES", A13:A14)</f>
        <v>0</v>
      </c>
      <c r="D14" s="384">
        <f>DSUM(Recipes!$B$4:$K$3940, "WED", A13:A14)</f>
        <v>0</v>
      </c>
      <c r="E14" s="385">
        <f>DSUM(Recipes!$B$4:$K$3940, "THURS", A13:A14)</f>
        <v>0</v>
      </c>
      <c r="F14" s="384">
        <f>DSUM(Recipes!$B$4:$K$3940, "FRI", A13:A14)</f>
        <v>0</v>
      </c>
      <c r="G14" s="385">
        <f>DSUM(Recipes!$B$4:$K$3940, "SAT", A13:A14)</f>
        <v>0</v>
      </c>
      <c r="H14" s="384">
        <f>DSUM(Recipes!$B$4:$K$3940, "SUN", A13:A14)</f>
        <v>0</v>
      </c>
      <c r="I14" s="385">
        <f>DSUM(Recipes!$B$4:$K$3940, "TOTAL", A13:A14)</f>
        <v>0</v>
      </c>
    </row>
    <row r="15" spans="1:9" x14ac:dyDescent="0.25">
      <c r="A15" s="383" t="s">
        <v>921</v>
      </c>
      <c r="B15" s="384">
        <f>DSUM(Recipes!$B$4:$K$3940, "MON", A14:A15)</f>
        <v>1</v>
      </c>
      <c r="C15" s="385">
        <f>DSUM(Recipes!$B$4:$K$3940, "TUES", A14:A15)</f>
        <v>1</v>
      </c>
      <c r="D15" s="384">
        <f>DSUM(Recipes!$B$4:$K$3940, "WED", A14:A15)</f>
        <v>3</v>
      </c>
      <c r="E15" s="385">
        <f>DSUM(Recipes!$B$4:$K$3940, "THURS", A14:A15)</f>
        <v>2</v>
      </c>
      <c r="F15" s="384">
        <f>DSUM(Recipes!$B$4:$K$3940, "FRI", A14:A15)</f>
        <v>3</v>
      </c>
      <c r="G15" s="385">
        <f>DSUM(Recipes!$B$4:$K$3940, "SAT", A14:A15)</f>
        <v>6</v>
      </c>
      <c r="H15" s="384">
        <f>DSUM(Recipes!$B$4:$K$3940, "SUN", A14:A15)</f>
        <v>5</v>
      </c>
      <c r="I15" s="385">
        <f>DSUM(Recipes!$B$4:$K$3940, "TOTAL", A14:A15)</f>
        <v>21</v>
      </c>
    </row>
    <row r="16" spans="1:9" hidden="1" x14ac:dyDescent="0.25">
      <c r="A16" s="383" t="s">
        <v>556</v>
      </c>
      <c r="B16" s="384">
        <f>DSUM(Recipes!$B$4:$K$3940, "MON", A15:A16)</f>
        <v>0</v>
      </c>
      <c r="C16" s="385">
        <f>DSUM(Recipes!$B$4:$K$3940, "TUES", A15:A16)</f>
        <v>0</v>
      </c>
      <c r="D16" s="384">
        <f>DSUM(Recipes!$B$4:$K$3940, "WED", A15:A16)</f>
        <v>0</v>
      </c>
      <c r="E16" s="385">
        <f>DSUM(Recipes!$B$4:$K$3940, "THURS", A15:A16)</f>
        <v>0</v>
      </c>
      <c r="F16" s="384">
        <f>DSUM(Recipes!$B$4:$K$3940, "FRI", A15:A16)</f>
        <v>0</v>
      </c>
      <c r="G16" s="385">
        <f>DSUM(Recipes!$B$4:$K$3940, "SAT", A15:A16)</f>
        <v>0</v>
      </c>
      <c r="H16" s="384">
        <f>DSUM(Recipes!$B$4:$K$3940, "SUN", A15:A16)</f>
        <v>0</v>
      </c>
      <c r="I16" s="385">
        <f>DSUM(Recipes!$B$4:$K$3940, "TOTAL", A15:A16)</f>
        <v>0</v>
      </c>
    </row>
    <row r="17" spans="1:9" x14ac:dyDescent="0.25">
      <c r="A17" s="383" t="s">
        <v>920</v>
      </c>
      <c r="B17" s="384">
        <f>DSUM(Recipes!$B$4:$K$3940, "MON", A16:A17)</f>
        <v>9</v>
      </c>
      <c r="C17" s="385">
        <f>DSUM(Recipes!$B$4:$K$3940, "TUES", A16:A17)</f>
        <v>7</v>
      </c>
      <c r="D17" s="384">
        <f>DSUM(Recipes!$B$4:$K$3940, "WED", A16:A17)</f>
        <v>18</v>
      </c>
      <c r="E17" s="385">
        <f>DSUM(Recipes!$B$4:$K$3940, "THURS", A16:A17)</f>
        <v>12</v>
      </c>
      <c r="F17" s="384">
        <f>DSUM(Recipes!$B$4:$K$3940, "FRI", A16:A17)</f>
        <v>35</v>
      </c>
      <c r="G17" s="385">
        <f>DSUM(Recipes!$B$4:$K$3940, "SAT", A16:A17)</f>
        <v>43</v>
      </c>
      <c r="H17" s="384">
        <f>DSUM(Recipes!$B$4:$K$3940, "SUN", A16:A17)</f>
        <v>12</v>
      </c>
      <c r="I17" s="385">
        <f>DSUM(Recipes!$B$4:$K$3940, "TOTAL", A16:A17)</f>
        <v>136</v>
      </c>
    </row>
    <row r="18" spans="1:9" hidden="1" x14ac:dyDescent="0.25">
      <c r="A18" s="383" t="s">
        <v>556</v>
      </c>
      <c r="B18" s="384">
        <f>DSUM(Recipes!$B$4:$K$3940, "MON", A17:A18)</f>
        <v>0</v>
      </c>
      <c r="C18" s="385">
        <f>DSUM(Recipes!$B$4:$K$3940, "TUES", A17:A18)</f>
        <v>0</v>
      </c>
      <c r="D18" s="384">
        <f>DSUM(Recipes!$B$4:$K$3940, "WED", A17:A18)</f>
        <v>0</v>
      </c>
      <c r="E18" s="385">
        <f>DSUM(Recipes!$B$4:$K$3940, "THURS", A17:A18)</f>
        <v>0</v>
      </c>
      <c r="F18" s="384">
        <f>DSUM(Recipes!$B$4:$K$3940, "FRI", A17:A18)</f>
        <v>0</v>
      </c>
      <c r="G18" s="385">
        <f>DSUM(Recipes!$B$4:$K$3940, "SAT", A17:A18)</f>
        <v>0</v>
      </c>
      <c r="H18" s="384">
        <f>DSUM(Recipes!$B$4:$K$3940, "SUN", A17:A18)</f>
        <v>0</v>
      </c>
      <c r="I18" s="385">
        <f>DSUM(Recipes!$B$4:$K$3940, "TOTAL", A17:A18)</f>
        <v>0</v>
      </c>
    </row>
    <row r="19" spans="1:9" x14ac:dyDescent="0.25">
      <c r="A19" s="383" t="s">
        <v>1821</v>
      </c>
      <c r="B19" s="384">
        <f>DSUM(Recipes!$B$4:$K$3940, "MON", A18:A19)</f>
        <v>1</v>
      </c>
      <c r="C19" s="385">
        <f>DSUM(Recipes!$B$4:$K$3940, "TUES", A18:A19)</f>
        <v>1</v>
      </c>
      <c r="D19" s="384">
        <f>DSUM(Recipes!$B$4:$K$3940, "WED", A18:A19)</f>
        <v>3</v>
      </c>
      <c r="E19" s="385">
        <f>DSUM(Recipes!$B$4:$K$3940, "THURS", A18:A19)</f>
        <v>1</v>
      </c>
      <c r="F19" s="384">
        <f>DSUM(Recipes!$B$4:$K$3940, "FRI", A18:A19)</f>
        <v>6</v>
      </c>
      <c r="G19" s="385">
        <f>DSUM(Recipes!$B$4:$K$3940, "SAT", A18:A19)</f>
        <v>5</v>
      </c>
      <c r="H19" s="384">
        <f>DSUM(Recipes!$B$4:$K$3940, "SUN", A18:A19)</f>
        <v>5</v>
      </c>
      <c r="I19" s="385">
        <f>DSUM(Recipes!$B$4:$K$3940, "TOTAL", A18:A19)</f>
        <v>22</v>
      </c>
    </row>
    <row r="20" spans="1:9" hidden="1" x14ac:dyDescent="0.25">
      <c r="A20" s="383" t="s">
        <v>556</v>
      </c>
      <c r="B20" s="384">
        <f>DSUM(Recipes!$B$4:$K$3940, "MON", A19:A20)</f>
        <v>0</v>
      </c>
      <c r="C20" s="385">
        <f>DSUM(Recipes!$B$4:$K$3940, "TUES", A19:A20)</f>
        <v>0</v>
      </c>
      <c r="D20" s="384">
        <f>DSUM(Recipes!$B$4:$K$3940, "WED", A19:A20)</f>
        <v>0</v>
      </c>
      <c r="E20" s="385">
        <f>DSUM(Recipes!$B$4:$K$3940, "THURS", A19:A20)</f>
        <v>0</v>
      </c>
      <c r="F20" s="384">
        <f>DSUM(Recipes!$B$4:$K$3940, "FRI", A19:A20)</f>
        <v>0</v>
      </c>
      <c r="G20" s="385">
        <f>DSUM(Recipes!$B$4:$K$3940, "SAT", A19:A20)</f>
        <v>0</v>
      </c>
      <c r="H20" s="384">
        <f>DSUM(Recipes!$B$4:$K$3940, "SUN", A19:A20)</f>
        <v>0</v>
      </c>
      <c r="I20" s="385">
        <f>DSUM(Recipes!$B$4:$K$3940, "TOTAL", A19:A20)</f>
        <v>0</v>
      </c>
    </row>
    <row r="21" spans="1:9" x14ac:dyDescent="0.25">
      <c r="A21" s="383" t="s">
        <v>1822</v>
      </c>
      <c r="B21" s="384">
        <f>DSUM(Recipes!$B$4:$K$3940, "MON", A20:A21)</f>
        <v>2</v>
      </c>
      <c r="C21" s="385">
        <f>DSUM(Recipes!$B$4:$K$3940, "TUES", A20:A21)</f>
        <v>1</v>
      </c>
      <c r="D21" s="384">
        <f>DSUM(Recipes!$B$4:$K$3940, "WED", A20:A21)</f>
        <v>0</v>
      </c>
      <c r="E21" s="385">
        <f>DSUM(Recipes!$B$4:$K$3940, "THURS", A20:A21)</f>
        <v>0</v>
      </c>
      <c r="F21" s="384">
        <f>DSUM(Recipes!$B$4:$K$3940, "FRI", A20:A21)</f>
        <v>2</v>
      </c>
      <c r="G21" s="385">
        <f>DSUM(Recipes!$B$4:$K$3940, "SAT", A20:A21)</f>
        <v>6</v>
      </c>
      <c r="H21" s="384">
        <f>DSUM(Recipes!$B$4:$K$3940, "SUN", A20:A21)</f>
        <v>0</v>
      </c>
      <c r="I21" s="385">
        <f>DSUM(Recipes!$B$4:$K$3940, "TOTAL", A20:A21)</f>
        <v>11</v>
      </c>
    </row>
    <row r="22" spans="1:9" hidden="1" x14ac:dyDescent="0.25">
      <c r="A22" s="383" t="s">
        <v>556</v>
      </c>
      <c r="B22" s="384">
        <f>DSUM(Recipes!$B$4:$K$3940, "MON", A21:A22)</f>
        <v>0</v>
      </c>
      <c r="C22" s="385">
        <f>DSUM(Recipes!$B$4:$K$3940, "TUES", A21:A22)</f>
        <v>0</v>
      </c>
      <c r="D22" s="384">
        <f>DSUM(Recipes!$B$4:$K$3940, "WED", A21:A22)</f>
        <v>0</v>
      </c>
      <c r="E22" s="385">
        <f>DSUM(Recipes!$B$4:$K$3940, "THURS", A21:A22)</f>
        <v>0</v>
      </c>
      <c r="F22" s="384">
        <f>DSUM(Recipes!$B$4:$K$3940, "FRI", A21:A22)</f>
        <v>0</v>
      </c>
      <c r="G22" s="385">
        <f>DSUM(Recipes!$B$4:$K$3940, "SAT", A21:A22)</f>
        <v>0</v>
      </c>
      <c r="H22" s="384">
        <f>DSUM(Recipes!$B$4:$K$3940, "SUN", A21:A22)</f>
        <v>0</v>
      </c>
      <c r="I22" s="385">
        <f>DSUM(Recipes!$B$4:$K$3940, "TOTAL", A21:A22)</f>
        <v>0</v>
      </c>
    </row>
    <row r="23" spans="1:9" x14ac:dyDescent="0.25">
      <c r="A23" s="383" t="s">
        <v>563</v>
      </c>
      <c r="B23" s="384">
        <f>DSUM(Recipes!$B$4:$K$3940, "MON", A22:A23)</f>
        <v>0</v>
      </c>
      <c r="C23" s="385">
        <f>DSUM(Recipes!$B$4:$K$3940, "TUES", A22:A23)</f>
        <v>0</v>
      </c>
      <c r="D23" s="384">
        <f>DSUM(Recipes!$B$4:$K$3940, "WED", A22:A23)</f>
        <v>0</v>
      </c>
      <c r="E23" s="385">
        <f>DSUM(Recipes!$B$4:$K$3940, "THURS", A22:A23)</f>
        <v>1</v>
      </c>
      <c r="F23" s="384">
        <f>DSUM(Recipes!$B$4:$K$3940, "FRI", A22:A23)</f>
        <v>2</v>
      </c>
      <c r="G23" s="385">
        <f>DSUM(Recipes!$B$4:$K$3940, "SAT", A22:A23)</f>
        <v>1</v>
      </c>
      <c r="H23" s="384">
        <f>DSUM(Recipes!$B$4:$K$3940, "SUN", A22:A23)</f>
        <v>0</v>
      </c>
      <c r="I23" s="385">
        <f>DSUM(Recipes!$B$4:$K$3940, "TOTAL", A22:A23)</f>
        <v>4</v>
      </c>
    </row>
    <row r="24" spans="1:9" hidden="1" x14ac:dyDescent="0.25">
      <c r="A24" s="383" t="s">
        <v>556</v>
      </c>
      <c r="B24" s="384">
        <f>DSUM(Recipes!$B$4:$K$3940, "MON", A23:A24)</f>
        <v>0</v>
      </c>
      <c r="C24" s="385">
        <f>DSUM(Recipes!$B$4:$K$3940, "TUES", A23:A24)</f>
        <v>0</v>
      </c>
      <c r="D24" s="384">
        <f>DSUM(Recipes!$B$4:$K$3940, "WED", A23:A24)</f>
        <v>0</v>
      </c>
      <c r="E24" s="385">
        <f>DSUM(Recipes!$B$4:$K$3940, "THURS", A23:A24)</f>
        <v>0</v>
      </c>
      <c r="F24" s="384">
        <f>DSUM(Recipes!$B$4:$K$3940, "FRI", A23:A24)</f>
        <v>0</v>
      </c>
      <c r="G24" s="385">
        <f>DSUM(Recipes!$B$4:$K$3940, "SAT", A23:A24)</f>
        <v>0</v>
      </c>
      <c r="H24" s="384">
        <f>DSUM(Recipes!$B$4:$K$3940, "SUN", A23:A24)</f>
        <v>0</v>
      </c>
      <c r="I24" s="385">
        <f>DSUM(Recipes!$B$4:$K$3940, "TOTAL", A23:A24)</f>
        <v>0</v>
      </c>
    </row>
    <row r="25" spans="1:9" x14ac:dyDescent="0.25">
      <c r="A25" s="383" t="s">
        <v>564</v>
      </c>
      <c r="B25" s="384">
        <f>DSUM(Recipes!$B$4:$K$3940, "MON", A24:A25)</f>
        <v>3</v>
      </c>
      <c r="C25" s="385">
        <f>DSUM(Recipes!$B$4:$K$3940, "TUES", A24:A25)</f>
        <v>5.5</v>
      </c>
      <c r="D25" s="384">
        <f>DSUM(Recipes!$B$4:$K$3940, "WED", A24:A25)</f>
        <v>0</v>
      </c>
      <c r="E25" s="385">
        <f>DSUM(Recipes!$B$4:$K$3940, "THURS", A24:A25)</f>
        <v>3</v>
      </c>
      <c r="F25" s="384">
        <f>DSUM(Recipes!$B$4:$K$3940, "FRI", A24:A25)</f>
        <v>12.5</v>
      </c>
      <c r="G25" s="385">
        <f>DSUM(Recipes!$B$4:$K$3940, "SAT", A24:A25)</f>
        <v>13.5</v>
      </c>
      <c r="H25" s="384">
        <f>DSUM(Recipes!$B$4:$K$3940, "SUN", A24:A25)</f>
        <v>5</v>
      </c>
      <c r="I25" s="385">
        <f>DSUM(Recipes!$B$4:$K$3940, "TOTAL", A24:A25)</f>
        <v>42.5</v>
      </c>
    </row>
    <row r="26" spans="1:9" hidden="1" x14ac:dyDescent="0.25">
      <c r="A26" s="383" t="s">
        <v>556</v>
      </c>
      <c r="B26" s="384">
        <f>DSUM(Recipes!$B$4:$K$3940, "MON", A25:A26)</f>
        <v>0</v>
      </c>
      <c r="C26" s="385">
        <f>DSUM(Recipes!$B$4:$K$3940, "TUES", A25:A26)</f>
        <v>0</v>
      </c>
      <c r="D26" s="384">
        <f>DSUM(Recipes!$B$4:$K$3940, "WED", A25:A26)</f>
        <v>0</v>
      </c>
      <c r="E26" s="385">
        <f>DSUM(Recipes!$B$4:$K$3940, "THURS", A25:A26)</f>
        <v>0</v>
      </c>
      <c r="F26" s="384">
        <f>DSUM(Recipes!$B$4:$K$3940, "FRI", A25:A26)</f>
        <v>0</v>
      </c>
      <c r="G26" s="385">
        <f>DSUM(Recipes!$B$4:$K$3940, "SAT", A25:A26)</f>
        <v>0</v>
      </c>
      <c r="H26" s="384">
        <f>DSUM(Recipes!$B$4:$K$3940, "SUN", A25:A26)</f>
        <v>0</v>
      </c>
      <c r="I26" s="385">
        <f>DSUM(Recipes!$B$4:$K$3940, "TOTAL", A25:A26)</f>
        <v>0</v>
      </c>
    </row>
    <row r="27" spans="1:9" x14ac:dyDescent="0.25">
      <c r="A27" s="383" t="s">
        <v>917</v>
      </c>
      <c r="B27" s="384">
        <f>DSUM(Recipes!$B$4:$K$3940, "MON", A26:A27)</f>
        <v>1</v>
      </c>
      <c r="C27" s="385">
        <f>DSUM(Recipes!$B$4:$K$3940, "TUES", A26:A27)</f>
        <v>3</v>
      </c>
      <c r="D27" s="384">
        <f>DSUM(Recipes!$B$4:$K$3940, "WED", A26:A27)</f>
        <v>7</v>
      </c>
      <c r="E27" s="385">
        <f>DSUM(Recipes!$B$4:$K$3940, "THURS", A26:A27)</f>
        <v>5</v>
      </c>
      <c r="F27" s="384">
        <f>DSUM(Recipes!$B$4:$K$3940, "FRI", A26:A27)</f>
        <v>29</v>
      </c>
      <c r="G27" s="385">
        <f>DSUM(Recipes!$B$4:$K$3940, "SAT", A26:A27)</f>
        <v>13</v>
      </c>
      <c r="H27" s="384">
        <f>DSUM(Recipes!$B$4:$K$3940, "SUN", A26:A27)</f>
        <v>7</v>
      </c>
      <c r="I27" s="385">
        <f>DSUM(Recipes!$B$4:$K$3940, "TOTAL", A26:A27)</f>
        <v>65</v>
      </c>
    </row>
    <row r="28" spans="1:9" hidden="1" x14ac:dyDescent="0.25">
      <c r="A28" s="383" t="s">
        <v>556</v>
      </c>
      <c r="B28" s="384">
        <f>DSUM(Recipes!$B$4:$K$3940, "MON", A27:A28)</f>
        <v>0</v>
      </c>
      <c r="C28" s="385">
        <f>DSUM(Recipes!$B$4:$K$3940, "TUES", A27:A28)</f>
        <v>0</v>
      </c>
      <c r="D28" s="384">
        <f>DSUM(Recipes!$B$4:$K$3940, "WED", A27:A28)</f>
        <v>0</v>
      </c>
      <c r="E28" s="385">
        <f>DSUM(Recipes!$B$4:$K$3940, "THURS", A27:A28)</f>
        <v>0</v>
      </c>
      <c r="F28" s="384">
        <f>DSUM(Recipes!$B$4:$K$3940, "FRI", A27:A28)</f>
        <v>0</v>
      </c>
      <c r="G28" s="385">
        <f>DSUM(Recipes!$B$4:$K$3940, "SAT", A27:A28)</f>
        <v>0</v>
      </c>
      <c r="H28" s="384">
        <f>DSUM(Recipes!$B$4:$K$3940, "SUN", A27:A28)</f>
        <v>0</v>
      </c>
      <c r="I28" s="385">
        <f>DSUM(Recipes!$B$4:$K$3940, "TOTAL", A27:A28)</f>
        <v>0</v>
      </c>
    </row>
    <row r="29" spans="1:9" x14ac:dyDescent="0.25">
      <c r="A29" s="383" t="s">
        <v>565</v>
      </c>
      <c r="B29" s="384">
        <f>DSUM(Recipes!$B$4:$K$3940, "MON", A28:A29)</f>
        <v>11</v>
      </c>
      <c r="C29" s="385">
        <f>DSUM(Recipes!$B$4:$K$3940, "TUES", A28:A29)</f>
        <v>3</v>
      </c>
      <c r="D29" s="384">
        <f>DSUM(Recipes!$B$4:$K$3940, "WED", A28:A29)</f>
        <v>5</v>
      </c>
      <c r="E29" s="385">
        <f>DSUM(Recipes!$B$4:$K$3940, "THURS", A28:A29)</f>
        <v>6</v>
      </c>
      <c r="F29" s="384">
        <f>DSUM(Recipes!$B$4:$K$3940, "FRI", A28:A29)</f>
        <v>21</v>
      </c>
      <c r="G29" s="385">
        <f>DSUM(Recipes!$B$4:$K$3940, "SAT", A28:A29)</f>
        <v>24</v>
      </c>
      <c r="H29" s="384">
        <f>DSUM(Recipes!$B$4:$K$3940, "SUN", A28:A29)</f>
        <v>9</v>
      </c>
      <c r="I29" s="385">
        <f>DSUM(Recipes!$B$4:$K$3940, "TOTAL", A28:A29)</f>
        <v>79</v>
      </c>
    </row>
    <row r="30" spans="1:9" hidden="1" x14ac:dyDescent="0.25">
      <c r="A30" s="383" t="s">
        <v>556</v>
      </c>
      <c r="B30" s="384">
        <f>DSUM(Recipes!$B$4:$K$3940, "MON", A29:A30)</f>
        <v>0</v>
      </c>
      <c r="C30" s="385">
        <f>DSUM(Recipes!$B$4:$K$3940, "TUES", A29:A30)</f>
        <v>0</v>
      </c>
      <c r="D30" s="384">
        <f>DSUM(Recipes!$B$4:$K$3940, "WED", A29:A30)</f>
        <v>0</v>
      </c>
      <c r="E30" s="385">
        <f>DSUM(Recipes!$B$4:$K$3940, "THURS", A29:A30)</f>
        <v>0</v>
      </c>
      <c r="F30" s="384">
        <f>DSUM(Recipes!$B$4:$K$3940, "FRI", A29:A30)</f>
        <v>0</v>
      </c>
      <c r="G30" s="385">
        <f>DSUM(Recipes!$B$4:$K$3940, "SAT", A29:A30)</f>
        <v>0</v>
      </c>
      <c r="H30" s="384">
        <f>DSUM(Recipes!$B$4:$K$3940, "SUN", A29:A30)</f>
        <v>0</v>
      </c>
      <c r="I30" s="385">
        <f>DSUM(Recipes!$B$4:$K$3940, "TOTAL", A29:A30)</f>
        <v>0</v>
      </c>
    </row>
    <row r="31" spans="1:9" x14ac:dyDescent="0.25">
      <c r="A31" s="383" t="s">
        <v>566</v>
      </c>
      <c r="B31" s="384">
        <f>DSUM(Recipes!$B$4:$K$3940, "MON", A30:A31)</f>
        <v>0</v>
      </c>
      <c r="C31" s="385">
        <f>DSUM(Recipes!$B$4:$K$3940, "TUES", A30:A31)</f>
        <v>0</v>
      </c>
      <c r="D31" s="384">
        <f>DSUM(Recipes!$B$4:$K$3940, "WED", A30:A31)</f>
        <v>1</v>
      </c>
      <c r="E31" s="385">
        <f>DSUM(Recipes!$B$4:$K$3940, "THURS", A30:A31)</f>
        <v>0</v>
      </c>
      <c r="F31" s="384">
        <f>DSUM(Recipes!$B$4:$K$3940, "FRI", A30:A31)</f>
        <v>1</v>
      </c>
      <c r="G31" s="385">
        <f>DSUM(Recipes!$B$4:$K$3940, "SAT", A30:A31)</f>
        <v>0</v>
      </c>
      <c r="H31" s="384">
        <f>DSUM(Recipes!$B$4:$K$3940, "SUN", A30:A31)</f>
        <v>0</v>
      </c>
      <c r="I31" s="385">
        <f>DSUM(Recipes!$B$4:$K$3940, "TOTAL", A30:A31)</f>
        <v>2</v>
      </c>
    </row>
    <row r="32" spans="1:9" hidden="1" x14ac:dyDescent="0.25">
      <c r="A32" s="383" t="s">
        <v>556</v>
      </c>
      <c r="B32" s="384">
        <f>DSUM(Recipes!$B$4:$K$3940, "MON", A31:A32)</f>
        <v>0</v>
      </c>
      <c r="C32" s="385">
        <f>DSUM(Recipes!$B$4:$K$3940, "TUES", A31:A32)</f>
        <v>0</v>
      </c>
      <c r="D32" s="384">
        <f>DSUM(Recipes!$B$4:$K$3940, "WED", A31:A32)</f>
        <v>0</v>
      </c>
      <c r="E32" s="385">
        <f>DSUM(Recipes!$B$4:$K$3940, "THURS", A31:A32)</f>
        <v>0</v>
      </c>
      <c r="F32" s="384">
        <f>DSUM(Recipes!$B$4:$K$3940, "FRI", A31:A32)</f>
        <v>0</v>
      </c>
      <c r="G32" s="385">
        <f>DSUM(Recipes!$B$4:$K$3940, "SAT", A31:A32)</f>
        <v>0</v>
      </c>
      <c r="H32" s="384">
        <f>DSUM(Recipes!$B$4:$K$3940, "SUN", A31:A32)</f>
        <v>0</v>
      </c>
      <c r="I32" s="385">
        <f>DSUM(Recipes!$B$4:$K$3940, "TOTAL", A31:A32)</f>
        <v>0</v>
      </c>
    </row>
    <row r="33" spans="1:9" x14ac:dyDescent="0.25">
      <c r="A33" s="383" t="s">
        <v>347</v>
      </c>
      <c r="B33" s="384">
        <f>DSUM(Recipes!$B$4:$K$3940, "MON", A32:A33)</f>
        <v>0</v>
      </c>
      <c r="C33" s="385">
        <f>DSUM(Recipes!$B$4:$K$3940, "TUES", A32:A33)</f>
        <v>0</v>
      </c>
      <c r="D33" s="384">
        <f>DSUM(Recipes!$B$4:$K$3940, "WED", A32:A33)</f>
        <v>0</v>
      </c>
      <c r="E33" s="385">
        <f>DSUM(Recipes!$B$4:$K$3940, "THURS", A32:A33)</f>
        <v>0</v>
      </c>
      <c r="F33" s="384">
        <f>DSUM(Recipes!$B$4:$K$3940, "FRI", A32:A33)</f>
        <v>0</v>
      </c>
      <c r="G33" s="385">
        <f>DSUM(Recipes!$B$4:$K$3940, "SAT", A32:A33)</f>
        <v>0</v>
      </c>
      <c r="H33" s="384">
        <f>DSUM(Recipes!$B$4:$K$3940, "SUN", A32:A33)</f>
        <v>0</v>
      </c>
      <c r="I33" s="385">
        <f>DSUM(Recipes!$B$4:$K$3940, "TOTAL", A32:A33)</f>
        <v>0</v>
      </c>
    </row>
    <row r="34" spans="1:9" hidden="1" x14ac:dyDescent="0.25">
      <c r="A34" s="383" t="s">
        <v>556</v>
      </c>
      <c r="B34" s="384">
        <f>DSUM(Recipes!$B$4:$K$3940, "MON", A33:A34)</f>
        <v>0</v>
      </c>
      <c r="C34" s="385">
        <f>DSUM(Recipes!$B$4:$K$3940, "TUES", A33:A34)</f>
        <v>0</v>
      </c>
      <c r="D34" s="384">
        <f>DSUM(Recipes!$B$4:$K$3940, "WED", A33:A34)</f>
        <v>0</v>
      </c>
      <c r="E34" s="385">
        <f>DSUM(Recipes!$B$4:$K$3940, "THURS", A33:A34)</f>
        <v>0</v>
      </c>
      <c r="F34" s="384">
        <f>DSUM(Recipes!$B$4:$K$3940, "FRI", A33:A34)</f>
        <v>0</v>
      </c>
      <c r="G34" s="385">
        <f>DSUM(Recipes!$B$4:$K$3940, "SAT", A33:A34)</f>
        <v>0</v>
      </c>
      <c r="H34" s="384">
        <f>DSUM(Recipes!$B$4:$K$3940, "SUN", A33:A34)</f>
        <v>0</v>
      </c>
      <c r="I34" s="385">
        <f>DSUM(Recipes!$B$4:$K$3940, "TOTAL", A33:A34)</f>
        <v>0</v>
      </c>
    </row>
    <row r="35" spans="1:9" x14ac:dyDescent="0.25">
      <c r="A35" s="383" t="s">
        <v>916</v>
      </c>
      <c r="B35" s="384">
        <f>DSUM(Recipes!$B$4:$K$3940, "MON", A34:A35)</f>
        <v>43</v>
      </c>
      <c r="C35" s="385">
        <f>DSUM(Recipes!$B$4:$K$3940, "TUES", A34:A35)</f>
        <v>10</v>
      </c>
      <c r="D35" s="384">
        <f>DSUM(Recipes!$B$4:$K$3940, "WED", A34:A35)</f>
        <v>23</v>
      </c>
      <c r="E35" s="385">
        <f>DSUM(Recipes!$B$4:$K$3940, "THURS", A34:A35)</f>
        <v>110</v>
      </c>
      <c r="F35" s="384">
        <f>DSUM(Recipes!$B$4:$K$3940, "FRI", A34:A35)</f>
        <v>75</v>
      </c>
      <c r="G35" s="385">
        <f>DSUM(Recipes!$B$4:$K$3940, "SAT", A34:A35)</f>
        <v>69</v>
      </c>
      <c r="H35" s="384">
        <f>DSUM(Recipes!$B$4:$K$3940, "SUN", A34:A35)</f>
        <v>30</v>
      </c>
      <c r="I35" s="385">
        <f>DSUM(Recipes!$B$4:$K$3940, "TOTAL", A34:A35)</f>
        <v>360</v>
      </c>
    </row>
    <row r="36" spans="1:9" hidden="1" x14ac:dyDescent="0.25">
      <c r="A36" s="383" t="s">
        <v>556</v>
      </c>
      <c r="B36" s="384">
        <f>DSUM(Recipes!$B$4:$K$3940, "MON", A35:A36)</f>
        <v>0</v>
      </c>
      <c r="C36" s="385">
        <f>DSUM(Recipes!$B$4:$K$3940, "TUES", A35:A36)</f>
        <v>0</v>
      </c>
      <c r="D36" s="384">
        <f>DSUM(Recipes!$B$4:$K$3940, "WED", A35:A36)</f>
        <v>0</v>
      </c>
      <c r="E36" s="385">
        <f>DSUM(Recipes!$B$4:$K$3940, "THURS", A35:A36)</f>
        <v>0</v>
      </c>
      <c r="F36" s="384">
        <f>DSUM(Recipes!$B$4:$K$3940, "FRI", A35:A36)</f>
        <v>0</v>
      </c>
      <c r="G36" s="385">
        <f>DSUM(Recipes!$B$4:$K$3940, "SAT", A35:A36)</f>
        <v>0</v>
      </c>
      <c r="H36" s="384">
        <f>DSUM(Recipes!$B$4:$K$3940, "SUN", A35:A36)</f>
        <v>0</v>
      </c>
      <c r="I36" s="385">
        <f>DSUM(Recipes!$B$4:$K$3940, "TOTAL", A35:A36)</f>
        <v>0</v>
      </c>
    </row>
    <row r="37" spans="1:9" x14ac:dyDescent="0.25">
      <c r="A37" s="383" t="s">
        <v>567</v>
      </c>
      <c r="B37" s="384">
        <f>DSUM(Recipes!$B$4:$K$3940, "MON", A36:A37)</f>
        <v>0</v>
      </c>
      <c r="C37" s="385">
        <f>DSUM(Recipes!$B$4:$K$3940, "TUES", A36:A37)</f>
        <v>1</v>
      </c>
      <c r="D37" s="384">
        <f>DSUM(Recipes!$B$4:$K$3940, "WED", A36:A37)</f>
        <v>5</v>
      </c>
      <c r="E37" s="385">
        <f>DSUM(Recipes!$B$4:$K$3940, "THURS", A36:A37)</f>
        <v>0</v>
      </c>
      <c r="F37" s="384">
        <f>DSUM(Recipes!$B$4:$K$3940, "FRI", A36:A37)</f>
        <v>0</v>
      </c>
      <c r="G37" s="385">
        <f>DSUM(Recipes!$B$4:$K$3940, "SAT", A36:A37)</f>
        <v>4</v>
      </c>
      <c r="H37" s="384">
        <f>DSUM(Recipes!$B$4:$K$3940, "SUN", A36:A37)</f>
        <v>4</v>
      </c>
      <c r="I37" s="385">
        <f>DSUM(Recipes!$B$4:$K$3940, "TOTAL", A36:A37)</f>
        <v>14</v>
      </c>
    </row>
    <row r="38" spans="1:9" hidden="1" x14ac:dyDescent="0.25">
      <c r="A38" s="383" t="s">
        <v>556</v>
      </c>
      <c r="B38" s="384">
        <f>DSUM(Recipes!$B$4:$K$3940, "MON", A37:A38)</f>
        <v>0</v>
      </c>
      <c r="C38" s="385">
        <f>DSUM(Recipes!$B$4:$K$3940, "TUES", A37:A38)</f>
        <v>0</v>
      </c>
      <c r="D38" s="384">
        <f>DSUM(Recipes!$B$4:$K$3940, "WED", A37:A38)</f>
        <v>0</v>
      </c>
      <c r="E38" s="385">
        <f>DSUM(Recipes!$B$4:$K$3940, "THURS", A37:A38)</f>
        <v>0</v>
      </c>
      <c r="F38" s="384">
        <f>DSUM(Recipes!$B$4:$K$3940, "FRI", A37:A38)</f>
        <v>0</v>
      </c>
      <c r="G38" s="385">
        <f>DSUM(Recipes!$B$4:$K$3940, "SAT", A37:A38)</f>
        <v>0</v>
      </c>
      <c r="H38" s="384">
        <f>DSUM(Recipes!$B$4:$K$3940, "SUN", A37:A38)</f>
        <v>0</v>
      </c>
      <c r="I38" s="385">
        <f>DSUM(Recipes!$B$4:$K$3940, "TOTAL", A37:A38)</f>
        <v>0</v>
      </c>
    </row>
    <row r="39" spans="1:9" x14ac:dyDescent="0.25">
      <c r="A39" s="383" t="s">
        <v>568</v>
      </c>
      <c r="B39" s="384">
        <f>DSUM(Recipes!$B$4:$K$3940, "MON", A38:A39)</f>
        <v>0</v>
      </c>
      <c r="C39" s="385">
        <f>DSUM(Recipes!$B$4:$K$3940, "TUES", A38:A39)</f>
        <v>0</v>
      </c>
      <c r="D39" s="384">
        <f>DSUM(Recipes!$B$4:$K$3940, "WED", A38:A39)</f>
        <v>3</v>
      </c>
      <c r="E39" s="385">
        <f>DSUM(Recipes!$B$4:$K$3940, "THURS", A38:A39)</f>
        <v>2</v>
      </c>
      <c r="F39" s="384">
        <f>DSUM(Recipes!$B$4:$K$3940, "FRI", A38:A39)</f>
        <v>3</v>
      </c>
      <c r="G39" s="385">
        <f>DSUM(Recipes!$B$4:$K$3940, "SAT", A38:A39)</f>
        <v>8</v>
      </c>
      <c r="H39" s="384">
        <f>DSUM(Recipes!$B$4:$K$3940, "SUN", A38:A39)</f>
        <v>4</v>
      </c>
      <c r="I39" s="385">
        <f>DSUM(Recipes!$B$4:$K$3940, "TOTAL", A38:A39)</f>
        <v>20</v>
      </c>
    </row>
    <row r="40" spans="1:9" hidden="1" x14ac:dyDescent="0.25">
      <c r="A40" s="383" t="s">
        <v>556</v>
      </c>
      <c r="B40" s="384">
        <f>DSUM(Recipes!$B$4:$K$3940, "MON", A39:A40)</f>
        <v>0</v>
      </c>
      <c r="C40" s="385">
        <f>DSUM(Recipes!$B$4:$K$3940, "TUES", A39:A40)</f>
        <v>0</v>
      </c>
      <c r="D40" s="384">
        <f>DSUM(Recipes!$B$4:$K$3940, "WED", A39:A40)</f>
        <v>0</v>
      </c>
      <c r="E40" s="385">
        <f>DSUM(Recipes!$B$4:$K$3940, "THURS", A39:A40)</f>
        <v>0</v>
      </c>
      <c r="F40" s="384">
        <f>DSUM(Recipes!$B$4:$K$3940, "FRI", A39:A40)</f>
        <v>0</v>
      </c>
      <c r="G40" s="385">
        <f>DSUM(Recipes!$B$4:$K$3940, "SAT", A39:A40)</f>
        <v>0</v>
      </c>
      <c r="H40" s="384">
        <f>DSUM(Recipes!$B$4:$K$3940, "SUN", A39:A40)</f>
        <v>0</v>
      </c>
      <c r="I40" s="385">
        <f>DSUM(Recipes!$B$4:$K$3940, "TOTAL", A39:A40)</f>
        <v>0</v>
      </c>
    </row>
    <row r="41" spans="1:9" x14ac:dyDescent="0.25">
      <c r="A41" s="386" t="s">
        <v>926</v>
      </c>
      <c r="B41" s="384">
        <f>DSUM(Recipes!$B$4:$K$3940, "MON", A40:A41)</f>
        <v>1</v>
      </c>
      <c r="C41" s="385">
        <f>DSUM(Recipes!$B$4:$K$3940, "TUES", A40:A41)</f>
        <v>9</v>
      </c>
      <c r="D41" s="384">
        <f>DSUM(Recipes!$B$4:$K$3940, "WED", A40:A41)</f>
        <v>14</v>
      </c>
      <c r="E41" s="385">
        <f>DSUM(Recipes!$B$4:$K$3940, "THURS", A40:A41)</f>
        <v>9</v>
      </c>
      <c r="F41" s="384">
        <f>DSUM(Recipes!$B$4:$K$3940, "FRI", A40:A41)</f>
        <v>20</v>
      </c>
      <c r="G41" s="385">
        <f>DSUM(Recipes!$B$4:$K$3940, "SAT", A40:A41)</f>
        <v>34</v>
      </c>
      <c r="H41" s="384">
        <f>DSUM(Recipes!$B$4:$K$3940, "SUN", A40:A41)</f>
        <v>10</v>
      </c>
      <c r="I41" s="385">
        <f>DSUM(Recipes!$B$4:$K$3940, "TOTAL", A40:A41)</f>
        <v>97</v>
      </c>
    </row>
    <row r="42" spans="1:9" hidden="1" x14ac:dyDescent="0.25">
      <c r="A42" s="383" t="s">
        <v>556</v>
      </c>
      <c r="B42" s="384"/>
      <c r="C42" s="385"/>
      <c r="D42" s="384"/>
      <c r="E42" s="385"/>
      <c r="F42" s="384"/>
      <c r="G42" s="385"/>
      <c r="H42" s="384"/>
      <c r="I42" s="385"/>
    </row>
    <row r="43" spans="1:9" x14ac:dyDescent="0.25">
      <c r="A43" s="383" t="s">
        <v>570</v>
      </c>
      <c r="B43" s="384">
        <f>DSUM(Recipes!$B$4:$K$3940, "MON", A42:A43)</f>
        <v>6</v>
      </c>
      <c r="C43" s="385">
        <f>DSUM(Recipes!$B$4:$K$3940, "TUES", A42:A43)</f>
        <v>6</v>
      </c>
      <c r="D43" s="384">
        <f>DSUM(Recipes!$B$4:$K$3940, "WED", A42:A43)</f>
        <v>12</v>
      </c>
      <c r="E43" s="385">
        <f>DSUM(Recipes!$B$4:$K$3940, "THURS", A42:A43)</f>
        <v>0</v>
      </c>
      <c r="F43" s="384">
        <f>DSUM(Recipes!$B$4:$K$3940, "FRI", A42:A43)</f>
        <v>21</v>
      </c>
      <c r="G43" s="385">
        <f>DSUM(Recipes!$B$4:$K$3940, "SAT", A42:A43)</f>
        <v>36</v>
      </c>
      <c r="H43" s="384">
        <f>DSUM(Recipes!$B$4:$K$3940, "SUN", A42:A43)</f>
        <v>21</v>
      </c>
      <c r="I43" s="385">
        <f>DSUM(Recipes!$B$4:$K$3940, "TOTAL", A42:A43)</f>
        <v>102</v>
      </c>
    </row>
    <row r="44" spans="1:9" hidden="1" x14ac:dyDescent="0.25">
      <c r="A44" s="383" t="s">
        <v>556</v>
      </c>
      <c r="B44" s="384"/>
      <c r="C44" s="385"/>
      <c r="D44" s="384"/>
      <c r="E44" s="385"/>
      <c r="F44" s="384"/>
      <c r="G44" s="385"/>
      <c r="H44" s="384"/>
      <c r="I44" s="385"/>
    </row>
    <row r="45" spans="1:9" x14ac:dyDescent="0.25">
      <c r="A45" s="383" t="s">
        <v>914</v>
      </c>
      <c r="B45" s="384">
        <f>DSUM(Recipes!$B$4:$K$3940, "MON", A44:A45)</f>
        <v>2</v>
      </c>
      <c r="C45" s="385">
        <f>DSUM(Recipes!$B$4:$K$3940, "TUES", A44:A45)</f>
        <v>2</v>
      </c>
      <c r="D45" s="384">
        <f>DSUM(Recipes!$B$4:$K$3940, "WED", A44:A45)</f>
        <v>4</v>
      </c>
      <c r="E45" s="385">
        <f>DSUM(Recipes!$B$4:$K$3940, "THURS", A44:A45)</f>
        <v>3</v>
      </c>
      <c r="F45" s="384">
        <f>DSUM(Recipes!$B$4:$K$3940, "FRI", A44:A45)</f>
        <v>3</v>
      </c>
      <c r="G45" s="385">
        <f>DSUM(Recipes!$B$4:$K$3940, "SAT", A44:A45)</f>
        <v>2</v>
      </c>
      <c r="H45" s="384">
        <f>DSUM(Recipes!$B$4:$K$3940, "SUN", A44:A45)</f>
        <v>2</v>
      </c>
      <c r="I45" s="385">
        <f>DSUM(Recipes!$B$4:$K$3940, "TOTAL", A44:A45)</f>
        <v>18</v>
      </c>
    </row>
    <row r="46" spans="1:9" hidden="1" x14ac:dyDescent="0.25">
      <c r="A46" s="383" t="s">
        <v>556</v>
      </c>
      <c r="B46" s="384">
        <v>0</v>
      </c>
      <c r="C46" s="385">
        <v>0</v>
      </c>
      <c r="D46" s="384">
        <v>0</v>
      </c>
      <c r="E46" s="385">
        <v>0</v>
      </c>
      <c r="F46" s="384">
        <v>0</v>
      </c>
      <c r="G46" s="385">
        <v>0</v>
      </c>
      <c r="H46" s="384">
        <v>0</v>
      </c>
      <c r="I46" s="385">
        <v>0</v>
      </c>
    </row>
    <row r="47" spans="1:9" x14ac:dyDescent="0.25">
      <c r="A47" s="383" t="s">
        <v>1819</v>
      </c>
      <c r="B47" s="384">
        <f>DSUM(Recipes!$B$4:$K$3940, "MON", A46:A47)</f>
        <v>3</v>
      </c>
      <c r="C47" s="385">
        <f>DSUM(Recipes!$B$4:$K$3940, "TUES", A46:A47)</f>
        <v>4</v>
      </c>
      <c r="D47" s="384">
        <f>DSUM(Recipes!$B$4:$K$3940, "WED", A46:A47)</f>
        <v>2</v>
      </c>
      <c r="E47" s="385">
        <f>DSUM(Recipes!$B$4:$K$3940, "THURS", A46:A47)</f>
        <v>1</v>
      </c>
      <c r="F47" s="384">
        <f>DSUM(Recipes!$B$4:$K$3940, "FRI", A46:A47)</f>
        <v>3</v>
      </c>
      <c r="G47" s="385">
        <f>DSUM(Recipes!$B$4:$K$3940, "SAT", A46:A47)</f>
        <v>3</v>
      </c>
      <c r="H47" s="384">
        <f>DSUM(Recipes!$B$4:$K$3940, "SUN", A46:A47)</f>
        <v>7</v>
      </c>
      <c r="I47" s="385">
        <f>DSUM(Recipes!$B$4:$K$3940, "TOTAL", A46:A47)</f>
        <v>23</v>
      </c>
    </row>
    <row r="48" spans="1:9" hidden="1" x14ac:dyDescent="0.25">
      <c r="A48" s="383" t="s">
        <v>556</v>
      </c>
      <c r="B48" s="384">
        <f>DSUM(Recipes!$B$4:$K$3940, "MON", A47:A48)</f>
        <v>0</v>
      </c>
      <c r="C48" s="385">
        <f>DSUM(Recipes!$B$4:$K$3940, "TUES", A47:A48)</f>
        <v>0</v>
      </c>
      <c r="D48" s="384">
        <f>DSUM(Recipes!$B$4:$K$3940, "WED", A47:A48)</f>
        <v>0</v>
      </c>
      <c r="E48" s="385">
        <f>DSUM(Recipes!$B$4:$K$3940, "THURS", A47:A48)</f>
        <v>0</v>
      </c>
      <c r="F48" s="384">
        <f>DSUM(Recipes!$B$4:$K$3940, "FRI", A47:A48)</f>
        <v>0</v>
      </c>
      <c r="G48" s="385">
        <f>DSUM(Recipes!$B$4:$K$3940, "SAT", A47:A48)</f>
        <v>0</v>
      </c>
      <c r="H48" s="384">
        <f>DSUM(Recipes!$B$4:$K$3940, "SUN", A47:A48)</f>
        <v>0</v>
      </c>
      <c r="I48" s="385">
        <f>DSUM(Recipes!$B$4:$K$3940, "TOTAL", A47:A48)</f>
        <v>0</v>
      </c>
    </row>
    <row r="49" spans="1:9" x14ac:dyDescent="0.25">
      <c r="A49" s="383" t="s">
        <v>571</v>
      </c>
      <c r="B49" s="384">
        <f>DSUM(Recipes!$B$4:$K$3940, "MON", A48:A49)</f>
        <v>1</v>
      </c>
      <c r="C49" s="385">
        <f>DSUM(Recipes!$B$4:$K$3940, "TUES", A48:A49)</f>
        <v>1</v>
      </c>
      <c r="D49" s="384">
        <f>DSUM(Recipes!$B$4:$K$3940, "WED", A48:A49)</f>
        <v>6</v>
      </c>
      <c r="E49" s="385">
        <f>DSUM(Recipes!$B$4:$K$3940, "THURS", A48:A49)</f>
        <v>3</v>
      </c>
      <c r="F49" s="384">
        <f>DSUM(Recipes!$B$4:$K$3940, "FRI", A48:A49)</f>
        <v>14</v>
      </c>
      <c r="G49" s="385">
        <f>DSUM(Recipes!$B$4:$K$3940, "SAT", A48:A49)</f>
        <v>4</v>
      </c>
      <c r="H49" s="384">
        <f>DSUM(Recipes!$B$4:$K$3940, "SUN", A48:A49)</f>
        <v>4</v>
      </c>
      <c r="I49" s="385">
        <f>DSUM(Recipes!$B$4:$K$3940, "TOTAL", A48:A49)</f>
        <v>33</v>
      </c>
    </row>
    <row r="50" spans="1:9" hidden="1" x14ac:dyDescent="0.25">
      <c r="A50" s="383" t="s">
        <v>556</v>
      </c>
      <c r="B50" s="384">
        <f>DSUM(Recipes!$B$4:$K$3940, "MON", A49:A50)</f>
        <v>0</v>
      </c>
      <c r="C50" s="385">
        <f>DSUM(Recipes!$B$4:$K$3940, "TUES", A49:A50)</f>
        <v>0</v>
      </c>
      <c r="D50" s="384">
        <f>DSUM(Recipes!$B$4:$K$3940, "WED", A49:A50)</f>
        <v>0</v>
      </c>
      <c r="E50" s="385">
        <f>DSUM(Recipes!$B$4:$K$3940, "THURS", A49:A50)</f>
        <v>0</v>
      </c>
      <c r="F50" s="384">
        <f>DSUM(Recipes!$B$4:$K$3940, "FRI", A49:A50)</f>
        <v>0</v>
      </c>
      <c r="G50" s="385">
        <f>DSUM(Recipes!$B$4:$K$3940, "SAT", A49:A50)</f>
        <v>0</v>
      </c>
      <c r="H50" s="384">
        <f>DSUM(Recipes!$B$4:$K$3940, "SUN", A49:A50)</f>
        <v>0</v>
      </c>
      <c r="I50" s="385">
        <f>DSUM(Recipes!$B$4:$K$3940, "TOTAL", A49:A50)</f>
        <v>0</v>
      </c>
    </row>
    <row r="51" spans="1:9" x14ac:dyDescent="0.25">
      <c r="A51" s="383" t="s">
        <v>572</v>
      </c>
      <c r="B51" s="384">
        <f>DSUM(Recipes!$B$4:$K$3940, "MON", A50:A51)</f>
        <v>7</v>
      </c>
      <c r="C51" s="385">
        <f>DSUM(Recipes!$B$4:$K$3940, "TUES", A50:A51)</f>
        <v>2</v>
      </c>
      <c r="D51" s="384">
        <f>DSUM(Recipes!$B$4:$K$3940, "WED", A50:A51)</f>
        <v>20</v>
      </c>
      <c r="E51" s="385">
        <f>DSUM(Recipes!$B$4:$K$3940, "THURS", A50:A51)</f>
        <v>0</v>
      </c>
      <c r="F51" s="384">
        <f>DSUM(Recipes!$B$4:$K$3940, "FRI", A50:A51)</f>
        <v>4</v>
      </c>
      <c r="G51" s="385">
        <f>DSUM(Recipes!$B$4:$K$3940, "SAT", A50:A51)</f>
        <v>23</v>
      </c>
      <c r="H51" s="384">
        <f>DSUM(Recipes!$B$4:$K$3940, "SUN", A50:A51)</f>
        <v>5</v>
      </c>
      <c r="I51" s="385">
        <f>DSUM(Recipes!$B$4:$K$3940, "TOTAL", A50:A51)</f>
        <v>61</v>
      </c>
    </row>
    <row r="52" spans="1:9" hidden="1" x14ac:dyDescent="0.25">
      <c r="A52" s="383" t="s">
        <v>556</v>
      </c>
      <c r="B52" s="384">
        <f>DSUM(Recipes!$B$4:$K$3940, "MON", A51:A52)</f>
        <v>0</v>
      </c>
      <c r="C52" s="385">
        <f>DSUM(Recipes!$B$4:$K$3940, "TUES", A51:A52)</f>
        <v>0</v>
      </c>
      <c r="D52" s="384">
        <f>DSUM(Recipes!$B$4:$K$3940, "WED", A51:A52)</f>
        <v>0</v>
      </c>
      <c r="E52" s="385">
        <f>DSUM(Recipes!$B$4:$K$3940, "THURS", A51:A52)</f>
        <v>0</v>
      </c>
      <c r="F52" s="384">
        <f>DSUM(Recipes!$B$4:$K$3940, "FRI", A51:A52)</f>
        <v>0</v>
      </c>
      <c r="G52" s="385">
        <f>DSUM(Recipes!$B$4:$K$3940, "SAT", A51:A52)</f>
        <v>0</v>
      </c>
      <c r="H52" s="384">
        <f>DSUM(Recipes!$B$4:$K$3940, "SUN", A51:A52)</f>
        <v>0</v>
      </c>
      <c r="I52" s="385">
        <f>DSUM(Recipes!$B$4:$K$3940, "TOTAL", A51:A52)</f>
        <v>0</v>
      </c>
    </row>
    <row r="53" spans="1:9" x14ac:dyDescent="0.25">
      <c r="A53" s="383" t="s">
        <v>162</v>
      </c>
      <c r="B53" s="384">
        <f>DSUM(Recipes!$B$4:$K$3940, "MON", A52:A53)</f>
        <v>4</v>
      </c>
      <c r="C53" s="385">
        <f>DSUM(Recipes!$B$4:$K$3940, "TUES", A52:A53)</f>
        <v>0</v>
      </c>
      <c r="D53" s="384">
        <f>DSUM(Recipes!$B$4:$K$3940, "WED", A52:A53)</f>
        <v>8</v>
      </c>
      <c r="E53" s="385">
        <f>DSUM(Recipes!$B$4:$K$3940, "THURS", A52:A53)</f>
        <v>0</v>
      </c>
      <c r="F53" s="384">
        <f>DSUM(Recipes!$B$4:$K$3940, "FRI", A52:A53)</f>
        <v>0</v>
      </c>
      <c r="G53" s="385">
        <f>DSUM(Recipes!$B$4:$K$3940, "SAT", A52:A53)</f>
        <v>8</v>
      </c>
      <c r="H53" s="384">
        <f>DSUM(Recipes!$B$4:$K$3940, "SUN", A52:A53)</f>
        <v>0</v>
      </c>
      <c r="I53" s="385">
        <f>DSUM(Recipes!$B$4:$K$3940, "TOTAL", A52:A53)</f>
        <v>20</v>
      </c>
    </row>
    <row r="54" spans="1:9" hidden="1" x14ac:dyDescent="0.25">
      <c r="A54" s="383" t="s">
        <v>556</v>
      </c>
      <c r="B54" s="384">
        <f>DSUM(Recipes!$B$4:$K$3940, "MON", A53:A54)</f>
        <v>0</v>
      </c>
      <c r="C54" s="385">
        <f>DSUM(Recipes!$B$4:$K$3940, "TUES", A53:A54)</f>
        <v>0</v>
      </c>
      <c r="D54" s="384">
        <f>DSUM(Recipes!$B$4:$K$3940, "WED", A53:A54)</f>
        <v>0</v>
      </c>
      <c r="E54" s="385">
        <f>DSUM(Recipes!$B$4:$K$3940, "THURS", A53:A54)</f>
        <v>0</v>
      </c>
      <c r="F54" s="384">
        <f>DSUM(Recipes!$B$4:$K$3940, "FRI", A53:A54)</f>
        <v>0</v>
      </c>
      <c r="G54" s="385">
        <f>DSUM(Recipes!$B$4:$K$3940, "SAT", A53:A54)</f>
        <v>0</v>
      </c>
      <c r="H54" s="384">
        <f>DSUM(Recipes!$B$4:$K$3940, "SUN", A53:A54)</f>
        <v>0</v>
      </c>
      <c r="I54" s="385">
        <f>DSUM(Recipes!$B$4:$K$3940, "TOTAL", A53:A54)</f>
        <v>0</v>
      </c>
    </row>
    <row r="55" spans="1:9" x14ac:dyDescent="0.25">
      <c r="A55" s="383" t="s">
        <v>573</v>
      </c>
      <c r="B55" s="384">
        <f>DSUM(Recipes!$B$4:$K$3940, "MON", A54:A55)</f>
        <v>0</v>
      </c>
      <c r="C55" s="385">
        <f>DSUM(Recipes!$B$4:$K$3940, "TUES", A54:A55)</f>
        <v>0</v>
      </c>
      <c r="D55" s="384">
        <f>DSUM(Recipes!$B$4:$K$3940, "WED", A54:A55)</f>
        <v>0</v>
      </c>
      <c r="E55" s="385">
        <f>DSUM(Recipes!$B$4:$K$3940, "THURS", A54:A55)</f>
        <v>0</v>
      </c>
      <c r="F55" s="384">
        <f>DSUM(Recipes!$B$4:$K$3940, "FRI", A54:A55)</f>
        <v>0</v>
      </c>
      <c r="G55" s="385">
        <f>DSUM(Recipes!$B$4:$K$3940, "SAT", A54:A55)</f>
        <v>0</v>
      </c>
      <c r="H55" s="384">
        <f>DSUM(Recipes!$B$4:$K$3940, "SUN", A54:A55)</f>
        <v>0</v>
      </c>
      <c r="I55" s="385">
        <f>DSUM(Recipes!$B$4:$K$3940, "TOTAL", A54:A55)</f>
        <v>0</v>
      </c>
    </row>
    <row r="56" spans="1:9" hidden="1" x14ac:dyDescent="0.25">
      <c r="A56" s="383" t="s">
        <v>556</v>
      </c>
      <c r="B56" s="384">
        <f>DSUM(Recipes!$B$4:$K$3940, "MON", A55:A56)</f>
        <v>0</v>
      </c>
      <c r="C56" s="385">
        <f>DSUM(Recipes!$B$4:$K$3940, "TUES", A55:A56)</f>
        <v>0</v>
      </c>
      <c r="D56" s="384">
        <f>DSUM(Recipes!$B$4:$K$3940, "WED", A55:A56)</f>
        <v>0</v>
      </c>
      <c r="E56" s="385">
        <f>DSUM(Recipes!$B$4:$K$3940, "THURS", A55:A56)</f>
        <v>0</v>
      </c>
      <c r="F56" s="384">
        <f>DSUM(Recipes!$B$4:$K$3940, "FRI", A55:A56)</f>
        <v>0</v>
      </c>
      <c r="G56" s="385">
        <f>DSUM(Recipes!$B$4:$K$3940, "SAT", A55:A56)</f>
        <v>0</v>
      </c>
      <c r="H56" s="384">
        <f>DSUM(Recipes!$B$4:$K$3940, "SUN", A55:A56)</f>
        <v>0</v>
      </c>
      <c r="I56" s="385">
        <f>DSUM(Recipes!$B$4:$K$3940, "TOTAL", A55:A56)</f>
        <v>0</v>
      </c>
    </row>
    <row r="57" spans="1:9" x14ac:dyDescent="0.25">
      <c r="A57" s="383" t="s">
        <v>574</v>
      </c>
      <c r="B57" s="384">
        <f>DSUM(Recipes!$B$4:$K$3940, "MON", A56:A57)</f>
        <v>0</v>
      </c>
      <c r="C57" s="385">
        <f>DSUM(Recipes!$B$4:$K$3940, "TUES", A56:A57)</f>
        <v>0</v>
      </c>
      <c r="D57" s="384">
        <f>DSUM(Recipes!$B$4:$K$3940, "WED", A56:A57)</f>
        <v>0</v>
      </c>
      <c r="E57" s="385">
        <f>DSUM(Recipes!$B$4:$K$3940, "THURS", A56:A57)</f>
        <v>0</v>
      </c>
      <c r="F57" s="384">
        <f>DSUM(Recipes!$B$4:$K$3940, "FRI", A56:A57)</f>
        <v>0</v>
      </c>
      <c r="G57" s="385">
        <f>DSUM(Recipes!$B$4:$K$3940, "SAT", A56:A57)</f>
        <v>0</v>
      </c>
      <c r="H57" s="384">
        <f>DSUM(Recipes!$B$4:$K$3940, "SUN", A56:A57)</f>
        <v>0</v>
      </c>
      <c r="I57" s="385">
        <f>DSUM(Recipes!$B$4:$K$3940, "TOTAL", A56:A57)</f>
        <v>0</v>
      </c>
    </row>
    <row r="58" spans="1:9" hidden="1" x14ac:dyDescent="0.25">
      <c r="A58" s="383" t="s">
        <v>556</v>
      </c>
      <c r="B58" s="384">
        <f>DSUM(Recipes!$B$4:$K$3940, "MON", A57:A58)</f>
        <v>0</v>
      </c>
      <c r="C58" s="385">
        <f>DSUM(Recipes!$B$4:$K$3940, "TUES", A57:A58)</f>
        <v>0</v>
      </c>
      <c r="D58" s="384">
        <f>DSUM(Recipes!$B$4:$K$3940, "WED", A57:A58)</f>
        <v>0</v>
      </c>
      <c r="E58" s="385">
        <f>DSUM(Recipes!$B$4:$K$3940, "THURS", A57:A58)</f>
        <v>0</v>
      </c>
      <c r="F58" s="384">
        <f>DSUM(Recipes!$B$4:$K$3940, "FRI", A57:A58)</f>
        <v>0</v>
      </c>
      <c r="G58" s="385">
        <f>DSUM(Recipes!$B$4:$K$3940, "SAT", A57:A58)</f>
        <v>0</v>
      </c>
      <c r="H58" s="384">
        <f>DSUM(Recipes!$B$4:$K$3940, "SUN", A57:A58)</f>
        <v>0</v>
      </c>
      <c r="I58" s="385">
        <f>DSUM(Recipes!$B$4:$K$3940, "TOTAL", A57:A58)</f>
        <v>0</v>
      </c>
    </row>
    <row r="59" spans="1:9" x14ac:dyDescent="0.25">
      <c r="A59" s="383" t="s">
        <v>575</v>
      </c>
      <c r="B59" s="384">
        <f>DSUM(Recipes!$B$4:$K$3940, "MON", A58:A59)</f>
        <v>0</v>
      </c>
      <c r="C59" s="385">
        <f>DSUM(Recipes!$B$4:$K$3940, "TUES", A58:A59)</f>
        <v>0</v>
      </c>
      <c r="D59" s="384">
        <f>DSUM(Recipes!$B$4:$K$3940, "WED", A58:A59)</f>
        <v>0</v>
      </c>
      <c r="E59" s="385">
        <f>DSUM(Recipes!$B$4:$K$3940, "THURS", A58:A59)</f>
        <v>0</v>
      </c>
      <c r="F59" s="384">
        <f>DSUM(Recipes!$B$4:$K$3940, "FRI", A58:A59)</f>
        <v>0</v>
      </c>
      <c r="G59" s="385">
        <f>DSUM(Recipes!$B$4:$K$3940, "SAT", A58:A59)</f>
        <v>0</v>
      </c>
      <c r="H59" s="384">
        <f>DSUM(Recipes!$B$4:$K$3940, "SUN", A58:A59)</f>
        <v>0</v>
      </c>
      <c r="I59" s="385">
        <f>DSUM(Recipes!$B$4:$K$3940, "TOTAL", A58:A59)</f>
        <v>0</v>
      </c>
    </row>
    <row r="60" spans="1:9" hidden="1" x14ac:dyDescent="0.25">
      <c r="A60" s="383" t="s">
        <v>556</v>
      </c>
      <c r="B60" s="384">
        <f>DSUM(Recipes!$B$4:$K$3940, "MON", A59:A60)</f>
        <v>0</v>
      </c>
      <c r="C60" s="385">
        <f>DSUM(Recipes!$B$4:$K$3940, "TUES", A59:A60)</f>
        <v>0</v>
      </c>
      <c r="D60" s="384">
        <f>DSUM(Recipes!$B$4:$K$3940, "WED", A59:A60)</f>
        <v>0</v>
      </c>
      <c r="E60" s="385">
        <f>DSUM(Recipes!$B$4:$K$3940, "THURS", A59:A60)</f>
        <v>0</v>
      </c>
      <c r="F60" s="384">
        <f>DSUM(Recipes!$B$4:$K$3940, "FRI", A59:A60)</f>
        <v>0</v>
      </c>
      <c r="G60" s="385">
        <f>DSUM(Recipes!$B$4:$K$3940, "SAT", A59:A60)</f>
        <v>0</v>
      </c>
      <c r="H60" s="384">
        <f>DSUM(Recipes!$B$4:$K$3940, "SUN", A59:A60)</f>
        <v>0</v>
      </c>
      <c r="I60" s="385">
        <f>DSUM(Recipes!$B$4:$K$3940, "TOTAL", A59:A60)</f>
        <v>0</v>
      </c>
    </row>
    <row r="61" spans="1:9" x14ac:dyDescent="0.25">
      <c r="A61" s="383" t="s">
        <v>576</v>
      </c>
      <c r="B61" s="384">
        <f>DSUM(Recipes!$B$4:$K$3940, "MON", A60:A61)</f>
        <v>0</v>
      </c>
      <c r="C61" s="385">
        <f>DSUM(Recipes!$B$4:$K$3940, "TUES", A60:A61)</f>
        <v>0</v>
      </c>
      <c r="D61" s="384">
        <f>DSUM(Recipes!$B$4:$K$3940, "WED", A60:A61)</f>
        <v>0</v>
      </c>
      <c r="E61" s="385">
        <f>DSUM(Recipes!$B$4:$K$3940, "THURS", A60:A61)</f>
        <v>0</v>
      </c>
      <c r="F61" s="384">
        <f>DSUM(Recipes!$B$4:$K$3940, "FRI", A60:A61)</f>
        <v>0</v>
      </c>
      <c r="G61" s="385">
        <f>DSUM(Recipes!$B$4:$K$3940, "SAT", A60:A61)</f>
        <v>0</v>
      </c>
      <c r="H61" s="384">
        <f>DSUM(Recipes!$B$4:$K$3940, "SUN", A60:A61)</f>
        <v>0</v>
      </c>
      <c r="I61" s="385">
        <f>DSUM(Recipes!$B$4:$K$3940, "TOTAL", A60:A61)</f>
        <v>0</v>
      </c>
    </row>
    <row r="62" spans="1:9" hidden="1" x14ac:dyDescent="0.25">
      <c r="A62" s="383" t="s">
        <v>556</v>
      </c>
      <c r="B62" s="384">
        <f>DSUM(Recipes!$B$4:$K$3940, "MON", A61:A62)</f>
        <v>0</v>
      </c>
      <c r="C62" s="385">
        <f>DSUM(Recipes!$B$4:$K$3940, "TUES", A61:A62)</f>
        <v>0</v>
      </c>
      <c r="D62" s="384">
        <f>DSUM(Recipes!$B$4:$K$3940, "WED", A61:A62)</f>
        <v>0</v>
      </c>
      <c r="E62" s="385">
        <f>DSUM(Recipes!$B$4:$K$3940, "THURS", A61:A62)</f>
        <v>0</v>
      </c>
      <c r="F62" s="384">
        <f>DSUM(Recipes!$B$4:$K$3940, "FRI", A61:A62)</f>
        <v>0</v>
      </c>
      <c r="G62" s="385">
        <f>DSUM(Recipes!$B$4:$K$3940, "SAT", A61:A62)</f>
        <v>0</v>
      </c>
      <c r="H62" s="384">
        <f>DSUM(Recipes!$B$4:$K$3940, "SUN", A61:A62)</f>
        <v>0</v>
      </c>
      <c r="I62" s="385">
        <f>DSUM(Recipes!$B$4:$K$3940, "TOTAL", A61:A62)</f>
        <v>0</v>
      </c>
    </row>
    <row r="63" spans="1:9" x14ac:dyDescent="0.25">
      <c r="A63" s="383" t="s">
        <v>577</v>
      </c>
      <c r="B63" s="384">
        <f>DSUM(Recipes!$B$4:$K$3940, "MON", A62:A63)</f>
        <v>0</v>
      </c>
      <c r="C63" s="385">
        <f>DSUM(Recipes!$B$4:$K$3940, "TUES", A62:A63)</f>
        <v>0</v>
      </c>
      <c r="D63" s="384">
        <f>DSUM(Recipes!$B$4:$K$3940, "WED", A62:A63)</f>
        <v>0</v>
      </c>
      <c r="E63" s="385">
        <f>DSUM(Recipes!$B$4:$K$3940, "THURS", A62:A63)</f>
        <v>0</v>
      </c>
      <c r="F63" s="384">
        <f>DSUM(Recipes!$B$4:$K$3940, "FRI", A62:A63)</f>
        <v>0</v>
      </c>
      <c r="G63" s="385">
        <f>DSUM(Recipes!$B$4:$K$3940, "SAT", A62:A63)</f>
        <v>0</v>
      </c>
      <c r="H63" s="384">
        <f>DSUM(Recipes!$B$4:$K$3940, "SUN", A62:A63)</f>
        <v>0</v>
      </c>
      <c r="I63" s="385">
        <f>DSUM(Recipes!$B$4:$K$3940, "TOTAL", A62:A63)</f>
        <v>0</v>
      </c>
    </row>
    <row r="64" spans="1:9" hidden="1" x14ac:dyDescent="0.25">
      <c r="A64" s="383" t="s">
        <v>556</v>
      </c>
      <c r="B64" s="384">
        <f>DSUM(Recipes!$B$4:$K$3940, "MON", A63:A64)</f>
        <v>0</v>
      </c>
      <c r="C64" s="385">
        <f>DSUM(Recipes!$B$4:$K$3940, "TUES", A63:A64)</f>
        <v>0</v>
      </c>
      <c r="D64" s="384">
        <f>DSUM(Recipes!$B$4:$K$3940, "WED", A63:A64)</f>
        <v>0</v>
      </c>
      <c r="E64" s="385">
        <f>DSUM(Recipes!$B$4:$K$3940, "THURS", A63:A64)</f>
        <v>0</v>
      </c>
      <c r="F64" s="384">
        <f>DSUM(Recipes!$B$4:$K$3940, "FRI", A63:A64)</f>
        <v>0</v>
      </c>
      <c r="G64" s="385">
        <f>DSUM(Recipes!$B$4:$K$3940, "SAT", A63:A64)</f>
        <v>0</v>
      </c>
      <c r="H64" s="384">
        <f>DSUM(Recipes!$B$4:$K$3940, "SUN", A63:A64)</f>
        <v>0</v>
      </c>
      <c r="I64" s="385">
        <f>DSUM(Recipes!$B$4:$K$3940, "TOTAL", A63:A64)</f>
        <v>0</v>
      </c>
    </row>
    <row r="65" spans="1:9" x14ac:dyDescent="0.25">
      <c r="A65" s="383" t="s">
        <v>578</v>
      </c>
      <c r="B65" s="384">
        <f>DSUM(Recipes!$B$4:$K$3940, "MON", A64:A65)</f>
        <v>120</v>
      </c>
      <c r="C65" s="385">
        <f>DSUM(Recipes!$B$4:$K$3940, "TUES", A64:A65)</f>
        <v>79.33</v>
      </c>
      <c r="D65" s="384">
        <f>DSUM(Recipes!$B$4:$K$3940, "WED", A64:A65)</f>
        <v>112.33</v>
      </c>
      <c r="E65" s="385">
        <f>DSUM(Recipes!$B$4:$K$3940, "THURS", A64:A65)</f>
        <v>128</v>
      </c>
      <c r="F65" s="384">
        <f>DSUM(Recipes!$B$4:$K$3940, "FRI", A64:A65)</f>
        <v>290</v>
      </c>
      <c r="G65" s="385">
        <f>DSUM(Recipes!$B$4:$K$3940, "SAT", A64:A65)</f>
        <v>416</v>
      </c>
      <c r="H65" s="384">
        <f>DSUM(Recipes!$B$4:$K$3940, "SUN", A64:A65)</f>
        <v>175.32999999999998</v>
      </c>
      <c r="I65" s="385">
        <f>DSUM(Recipes!$B$4:$K$3940, "TOTAL", A64:A65)</f>
        <v>1320.99</v>
      </c>
    </row>
    <row r="66" spans="1:9" hidden="1" x14ac:dyDescent="0.25">
      <c r="A66" s="383" t="s">
        <v>556</v>
      </c>
      <c r="B66" s="384">
        <f>DSUM(Recipes!$B$4:$K$3940, "MON", A65:A66)</f>
        <v>0</v>
      </c>
      <c r="C66" s="385">
        <f>DSUM(Recipes!$B$4:$K$3940, "TUES", A65:A66)</f>
        <v>0</v>
      </c>
      <c r="D66" s="384">
        <f>DSUM(Recipes!$B$4:$K$3940, "WED", A65:A66)</f>
        <v>0</v>
      </c>
      <c r="E66" s="385">
        <f>DSUM(Recipes!$B$4:$K$3940, "THURS", A65:A66)</f>
        <v>0</v>
      </c>
      <c r="F66" s="384">
        <f>DSUM(Recipes!$B$4:$K$3940, "FRI", A65:A66)</f>
        <v>0</v>
      </c>
      <c r="G66" s="385">
        <f>DSUM(Recipes!$B$4:$K$3940, "SAT", A65:A66)</f>
        <v>0</v>
      </c>
      <c r="H66" s="384">
        <f>DSUM(Recipes!$B$4:$K$3940, "SUN", A65:A66)</f>
        <v>0</v>
      </c>
      <c r="I66" s="385">
        <f>DSUM(Recipes!$B$4:$K$3940, "TOTAL", A65:A66)</f>
        <v>0</v>
      </c>
    </row>
    <row r="67" spans="1:9" x14ac:dyDescent="0.25">
      <c r="A67" s="383" t="s">
        <v>70</v>
      </c>
      <c r="B67" s="384">
        <f>DSUM(Recipes!$B$4:$K$3940, "MON", A66:A67)</f>
        <v>3</v>
      </c>
      <c r="C67" s="385">
        <f>DSUM(Recipes!$B$4:$K$3940, "TUES", A66:A67)</f>
        <v>2</v>
      </c>
      <c r="D67" s="384">
        <f>DSUM(Recipes!$B$4:$K$3940, "WED", A66:A67)</f>
        <v>14</v>
      </c>
      <c r="E67" s="385">
        <f>DSUM(Recipes!$B$4:$K$3940, "THURS", A66:A67)</f>
        <v>0</v>
      </c>
      <c r="F67" s="384">
        <f>DSUM(Recipes!$B$4:$K$3940, "FRI", A66:A67)</f>
        <v>15</v>
      </c>
      <c r="G67" s="385">
        <f>DSUM(Recipes!$B$4:$K$3940, "SAT", A66:A67)</f>
        <v>0</v>
      </c>
      <c r="H67" s="384">
        <f>DSUM(Recipes!$B$4:$K$3940, "SUN", A66:A67)</f>
        <v>5</v>
      </c>
      <c r="I67" s="385">
        <f>DSUM(Recipes!$B$4:$K$3940, "TOTAL", A66:A67)</f>
        <v>39</v>
      </c>
    </row>
    <row r="68" spans="1:9" hidden="1" x14ac:dyDescent="0.25">
      <c r="A68" s="383" t="s">
        <v>556</v>
      </c>
      <c r="B68" s="384">
        <f>DSUM(Recipes!$B$4:$K$3940, "MON", A67:A68)</f>
        <v>0</v>
      </c>
      <c r="C68" s="385">
        <f>DSUM(Recipes!$B$4:$K$3940, "TUES", A67:A68)</f>
        <v>0</v>
      </c>
      <c r="D68" s="384">
        <f>DSUM(Recipes!$B$4:$K$3940, "WED", A67:A68)</f>
        <v>0</v>
      </c>
      <c r="E68" s="385">
        <f>DSUM(Recipes!$B$4:$K$3940, "THURS", A67:A68)</f>
        <v>0</v>
      </c>
      <c r="F68" s="384">
        <f>DSUM(Recipes!$B$4:$K$3940, "FRI", A67:A68)</f>
        <v>0</v>
      </c>
      <c r="G68" s="385">
        <f>DSUM(Recipes!$B$4:$K$3940, "SAT", A67:A68)</f>
        <v>0</v>
      </c>
      <c r="H68" s="384">
        <f>DSUM(Recipes!$B$4:$K$3940, "SUN", A67:A68)</f>
        <v>0</v>
      </c>
      <c r="I68" s="385">
        <f>DSUM(Recipes!$B$4:$K$3940, "TOTAL", A67:A68)</f>
        <v>0</v>
      </c>
    </row>
    <row r="69" spans="1:9" x14ac:dyDescent="0.25">
      <c r="A69" s="383" t="s">
        <v>915</v>
      </c>
      <c r="B69" s="384">
        <f>DSUM(Recipes!$B$4:$K$3940, "MON", A68:A69)</f>
        <v>8</v>
      </c>
      <c r="C69" s="385">
        <f>DSUM(Recipes!$B$4:$K$3940, "TUES", A68:A69)</f>
        <v>4</v>
      </c>
      <c r="D69" s="384">
        <f>DSUM(Recipes!$B$4:$K$3940, "WED", A68:A69)</f>
        <v>8</v>
      </c>
      <c r="E69" s="385">
        <f>DSUM(Recipes!$B$4:$K$3940, "THURS", A68:A69)</f>
        <v>8</v>
      </c>
      <c r="F69" s="384">
        <f>DSUM(Recipes!$B$4:$K$3940, "FRI", A68:A69)</f>
        <v>4</v>
      </c>
      <c r="G69" s="385">
        <f>DSUM(Recipes!$B$4:$K$3940, "SAT", A68:A69)</f>
        <v>0</v>
      </c>
      <c r="H69" s="384">
        <f>DSUM(Recipes!$B$4:$K$3940, "SUN", A68:A69)</f>
        <v>8</v>
      </c>
      <c r="I69" s="385">
        <f>DSUM(Recipes!$B$4:$K$3940, "TOTAL", A68:A69)</f>
        <v>40</v>
      </c>
    </row>
    <row r="70" spans="1:9" hidden="1" x14ac:dyDescent="0.25">
      <c r="A70" s="383" t="s">
        <v>556</v>
      </c>
      <c r="B70" s="384">
        <f>DSUM(Recipes!$B$4:$K$3940, "MON", A69:A70)</f>
        <v>0</v>
      </c>
      <c r="C70" s="385">
        <f>DSUM(Recipes!$B$4:$K$3940, "TUES", A69:A70)</f>
        <v>0</v>
      </c>
      <c r="D70" s="384">
        <f>DSUM(Recipes!$B$4:$K$3940, "WED", A69:A70)</f>
        <v>0</v>
      </c>
      <c r="E70" s="385">
        <f>DSUM(Recipes!$B$4:$K$3940, "THURS", A69:A70)</f>
        <v>0</v>
      </c>
      <c r="F70" s="384">
        <f>DSUM(Recipes!$B$4:$K$3940, "FRI", A69:A70)</f>
        <v>0</v>
      </c>
      <c r="G70" s="385">
        <f>DSUM(Recipes!$B$4:$K$3940, "SAT", A69:A70)</f>
        <v>0</v>
      </c>
      <c r="H70" s="384">
        <f>DSUM(Recipes!$B$4:$K$3940, "SUN", A69:A70)</f>
        <v>0</v>
      </c>
      <c r="I70" s="385">
        <f>DSUM(Recipes!$B$4:$K$3940, "TOTAL", A69:A70)</f>
        <v>0</v>
      </c>
    </row>
    <row r="71" spans="1:9" x14ac:dyDescent="0.25">
      <c r="A71" s="383" t="s">
        <v>579</v>
      </c>
      <c r="B71" s="384">
        <f>DSUM(Recipes!$B$4:$K$3940, "MON", A70:A71)</f>
        <v>8</v>
      </c>
      <c r="C71" s="385">
        <f>DSUM(Recipes!$B$4:$K$3940, "TUES", A70:A71)</f>
        <v>0</v>
      </c>
      <c r="D71" s="384">
        <f>DSUM(Recipes!$B$4:$K$3940, "WED", A70:A71)</f>
        <v>16</v>
      </c>
      <c r="E71" s="385">
        <f>DSUM(Recipes!$B$4:$K$3940, "THURS", A70:A71)</f>
        <v>0</v>
      </c>
      <c r="F71" s="384">
        <f>DSUM(Recipes!$B$4:$K$3940, "FRI", A70:A71)</f>
        <v>0</v>
      </c>
      <c r="G71" s="385">
        <f>DSUM(Recipes!$B$4:$K$3940, "SAT", A70:A71)</f>
        <v>16</v>
      </c>
      <c r="H71" s="384">
        <f>DSUM(Recipes!$B$4:$K$3940, "SUN", A70:A71)</f>
        <v>0</v>
      </c>
      <c r="I71" s="385">
        <f>DSUM(Recipes!$B$4:$K$3940, "TOTAL", A70:A71)</f>
        <v>40</v>
      </c>
    </row>
    <row r="72" spans="1:9" hidden="1" x14ac:dyDescent="0.25">
      <c r="A72" s="383" t="s">
        <v>556</v>
      </c>
      <c r="B72" s="384">
        <f>DSUM(Recipes!$B$4:$K$3940, "MON", A71:A72)</f>
        <v>0</v>
      </c>
      <c r="C72" s="385">
        <f>DSUM(Recipes!$B$4:$K$3940, "TUES", A71:A72)</f>
        <v>0</v>
      </c>
      <c r="D72" s="384">
        <f>DSUM(Recipes!$B$4:$K$3940, "WED", A71:A72)</f>
        <v>0</v>
      </c>
      <c r="E72" s="385">
        <f>DSUM(Recipes!$B$4:$K$3940, "THURS", A71:A72)</f>
        <v>0</v>
      </c>
      <c r="F72" s="384">
        <f>DSUM(Recipes!$B$4:$K$3940, "FRI", A71:A72)</f>
        <v>0</v>
      </c>
      <c r="G72" s="385">
        <f>DSUM(Recipes!$B$4:$K$3940, "SAT", A71:A72)</f>
        <v>0</v>
      </c>
      <c r="H72" s="384">
        <f>DSUM(Recipes!$B$4:$K$3940, "SUN", A71:A72)</f>
        <v>0</v>
      </c>
      <c r="I72" s="385">
        <f>DSUM(Recipes!$B$4:$K$3940, "TOTAL", A71:A72)</f>
        <v>0</v>
      </c>
    </row>
    <row r="73" spans="1:9" x14ac:dyDescent="0.25">
      <c r="A73" s="383" t="s">
        <v>64</v>
      </c>
      <c r="B73" s="384">
        <f>DSUM(Recipes!$B$4:$K$3940, "MON", A72:A73)</f>
        <v>62</v>
      </c>
      <c r="C73" s="385">
        <f>DSUM(Recipes!$B$4:$K$3940, "TUES", A72:A73)</f>
        <v>100</v>
      </c>
      <c r="D73" s="384">
        <f>DSUM(Recipes!$B$4:$K$3940, "WED", A72:A73)</f>
        <v>122</v>
      </c>
      <c r="E73" s="385">
        <f>DSUM(Recipes!$B$4:$K$3940, "THURS", A72:A73)</f>
        <v>377</v>
      </c>
      <c r="F73" s="384">
        <f>DSUM(Recipes!$B$4:$K$3940, "FRI", A72:A73)</f>
        <v>299</v>
      </c>
      <c r="G73" s="385">
        <f>DSUM(Recipes!$B$4:$K$3940, "SAT", A72:A73)</f>
        <v>430</v>
      </c>
      <c r="H73" s="384">
        <f>DSUM(Recipes!$B$4:$K$3940, "SUN", A72:A73)</f>
        <v>141</v>
      </c>
      <c r="I73" s="385">
        <f>DSUM(Recipes!$B$4:$K$3940, "TOTAL", A72:A73)</f>
        <v>1531</v>
      </c>
    </row>
    <row r="74" spans="1:9" hidden="1" x14ac:dyDescent="0.25">
      <c r="A74" s="383" t="s">
        <v>556</v>
      </c>
      <c r="B74" s="384">
        <f>DSUM(Recipes!$B$4:$K$3940, "MON", A73:A74)</f>
        <v>0</v>
      </c>
      <c r="C74" s="385">
        <f>DSUM(Recipes!$B$4:$K$3940, "TUES", A73:A74)</f>
        <v>0</v>
      </c>
      <c r="D74" s="384">
        <f>DSUM(Recipes!$B$4:$K$3940, "WED", A73:A74)</f>
        <v>0</v>
      </c>
      <c r="E74" s="385">
        <f>DSUM(Recipes!$B$4:$K$3940, "THURS", A73:A74)</f>
        <v>0</v>
      </c>
      <c r="F74" s="384">
        <f>DSUM(Recipes!$B$4:$K$3940, "FRI", A73:A74)</f>
        <v>0</v>
      </c>
      <c r="G74" s="385">
        <f>DSUM(Recipes!$B$4:$K$3940, "SAT", A73:A74)</f>
        <v>0</v>
      </c>
      <c r="H74" s="384">
        <f>DSUM(Recipes!$B$4:$K$3940, "SUN", A73:A74)</f>
        <v>0</v>
      </c>
      <c r="I74" s="385">
        <f>DSUM(Recipes!$B$4:$K$3940, "TOTAL", A73:A74)</f>
        <v>0</v>
      </c>
    </row>
    <row r="75" spans="1:9" x14ac:dyDescent="0.25">
      <c r="A75" s="383" t="s">
        <v>580</v>
      </c>
      <c r="B75" s="384">
        <f>DSUM(Recipes!$B$4:$K$3940, "MON", A74:A75)</f>
        <v>0</v>
      </c>
      <c r="C75" s="385">
        <f>DSUM(Recipes!$B$4:$K$3940, "TUES", A74:A75)</f>
        <v>4</v>
      </c>
      <c r="D75" s="384">
        <f>DSUM(Recipes!$B$4:$K$3940, "WED", A74:A75)</f>
        <v>20</v>
      </c>
      <c r="E75" s="385">
        <f>DSUM(Recipes!$B$4:$K$3940, "THURS", A74:A75)</f>
        <v>0</v>
      </c>
      <c r="F75" s="384">
        <f>DSUM(Recipes!$B$4:$K$3940, "FRI", A74:A75)</f>
        <v>0</v>
      </c>
      <c r="G75" s="385">
        <f>DSUM(Recipes!$B$4:$K$3940, "SAT", A74:A75)</f>
        <v>16</v>
      </c>
      <c r="H75" s="384">
        <f>DSUM(Recipes!$B$4:$K$3940, "SUN", A74:A75)</f>
        <v>16</v>
      </c>
      <c r="I75" s="385">
        <f>DSUM(Recipes!$B$4:$K$3940, "TOTAL", A74:A75)</f>
        <v>56</v>
      </c>
    </row>
    <row r="76" spans="1:9" hidden="1" x14ac:dyDescent="0.25">
      <c r="A76" s="383" t="s">
        <v>556</v>
      </c>
      <c r="B76" s="384">
        <f>DSUM(Recipes!$B$4:$K$3940, "MON", A75:A76)</f>
        <v>0</v>
      </c>
      <c r="C76" s="385">
        <f>DSUM(Recipes!$B$4:$K$3940, "TUES", A75:A76)</f>
        <v>0</v>
      </c>
      <c r="D76" s="384">
        <f>DSUM(Recipes!$B$4:$K$3940, "WED", A75:A76)</f>
        <v>0</v>
      </c>
      <c r="E76" s="385">
        <f>DSUM(Recipes!$B$4:$K$3940, "THURS", A75:A76)</f>
        <v>0</v>
      </c>
      <c r="F76" s="384">
        <f>DSUM(Recipes!$B$4:$K$3940, "FRI", A75:A76)</f>
        <v>0</v>
      </c>
      <c r="G76" s="385">
        <f>DSUM(Recipes!$B$4:$K$3940, "SAT", A75:A76)</f>
        <v>0</v>
      </c>
      <c r="H76" s="384">
        <f>DSUM(Recipes!$B$4:$K$3940, "SUN", A75:A76)</f>
        <v>0</v>
      </c>
      <c r="I76" s="385">
        <f>DSUM(Recipes!$B$4:$K$3940, "TOTAL", A75:A76)</f>
        <v>0</v>
      </c>
    </row>
    <row r="77" spans="1:9" x14ac:dyDescent="0.25">
      <c r="A77" s="383" t="s">
        <v>581</v>
      </c>
      <c r="B77" s="384">
        <f>DSUM(Recipes!$B$4:$K$3940, "MON", A76:A77)</f>
        <v>10</v>
      </c>
      <c r="C77" s="385">
        <f>DSUM(Recipes!$B$4:$K$3940, "TUES", A76:A77)</f>
        <v>5</v>
      </c>
      <c r="D77" s="384">
        <f>DSUM(Recipes!$B$4:$K$3940, "WED", A76:A77)</f>
        <v>15</v>
      </c>
      <c r="E77" s="385">
        <f>DSUM(Recipes!$B$4:$K$3940, "THURS", A76:A77)</f>
        <v>0</v>
      </c>
      <c r="F77" s="384">
        <f>DSUM(Recipes!$B$4:$K$3940, "FRI", A76:A77)</f>
        <v>30</v>
      </c>
      <c r="G77" s="385">
        <f>DSUM(Recipes!$B$4:$K$3940, "SAT", A76:A77)</f>
        <v>50</v>
      </c>
      <c r="H77" s="384">
        <f>DSUM(Recipes!$B$4:$K$3940, "SUN", A76:A77)</f>
        <v>35</v>
      </c>
      <c r="I77" s="385">
        <f>DSUM(Recipes!$B$4:$K$3940, "TOTAL", A76:A77)</f>
        <v>145</v>
      </c>
    </row>
    <row r="78" spans="1:9" hidden="1" x14ac:dyDescent="0.25">
      <c r="A78" s="383" t="s">
        <v>556</v>
      </c>
      <c r="B78" s="384">
        <f>DSUM(Recipes!$B$4:$K$3940, "MON", A77:A78)</f>
        <v>0</v>
      </c>
      <c r="C78" s="385">
        <f>DSUM(Recipes!$B$4:$K$3940, "TUES", A77:A78)</f>
        <v>0</v>
      </c>
      <c r="D78" s="384">
        <f>DSUM(Recipes!$B$4:$K$3940, "WED", A77:A78)</f>
        <v>0</v>
      </c>
      <c r="E78" s="385">
        <f>DSUM(Recipes!$B$4:$K$3940, "THURS", A77:A78)</f>
        <v>0</v>
      </c>
      <c r="F78" s="384">
        <f>DSUM(Recipes!$B$4:$K$3940, "FRI", A77:A78)</f>
        <v>0</v>
      </c>
      <c r="G78" s="385">
        <f>DSUM(Recipes!$B$4:$K$3940, "SAT", A77:A78)</f>
        <v>0</v>
      </c>
      <c r="H78" s="384">
        <f>DSUM(Recipes!$B$4:$K$3940, "SUN", A77:A78)</f>
        <v>0</v>
      </c>
      <c r="I78" s="385">
        <f>DSUM(Recipes!$B$4:$K$3940, "TOTAL", A77:A78)</f>
        <v>0</v>
      </c>
    </row>
    <row r="79" spans="1:9" x14ac:dyDescent="0.25">
      <c r="A79" s="383" t="s">
        <v>397</v>
      </c>
      <c r="B79" s="384">
        <f>DSUM(Recipes!$B$4:$K$3940, "MON", A78:A79)</f>
        <v>0</v>
      </c>
      <c r="C79" s="385">
        <f>DSUM(Recipes!$B$4:$K$3940, "TUES", A78:A79)</f>
        <v>0</v>
      </c>
      <c r="D79" s="384">
        <f>DSUM(Recipes!$B$4:$K$3940, "WED", A78:A79)</f>
        <v>0</v>
      </c>
      <c r="E79" s="385">
        <f>DSUM(Recipes!$B$4:$K$3940, "THURS", A78:A79)</f>
        <v>0</v>
      </c>
      <c r="F79" s="384">
        <f>DSUM(Recipes!$B$4:$K$3940, "FRI", A78:A79)</f>
        <v>0</v>
      </c>
      <c r="G79" s="385">
        <f>DSUM(Recipes!$B$4:$K$3940, "SAT", A78:A79)</f>
        <v>0</v>
      </c>
      <c r="H79" s="384">
        <f>DSUM(Recipes!$B$4:$K$3940, "SUN", A78:A79)</f>
        <v>0</v>
      </c>
      <c r="I79" s="385">
        <f>DSUM(Recipes!$B$4:$K$3940, "TOTAL", A78:A79)</f>
        <v>0</v>
      </c>
    </row>
    <row r="80" spans="1:9" hidden="1" x14ac:dyDescent="0.25">
      <c r="A80" s="383" t="s">
        <v>556</v>
      </c>
      <c r="B80" s="384">
        <f>DSUM(Recipes!$B$4:$K$3940, "MON", A79:A80)</f>
        <v>0</v>
      </c>
      <c r="C80" s="385">
        <f>DSUM(Recipes!$B$4:$K$3940, "TUES", A79:A80)</f>
        <v>0</v>
      </c>
      <c r="D80" s="384">
        <f>DSUM(Recipes!$B$4:$K$3940, "WED", A79:A80)</f>
        <v>0</v>
      </c>
      <c r="E80" s="385">
        <f>DSUM(Recipes!$B$4:$K$3940, "THURS", A79:A80)</f>
        <v>0</v>
      </c>
      <c r="F80" s="384">
        <f>DSUM(Recipes!$B$4:$K$3940, "FRI", A79:A80)</f>
        <v>0</v>
      </c>
      <c r="G80" s="385">
        <f>DSUM(Recipes!$B$4:$K$3940, "SAT", A79:A80)</f>
        <v>0</v>
      </c>
      <c r="H80" s="384">
        <f>DSUM(Recipes!$B$4:$K$3940, "SUN", A79:A80)</f>
        <v>0</v>
      </c>
      <c r="I80" s="385">
        <f>DSUM(Recipes!$B$4:$K$3940, "TOTAL", A79:A80)</f>
        <v>0</v>
      </c>
    </row>
    <row r="81" spans="1:9" x14ac:dyDescent="0.25">
      <c r="A81" s="383" t="s">
        <v>463</v>
      </c>
      <c r="B81" s="384">
        <f>DSUM(Recipes!$B$4:$K$3940, "MON", A80:A81)</f>
        <v>16</v>
      </c>
      <c r="C81" s="385">
        <f>DSUM(Recipes!$B$4:$K$3940, "TUES", A80:A81)</f>
        <v>16</v>
      </c>
      <c r="D81" s="384">
        <f>DSUM(Recipes!$B$4:$K$3940, "WED", A80:A81)</f>
        <v>10</v>
      </c>
      <c r="E81" s="385">
        <f>DSUM(Recipes!$B$4:$K$3940, "THURS", A80:A81)</f>
        <v>18</v>
      </c>
      <c r="F81" s="384">
        <f>DSUM(Recipes!$B$4:$K$3940, "FRI", A80:A81)</f>
        <v>22</v>
      </c>
      <c r="G81" s="385">
        <f>DSUM(Recipes!$B$4:$K$3940, "SAT", A80:A81)</f>
        <v>94</v>
      </c>
      <c r="H81" s="384">
        <f>DSUM(Recipes!$B$4:$K$3940, "SUN", A80:A81)</f>
        <v>24</v>
      </c>
      <c r="I81" s="385">
        <f>DSUM(Recipes!$B$4:$K$3940, "TOTAL", A80:A81)</f>
        <v>200</v>
      </c>
    </row>
    <row r="82" spans="1:9" hidden="1" x14ac:dyDescent="0.25">
      <c r="A82" s="383" t="s">
        <v>556</v>
      </c>
      <c r="B82" s="384">
        <f>DSUM(Recipes!$B$4:$K$3940, "MON", A81:A82)</f>
        <v>0</v>
      </c>
      <c r="C82" s="385">
        <f>DSUM(Recipes!$B$4:$K$3940, "TUES", A81:A82)</f>
        <v>0</v>
      </c>
      <c r="D82" s="384">
        <f>DSUM(Recipes!$B$4:$K$3940, "WED", A81:A82)</f>
        <v>0</v>
      </c>
      <c r="E82" s="385">
        <f>DSUM(Recipes!$B$4:$K$3940, "THURS", A81:A82)</f>
        <v>0</v>
      </c>
      <c r="F82" s="384">
        <f>DSUM(Recipes!$B$4:$K$3940, "FRI", A81:A82)</f>
        <v>0</v>
      </c>
      <c r="G82" s="385">
        <f>DSUM(Recipes!$B$4:$K$3940, "SAT", A81:A82)</f>
        <v>0</v>
      </c>
      <c r="H82" s="384">
        <f>DSUM(Recipes!$B$4:$K$3940, "SUN", A81:A82)</f>
        <v>0</v>
      </c>
      <c r="I82" s="385">
        <f>DSUM(Recipes!$B$4:$K$3940, "TOTAL", A81:A82)</f>
        <v>0</v>
      </c>
    </row>
    <row r="83" spans="1:9" x14ac:dyDescent="0.25">
      <c r="A83" s="383" t="s">
        <v>150</v>
      </c>
      <c r="B83" s="384">
        <f>DSUM(Recipes!$B$4:$K$3940, "MON", A82:A83)</f>
        <v>8</v>
      </c>
      <c r="C83" s="385">
        <f>DSUM(Recipes!$B$4:$K$3940, "TUES", A82:A83)</f>
        <v>8</v>
      </c>
      <c r="D83" s="384">
        <f>DSUM(Recipes!$B$4:$K$3940, "WED", A82:A83)</f>
        <v>8</v>
      </c>
      <c r="E83" s="385">
        <f>DSUM(Recipes!$B$4:$K$3940, "THURS", A82:A83)</f>
        <v>24</v>
      </c>
      <c r="F83" s="384">
        <f>DSUM(Recipes!$B$4:$K$3940, "FRI", A82:A83)</f>
        <v>8</v>
      </c>
      <c r="G83" s="385">
        <f>DSUM(Recipes!$B$4:$K$3940, "SAT", A82:A83)</f>
        <v>56</v>
      </c>
      <c r="H83" s="384">
        <f>DSUM(Recipes!$B$4:$K$3940, "SUN", A82:A83)</f>
        <v>24</v>
      </c>
      <c r="I83" s="385">
        <f>DSUM(Recipes!$B$4:$K$3940, "TOTAL", A82:A83)</f>
        <v>136</v>
      </c>
    </row>
    <row r="84" spans="1:9" hidden="1" x14ac:dyDescent="0.25">
      <c r="A84" s="383" t="s">
        <v>556</v>
      </c>
      <c r="B84" s="384">
        <f>DSUM(Recipes!$B$4:$K$3940, "MON", A83:A84)</f>
        <v>0</v>
      </c>
      <c r="C84" s="385">
        <f>DSUM(Recipes!$B$4:$K$3940, "TUES", A83:A84)</f>
        <v>0</v>
      </c>
      <c r="D84" s="384">
        <f>DSUM(Recipes!$B$4:$K$3940, "WED", A83:A84)</f>
        <v>0</v>
      </c>
      <c r="E84" s="385">
        <f>DSUM(Recipes!$B$4:$K$3940, "THURS", A83:A84)</f>
        <v>0</v>
      </c>
      <c r="F84" s="384">
        <f>DSUM(Recipes!$B$4:$K$3940, "FRI", A83:A84)</f>
        <v>0</v>
      </c>
      <c r="G84" s="385">
        <f>DSUM(Recipes!$B$4:$K$3940, "SAT", A83:A84)</f>
        <v>0</v>
      </c>
      <c r="H84" s="384">
        <f>DSUM(Recipes!$B$4:$K$3940, "SUN", A83:A84)</f>
        <v>0</v>
      </c>
      <c r="I84" s="385">
        <f>DSUM(Recipes!$B$4:$K$3940, "TOTAL", A83:A84)</f>
        <v>0</v>
      </c>
    </row>
    <row r="85" spans="1:9" x14ac:dyDescent="0.25">
      <c r="A85" s="383" t="s">
        <v>63</v>
      </c>
      <c r="B85" s="384">
        <f>DSUM(Recipes!$B$4:$K$3940, "MON", A84:A85)</f>
        <v>0</v>
      </c>
      <c r="C85" s="385">
        <f>DSUM(Recipes!$B$4:$K$3940, "TUES", A84:A85)</f>
        <v>0</v>
      </c>
      <c r="D85" s="384">
        <f>DSUM(Recipes!$B$4:$K$3940, "WED", A84:A85)</f>
        <v>0</v>
      </c>
      <c r="E85" s="385">
        <f>DSUM(Recipes!$B$4:$K$3940, "THURS", A84:A85)</f>
        <v>0</v>
      </c>
      <c r="F85" s="384">
        <f>DSUM(Recipes!$B$4:$K$3940, "FRI", A84:A85)</f>
        <v>0</v>
      </c>
      <c r="G85" s="385">
        <f>DSUM(Recipes!$B$4:$K$3940, "SAT", A84:A85)</f>
        <v>0</v>
      </c>
      <c r="H85" s="384">
        <f>DSUM(Recipes!$B$4:$K$3940, "SUN", A84:A85)</f>
        <v>0</v>
      </c>
      <c r="I85" s="385">
        <f>DSUM(Recipes!$B$4:$K$3940, "TOTAL", A84:A85)</f>
        <v>0</v>
      </c>
    </row>
    <row r="86" spans="1:9" hidden="1" x14ac:dyDescent="0.25">
      <c r="A86" s="383" t="s">
        <v>556</v>
      </c>
      <c r="B86" s="384">
        <f>DSUM(Recipes!$B$4:$K$3940, "MON", A85:A86)</f>
        <v>0</v>
      </c>
      <c r="C86" s="385">
        <f>DSUM(Recipes!$B$4:$K$3940, "TUES", A85:A86)</f>
        <v>0</v>
      </c>
      <c r="D86" s="384">
        <f>DSUM(Recipes!$B$4:$K$3940, "WED", A85:A86)</f>
        <v>0</v>
      </c>
      <c r="E86" s="385">
        <f>DSUM(Recipes!$B$4:$K$3940, "THURS", A85:A86)</f>
        <v>0</v>
      </c>
      <c r="F86" s="384">
        <f>DSUM(Recipes!$B$4:$K$3940, "FRI", A85:A86)</f>
        <v>0</v>
      </c>
      <c r="G86" s="385">
        <f>DSUM(Recipes!$B$4:$K$3940, "SAT", A85:A86)</f>
        <v>0</v>
      </c>
      <c r="H86" s="384">
        <f>DSUM(Recipes!$B$4:$K$3940, "SUN", A85:A86)</f>
        <v>0</v>
      </c>
      <c r="I86" s="385">
        <f>DSUM(Recipes!$B$4:$K$3940, "TOTAL", A85:A86)</f>
        <v>0</v>
      </c>
    </row>
    <row r="87" spans="1:9" x14ac:dyDescent="0.25">
      <c r="A87" s="383" t="s">
        <v>582</v>
      </c>
      <c r="B87" s="384">
        <f>DSUM(Recipes!$B$4:$K$3940, "MON", A86:A87)</f>
        <v>0</v>
      </c>
      <c r="C87" s="385">
        <f>DSUM(Recipes!$B$4:$K$3940, "TUES", A86:A87)</f>
        <v>0</v>
      </c>
      <c r="D87" s="384">
        <f>DSUM(Recipes!$B$4:$K$3940, "WED", A86:A87)</f>
        <v>0</v>
      </c>
      <c r="E87" s="385">
        <f>DSUM(Recipes!$B$4:$K$3940, "THURS", A86:A87)</f>
        <v>0</v>
      </c>
      <c r="F87" s="384">
        <f>DSUM(Recipes!$B$4:$K$3940, "FRI", A86:A87)</f>
        <v>0</v>
      </c>
      <c r="G87" s="385">
        <f>DSUM(Recipes!$B$4:$K$3940, "SAT", A86:A87)</f>
        <v>0</v>
      </c>
      <c r="H87" s="384">
        <f>DSUM(Recipes!$B$4:$K$3940, "SUN", A86:A87)</f>
        <v>0</v>
      </c>
      <c r="I87" s="385">
        <f>DSUM(Recipes!$B$4:$K$3940, "TOTAL", A86:A87)</f>
        <v>0</v>
      </c>
    </row>
    <row r="88" spans="1:9" hidden="1" x14ac:dyDescent="0.25">
      <c r="A88" s="383" t="s">
        <v>556</v>
      </c>
      <c r="B88" s="384">
        <f>DSUM(Recipes!$B$4:$K$3940, "MON", A87:A88)</f>
        <v>0</v>
      </c>
      <c r="C88" s="385">
        <f>DSUM(Recipes!$B$4:$K$3940, "TUES", A87:A88)</f>
        <v>0</v>
      </c>
      <c r="D88" s="384">
        <f>DSUM(Recipes!$B$4:$K$3940, "WED", A87:A88)</f>
        <v>0</v>
      </c>
      <c r="E88" s="385">
        <f>DSUM(Recipes!$B$4:$K$3940, "THURS", A87:A88)</f>
        <v>0</v>
      </c>
      <c r="F88" s="384">
        <f>DSUM(Recipes!$B$4:$K$3940, "FRI", A87:A88)</f>
        <v>0</v>
      </c>
      <c r="G88" s="385">
        <f>DSUM(Recipes!$B$4:$K$3940, "SAT", A87:A88)</f>
        <v>0</v>
      </c>
      <c r="H88" s="384">
        <f>DSUM(Recipes!$B$4:$K$3940, "SUN", A87:A88)</f>
        <v>0</v>
      </c>
      <c r="I88" s="385">
        <f>DSUM(Recipes!$B$4:$K$3940, "TOTAL", A87:A88)</f>
        <v>0</v>
      </c>
    </row>
    <row r="89" spans="1:9" x14ac:dyDescent="0.25">
      <c r="A89" s="383" t="s">
        <v>1854</v>
      </c>
      <c r="B89" s="384">
        <f>DSUM(Recipes!$B$4:$K$3940, "MON", A88:A89)</f>
        <v>18</v>
      </c>
      <c r="C89" s="385">
        <f>DSUM(Recipes!$B$4:$K$3940, "TUES", A88:A89)</f>
        <v>6</v>
      </c>
      <c r="D89" s="384">
        <f>DSUM(Recipes!$B$4:$K$3940, "WED", A88:A89)</f>
        <v>6</v>
      </c>
      <c r="E89" s="385">
        <f>DSUM(Recipes!$B$4:$K$3940, "THURS", A88:A89)</f>
        <v>18</v>
      </c>
      <c r="F89" s="384">
        <f>DSUM(Recipes!$B$4:$K$3940, "FRI", A88:A89)</f>
        <v>24</v>
      </c>
      <c r="G89" s="385">
        <f>DSUM(Recipes!$B$4:$K$3940, "SAT", A88:A89)</f>
        <v>72</v>
      </c>
      <c r="H89" s="384">
        <f>DSUM(Recipes!$B$4:$K$3940, "SUN", A88:A89)</f>
        <v>12</v>
      </c>
      <c r="I89" s="385">
        <f>DSUM(Recipes!$B$4:$K$3940, "TOTAL", A88:A89)</f>
        <v>156</v>
      </c>
    </row>
    <row r="90" spans="1:9" hidden="1" x14ac:dyDescent="0.25">
      <c r="A90" s="383" t="s">
        <v>556</v>
      </c>
      <c r="B90" s="384">
        <f>DSUM(Recipes!$B$4:$K$3940, "MON", A89:A90)</f>
        <v>0</v>
      </c>
      <c r="C90" s="385">
        <f>DSUM(Recipes!$B$4:$K$3940, "TUES", A89:A90)</f>
        <v>0</v>
      </c>
      <c r="D90" s="384">
        <f>DSUM(Recipes!$B$4:$K$3940, "WED", A89:A90)</f>
        <v>0</v>
      </c>
      <c r="E90" s="385">
        <f>DSUM(Recipes!$B$4:$K$3940, "THURS", A89:A90)</f>
        <v>0</v>
      </c>
      <c r="F90" s="384">
        <f>DSUM(Recipes!$B$4:$K$3940, "FRI", A89:A90)</f>
        <v>0</v>
      </c>
      <c r="G90" s="385">
        <f>DSUM(Recipes!$B$4:$K$3940, "SAT", A89:A90)</f>
        <v>0</v>
      </c>
      <c r="H90" s="384">
        <f>DSUM(Recipes!$B$4:$K$3940, "SUN", A89:A90)</f>
        <v>0</v>
      </c>
      <c r="I90" s="385">
        <f>DSUM(Recipes!$B$4:$K$3940, "TOTAL", A89:A90)</f>
        <v>0</v>
      </c>
    </row>
    <row r="91" spans="1:9" x14ac:dyDescent="0.25">
      <c r="A91" s="383" t="s">
        <v>583</v>
      </c>
      <c r="B91" s="384">
        <f>DSUM(Recipes!$B$4:$K$3940, "MON", A90:A91)</f>
        <v>0</v>
      </c>
      <c r="C91" s="385">
        <f>DSUM(Recipes!$B$4:$K$3940, "TUES", A90:A91)</f>
        <v>0</v>
      </c>
      <c r="D91" s="384">
        <f>DSUM(Recipes!$B$4:$K$3940, "WED", A90:A91)</f>
        <v>3</v>
      </c>
      <c r="E91" s="385">
        <f>DSUM(Recipes!$B$4:$K$3940, "THURS", A90:A91)</f>
        <v>7</v>
      </c>
      <c r="F91" s="384">
        <f>DSUM(Recipes!$B$4:$K$3940, "FRI", A90:A91)</f>
        <v>2</v>
      </c>
      <c r="G91" s="385">
        <f>DSUM(Recipes!$B$4:$K$3940, "SAT", A90:A91)</f>
        <v>4</v>
      </c>
      <c r="H91" s="384">
        <f>DSUM(Recipes!$B$4:$K$3940, "SUN", A90:A91)</f>
        <v>2</v>
      </c>
      <c r="I91" s="385">
        <f>DSUM(Recipes!$B$4:$K$3940, "TOTAL", A90:A91)</f>
        <v>18</v>
      </c>
    </row>
    <row r="92" spans="1:9" hidden="1" x14ac:dyDescent="0.25">
      <c r="A92" s="383" t="s">
        <v>556</v>
      </c>
      <c r="B92" s="384">
        <f>DSUM(Recipes!$B$4:$K$3940, "MON", A91:A92)</f>
        <v>0</v>
      </c>
      <c r="C92" s="385">
        <f>DSUM(Recipes!$B$4:$K$3940, "TUES", A91:A92)</f>
        <v>0</v>
      </c>
      <c r="D92" s="384">
        <f>DSUM(Recipes!$B$4:$K$3940, "WED", A91:A92)</f>
        <v>0</v>
      </c>
      <c r="E92" s="385">
        <f>DSUM(Recipes!$B$4:$K$3940, "THURS", A91:A92)</f>
        <v>0</v>
      </c>
      <c r="F92" s="384">
        <f>DSUM(Recipes!$B$4:$K$3940, "FRI", A91:A92)</f>
        <v>0</v>
      </c>
      <c r="G92" s="385">
        <f>DSUM(Recipes!$B$4:$K$3940, "SAT", A91:A92)</f>
        <v>0</v>
      </c>
      <c r="H92" s="384">
        <f>DSUM(Recipes!$B$4:$K$3940, "SUN", A91:A92)</f>
        <v>0</v>
      </c>
      <c r="I92" s="385">
        <f>DSUM(Recipes!$B$4:$K$3940, "TOTAL", A91:A92)</f>
        <v>0</v>
      </c>
    </row>
    <row r="93" spans="1:9" x14ac:dyDescent="0.25">
      <c r="A93" s="383" t="s">
        <v>584</v>
      </c>
      <c r="B93" s="384">
        <f>DSUM(Recipes!$B$4:$K$3940, "MON", A92:A93)</f>
        <v>0</v>
      </c>
      <c r="C93" s="385">
        <f>DSUM(Recipes!$B$4:$K$3940, "TUES", A92:A93)</f>
        <v>0</v>
      </c>
      <c r="D93" s="384">
        <f>DSUM(Recipes!$B$4:$K$3940, "WED", A92:A93)</f>
        <v>0</v>
      </c>
      <c r="E93" s="385">
        <f>DSUM(Recipes!$B$4:$K$3940, "THURS", A92:A93)</f>
        <v>0</v>
      </c>
      <c r="F93" s="384">
        <f>DSUM(Recipes!$B$4:$K$3940, "FRI", A92:A93)</f>
        <v>0</v>
      </c>
      <c r="G93" s="385">
        <f>DSUM(Recipes!$B$4:$K$3940, "SAT", A92:A93)</f>
        <v>0</v>
      </c>
      <c r="H93" s="384">
        <f>DSUM(Recipes!$B$4:$K$3940, "SUN", A92:A93)</f>
        <v>0</v>
      </c>
      <c r="I93" s="385">
        <f>DSUM(Recipes!$B$4:$K$3940, "TOTAL", A92:A93)</f>
        <v>0</v>
      </c>
    </row>
    <row r="94" spans="1:9" hidden="1" x14ac:dyDescent="0.25">
      <c r="A94" s="383" t="s">
        <v>556</v>
      </c>
      <c r="B94" s="384">
        <f>DSUM(Recipes!$B$4:$K$3940, "MON", A93:A94)</f>
        <v>0</v>
      </c>
      <c r="C94" s="385">
        <f>DSUM(Recipes!$B$4:$K$3940, "TUES", A93:A94)</f>
        <v>0</v>
      </c>
      <c r="D94" s="384">
        <f>DSUM(Recipes!$B$4:$K$3940, "WED", A93:A94)</f>
        <v>0</v>
      </c>
      <c r="E94" s="385">
        <f>DSUM(Recipes!$B$4:$K$3940, "THURS", A93:A94)</f>
        <v>0</v>
      </c>
      <c r="F94" s="384">
        <f>DSUM(Recipes!$B$4:$K$3940, "FRI", A93:A94)</f>
        <v>0</v>
      </c>
      <c r="G94" s="385">
        <f>DSUM(Recipes!$B$4:$K$3940, "SAT", A93:A94)</f>
        <v>0</v>
      </c>
      <c r="H94" s="384">
        <f>DSUM(Recipes!$B$4:$K$3940, "SUN", A93:A94)</f>
        <v>0</v>
      </c>
      <c r="I94" s="385">
        <f>DSUM(Recipes!$B$4:$K$3940, "TOTAL", A93:A94)</f>
        <v>0</v>
      </c>
    </row>
    <row r="95" spans="1:9" x14ac:dyDescent="0.25">
      <c r="A95" s="383" t="s">
        <v>85</v>
      </c>
      <c r="B95" s="384">
        <f>DSUM(Recipes!$B$4:$K$3940, "MON", A94:A95)</f>
        <v>0</v>
      </c>
      <c r="C95" s="385">
        <f>DSUM(Recipes!$B$4:$K$3940, "TUES", A94:A95)</f>
        <v>0</v>
      </c>
      <c r="D95" s="384">
        <f>DSUM(Recipes!$B$4:$K$3940, "WED", A94:A95)</f>
        <v>0</v>
      </c>
      <c r="E95" s="385">
        <f>DSUM(Recipes!$B$4:$K$3940, "THURS", A94:A95)</f>
        <v>0</v>
      </c>
      <c r="F95" s="384">
        <f>DSUM(Recipes!$B$4:$K$3940, "FRI", A94:A95)</f>
        <v>0</v>
      </c>
      <c r="G95" s="385">
        <f>DSUM(Recipes!$B$4:$K$3940, "SAT", A94:A95)</f>
        <v>0</v>
      </c>
      <c r="H95" s="384">
        <f>DSUM(Recipes!$B$4:$K$3940, "SUN", A94:A95)</f>
        <v>0</v>
      </c>
      <c r="I95" s="385">
        <f>DSUM(Recipes!$B$4:$K$3940, "TOTAL", A94:A95)</f>
        <v>0</v>
      </c>
    </row>
    <row r="96" spans="1:9" hidden="1" x14ac:dyDescent="0.25">
      <c r="A96" s="383" t="s">
        <v>556</v>
      </c>
      <c r="B96" s="384">
        <f>DSUM(Recipes!$B$4:$K$3940, "MON", A95:A96)</f>
        <v>0</v>
      </c>
      <c r="C96" s="385">
        <f>DSUM(Recipes!$B$4:$K$3940, "TUES", A95:A96)</f>
        <v>0</v>
      </c>
      <c r="D96" s="384">
        <f>DSUM(Recipes!$B$4:$K$3940, "WED", A95:A96)</f>
        <v>0</v>
      </c>
      <c r="E96" s="385">
        <f>DSUM(Recipes!$B$4:$K$3940, "THURS", A95:A96)</f>
        <v>0</v>
      </c>
      <c r="F96" s="384">
        <f>DSUM(Recipes!$B$4:$K$3940, "FRI", A95:A96)</f>
        <v>0</v>
      </c>
      <c r="G96" s="385">
        <f>DSUM(Recipes!$B$4:$K$3940, "SAT", A95:A96)</f>
        <v>0</v>
      </c>
      <c r="H96" s="384">
        <f>DSUM(Recipes!$B$4:$K$3940, "SUN", A95:A96)</f>
        <v>0</v>
      </c>
      <c r="I96" s="385">
        <f>DSUM(Recipes!$B$4:$K$3940, "TOTAL", A95:A96)</f>
        <v>0</v>
      </c>
    </row>
    <row r="97" spans="1:9" x14ac:dyDescent="0.25">
      <c r="A97" s="383" t="s">
        <v>585</v>
      </c>
      <c r="B97" s="384">
        <f>DSUM(Recipes!$B$4:$K$3940, "MON", A96:A97)</f>
        <v>0</v>
      </c>
      <c r="C97" s="385">
        <f>DSUM(Recipes!$B$4:$K$3940, "TUES", A96:A97)</f>
        <v>0</v>
      </c>
      <c r="D97" s="384">
        <f>DSUM(Recipes!$B$4:$K$3940, "WED", A96:A97)</f>
        <v>0</v>
      </c>
      <c r="E97" s="385">
        <f>DSUM(Recipes!$B$4:$K$3940, "THURS", A96:A97)</f>
        <v>0</v>
      </c>
      <c r="F97" s="384">
        <f>DSUM(Recipes!$B$4:$K$3940, "FRI", A96:A97)</f>
        <v>0</v>
      </c>
      <c r="G97" s="385">
        <f>DSUM(Recipes!$B$4:$K$3940, "SAT", A96:A97)</f>
        <v>0</v>
      </c>
      <c r="H97" s="384">
        <f>DSUM(Recipes!$B$4:$K$3940, "SUN", A96:A97)</f>
        <v>0</v>
      </c>
      <c r="I97" s="385">
        <f>DSUM(Recipes!$B$4:$K$3940, "TOTAL", A96:A97)</f>
        <v>0</v>
      </c>
    </row>
    <row r="98" spans="1:9" hidden="1" x14ac:dyDescent="0.25">
      <c r="A98" s="383" t="s">
        <v>556</v>
      </c>
      <c r="B98" s="384">
        <f>DSUM(Recipes!$B$4:$K$3940, "MON", A97:A98)</f>
        <v>0</v>
      </c>
      <c r="C98" s="385">
        <f>DSUM(Recipes!$B$4:$K$3940, "TUES", A97:A98)</f>
        <v>0</v>
      </c>
      <c r="D98" s="384">
        <f>DSUM(Recipes!$B$4:$K$3940, "WED", A97:A98)</f>
        <v>0</v>
      </c>
      <c r="E98" s="385">
        <f>DSUM(Recipes!$B$4:$K$3940, "THURS", A97:A98)</f>
        <v>0</v>
      </c>
      <c r="F98" s="384">
        <f>DSUM(Recipes!$B$4:$K$3940, "FRI", A97:A98)</f>
        <v>0</v>
      </c>
      <c r="G98" s="385">
        <f>DSUM(Recipes!$B$4:$K$3940, "SAT", A97:A98)</f>
        <v>0</v>
      </c>
      <c r="H98" s="384">
        <f>DSUM(Recipes!$B$4:$K$3940, "SUN", A97:A98)</f>
        <v>0</v>
      </c>
      <c r="I98" s="385">
        <f>DSUM(Recipes!$B$4:$K$3940, "TOTAL", A97:A98)</f>
        <v>0</v>
      </c>
    </row>
    <row r="99" spans="1:9" x14ac:dyDescent="0.25">
      <c r="A99" s="383" t="s">
        <v>586</v>
      </c>
      <c r="B99" s="384">
        <f>DSUM(Recipes!$B$4:$K$3940, "MON", A98:A99)</f>
        <v>0</v>
      </c>
      <c r="C99" s="385">
        <f>DSUM(Recipes!$B$4:$K$3940, "TUES", A98:A99)</f>
        <v>0</v>
      </c>
      <c r="D99" s="384">
        <f>DSUM(Recipes!$B$4:$K$3940, "WED", A98:A99)</f>
        <v>0</v>
      </c>
      <c r="E99" s="385">
        <f>DSUM(Recipes!$B$4:$K$3940, "THURS", A98:A99)</f>
        <v>0</v>
      </c>
      <c r="F99" s="384">
        <f>DSUM(Recipes!$B$4:$K$3940, "FRI", A98:A99)</f>
        <v>0</v>
      </c>
      <c r="G99" s="385">
        <f>DSUM(Recipes!$B$4:$K$3940, "SAT", A98:A99)</f>
        <v>0</v>
      </c>
      <c r="H99" s="384">
        <f>DSUM(Recipes!$B$4:$K$3940, "SUN", A98:A99)</f>
        <v>0</v>
      </c>
      <c r="I99" s="385">
        <f>DSUM(Recipes!$B$4:$K$3940, "TOTAL", A98:A99)</f>
        <v>0</v>
      </c>
    </row>
    <row r="100" spans="1:9" hidden="1" x14ac:dyDescent="0.25">
      <c r="A100" s="383" t="s">
        <v>556</v>
      </c>
      <c r="B100" s="384">
        <f>DSUM(Recipes!$B$4:$K$3940, "MON", A99:A100)</f>
        <v>0</v>
      </c>
      <c r="C100" s="385">
        <f>DSUM(Recipes!$B$4:$K$3940, "TUES", A99:A100)</f>
        <v>0</v>
      </c>
      <c r="D100" s="384">
        <f>DSUM(Recipes!$B$4:$K$3940, "WED", A99:A100)</f>
        <v>0</v>
      </c>
      <c r="E100" s="385">
        <f>DSUM(Recipes!$B$4:$K$3940, "THURS", A99:A100)</f>
        <v>0</v>
      </c>
      <c r="F100" s="384">
        <f>DSUM(Recipes!$B$4:$K$3940, "FRI", A99:A100)</f>
        <v>0</v>
      </c>
      <c r="G100" s="385">
        <f>DSUM(Recipes!$B$4:$K$3940, "SAT", A99:A100)</f>
        <v>0</v>
      </c>
      <c r="H100" s="384">
        <f>DSUM(Recipes!$B$4:$K$3940, "SUN", A99:A100)</f>
        <v>0</v>
      </c>
      <c r="I100" s="385">
        <f>DSUM(Recipes!$B$4:$K$3940, "TOTAL", A99:A100)</f>
        <v>0</v>
      </c>
    </row>
    <row r="101" spans="1:9" x14ac:dyDescent="0.25">
      <c r="A101" s="383" t="s">
        <v>587</v>
      </c>
      <c r="B101" s="384">
        <f>DSUM(Recipes!$B$4:$K$3940, "MON", A100:A101)</f>
        <v>122</v>
      </c>
      <c r="C101" s="385">
        <f>DSUM(Recipes!$B$4:$K$3940, "TUES", A100:A101)</f>
        <v>158</v>
      </c>
      <c r="D101" s="384">
        <f>DSUM(Recipes!$B$4:$K$3940, "WED", A100:A101)</f>
        <v>314</v>
      </c>
      <c r="E101" s="385">
        <f>DSUM(Recipes!$B$4:$K$3940, "THURS", A100:A101)</f>
        <v>146</v>
      </c>
      <c r="F101" s="384">
        <f>DSUM(Recipes!$B$4:$K$3940, "FRI", A100:A101)</f>
        <v>504</v>
      </c>
      <c r="G101" s="385">
        <f>DSUM(Recipes!$B$4:$K$3940, "SAT", A100:A101)</f>
        <v>732</v>
      </c>
      <c r="H101" s="384">
        <f>DSUM(Recipes!$B$4:$K$3940, "SUN", A100:A101)</f>
        <v>250</v>
      </c>
      <c r="I101" s="385">
        <f>DSUM(Recipes!$B$4:$K$3940, "TOTAL", A100:A101)</f>
        <v>2226</v>
      </c>
    </row>
    <row r="102" spans="1:9" hidden="1" x14ac:dyDescent="0.25">
      <c r="A102" s="383" t="s">
        <v>556</v>
      </c>
      <c r="B102" s="384">
        <f>DSUM(Recipes!$B$4:$K$3940, "MON", A101:A102)</f>
        <v>0</v>
      </c>
      <c r="C102" s="385">
        <f>DSUM(Recipes!$B$4:$K$3940, "TUES", A101:A102)</f>
        <v>0</v>
      </c>
      <c r="D102" s="384">
        <f>DSUM(Recipes!$B$4:$K$3940, "WED", A101:A102)</f>
        <v>0</v>
      </c>
      <c r="E102" s="385">
        <f>DSUM(Recipes!$B$4:$K$3940, "THURS", A101:A102)</f>
        <v>0</v>
      </c>
      <c r="F102" s="384">
        <f>DSUM(Recipes!$B$4:$K$3940, "FRI", A101:A102)</f>
        <v>0</v>
      </c>
      <c r="G102" s="385">
        <f>DSUM(Recipes!$B$4:$K$3940, "SAT", A101:A102)</f>
        <v>0</v>
      </c>
      <c r="H102" s="384">
        <f>DSUM(Recipes!$B$4:$K$3940, "SUN", A101:A102)</f>
        <v>0</v>
      </c>
      <c r="I102" s="385">
        <f>DSUM(Recipes!$B$4:$K$3940, "TOTAL", A101:A102)</f>
        <v>0</v>
      </c>
    </row>
    <row r="103" spans="1:9" x14ac:dyDescent="0.25">
      <c r="A103" s="383" t="s">
        <v>588</v>
      </c>
      <c r="B103" s="384">
        <f>DSUM(Recipes!$B$4:$K$3940, "MON", A102:A103)</f>
        <v>0</v>
      </c>
      <c r="C103" s="385">
        <f>DSUM(Recipes!$B$4:$K$3940, "TUES", A102:A103)</f>
        <v>4</v>
      </c>
      <c r="D103" s="384">
        <f>DSUM(Recipes!$B$4:$K$3940, "WED", A102:A103)</f>
        <v>0</v>
      </c>
      <c r="E103" s="385">
        <f>DSUM(Recipes!$B$4:$K$3940, "THURS", A102:A103)</f>
        <v>4</v>
      </c>
      <c r="F103" s="384">
        <f>DSUM(Recipes!$B$4:$K$3940, "FRI", A102:A103)</f>
        <v>12</v>
      </c>
      <c r="G103" s="385">
        <f>DSUM(Recipes!$B$4:$K$3940, "SAT", A102:A103)</f>
        <v>6</v>
      </c>
      <c r="H103" s="384">
        <f>DSUM(Recipes!$B$4:$K$3940, "SUN", A102:A103)</f>
        <v>4</v>
      </c>
      <c r="I103" s="385">
        <f>DSUM(Recipes!$B$4:$K$3940, "TOTAL", A102:A103)</f>
        <v>30</v>
      </c>
    </row>
    <row r="104" spans="1:9" hidden="1" x14ac:dyDescent="0.25">
      <c r="A104" s="383" t="s">
        <v>556</v>
      </c>
      <c r="B104" s="384">
        <f>DSUM(Recipes!$B$4:$K$3940, "MON", A103:A104)</f>
        <v>0</v>
      </c>
      <c r="C104" s="385">
        <f>DSUM(Recipes!$B$4:$K$3940, "TUES", A103:A104)</f>
        <v>0</v>
      </c>
      <c r="D104" s="384">
        <f>DSUM(Recipes!$B$4:$K$3940, "WED", A103:A104)</f>
        <v>0</v>
      </c>
      <c r="E104" s="385">
        <f>DSUM(Recipes!$B$4:$K$3940, "THURS", A103:A104)</f>
        <v>0</v>
      </c>
      <c r="F104" s="384">
        <f>DSUM(Recipes!$B$4:$K$3940, "FRI", A103:A104)</f>
        <v>0</v>
      </c>
      <c r="G104" s="385">
        <f>DSUM(Recipes!$B$4:$K$3940, "SAT", A103:A104)</f>
        <v>0</v>
      </c>
      <c r="H104" s="384">
        <f>DSUM(Recipes!$B$4:$K$3940, "SUN", A103:A104)</f>
        <v>0</v>
      </c>
      <c r="I104" s="385">
        <f>DSUM(Recipes!$B$4:$K$3940, "TOTAL", A103:A104)</f>
        <v>0</v>
      </c>
    </row>
    <row r="105" spans="1:9" x14ac:dyDescent="0.25">
      <c r="A105" s="383" t="s">
        <v>59</v>
      </c>
      <c r="B105" s="384">
        <f>DSUM(Recipes!$B$4:$K$3940, "MON", A104:A105)</f>
        <v>11</v>
      </c>
      <c r="C105" s="385">
        <f>DSUM(Recipes!$B$4:$K$3940, "TUES", A104:A105)</f>
        <v>14.25</v>
      </c>
      <c r="D105" s="384">
        <f>DSUM(Recipes!$B$4:$K$3940, "WED", A104:A105)</f>
        <v>28</v>
      </c>
      <c r="E105" s="385">
        <f>DSUM(Recipes!$B$4:$K$3940, "THURS", A104:A105)</f>
        <v>22</v>
      </c>
      <c r="F105" s="384">
        <f>DSUM(Recipes!$B$4:$K$3940, "FRI", A104:A105)</f>
        <v>58.75</v>
      </c>
      <c r="G105" s="385">
        <f>DSUM(Recipes!$B$4:$K$3940, "SAT", A104:A105)</f>
        <v>76.75</v>
      </c>
      <c r="H105" s="384">
        <f>DSUM(Recipes!$B$4:$K$3940, "SUN", A104:A105)</f>
        <v>27.75</v>
      </c>
      <c r="I105" s="385">
        <f>DSUM(Recipes!$B$4:$K$3940, "TOTAL", A104:A105)</f>
        <v>238.5</v>
      </c>
    </row>
    <row r="106" spans="1:9" hidden="1" x14ac:dyDescent="0.25">
      <c r="A106" s="383" t="s">
        <v>556</v>
      </c>
      <c r="B106" s="384">
        <f>DSUM(Recipes!$B$4:$K$3940, "MON", A105:A106)</f>
        <v>0</v>
      </c>
      <c r="C106" s="385">
        <f>DSUM(Recipes!$B$4:$K$3940, "TUES", A105:A106)</f>
        <v>0</v>
      </c>
      <c r="D106" s="384">
        <f>DSUM(Recipes!$B$4:$K$3940, "WED", A105:A106)</f>
        <v>0</v>
      </c>
      <c r="E106" s="385">
        <f>DSUM(Recipes!$B$4:$K$3940, "THURS", A105:A106)</f>
        <v>0</v>
      </c>
      <c r="F106" s="384">
        <f>DSUM(Recipes!$B$4:$K$3940, "FRI", A105:A106)</f>
        <v>0</v>
      </c>
      <c r="G106" s="385">
        <f>DSUM(Recipes!$B$4:$K$3940, "SAT", A105:A106)</f>
        <v>0</v>
      </c>
      <c r="H106" s="384">
        <f>DSUM(Recipes!$B$4:$K$3940, "SUN", A105:A106)</f>
        <v>0</v>
      </c>
      <c r="I106" s="385">
        <f>DSUM(Recipes!$B$4:$K$3940, "TOTAL", A105:A106)</f>
        <v>0</v>
      </c>
    </row>
    <row r="107" spans="1:9" x14ac:dyDescent="0.25">
      <c r="A107" s="383" t="s">
        <v>589</v>
      </c>
      <c r="B107" s="384">
        <f>DSUM(Recipes!$B$4:$K$3940, "MON", A106:A107)</f>
        <v>24</v>
      </c>
      <c r="C107" s="385">
        <f>DSUM(Recipes!$B$4:$K$3940, "TUES", A106:A107)</f>
        <v>16</v>
      </c>
      <c r="D107" s="384">
        <f>DSUM(Recipes!$B$4:$K$3940, "WED", A106:A107)</f>
        <v>24</v>
      </c>
      <c r="E107" s="385">
        <f>DSUM(Recipes!$B$4:$K$3940, "THURS", A106:A107)</f>
        <v>16</v>
      </c>
      <c r="F107" s="384">
        <f>DSUM(Recipes!$B$4:$K$3940, "FRI", A106:A107)</f>
        <v>88</v>
      </c>
      <c r="G107" s="385">
        <f>DSUM(Recipes!$B$4:$K$3940, "SAT", A106:A107)</f>
        <v>168</v>
      </c>
      <c r="H107" s="384">
        <f>DSUM(Recipes!$B$4:$K$3940, "SUN", A106:A107)</f>
        <v>40</v>
      </c>
      <c r="I107" s="385">
        <f>DSUM(Recipes!$B$4:$K$3940, "TOTAL", A106:A107)</f>
        <v>376</v>
      </c>
    </row>
    <row r="108" spans="1:9" hidden="1" x14ac:dyDescent="0.25">
      <c r="A108" s="383" t="s">
        <v>556</v>
      </c>
      <c r="B108" s="384">
        <f>DSUM(Recipes!$B$4:$K$3940, "MON", A107:A108)</f>
        <v>0</v>
      </c>
      <c r="C108" s="385">
        <f>DSUM(Recipes!$B$4:$K$3940, "TUES", A107:A108)</f>
        <v>0</v>
      </c>
      <c r="D108" s="384">
        <f>DSUM(Recipes!$B$4:$K$3940, "WED", A107:A108)</f>
        <v>0</v>
      </c>
      <c r="E108" s="385">
        <f>DSUM(Recipes!$B$4:$K$3940, "THURS", A107:A108)</f>
        <v>0</v>
      </c>
      <c r="F108" s="384">
        <f>DSUM(Recipes!$B$4:$K$3940, "FRI", A107:A108)</f>
        <v>0</v>
      </c>
      <c r="G108" s="385">
        <f>DSUM(Recipes!$B$4:$K$3940, "SAT", A107:A108)</f>
        <v>0</v>
      </c>
      <c r="H108" s="384">
        <f>DSUM(Recipes!$B$4:$K$3940, "SUN", A107:A108)</f>
        <v>0</v>
      </c>
      <c r="I108" s="385">
        <f>DSUM(Recipes!$B$4:$K$3940, "TOTAL", A107:A108)</f>
        <v>0</v>
      </c>
    </row>
    <row r="109" spans="1:9" x14ac:dyDescent="0.25">
      <c r="A109" s="383" t="s">
        <v>118</v>
      </c>
      <c r="B109" s="384">
        <f>DSUM(Recipes!$B$4:$K$3940, "MON", A108:A109)</f>
        <v>0</v>
      </c>
      <c r="C109" s="385">
        <f>DSUM(Recipes!$B$4:$K$3940, "TUES", A108:A109)</f>
        <v>0</v>
      </c>
      <c r="D109" s="384">
        <f>DSUM(Recipes!$B$4:$K$3940, "WED", A108:A109)</f>
        <v>0</v>
      </c>
      <c r="E109" s="385">
        <f>DSUM(Recipes!$B$4:$K$3940, "THURS", A108:A109)</f>
        <v>0</v>
      </c>
      <c r="F109" s="384">
        <f>DSUM(Recipes!$B$4:$K$3940, "FRI", A108:A109)</f>
        <v>0</v>
      </c>
      <c r="G109" s="385">
        <f>DSUM(Recipes!$B$4:$K$3940, "SAT", A108:A109)</f>
        <v>0</v>
      </c>
      <c r="H109" s="384">
        <f>DSUM(Recipes!$B$4:$K$3940, "SUN", A108:A109)</f>
        <v>0</v>
      </c>
      <c r="I109" s="385">
        <f>DSUM(Recipes!$B$4:$K$3940, "TOTAL", A108:A109)</f>
        <v>0</v>
      </c>
    </row>
    <row r="110" spans="1:9" hidden="1" x14ac:dyDescent="0.25">
      <c r="A110" s="383" t="s">
        <v>556</v>
      </c>
      <c r="B110" s="384">
        <f>DSUM(Recipes!$B$4:$K$3940, "MON", A109:A110)</f>
        <v>0</v>
      </c>
      <c r="C110" s="385">
        <f>DSUM(Recipes!$B$4:$K$3940, "TUES", A109:A110)</f>
        <v>0</v>
      </c>
      <c r="D110" s="384">
        <f>DSUM(Recipes!$B$4:$K$3940, "WED", A109:A110)</f>
        <v>0</v>
      </c>
      <c r="E110" s="385">
        <f>DSUM(Recipes!$B$4:$K$3940, "THURS", A109:A110)</f>
        <v>0</v>
      </c>
      <c r="F110" s="384">
        <f>DSUM(Recipes!$B$4:$K$3940, "FRI", A109:A110)</f>
        <v>0</v>
      </c>
      <c r="G110" s="385">
        <f>DSUM(Recipes!$B$4:$K$3940, "SAT", A109:A110)</f>
        <v>0</v>
      </c>
      <c r="H110" s="384">
        <f>DSUM(Recipes!$B$4:$K$3940, "SUN", A109:A110)</f>
        <v>0</v>
      </c>
      <c r="I110" s="385">
        <f>DSUM(Recipes!$B$4:$K$3940, "TOTAL", A109:A110)</f>
        <v>0</v>
      </c>
    </row>
    <row r="111" spans="1:9" x14ac:dyDescent="0.25">
      <c r="A111" s="383" t="s">
        <v>119</v>
      </c>
      <c r="B111" s="384">
        <f>DSUM(Recipes!$B$4:$K$3940, "MON", A110:A111)</f>
        <v>0</v>
      </c>
      <c r="C111" s="385">
        <f>DSUM(Recipes!$B$4:$K$3940, "TUES", A110:A111)</f>
        <v>0</v>
      </c>
      <c r="D111" s="384">
        <f>DSUM(Recipes!$B$4:$K$3940, "WED", A110:A111)</f>
        <v>0</v>
      </c>
      <c r="E111" s="385">
        <f>DSUM(Recipes!$B$4:$K$3940, "THURS", A110:A111)</f>
        <v>0</v>
      </c>
      <c r="F111" s="384">
        <f>DSUM(Recipes!$B$4:$K$3940, "FRI", A110:A111)</f>
        <v>0</v>
      </c>
      <c r="G111" s="385">
        <f>DSUM(Recipes!$B$4:$K$3940, "SAT", A110:A111)</f>
        <v>0</v>
      </c>
      <c r="H111" s="384">
        <f>DSUM(Recipes!$B$4:$K$3940, "SUN", A110:A111)</f>
        <v>0</v>
      </c>
      <c r="I111" s="385">
        <f>DSUM(Recipes!$B$4:$K$3940, "TOTAL", A110:A111)</f>
        <v>0</v>
      </c>
    </row>
    <row r="112" spans="1:9" hidden="1" x14ac:dyDescent="0.25">
      <c r="A112" s="383" t="s">
        <v>556</v>
      </c>
      <c r="B112" s="384">
        <f>DSUM(Recipes!$B$4:$K$3940, "MON", A111:A112)</f>
        <v>0</v>
      </c>
      <c r="C112" s="385">
        <f>DSUM(Recipes!$B$4:$K$3940, "TUES", A111:A112)</f>
        <v>0</v>
      </c>
      <c r="D112" s="384">
        <f>DSUM(Recipes!$B$4:$K$3940, "WED", A111:A112)</f>
        <v>0</v>
      </c>
      <c r="E112" s="385">
        <f>DSUM(Recipes!$B$4:$K$3940, "THURS", A111:A112)</f>
        <v>0</v>
      </c>
      <c r="F112" s="384">
        <f>DSUM(Recipes!$B$4:$K$3940, "FRI", A111:A112)</f>
        <v>0</v>
      </c>
      <c r="G112" s="385">
        <f>DSUM(Recipes!$B$4:$K$3940, "SAT", A111:A112)</f>
        <v>0</v>
      </c>
      <c r="H112" s="384">
        <f>DSUM(Recipes!$B$4:$K$3940, "SUN", A111:A112)</f>
        <v>0</v>
      </c>
      <c r="I112" s="385">
        <f>DSUM(Recipes!$B$4:$K$3940, "TOTAL", A111:A112)</f>
        <v>0</v>
      </c>
    </row>
    <row r="113" spans="1:9" x14ac:dyDescent="0.25">
      <c r="A113" s="383" t="s">
        <v>590</v>
      </c>
      <c r="B113" s="384">
        <f>DSUM(Recipes!$B$4:$K$3940, "MON", A112:A113)</f>
        <v>0</v>
      </c>
      <c r="C113" s="385">
        <f>DSUM(Recipes!$B$4:$K$3940, "TUES", A112:A113)</f>
        <v>1</v>
      </c>
      <c r="D113" s="384">
        <f>DSUM(Recipes!$B$4:$K$3940, "WED", A112:A113)</f>
        <v>0</v>
      </c>
      <c r="E113" s="385">
        <f>DSUM(Recipes!$B$4:$K$3940, "THURS", A112:A113)</f>
        <v>1</v>
      </c>
      <c r="F113" s="384">
        <f>DSUM(Recipes!$B$4:$K$3940, "FRI", A112:A113)</f>
        <v>3</v>
      </c>
      <c r="G113" s="385">
        <f>DSUM(Recipes!$B$4:$K$3940, "SAT", A112:A113)</f>
        <v>1.5</v>
      </c>
      <c r="H113" s="384">
        <f>DSUM(Recipes!$B$4:$K$3940, "SUN", A112:A113)</f>
        <v>1</v>
      </c>
      <c r="I113" s="385">
        <f>DSUM(Recipes!$B$4:$K$3940, "TOTAL", A112:A113)</f>
        <v>7.5</v>
      </c>
    </row>
    <row r="114" spans="1:9" hidden="1" x14ac:dyDescent="0.25">
      <c r="A114" s="383" t="s">
        <v>556</v>
      </c>
      <c r="B114" s="384">
        <f>DSUM(Recipes!$B$4:$K$3940, "MON", A113:A114)</f>
        <v>0</v>
      </c>
      <c r="C114" s="385">
        <f>DSUM(Recipes!$B$4:$K$3940, "TUES", A113:A114)</f>
        <v>0</v>
      </c>
      <c r="D114" s="384">
        <f>DSUM(Recipes!$B$4:$K$3940, "WED", A113:A114)</f>
        <v>0</v>
      </c>
      <c r="E114" s="385">
        <f>DSUM(Recipes!$B$4:$K$3940, "THURS", A113:A114)</f>
        <v>0</v>
      </c>
      <c r="F114" s="384">
        <f>DSUM(Recipes!$B$4:$K$3940, "FRI", A113:A114)</f>
        <v>0</v>
      </c>
      <c r="G114" s="385">
        <f>DSUM(Recipes!$B$4:$K$3940, "SAT", A113:A114)</f>
        <v>0</v>
      </c>
      <c r="H114" s="384">
        <f>DSUM(Recipes!$B$4:$K$3940, "SUN", A113:A114)</f>
        <v>0</v>
      </c>
      <c r="I114" s="385">
        <f>DSUM(Recipes!$B$4:$K$3940, "TOTAL", A113:A114)</f>
        <v>0</v>
      </c>
    </row>
    <row r="115" spans="1:9" x14ac:dyDescent="0.25">
      <c r="A115" s="383" t="s">
        <v>591</v>
      </c>
      <c r="B115" s="384">
        <f>DSUM(Recipes!$B$4:$K$3940, "MON", A114:A115)</f>
        <v>0</v>
      </c>
      <c r="C115" s="385">
        <f>DSUM(Recipes!$B$4:$K$3940, "TUES", A114:A115)</f>
        <v>0</v>
      </c>
      <c r="D115" s="384">
        <f>DSUM(Recipes!$B$4:$K$3940, "WED", A114:A115)</f>
        <v>0</v>
      </c>
      <c r="E115" s="385">
        <f>DSUM(Recipes!$B$4:$K$3940, "THURS", A114:A115)</f>
        <v>0</v>
      </c>
      <c r="F115" s="384">
        <f>DSUM(Recipes!$B$4:$K$3940, "FRI", A114:A115)</f>
        <v>0</v>
      </c>
      <c r="G115" s="385">
        <f>DSUM(Recipes!$B$4:$K$3940, "SAT", A114:A115)</f>
        <v>0</v>
      </c>
      <c r="H115" s="384">
        <f>DSUM(Recipes!$B$4:$K$3940, "SUN", A114:A115)</f>
        <v>0</v>
      </c>
      <c r="I115" s="385">
        <f>DSUM(Recipes!$B$4:$K$3940, "TOTAL", A114:A115)</f>
        <v>0</v>
      </c>
    </row>
    <row r="116" spans="1:9" hidden="1" x14ac:dyDescent="0.25">
      <c r="A116" s="383" t="s">
        <v>556</v>
      </c>
      <c r="B116" s="384">
        <f>DSUM(Recipes!$B$4:$K$3940, "MON", A115:A116)</f>
        <v>0</v>
      </c>
      <c r="C116" s="385">
        <f>DSUM(Recipes!$B$4:$K$3940, "TUES", A115:A116)</f>
        <v>0</v>
      </c>
      <c r="D116" s="384">
        <f>DSUM(Recipes!$B$4:$K$3940, "WED", A115:A116)</f>
        <v>0</v>
      </c>
      <c r="E116" s="385">
        <f>DSUM(Recipes!$B$4:$K$3940, "THURS", A115:A116)</f>
        <v>0</v>
      </c>
      <c r="F116" s="384">
        <f>DSUM(Recipes!$B$4:$K$3940, "FRI", A115:A116)</f>
        <v>0</v>
      </c>
      <c r="G116" s="385">
        <f>DSUM(Recipes!$B$4:$K$3940, "SAT", A115:A116)</f>
        <v>0</v>
      </c>
      <c r="H116" s="384">
        <f>DSUM(Recipes!$B$4:$K$3940, "SUN", A115:A116)</f>
        <v>0</v>
      </c>
      <c r="I116" s="385">
        <f>DSUM(Recipes!$B$4:$K$3940, "TOTAL", A115:A116)</f>
        <v>0</v>
      </c>
    </row>
    <row r="117" spans="1:9" x14ac:dyDescent="0.25">
      <c r="A117" s="383" t="s">
        <v>71</v>
      </c>
      <c r="B117" s="384">
        <f>DSUM(Recipes!$B$4:$K$3940, "MON", A116:A117)</f>
        <v>41</v>
      </c>
      <c r="C117" s="385">
        <f>DSUM(Recipes!$B$4:$K$3940, "TUES", A116:A117)</f>
        <v>54.5</v>
      </c>
      <c r="D117" s="384">
        <f>DSUM(Recipes!$B$4:$K$3940, "WED", A116:A117)</f>
        <v>106</v>
      </c>
      <c r="E117" s="385">
        <f>DSUM(Recipes!$B$4:$K$3940, "THURS", A116:A117)</f>
        <v>49</v>
      </c>
      <c r="F117" s="384">
        <f>DSUM(Recipes!$B$4:$K$3940, "FRI", A116:A117)</f>
        <v>170.5</v>
      </c>
      <c r="G117" s="385">
        <f>DSUM(Recipes!$B$4:$K$3940, "SAT", A116:A117)</f>
        <v>247.5</v>
      </c>
      <c r="H117" s="384">
        <f>DSUM(Recipes!$B$4:$K$3940, "SUN", A116:A117)</f>
        <v>85.5</v>
      </c>
      <c r="I117" s="385">
        <f>DSUM(Recipes!$B$4:$K$3940, "TOTAL", A116:A117)</f>
        <v>754</v>
      </c>
    </row>
    <row r="118" spans="1:9" hidden="1" x14ac:dyDescent="0.25">
      <c r="A118" s="383" t="s">
        <v>556</v>
      </c>
      <c r="B118" s="384">
        <f>DSUM(Recipes!$B$4:$K$3940, "MON", A117:A118)</f>
        <v>0</v>
      </c>
      <c r="C118" s="385">
        <f>DSUM(Recipes!$B$4:$K$3940, "TUES", A117:A118)</f>
        <v>0</v>
      </c>
      <c r="D118" s="384">
        <f>DSUM(Recipes!$B$4:$K$3940, "WED", A117:A118)</f>
        <v>0</v>
      </c>
      <c r="E118" s="385">
        <f>DSUM(Recipes!$B$4:$K$3940, "THURS", A117:A118)</f>
        <v>0</v>
      </c>
      <c r="F118" s="384">
        <f>DSUM(Recipes!$B$4:$K$3940, "FRI", A117:A118)</f>
        <v>0</v>
      </c>
      <c r="G118" s="385">
        <f>DSUM(Recipes!$B$4:$K$3940, "SAT", A117:A118)</f>
        <v>0</v>
      </c>
      <c r="H118" s="384">
        <f>DSUM(Recipes!$B$4:$K$3940, "SUN", A117:A118)</f>
        <v>0</v>
      </c>
      <c r="I118" s="385">
        <f>DSUM(Recipes!$B$4:$K$3940, "TOTAL", A117:A118)</f>
        <v>0</v>
      </c>
    </row>
    <row r="119" spans="1:9" x14ac:dyDescent="0.25">
      <c r="A119" s="383" t="s">
        <v>65</v>
      </c>
      <c r="B119" s="384">
        <f>DSUM(Recipes!$B$4:$K$3940, "MON", A118:A119)</f>
        <v>14</v>
      </c>
      <c r="C119" s="385">
        <f>DSUM(Recipes!$B$4:$K$3940, "TUES", A118:A119)</f>
        <v>7</v>
      </c>
      <c r="D119" s="384">
        <f>DSUM(Recipes!$B$4:$K$3940, "WED", A118:A119)</f>
        <v>6</v>
      </c>
      <c r="E119" s="385">
        <f>DSUM(Recipes!$B$4:$K$3940, "THURS", A118:A119)</f>
        <v>2</v>
      </c>
      <c r="F119" s="384">
        <f>DSUM(Recipes!$B$4:$K$3940, "FRI", A118:A119)</f>
        <v>29</v>
      </c>
      <c r="G119" s="385">
        <f>DSUM(Recipes!$B$4:$K$3940, "SAT", A118:A119)</f>
        <v>25</v>
      </c>
      <c r="H119" s="384">
        <f>DSUM(Recipes!$B$4:$K$3940, "SUN", A118:A119)</f>
        <v>13</v>
      </c>
      <c r="I119" s="385">
        <f>DSUM(Recipes!$B$4:$K$3940, "TOTAL", A118:A119)</f>
        <v>96</v>
      </c>
    </row>
    <row r="120" spans="1:9" hidden="1" x14ac:dyDescent="0.25">
      <c r="A120" s="383" t="s">
        <v>556</v>
      </c>
      <c r="B120" s="384">
        <f>DSUM(Recipes!$B$4:$K$3940, "MON", A119:A120)</f>
        <v>0</v>
      </c>
      <c r="C120" s="385">
        <f>DSUM(Recipes!$B$4:$K$3940, "TUES", A119:A120)</f>
        <v>0</v>
      </c>
      <c r="D120" s="384">
        <f>DSUM(Recipes!$B$4:$K$3940, "WED", A119:A120)</f>
        <v>0</v>
      </c>
      <c r="E120" s="385">
        <f>DSUM(Recipes!$B$4:$K$3940, "THURS", A119:A120)</f>
        <v>0</v>
      </c>
      <c r="F120" s="384">
        <f>DSUM(Recipes!$B$4:$K$3940, "FRI", A119:A120)</f>
        <v>0</v>
      </c>
      <c r="G120" s="385">
        <f>DSUM(Recipes!$B$4:$K$3940, "SAT", A119:A120)</f>
        <v>0</v>
      </c>
      <c r="H120" s="384">
        <f>DSUM(Recipes!$B$4:$K$3940, "SUN", A119:A120)</f>
        <v>0</v>
      </c>
      <c r="I120" s="385">
        <f>DSUM(Recipes!$B$4:$K$3940, "TOTAL", A119:A120)</f>
        <v>0</v>
      </c>
    </row>
    <row r="121" spans="1:9" x14ac:dyDescent="0.25">
      <c r="A121" s="383" t="s">
        <v>592</v>
      </c>
      <c r="B121" s="384">
        <f>DSUM(Recipes!$B$4:$K$3940, "MON", A120:A121)</f>
        <v>0</v>
      </c>
      <c r="C121" s="385">
        <f>DSUM(Recipes!$B$4:$K$3940, "TUES", A120:A121)</f>
        <v>0</v>
      </c>
      <c r="D121" s="384">
        <f>DSUM(Recipes!$B$4:$K$3940, "WED", A120:A121)</f>
        <v>0</v>
      </c>
      <c r="E121" s="385">
        <f>DSUM(Recipes!$B$4:$K$3940, "THURS", A120:A121)</f>
        <v>0</v>
      </c>
      <c r="F121" s="384">
        <f>DSUM(Recipes!$B$4:$K$3940, "FRI", A120:A121)</f>
        <v>0</v>
      </c>
      <c r="G121" s="385">
        <f>DSUM(Recipes!$B$4:$K$3940, "SAT", A120:A121)</f>
        <v>0</v>
      </c>
      <c r="H121" s="384">
        <f>DSUM(Recipes!$B$4:$K$3940, "SUN", A120:A121)</f>
        <v>0</v>
      </c>
      <c r="I121" s="385">
        <f>DSUM(Recipes!$B$4:$K$3940, "TOTAL", A120:A121)</f>
        <v>0</v>
      </c>
    </row>
    <row r="122" spans="1:9" hidden="1" x14ac:dyDescent="0.25">
      <c r="A122" s="383" t="s">
        <v>556</v>
      </c>
      <c r="B122" s="384">
        <f>DSUM(Recipes!$B$4:$K$3940, "MON", A121:A122)</f>
        <v>0</v>
      </c>
      <c r="C122" s="385">
        <f>DSUM(Recipes!$B$4:$K$3940, "TUES", A121:A122)</f>
        <v>0</v>
      </c>
      <c r="D122" s="384">
        <f>DSUM(Recipes!$B$4:$K$3940, "WED", A121:A122)</f>
        <v>0</v>
      </c>
      <c r="E122" s="385">
        <f>DSUM(Recipes!$B$4:$K$3940, "THURS", A121:A122)</f>
        <v>0</v>
      </c>
      <c r="F122" s="384">
        <f>DSUM(Recipes!$B$4:$K$3940, "FRI", A121:A122)</f>
        <v>0</v>
      </c>
      <c r="G122" s="385">
        <f>DSUM(Recipes!$B$4:$K$3940, "SAT", A121:A122)</f>
        <v>0</v>
      </c>
      <c r="H122" s="384">
        <f>DSUM(Recipes!$B$4:$K$3940, "SUN", A121:A122)</f>
        <v>0</v>
      </c>
      <c r="I122" s="385">
        <f>DSUM(Recipes!$B$4:$K$3940, "TOTAL", A121:A122)</f>
        <v>0</v>
      </c>
    </row>
    <row r="123" spans="1:9" x14ac:dyDescent="0.25">
      <c r="A123" s="383" t="s">
        <v>593</v>
      </c>
      <c r="B123" s="384">
        <f>DSUM(Recipes!$B$4:$K$3940, "MON", A122:A123)</f>
        <v>0</v>
      </c>
      <c r="C123" s="385">
        <f>DSUM(Recipes!$B$4:$K$3940, "TUES", A122:A123)</f>
        <v>18.829999999999998</v>
      </c>
      <c r="D123" s="384">
        <f>DSUM(Recipes!$B$4:$K$3940, "WED", A122:A123)</f>
        <v>6.83</v>
      </c>
      <c r="E123" s="385">
        <f>DSUM(Recipes!$B$4:$K$3940, "THURS", A122:A123)</f>
        <v>28</v>
      </c>
      <c r="F123" s="384">
        <f>DSUM(Recipes!$B$4:$K$3940, "FRI", A122:A123)</f>
        <v>56</v>
      </c>
      <c r="G123" s="385">
        <f>DSUM(Recipes!$B$4:$K$3940, "SAT", A122:A123)</f>
        <v>78</v>
      </c>
      <c r="H123" s="384">
        <f>DSUM(Recipes!$B$4:$K$3940, "SUN", A122:A123)</f>
        <v>24.83</v>
      </c>
      <c r="I123" s="385">
        <f>DSUM(Recipes!$B$4:$K$3940, "TOTAL", A122:A123)</f>
        <v>212.49</v>
      </c>
    </row>
    <row r="124" spans="1:9" hidden="1" x14ac:dyDescent="0.25">
      <c r="A124" s="383" t="s">
        <v>556</v>
      </c>
      <c r="B124" s="384">
        <f>DSUM(Recipes!$B$4:$K$3940, "MON", A123:A124)</f>
        <v>0</v>
      </c>
      <c r="C124" s="385">
        <f>DSUM(Recipes!$B$4:$K$3940, "TUES", A123:A124)</f>
        <v>0</v>
      </c>
      <c r="D124" s="384">
        <f>DSUM(Recipes!$B$4:$K$3940, "WED", A123:A124)</f>
        <v>0</v>
      </c>
      <c r="E124" s="385">
        <f>DSUM(Recipes!$B$4:$K$3940, "THURS", A123:A124)</f>
        <v>0</v>
      </c>
      <c r="F124" s="384">
        <f>DSUM(Recipes!$B$4:$K$3940, "FRI", A123:A124)</f>
        <v>0</v>
      </c>
      <c r="G124" s="385">
        <f>DSUM(Recipes!$B$4:$K$3940, "SAT", A123:A124)</f>
        <v>0</v>
      </c>
      <c r="H124" s="384">
        <f>DSUM(Recipes!$B$4:$K$3940, "SUN", A123:A124)</f>
        <v>0</v>
      </c>
      <c r="I124" s="385">
        <f>DSUM(Recipes!$B$4:$K$3940, "TOTAL", A123:A124)</f>
        <v>0</v>
      </c>
    </row>
    <row r="125" spans="1:9" x14ac:dyDescent="0.25">
      <c r="A125" s="383" t="s">
        <v>594</v>
      </c>
      <c r="B125" s="384">
        <f>DSUM(Recipes!$B$4:$K$3940, "MON", A124:A125)</f>
        <v>23</v>
      </c>
      <c r="C125" s="385">
        <f>DSUM(Recipes!$B$4:$K$3940, "TUES", A124:A125)</f>
        <v>6</v>
      </c>
      <c r="D125" s="384">
        <f>DSUM(Recipes!$B$4:$K$3940, "WED", A124:A125)</f>
        <v>23</v>
      </c>
      <c r="E125" s="385">
        <f>DSUM(Recipes!$B$4:$K$3940, "THURS", A124:A125)</f>
        <v>11</v>
      </c>
      <c r="F125" s="384">
        <f>DSUM(Recipes!$B$4:$K$3940, "FRI", A124:A125)</f>
        <v>35</v>
      </c>
      <c r="G125" s="385">
        <f>DSUM(Recipes!$B$4:$K$3940, "SAT", A124:A125)</f>
        <v>44</v>
      </c>
      <c r="H125" s="384">
        <f>DSUM(Recipes!$B$4:$K$3940, "SUN", A124:A125)</f>
        <v>21</v>
      </c>
      <c r="I125" s="385">
        <f>DSUM(Recipes!$B$4:$K$3940, "TOTAL", A124:A125)</f>
        <v>163</v>
      </c>
    </row>
    <row r="126" spans="1:9" hidden="1" x14ac:dyDescent="0.25">
      <c r="A126" s="383" t="s">
        <v>556</v>
      </c>
      <c r="B126" s="384">
        <f>DSUM(Recipes!$B$4:$K$3940, "MON", A125:A126)</f>
        <v>0</v>
      </c>
      <c r="C126" s="385">
        <f>DSUM(Recipes!$B$4:$K$3940, "TUES", A125:A126)</f>
        <v>0</v>
      </c>
      <c r="D126" s="384">
        <f>DSUM(Recipes!$B$4:$K$3940, "WED", A125:A126)</f>
        <v>0</v>
      </c>
      <c r="E126" s="385">
        <f>DSUM(Recipes!$B$4:$K$3940, "THURS", A125:A126)</f>
        <v>0</v>
      </c>
      <c r="F126" s="384">
        <f>DSUM(Recipes!$B$4:$K$3940, "FRI", A125:A126)</f>
        <v>0</v>
      </c>
      <c r="G126" s="385">
        <f>DSUM(Recipes!$B$4:$K$3940, "SAT", A125:A126)</f>
        <v>0</v>
      </c>
      <c r="H126" s="384">
        <f>DSUM(Recipes!$B$4:$K$3940, "SUN", A125:A126)</f>
        <v>0</v>
      </c>
      <c r="I126" s="385">
        <f>DSUM(Recipes!$B$4:$K$3940, "TOTAL", A125:A126)</f>
        <v>0</v>
      </c>
    </row>
    <row r="127" spans="1:9" x14ac:dyDescent="0.25">
      <c r="A127" s="383" t="s">
        <v>595</v>
      </c>
      <c r="B127" s="384">
        <f>DSUM(Recipes!$B$4:$K$3940, "MON", A126:A127)</f>
        <v>16</v>
      </c>
      <c r="C127" s="385">
        <f>DSUM(Recipes!$B$4:$K$3940, "TUES", A126:A127)</f>
        <v>15</v>
      </c>
      <c r="D127" s="384">
        <f>DSUM(Recipes!$B$4:$K$3940, "WED", A126:A127)</f>
        <v>76</v>
      </c>
      <c r="E127" s="385">
        <f>DSUM(Recipes!$B$4:$K$3940, "THURS", A126:A127)</f>
        <v>0</v>
      </c>
      <c r="F127" s="384">
        <f>DSUM(Recipes!$B$4:$K$3940, "FRI", A126:A127)</f>
        <v>12</v>
      </c>
      <c r="G127" s="385">
        <f>DSUM(Recipes!$B$4:$K$3940, "SAT", A126:A127)</f>
        <v>59</v>
      </c>
      <c r="H127" s="384">
        <f>DSUM(Recipes!$B$4:$K$3940, "SUN", A126:A127)</f>
        <v>46</v>
      </c>
      <c r="I127" s="385">
        <f>DSUM(Recipes!$B$4:$K$3940, "TOTAL", A126:A127)</f>
        <v>224</v>
      </c>
    </row>
    <row r="128" spans="1:9" hidden="1" x14ac:dyDescent="0.25">
      <c r="A128" s="383" t="s">
        <v>556</v>
      </c>
      <c r="B128" s="384">
        <f>DSUM(Recipes!$B$4:$K$3940, "MON", A127:A128)</f>
        <v>0</v>
      </c>
      <c r="C128" s="385">
        <f>DSUM(Recipes!$B$4:$K$3940, "TUES", A127:A128)</f>
        <v>0</v>
      </c>
      <c r="D128" s="384">
        <f>DSUM(Recipes!$B$4:$K$3940, "WED", A127:A128)</f>
        <v>0</v>
      </c>
      <c r="E128" s="385">
        <f>DSUM(Recipes!$B$4:$K$3940, "THURS", A127:A128)</f>
        <v>0</v>
      </c>
      <c r="F128" s="384">
        <f>DSUM(Recipes!$B$4:$K$3940, "FRI", A127:A128)</f>
        <v>0</v>
      </c>
      <c r="G128" s="385">
        <f>DSUM(Recipes!$B$4:$K$3940, "SAT", A127:A128)</f>
        <v>0</v>
      </c>
      <c r="H128" s="384">
        <f>DSUM(Recipes!$B$4:$K$3940, "SUN", A127:A128)</f>
        <v>0</v>
      </c>
      <c r="I128" s="385">
        <f>DSUM(Recipes!$B$4:$K$3940, "TOTAL", A127:A128)</f>
        <v>0</v>
      </c>
    </row>
    <row r="129" spans="1:9" x14ac:dyDescent="0.25">
      <c r="A129" s="383" t="s">
        <v>596</v>
      </c>
      <c r="B129" s="384">
        <f>DSUM(Recipes!$B$4:$K$3940, "MON", A128:A129)</f>
        <v>30</v>
      </c>
      <c r="C129" s="385">
        <f>DSUM(Recipes!$B$4:$K$3940, "TUES", A128:A129)</f>
        <v>70</v>
      </c>
      <c r="D129" s="384">
        <f>DSUM(Recipes!$B$4:$K$3940, "WED", A128:A129)</f>
        <v>100</v>
      </c>
      <c r="E129" s="385">
        <f>DSUM(Recipes!$B$4:$K$3940, "THURS", A128:A129)</f>
        <v>40</v>
      </c>
      <c r="F129" s="384">
        <f>DSUM(Recipes!$B$4:$K$3940, "FRI", A128:A129)</f>
        <v>190</v>
      </c>
      <c r="G129" s="385">
        <f>DSUM(Recipes!$B$4:$K$3940, "SAT", A128:A129)</f>
        <v>330</v>
      </c>
      <c r="H129" s="384">
        <f>DSUM(Recipes!$B$4:$K$3940, "SUN", A128:A129)</f>
        <v>230</v>
      </c>
      <c r="I129" s="385">
        <f>DSUM(Recipes!$B$4:$K$3940, "TOTAL", A128:A129)</f>
        <v>990</v>
      </c>
    </row>
    <row r="130" spans="1:9" hidden="1" x14ac:dyDescent="0.25">
      <c r="A130" s="383" t="s">
        <v>556</v>
      </c>
      <c r="B130" s="384">
        <f>DSUM(Recipes!$B$4:$K$3940, "MON", A129:A130)</f>
        <v>0</v>
      </c>
      <c r="C130" s="385">
        <f>DSUM(Recipes!$B$4:$K$3940, "TUES", A129:A130)</f>
        <v>0</v>
      </c>
      <c r="D130" s="384">
        <f>DSUM(Recipes!$B$4:$K$3940, "WED", A129:A130)</f>
        <v>0</v>
      </c>
      <c r="E130" s="385">
        <f>DSUM(Recipes!$B$4:$K$3940, "THURS", A129:A130)</f>
        <v>0</v>
      </c>
      <c r="F130" s="384">
        <f>DSUM(Recipes!$B$4:$K$3940, "FRI", A129:A130)</f>
        <v>0</v>
      </c>
      <c r="G130" s="385">
        <f>DSUM(Recipes!$B$4:$K$3940, "SAT", A129:A130)</f>
        <v>0</v>
      </c>
      <c r="H130" s="384">
        <f>DSUM(Recipes!$B$4:$K$3940, "SUN", A129:A130)</f>
        <v>0</v>
      </c>
      <c r="I130" s="385">
        <f>DSUM(Recipes!$B$4:$K$3940, "TOTAL", A129:A130)</f>
        <v>0</v>
      </c>
    </row>
    <row r="131" spans="1:9" x14ac:dyDescent="0.25">
      <c r="A131" s="383" t="s">
        <v>597</v>
      </c>
      <c r="B131" s="384">
        <f>DSUM(Recipes!$B$4:$K$3940, "MON", A130:A131)</f>
        <v>0</v>
      </c>
      <c r="C131" s="385">
        <f>DSUM(Recipes!$B$4:$K$3940, "TUES", A130:A131)</f>
        <v>0</v>
      </c>
      <c r="D131" s="384">
        <f>DSUM(Recipes!$B$4:$K$3940, "WED", A130:A131)</f>
        <v>0</v>
      </c>
      <c r="E131" s="385">
        <f>DSUM(Recipes!$B$4:$K$3940, "THURS", A130:A131)</f>
        <v>0</v>
      </c>
      <c r="F131" s="384">
        <f>DSUM(Recipes!$B$4:$K$3940, "FRI", A130:A131)</f>
        <v>0</v>
      </c>
      <c r="G131" s="385">
        <f>DSUM(Recipes!$B$4:$K$3940, "SAT", A130:A131)</f>
        <v>0</v>
      </c>
      <c r="H131" s="384">
        <f>DSUM(Recipes!$B$4:$K$3940, "SUN", A130:A131)</f>
        <v>0</v>
      </c>
      <c r="I131" s="385">
        <f>DSUM(Recipes!$B$4:$K$3940, "TOTAL", A130:A131)</f>
        <v>0</v>
      </c>
    </row>
    <row r="132" spans="1:9" hidden="1" x14ac:dyDescent="0.25">
      <c r="A132" s="383" t="s">
        <v>556</v>
      </c>
      <c r="B132" s="384">
        <f>DSUM(Recipes!$B$4:$K$3940, "MON", A131:A132)</f>
        <v>0</v>
      </c>
      <c r="C132" s="385">
        <f>DSUM(Recipes!$B$4:$K$3940, "TUES", A131:A132)</f>
        <v>0</v>
      </c>
      <c r="D132" s="384">
        <f>DSUM(Recipes!$B$4:$K$3940, "WED", A131:A132)</f>
        <v>0</v>
      </c>
      <c r="E132" s="385">
        <f>DSUM(Recipes!$B$4:$K$3940, "THURS", A131:A132)</f>
        <v>0</v>
      </c>
      <c r="F132" s="384">
        <f>DSUM(Recipes!$B$4:$K$3940, "FRI", A131:A132)</f>
        <v>0</v>
      </c>
      <c r="G132" s="385">
        <f>DSUM(Recipes!$B$4:$K$3940, "SAT", A131:A132)</f>
        <v>0</v>
      </c>
      <c r="H132" s="384">
        <f>DSUM(Recipes!$B$4:$K$3940, "SUN", A131:A132)</f>
        <v>0</v>
      </c>
      <c r="I132" s="385">
        <f>DSUM(Recipes!$B$4:$K$3940, "TOTAL", A131:A132)</f>
        <v>0</v>
      </c>
    </row>
    <row r="133" spans="1:9" x14ac:dyDescent="0.25">
      <c r="A133" s="383" t="s">
        <v>598</v>
      </c>
      <c r="B133" s="384">
        <f>DSUM(Recipes!$B$4:$K$3940, "MON", A132:A133)</f>
        <v>0</v>
      </c>
      <c r="C133" s="385">
        <f>DSUM(Recipes!$B$4:$K$3940, "TUES", A132:A133)</f>
        <v>0</v>
      </c>
      <c r="D133" s="384">
        <f>DSUM(Recipes!$B$4:$K$3940, "WED", A132:A133)</f>
        <v>0</v>
      </c>
      <c r="E133" s="385">
        <f>DSUM(Recipes!$B$4:$K$3940, "THURS", A132:A133)</f>
        <v>0</v>
      </c>
      <c r="F133" s="384">
        <f>DSUM(Recipes!$B$4:$K$3940, "FRI", A132:A133)</f>
        <v>0</v>
      </c>
      <c r="G133" s="385">
        <f>DSUM(Recipes!$B$4:$K$3940, "SAT", A132:A133)</f>
        <v>0</v>
      </c>
      <c r="H133" s="384">
        <f>DSUM(Recipes!$B$4:$K$3940, "SUN", A132:A133)</f>
        <v>0</v>
      </c>
      <c r="I133" s="385">
        <f>DSUM(Recipes!$B$4:$K$3940, "TOTAL", A132:A133)</f>
        <v>0</v>
      </c>
    </row>
    <row r="134" spans="1:9" hidden="1" x14ac:dyDescent="0.25">
      <c r="A134" s="383" t="s">
        <v>556</v>
      </c>
      <c r="B134" s="384">
        <f>DSUM(Recipes!$B$4:$K$3940, "MON", A133:A134)</f>
        <v>0</v>
      </c>
      <c r="C134" s="385">
        <f>DSUM(Recipes!$B$4:$K$3940, "TUES", A133:A134)</f>
        <v>0</v>
      </c>
      <c r="D134" s="384">
        <f>DSUM(Recipes!$B$4:$K$3940, "WED", A133:A134)</f>
        <v>0</v>
      </c>
      <c r="E134" s="385">
        <f>DSUM(Recipes!$B$4:$K$3940, "THURS", A133:A134)</f>
        <v>0</v>
      </c>
      <c r="F134" s="384">
        <f>DSUM(Recipes!$B$4:$K$3940, "FRI", A133:A134)</f>
        <v>0</v>
      </c>
      <c r="G134" s="385">
        <f>DSUM(Recipes!$B$4:$K$3940, "SAT", A133:A134)</f>
        <v>0</v>
      </c>
      <c r="H134" s="384">
        <f>DSUM(Recipes!$B$4:$K$3940, "SUN", A133:A134)</f>
        <v>0</v>
      </c>
      <c r="I134" s="385">
        <f>DSUM(Recipes!$B$4:$K$3940, "TOTAL", A133:A134)</f>
        <v>0</v>
      </c>
    </row>
    <row r="135" spans="1:9" x14ac:dyDescent="0.25">
      <c r="A135" s="383" t="s">
        <v>599</v>
      </c>
      <c r="B135" s="384">
        <f>DSUM(Recipes!$B$4:$K$3940, "MON", A134:A135)</f>
        <v>0</v>
      </c>
      <c r="C135" s="385">
        <f>DSUM(Recipes!$B$4:$K$3940, "TUES", A134:A135)</f>
        <v>0</v>
      </c>
      <c r="D135" s="384">
        <f>DSUM(Recipes!$B$4:$K$3940, "WED", A134:A135)</f>
        <v>0</v>
      </c>
      <c r="E135" s="385">
        <f>DSUM(Recipes!$B$4:$K$3940, "THURS", A134:A135)</f>
        <v>0</v>
      </c>
      <c r="F135" s="384">
        <f>DSUM(Recipes!$B$4:$K$3940, "FRI", A134:A135)</f>
        <v>0</v>
      </c>
      <c r="G135" s="385">
        <f>DSUM(Recipes!$B$4:$K$3940, "SAT", A134:A135)</f>
        <v>0</v>
      </c>
      <c r="H135" s="384">
        <f>DSUM(Recipes!$B$4:$K$3940, "SUN", A134:A135)</f>
        <v>0</v>
      </c>
      <c r="I135" s="385">
        <f>DSUM(Recipes!$B$4:$K$3940, "TOTAL", A134:A135)</f>
        <v>0</v>
      </c>
    </row>
    <row r="136" spans="1:9" hidden="1" x14ac:dyDescent="0.25">
      <c r="A136" s="383" t="s">
        <v>556</v>
      </c>
      <c r="B136" s="384">
        <f>DSUM(Recipes!$B$4:$K$3940, "MON", A135:A136)</f>
        <v>0</v>
      </c>
      <c r="C136" s="385">
        <f>DSUM(Recipes!$B$4:$K$3940, "TUES", A135:A136)</f>
        <v>0</v>
      </c>
      <c r="D136" s="384">
        <f>DSUM(Recipes!$B$4:$K$3940, "WED", A135:A136)</f>
        <v>0</v>
      </c>
      <c r="E136" s="385">
        <f>DSUM(Recipes!$B$4:$K$3940, "THURS", A135:A136)</f>
        <v>0</v>
      </c>
      <c r="F136" s="384">
        <f>DSUM(Recipes!$B$4:$K$3940, "FRI", A135:A136)</f>
        <v>0</v>
      </c>
      <c r="G136" s="385">
        <f>DSUM(Recipes!$B$4:$K$3940, "SAT", A135:A136)</f>
        <v>0</v>
      </c>
      <c r="H136" s="384">
        <f>DSUM(Recipes!$B$4:$K$3940, "SUN", A135:A136)</f>
        <v>0</v>
      </c>
      <c r="I136" s="385">
        <f>DSUM(Recipes!$B$4:$K$3940, "TOTAL", A135:A136)</f>
        <v>0</v>
      </c>
    </row>
    <row r="137" spans="1:9" x14ac:dyDescent="0.25">
      <c r="A137" s="383" t="s">
        <v>600</v>
      </c>
      <c r="B137" s="384">
        <f>DSUM(Recipes!$B$4:$K$3940, "MON", A136:A137)</f>
        <v>2</v>
      </c>
      <c r="C137" s="385">
        <f>DSUM(Recipes!$B$4:$K$3940, "TUES", A136:A137)</f>
        <v>11</v>
      </c>
      <c r="D137" s="384">
        <f>DSUM(Recipes!$B$4:$K$3940, "WED", A136:A137)</f>
        <v>8</v>
      </c>
      <c r="E137" s="385">
        <f>DSUM(Recipes!$B$4:$K$3940, "THURS", A136:A137)</f>
        <v>2</v>
      </c>
      <c r="F137" s="384">
        <f>DSUM(Recipes!$B$4:$K$3940, "FRI", A136:A137)</f>
        <v>15</v>
      </c>
      <c r="G137" s="385">
        <f>DSUM(Recipes!$B$4:$K$3940, "SAT", A136:A137)</f>
        <v>21</v>
      </c>
      <c r="H137" s="384">
        <f>DSUM(Recipes!$B$4:$K$3940, "SUN", A136:A137)</f>
        <v>13</v>
      </c>
      <c r="I137" s="385">
        <f>DSUM(Recipes!$B$4:$K$3940, "TOTAL", A136:A137)</f>
        <v>72</v>
      </c>
    </row>
    <row r="138" spans="1:9" hidden="1" x14ac:dyDescent="0.25">
      <c r="A138" s="383" t="s">
        <v>556</v>
      </c>
      <c r="B138" s="384">
        <f>DSUM(Recipes!$B$4:$K$3940, "MON", A137:A138)</f>
        <v>0</v>
      </c>
      <c r="C138" s="385">
        <f>DSUM(Recipes!$B$4:$K$3940, "TUES", A137:A138)</f>
        <v>0</v>
      </c>
      <c r="D138" s="384">
        <f>DSUM(Recipes!$B$4:$K$3940, "WED", A137:A138)</f>
        <v>0</v>
      </c>
      <c r="E138" s="385">
        <f>DSUM(Recipes!$B$4:$K$3940, "THURS", A137:A138)</f>
        <v>0</v>
      </c>
      <c r="F138" s="384">
        <f>DSUM(Recipes!$B$4:$K$3940, "FRI", A137:A138)</f>
        <v>0</v>
      </c>
      <c r="G138" s="385">
        <f>DSUM(Recipes!$B$4:$K$3940, "SAT", A137:A138)</f>
        <v>0</v>
      </c>
      <c r="H138" s="384">
        <f>DSUM(Recipes!$B$4:$K$3940, "SUN", A137:A138)</f>
        <v>0</v>
      </c>
      <c r="I138" s="385">
        <f>DSUM(Recipes!$B$4:$K$3940, "TOTAL", A137:A138)</f>
        <v>0</v>
      </c>
    </row>
    <row r="139" spans="1:9" x14ac:dyDescent="0.25">
      <c r="A139" s="383" t="s">
        <v>601</v>
      </c>
      <c r="B139" s="384">
        <f>DSUM(Recipes!$B$4:$K$3940, "MON", A138:A139)</f>
        <v>0</v>
      </c>
      <c r="C139" s="385">
        <f>DSUM(Recipes!$B$4:$K$3940, "TUES", A138:A139)</f>
        <v>0</v>
      </c>
      <c r="D139" s="384">
        <f>DSUM(Recipes!$B$4:$K$3940, "WED", A138:A139)</f>
        <v>0</v>
      </c>
      <c r="E139" s="385">
        <f>DSUM(Recipes!$B$4:$K$3940, "THURS", A138:A139)</f>
        <v>1</v>
      </c>
      <c r="F139" s="384">
        <f>DSUM(Recipes!$B$4:$K$3940, "FRI", A138:A139)</f>
        <v>0</v>
      </c>
      <c r="G139" s="385">
        <f>DSUM(Recipes!$B$4:$K$3940, "SAT", A138:A139)</f>
        <v>0</v>
      </c>
      <c r="H139" s="384">
        <f>DSUM(Recipes!$B$4:$K$3940, "SUN", A138:A139)</f>
        <v>0</v>
      </c>
      <c r="I139" s="385">
        <f>DSUM(Recipes!$B$4:$K$3940, "TOTAL", A138:A139)</f>
        <v>1</v>
      </c>
    </row>
    <row r="140" spans="1:9" hidden="1" x14ac:dyDescent="0.25">
      <c r="A140" s="383" t="s">
        <v>556</v>
      </c>
      <c r="B140" s="384">
        <f>DSUM(Recipes!$B$4:$K$3940, "MON", A139:A140)</f>
        <v>0</v>
      </c>
      <c r="C140" s="385">
        <f>DSUM(Recipes!$B$4:$K$3940, "TUES", A139:A140)</f>
        <v>0</v>
      </c>
      <c r="D140" s="384">
        <f>DSUM(Recipes!$B$4:$K$3940, "WED", A139:A140)</f>
        <v>0</v>
      </c>
      <c r="E140" s="385">
        <f>DSUM(Recipes!$B$4:$K$3940, "THURS", A139:A140)</f>
        <v>0</v>
      </c>
      <c r="F140" s="384">
        <f>DSUM(Recipes!$B$4:$K$3940, "FRI", A139:A140)</f>
        <v>0</v>
      </c>
      <c r="G140" s="385">
        <f>DSUM(Recipes!$B$4:$K$3940, "SAT", A139:A140)</f>
        <v>0</v>
      </c>
      <c r="H140" s="384">
        <f>DSUM(Recipes!$B$4:$K$3940, "SUN", A139:A140)</f>
        <v>0</v>
      </c>
      <c r="I140" s="385">
        <f>DSUM(Recipes!$B$4:$K$3940, "TOTAL", A139:A140)</f>
        <v>0</v>
      </c>
    </row>
    <row r="141" spans="1:9" x14ac:dyDescent="0.25">
      <c r="A141" s="383" t="s">
        <v>602</v>
      </c>
      <c r="B141" s="384">
        <f>DSUM(Recipes!$B$4:$K$3940, "MON", A140:A141)</f>
        <v>0</v>
      </c>
      <c r="C141" s="385">
        <f>DSUM(Recipes!$B$4:$K$3940, "TUES", A140:A141)</f>
        <v>0</v>
      </c>
      <c r="D141" s="384">
        <f>DSUM(Recipes!$B$4:$K$3940, "WED", A140:A141)</f>
        <v>1</v>
      </c>
      <c r="E141" s="385">
        <f>DSUM(Recipes!$B$4:$K$3940, "THURS", A140:A141)</f>
        <v>0</v>
      </c>
      <c r="F141" s="384">
        <f>DSUM(Recipes!$B$4:$K$3940, "FRI", A140:A141)</f>
        <v>0</v>
      </c>
      <c r="G141" s="385">
        <f>DSUM(Recipes!$B$4:$K$3940, "SAT", A140:A141)</f>
        <v>1</v>
      </c>
      <c r="H141" s="384">
        <f>DSUM(Recipes!$B$4:$K$3940, "SUN", A140:A141)</f>
        <v>0</v>
      </c>
      <c r="I141" s="385">
        <f>DSUM(Recipes!$B$4:$K$3940, "TOTAL", A140:A141)</f>
        <v>2</v>
      </c>
    </row>
    <row r="142" spans="1:9" hidden="1" x14ac:dyDescent="0.25">
      <c r="A142" s="383" t="s">
        <v>556</v>
      </c>
      <c r="B142" s="384">
        <f>DSUM(Recipes!$B$4:$K$3940, "MON", A141:A142)</f>
        <v>0</v>
      </c>
      <c r="C142" s="385">
        <f>DSUM(Recipes!$B$4:$K$3940, "TUES", A141:A142)</f>
        <v>0</v>
      </c>
      <c r="D142" s="384">
        <f>DSUM(Recipes!$B$4:$K$3940, "WED", A141:A142)</f>
        <v>0</v>
      </c>
      <c r="E142" s="385">
        <f>DSUM(Recipes!$B$4:$K$3940, "THURS", A141:A142)</f>
        <v>0</v>
      </c>
      <c r="F142" s="384">
        <f>DSUM(Recipes!$B$4:$K$3940, "FRI", A141:A142)</f>
        <v>0</v>
      </c>
      <c r="G142" s="385">
        <f>DSUM(Recipes!$B$4:$K$3940, "SAT", A141:A142)</f>
        <v>0</v>
      </c>
      <c r="H142" s="384">
        <f>DSUM(Recipes!$B$4:$K$3940, "SUN", A141:A142)</f>
        <v>0</v>
      </c>
      <c r="I142" s="385">
        <f>DSUM(Recipes!$B$4:$K$3940, "TOTAL", A141:A142)</f>
        <v>0</v>
      </c>
    </row>
    <row r="143" spans="1:9" x14ac:dyDescent="0.25">
      <c r="A143" s="383" t="s">
        <v>603</v>
      </c>
      <c r="B143" s="384">
        <f>DSUM(Recipes!$B$4:$K$3940, "MON", A142:A143)</f>
        <v>0</v>
      </c>
      <c r="C143" s="385">
        <f>DSUM(Recipes!$B$4:$K$3940, "TUES", A142:A143)</f>
        <v>0</v>
      </c>
      <c r="D143" s="384">
        <f>DSUM(Recipes!$B$4:$K$3940, "WED", A142:A143)</f>
        <v>0</v>
      </c>
      <c r="E143" s="385">
        <f>DSUM(Recipes!$B$4:$K$3940, "THURS", A142:A143)</f>
        <v>0</v>
      </c>
      <c r="F143" s="384">
        <f>DSUM(Recipes!$B$4:$K$3940, "FRI", A142:A143)</f>
        <v>0</v>
      </c>
      <c r="G143" s="385">
        <f>DSUM(Recipes!$B$4:$K$3940, "SAT", A142:A143)</f>
        <v>1</v>
      </c>
      <c r="H143" s="384">
        <f>DSUM(Recipes!$B$4:$K$3940, "SUN", A142:A143)</f>
        <v>0</v>
      </c>
      <c r="I143" s="385">
        <f>DSUM(Recipes!$B$4:$K$3940, "TOTAL", A142:A143)</f>
        <v>1</v>
      </c>
    </row>
    <row r="144" spans="1:9" hidden="1" x14ac:dyDescent="0.25">
      <c r="A144" s="383" t="s">
        <v>556</v>
      </c>
      <c r="B144" s="384">
        <f>DSUM(Recipes!$B$4:$K$3940, "MON", A143:A144)</f>
        <v>0</v>
      </c>
      <c r="C144" s="385">
        <f>DSUM(Recipes!$B$4:$K$3940, "TUES", A143:A144)</f>
        <v>0</v>
      </c>
      <c r="D144" s="384">
        <f>DSUM(Recipes!$B$4:$K$3940, "WED", A143:A144)</f>
        <v>0</v>
      </c>
      <c r="E144" s="385">
        <f>DSUM(Recipes!$B$4:$K$3940, "THURS", A143:A144)</f>
        <v>0</v>
      </c>
      <c r="F144" s="384">
        <f>DSUM(Recipes!$B$4:$K$3940, "FRI", A143:A144)</f>
        <v>0</v>
      </c>
      <c r="G144" s="385">
        <f>DSUM(Recipes!$B$4:$K$3940, "SAT", A143:A144)</f>
        <v>0</v>
      </c>
      <c r="H144" s="384">
        <f>DSUM(Recipes!$B$4:$K$3940, "SUN", A143:A144)</f>
        <v>0</v>
      </c>
      <c r="I144" s="385">
        <f>DSUM(Recipes!$B$4:$K$3940, "TOTAL", A143:A144)</f>
        <v>0</v>
      </c>
    </row>
    <row r="145" spans="1:9" x14ac:dyDescent="0.25">
      <c r="A145" s="383" t="s">
        <v>624</v>
      </c>
      <c r="B145" s="384">
        <f>DSUM(Recipes!$B$4:$K$3940, "MON", A144:A145)</f>
        <v>0</v>
      </c>
      <c r="C145" s="385">
        <f>DSUM(Recipes!$B$4:$K$3940, "TUES", A144:A145)</f>
        <v>0</v>
      </c>
      <c r="D145" s="384">
        <f>DSUM(Recipes!$B$4:$K$3940, "WED", A144:A145)</f>
        <v>0</v>
      </c>
      <c r="E145" s="385">
        <f>DSUM(Recipes!$B$4:$K$3940, "THURS", A144:A145)</f>
        <v>0</v>
      </c>
      <c r="F145" s="384">
        <f>DSUM(Recipes!$B$4:$K$3940, "FRI", A144:A145)</f>
        <v>0</v>
      </c>
      <c r="G145" s="385">
        <f>DSUM(Recipes!$B$4:$K$3940, "SAT", A144:A145)</f>
        <v>0</v>
      </c>
      <c r="H145" s="384">
        <f>DSUM(Recipes!$B$4:$K$3940, "SUN", A144:A145)</f>
        <v>0</v>
      </c>
      <c r="I145" s="385">
        <f>DSUM(Recipes!$B$4:$K$3940, "TOTAL", A144:A145)</f>
        <v>0</v>
      </c>
    </row>
    <row r="146" spans="1:9" hidden="1" x14ac:dyDescent="0.25">
      <c r="A146" s="383" t="s">
        <v>556</v>
      </c>
      <c r="B146" s="384">
        <f>DSUM(Recipes!$B$4:$K$3940, "MON", A145:A146)</f>
        <v>0</v>
      </c>
      <c r="C146" s="385">
        <f>DSUM(Recipes!$B$4:$K$3940, "TUES", A145:A146)</f>
        <v>0</v>
      </c>
      <c r="D146" s="384">
        <f>DSUM(Recipes!$B$4:$K$3940, "WED", A145:A146)</f>
        <v>0</v>
      </c>
      <c r="E146" s="385">
        <f>DSUM(Recipes!$B$4:$K$3940, "THURS", A145:A146)</f>
        <v>0</v>
      </c>
      <c r="F146" s="384">
        <f>DSUM(Recipes!$B$4:$K$3940, "FRI", A145:A146)</f>
        <v>0</v>
      </c>
      <c r="G146" s="385">
        <f>DSUM(Recipes!$B$4:$K$3940, "SAT", A145:A146)</f>
        <v>0</v>
      </c>
      <c r="H146" s="384">
        <f>DSUM(Recipes!$B$4:$K$3940, "SUN", A145:A146)</f>
        <v>0</v>
      </c>
      <c r="I146" s="385">
        <f>DSUM(Recipes!$B$4:$K$3940, "TOTAL", A145:A146)</f>
        <v>0</v>
      </c>
    </row>
    <row r="147" spans="1:9" x14ac:dyDescent="0.25">
      <c r="A147" s="383" t="s">
        <v>1815</v>
      </c>
      <c r="B147" s="384">
        <f>DSUM(Recipes!$B$4:$K$3940, "MON", A146:A147)</f>
        <v>0</v>
      </c>
      <c r="C147" s="385">
        <f>DSUM(Recipes!$B$4:$K$3940, "TUES", A146:A147)</f>
        <v>1</v>
      </c>
      <c r="D147" s="384">
        <f>DSUM(Recipes!$B$4:$K$3940, "WED", A146:A147)</f>
        <v>2</v>
      </c>
      <c r="E147" s="385">
        <f>DSUM(Recipes!$B$4:$K$3940, "THURS", A146:A147)</f>
        <v>0</v>
      </c>
      <c r="F147" s="384">
        <f>DSUM(Recipes!$B$4:$K$3940, "FRI", A146:A147)</f>
        <v>1</v>
      </c>
      <c r="G147" s="385">
        <f>DSUM(Recipes!$B$4:$K$3940, "SAT", A146:A147)</f>
        <v>5</v>
      </c>
      <c r="H147" s="384">
        <f>DSUM(Recipes!$B$4:$K$3940, "SUN", A146:A147)</f>
        <v>1</v>
      </c>
      <c r="I147" s="385">
        <f>DSUM(Recipes!$B$4:$K$3940, "TOTAL", A146:A147)</f>
        <v>10</v>
      </c>
    </row>
    <row r="148" spans="1:9" hidden="1" x14ac:dyDescent="0.25">
      <c r="A148" s="383" t="s">
        <v>556</v>
      </c>
      <c r="B148" s="384">
        <f>DSUM(Recipes!$B$4:$K$3940, "MON", A147:A148)</f>
        <v>0</v>
      </c>
      <c r="C148" s="385">
        <f>DSUM(Recipes!$B$4:$K$3940, "TUES", A147:A148)</f>
        <v>0</v>
      </c>
      <c r="D148" s="384">
        <f>DSUM(Recipes!$B$4:$K$3940, "WED", A147:A148)</f>
        <v>0</v>
      </c>
      <c r="E148" s="385">
        <f>DSUM(Recipes!$B$4:$K$3940, "THURS", A147:A148)</f>
        <v>0</v>
      </c>
      <c r="F148" s="384">
        <f>DSUM(Recipes!$B$4:$K$3940, "FRI", A147:A148)</f>
        <v>0</v>
      </c>
      <c r="G148" s="385">
        <f>DSUM(Recipes!$B$4:$K$3940, "SAT", A147:A148)</f>
        <v>0</v>
      </c>
      <c r="H148" s="384">
        <f>DSUM(Recipes!$B$4:$K$3940, "SUN", A147:A148)</f>
        <v>0</v>
      </c>
      <c r="I148" s="385">
        <f>DSUM(Recipes!$B$4:$K$3940, "TOTAL", A147:A148)</f>
        <v>0</v>
      </c>
    </row>
    <row r="149" spans="1:9" x14ac:dyDescent="0.25">
      <c r="A149" s="383" t="s">
        <v>343</v>
      </c>
      <c r="B149" s="384">
        <f>DSUM(Recipes!$B$4:$K$3940, "MON", A148:A149)</f>
        <v>1</v>
      </c>
      <c r="C149" s="385">
        <f>DSUM(Recipes!$B$4:$K$3940, "TUES", A148:A149)</f>
        <v>1</v>
      </c>
      <c r="D149" s="384">
        <f>DSUM(Recipes!$B$4:$K$3940, "WED", A148:A149)</f>
        <v>4</v>
      </c>
      <c r="E149" s="385">
        <f>DSUM(Recipes!$B$4:$K$3940, "THURS", A148:A149)</f>
        <v>2</v>
      </c>
      <c r="F149" s="384">
        <f>DSUM(Recipes!$B$4:$K$3940, "FRI", A148:A149)</f>
        <v>6</v>
      </c>
      <c r="G149" s="385">
        <f>DSUM(Recipes!$B$4:$K$3940, "SAT", A148:A149)</f>
        <v>10</v>
      </c>
      <c r="H149" s="384">
        <f>DSUM(Recipes!$B$4:$K$3940, "SUN", A148:A149)</f>
        <v>7</v>
      </c>
      <c r="I149" s="385">
        <f>DSUM(Recipes!$B$4:$K$3940, "TOTAL", A148:A149)</f>
        <v>31</v>
      </c>
    </row>
    <row r="150" spans="1:9" hidden="1" x14ac:dyDescent="0.25">
      <c r="A150" s="383" t="s">
        <v>556</v>
      </c>
      <c r="B150" s="384">
        <f>DSUM(Recipes!$B$4:$K$3940, "MON", A149:A150)</f>
        <v>0</v>
      </c>
      <c r="C150" s="385">
        <f>DSUM(Recipes!$B$4:$K$3940, "TUES", A149:A150)</f>
        <v>0</v>
      </c>
      <c r="D150" s="384">
        <f>DSUM(Recipes!$B$4:$K$3940, "WED", A149:A150)</f>
        <v>0</v>
      </c>
      <c r="E150" s="385">
        <f>DSUM(Recipes!$B$4:$K$3940, "THURS", A149:A150)</f>
        <v>0</v>
      </c>
      <c r="F150" s="384">
        <f>DSUM(Recipes!$B$4:$K$3940, "FRI", A149:A150)</f>
        <v>0</v>
      </c>
      <c r="G150" s="385">
        <f>DSUM(Recipes!$B$4:$K$3940, "SAT", A149:A150)</f>
        <v>0</v>
      </c>
      <c r="H150" s="384">
        <f>DSUM(Recipes!$B$4:$K$3940, "SUN", A149:A150)</f>
        <v>0</v>
      </c>
      <c r="I150" s="385">
        <f>DSUM(Recipes!$B$4:$K$3940, "TOTAL", A149:A150)</f>
        <v>0</v>
      </c>
    </row>
    <row r="151" spans="1:9" x14ac:dyDescent="0.25">
      <c r="A151" s="383" t="s">
        <v>1813</v>
      </c>
      <c r="B151" s="384">
        <f>DSUM(Recipes!$B$4:$K$3940, "MON", A150:A151)</f>
        <v>0</v>
      </c>
      <c r="C151" s="385">
        <f>DSUM(Recipes!$B$4:$K$3940, "TUES", A150:A151)</f>
        <v>0</v>
      </c>
      <c r="D151" s="384">
        <f>DSUM(Recipes!$B$4:$K$3940, "WED", A150:A151)</f>
        <v>0</v>
      </c>
      <c r="E151" s="385">
        <f>DSUM(Recipes!$B$4:$K$3940, "THURS", A150:A151)</f>
        <v>0</v>
      </c>
      <c r="F151" s="384">
        <f>DSUM(Recipes!$B$4:$K$3940, "FRI", A150:A151)</f>
        <v>0</v>
      </c>
      <c r="G151" s="385">
        <f>DSUM(Recipes!$B$4:$K$3940, "SAT", A150:A151)</f>
        <v>0</v>
      </c>
      <c r="H151" s="384">
        <f>DSUM(Recipes!$B$4:$K$3940, "SUN", A150:A151)</f>
        <v>0</v>
      </c>
      <c r="I151" s="385">
        <f>DSUM(Recipes!$B$4:$K$3940, "TOTAL", A150:A151)</f>
        <v>0</v>
      </c>
    </row>
    <row r="152" spans="1:9" hidden="1" x14ac:dyDescent="0.25">
      <c r="A152" s="383" t="s">
        <v>556</v>
      </c>
      <c r="B152" s="384">
        <f>DSUM(Recipes!$B$4:$K$3940, "MON", A151:A152)</f>
        <v>0</v>
      </c>
      <c r="C152" s="385">
        <f>DSUM(Recipes!$B$4:$K$3940, "TUES", A151:A152)</f>
        <v>0</v>
      </c>
      <c r="D152" s="384">
        <f>DSUM(Recipes!$B$4:$K$3940, "WED", A151:A152)</f>
        <v>0</v>
      </c>
      <c r="E152" s="385">
        <f>DSUM(Recipes!$B$4:$K$3940, "THURS", A151:A152)</f>
        <v>0</v>
      </c>
      <c r="F152" s="384">
        <f>DSUM(Recipes!$B$4:$K$3940, "FRI", A151:A152)</f>
        <v>0</v>
      </c>
      <c r="G152" s="385">
        <f>DSUM(Recipes!$B$4:$K$3940, "SAT", A151:A152)</f>
        <v>0</v>
      </c>
      <c r="H152" s="384">
        <f>DSUM(Recipes!$B$4:$K$3940, "SUN", A151:A152)</f>
        <v>0</v>
      </c>
      <c r="I152" s="385">
        <f>DSUM(Recipes!$B$4:$K$3940, "TOTAL", A151:A152)</f>
        <v>0</v>
      </c>
    </row>
    <row r="153" spans="1:9" x14ac:dyDescent="0.25">
      <c r="A153" s="383" t="s">
        <v>521</v>
      </c>
      <c r="B153" s="384">
        <f>DSUM(Recipes!$B$4:$K$3940, "MON", A152:A153)</f>
        <v>3</v>
      </c>
      <c r="C153" s="385">
        <f>DSUM(Recipes!$B$4:$K$3940, "TUES", A152:A153)</f>
        <v>4</v>
      </c>
      <c r="D153" s="384">
        <f>DSUM(Recipes!$B$4:$K$3940, "WED", A152:A153)</f>
        <v>2</v>
      </c>
      <c r="E153" s="385">
        <f>DSUM(Recipes!$B$4:$K$3940, "THURS", A152:A153)</f>
        <v>1</v>
      </c>
      <c r="F153" s="384">
        <f>DSUM(Recipes!$B$4:$K$3940, "FRI", A152:A153)</f>
        <v>3</v>
      </c>
      <c r="G153" s="385">
        <f>DSUM(Recipes!$B$4:$K$3940, "SAT", A152:A153)</f>
        <v>3</v>
      </c>
      <c r="H153" s="384">
        <f>DSUM(Recipes!$B$4:$K$3940, "SUN", A152:A153)</f>
        <v>5</v>
      </c>
      <c r="I153" s="385">
        <f>DSUM(Recipes!$B$4:$K$3940, "TOTAL", A152:A153)</f>
        <v>21</v>
      </c>
    </row>
    <row r="154" spans="1:9" hidden="1" x14ac:dyDescent="0.25">
      <c r="A154" s="383" t="s">
        <v>556</v>
      </c>
      <c r="B154" s="384">
        <f>DSUM(Recipes!$B$4:$K$3940, "MON", A153:A154)</f>
        <v>0</v>
      </c>
      <c r="C154" s="385">
        <f>DSUM(Recipes!$B$4:$K$3940, "TUES", A153:A154)</f>
        <v>0</v>
      </c>
      <c r="D154" s="384">
        <f>DSUM(Recipes!$B$4:$K$3940, "WED", A153:A154)</f>
        <v>0</v>
      </c>
      <c r="E154" s="385">
        <f>DSUM(Recipes!$B$4:$K$3940, "THURS", A153:A154)</f>
        <v>0</v>
      </c>
      <c r="F154" s="384">
        <f>DSUM(Recipes!$B$4:$K$3940, "FRI", A153:A154)</f>
        <v>0</v>
      </c>
      <c r="G154" s="385">
        <f>DSUM(Recipes!$B$4:$K$3940, "SAT", A153:A154)</f>
        <v>0</v>
      </c>
      <c r="H154" s="384">
        <f>DSUM(Recipes!$B$4:$K$3940, "SUN", A153:A154)</f>
        <v>0</v>
      </c>
      <c r="I154" s="385">
        <f>DSUM(Recipes!$B$4:$K$3940, "TOTAL", A153:A154)</f>
        <v>0</v>
      </c>
    </row>
    <row r="155" spans="1:9" x14ac:dyDescent="0.25">
      <c r="A155" s="383" t="s">
        <v>1826</v>
      </c>
      <c r="B155" s="384">
        <f>DSUM(Recipes!$B$4:$K$3940, "MON", A154:A155)</f>
        <v>3</v>
      </c>
      <c r="C155" s="385">
        <f>DSUM(Recipes!$B$4:$K$3940, "TUES", A154:A155)</f>
        <v>2</v>
      </c>
      <c r="D155" s="384">
        <f>DSUM(Recipes!$B$4:$K$3940, "WED", A154:A155)</f>
        <v>10</v>
      </c>
      <c r="E155" s="385">
        <f>DSUM(Recipes!$B$4:$K$3940, "THURS", A154:A155)</f>
        <v>0</v>
      </c>
      <c r="F155" s="384">
        <f>DSUM(Recipes!$B$4:$K$3940, "FRI", A154:A155)</f>
        <v>6</v>
      </c>
      <c r="G155" s="385">
        <f>DSUM(Recipes!$B$4:$K$3940, "SAT", A154:A155)</f>
        <v>19</v>
      </c>
      <c r="H155" s="384">
        <f>DSUM(Recipes!$B$4:$K$3940, "SUN", A154:A155)</f>
        <v>7</v>
      </c>
      <c r="I155" s="385">
        <f>DSUM(Recipes!$B$4:$K$3940, "TOTAL", A154:A155)</f>
        <v>47</v>
      </c>
    </row>
    <row r="156" spans="1:9" hidden="1" x14ac:dyDescent="0.25">
      <c r="A156" s="383" t="s">
        <v>556</v>
      </c>
      <c r="B156" s="384">
        <f>DSUM(Recipes!$B$4:$K$3940, "MON", A155:A156)</f>
        <v>0</v>
      </c>
      <c r="C156" s="385">
        <f>DSUM(Recipes!$B$4:$K$3940, "TUES", A155:A156)</f>
        <v>0</v>
      </c>
      <c r="D156" s="384">
        <f>DSUM(Recipes!$B$4:$K$3940, "WED", A155:A156)</f>
        <v>0</v>
      </c>
      <c r="E156" s="385">
        <f>DSUM(Recipes!$B$4:$K$3940, "THURS", A155:A156)</f>
        <v>0</v>
      </c>
      <c r="F156" s="384">
        <f>DSUM(Recipes!$B$4:$K$3940, "FRI", A155:A156)</f>
        <v>0</v>
      </c>
      <c r="G156" s="385">
        <f>DSUM(Recipes!$B$4:$K$3940, "SAT", A155:A156)</f>
        <v>0</v>
      </c>
      <c r="H156" s="384">
        <f>DSUM(Recipes!$B$4:$K$3940, "SUN", A155:A156)</f>
        <v>0</v>
      </c>
      <c r="I156" s="385">
        <f>DSUM(Recipes!$B$4:$K$3940, "TOTAL", A155:A156)</f>
        <v>0</v>
      </c>
    </row>
    <row r="157" spans="1:9" x14ac:dyDescent="0.25">
      <c r="A157" s="383" t="s">
        <v>1809</v>
      </c>
      <c r="B157" s="384">
        <f>DSUM(Recipes!$B$4:$K$3940, "MON", A156:A157)</f>
        <v>4</v>
      </c>
      <c r="C157" s="385">
        <f>DSUM(Recipes!$B$4:$K$3940, "TUES", A156:A157)</f>
        <v>8</v>
      </c>
      <c r="D157" s="384">
        <f>DSUM(Recipes!$B$4:$K$3940, "WED", A156:A157)</f>
        <v>0</v>
      </c>
      <c r="E157" s="385">
        <f>DSUM(Recipes!$B$4:$K$3940, "THURS", A156:A157)</f>
        <v>2</v>
      </c>
      <c r="F157" s="384">
        <f>DSUM(Recipes!$B$4:$K$3940, "FRI", A156:A157)</f>
        <v>14</v>
      </c>
      <c r="G157" s="385">
        <f>DSUM(Recipes!$B$4:$K$3940, "SAT", A156:A157)</f>
        <v>16</v>
      </c>
      <c r="H157" s="384">
        <f>DSUM(Recipes!$B$4:$K$3940, "SUN", A156:A157)</f>
        <v>8</v>
      </c>
      <c r="I157" s="385">
        <f>DSUM(Recipes!$B$4:$K$3940, "TOTAL", A156:A157)</f>
        <v>52</v>
      </c>
    </row>
    <row r="158" spans="1:9" hidden="1" x14ac:dyDescent="0.25">
      <c r="A158" s="383" t="s">
        <v>556</v>
      </c>
      <c r="B158" s="384">
        <f>DSUM(Recipes!$B$4:$K$3940, "MON", A157:A158)</f>
        <v>0</v>
      </c>
      <c r="C158" s="385">
        <f>DSUM(Recipes!$B$4:$K$3940, "TUES", A157:A158)</f>
        <v>0</v>
      </c>
      <c r="D158" s="384">
        <f>DSUM(Recipes!$B$4:$K$3940, "WED", A157:A158)</f>
        <v>0</v>
      </c>
      <c r="E158" s="385">
        <f>DSUM(Recipes!$B$4:$K$3940, "THURS", A157:A158)</f>
        <v>0</v>
      </c>
      <c r="F158" s="384">
        <f>DSUM(Recipes!$B$4:$K$3940, "FRI", A157:A158)</f>
        <v>0</v>
      </c>
      <c r="G158" s="385">
        <f>DSUM(Recipes!$B$4:$K$3940, "SAT", A157:A158)</f>
        <v>0</v>
      </c>
      <c r="H158" s="384">
        <f>DSUM(Recipes!$B$4:$K$3940, "SUN", A157:A158)</f>
        <v>0</v>
      </c>
      <c r="I158" s="385">
        <f>DSUM(Recipes!$B$4:$K$3940, "TOTAL", A157:A158)</f>
        <v>0</v>
      </c>
    </row>
    <row r="159" spans="1:9" x14ac:dyDescent="0.25">
      <c r="A159" s="387" t="s">
        <v>1814</v>
      </c>
      <c r="B159" s="384">
        <f>DSUM(Recipes!$B$4:$K$3940, "MON", A158:A159)</f>
        <v>0</v>
      </c>
      <c r="C159" s="385">
        <f>DSUM(Recipes!$B$4:$K$3940, "TUES", A158:A159)</f>
        <v>0</v>
      </c>
      <c r="D159" s="384">
        <f>DSUM(Recipes!$B$4:$K$3940, "WED", A158:A159)</f>
        <v>0</v>
      </c>
      <c r="E159" s="385">
        <f>DSUM(Recipes!$B$4:$K$3940, "THURS", A158:A159)</f>
        <v>0</v>
      </c>
      <c r="F159" s="384">
        <f>DSUM(Recipes!$B$4:$K$3940, "FRI", A158:A159)</f>
        <v>0</v>
      </c>
      <c r="G159" s="385">
        <f>DSUM(Recipes!$B$4:$K$3940, "SAT", A158:A159)</f>
        <v>0</v>
      </c>
      <c r="H159" s="384">
        <f>DSUM(Recipes!$B$4:$K$3940, "SUN", A158:A159)</f>
        <v>0</v>
      </c>
      <c r="I159" s="385">
        <f>DSUM(Recipes!$B$4:$K$3940, "TOTAL", A158:A159)</f>
        <v>0</v>
      </c>
    </row>
    <row r="160" spans="1:9" hidden="1" x14ac:dyDescent="0.25">
      <c r="A160" s="387" t="s">
        <v>556</v>
      </c>
      <c r="B160" s="384">
        <f>DSUM(Recipes!$B$4:$K$3940, "MON", A159:A160)</f>
        <v>0</v>
      </c>
      <c r="C160" s="385">
        <f>DSUM(Recipes!$B$4:$K$3940, "TUES", A159:A160)</f>
        <v>0</v>
      </c>
      <c r="D160" s="384">
        <f>DSUM(Recipes!$B$4:$K$3940, "WED", A159:A160)</f>
        <v>0</v>
      </c>
      <c r="E160" s="385">
        <f>DSUM(Recipes!$B$4:$K$3940, "THURS", A159:A160)</f>
        <v>0</v>
      </c>
      <c r="F160" s="384">
        <f>DSUM(Recipes!$B$4:$K$3940, "FRI", A159:A160)</f>
        <v>0</v>
      </c>
      <c r="G160" s="385">
        <f>DSUM(Recipes!$B$4:$K$3940, "SAT", A159:A160)</f>
        <v>0</v>
      </c>
      <c r="H160" s="384">
        <f>DSUM(Recipes!$B$4:$K$3940, "SUN", A159:A160)</f>
        <v>0</v>
      </c>
      <c r="I160" s="385">
        <f>DSUM(Recipes!$B$4:$K$3940, "TOTAL", A159:A160)</f>
        <v>0</v>
      </c>
    </row>
    <row r="161" spans="1:9" x14ac:dyDescent="0.25">
      <c r="A161" s="388" t="s">
        <v>1831</v>
      </c>
      <c r="B161" s="384">
        <f>DSUM(Recipes!$B$4:$K$3940, "MON", A160:A161)</f>
        <v>0</v>
      </c>
      <c r="C161" s="385">
        <f>DSUM(Recipes!$B$4:$K$3940, "TUES", A160:A161)</f>
        <v>0</v>
      </c>
      <c r="D161" s="384">
        <f>DSUM(Recipes!$B$4:$K$3940, "WED", A160:A161)</f>
        <v>0</v>
      </c>
      <c r="E161" s="385">
        <f>DSUM(Recipes!$B$4:$K$3940, "THURS", A160:A161)</f>
        <v>0</v>
      </c>
      <c r="F161" s="384">
        <f>DSUM(Recipes!$B$4:$K$3940, "FRI", A160:A161)</f>
        <v>0</v>
      </c>
      <c r="G161" s="385">
        <f>DSUM(Recipes!$B$4:$K$3940, "SAT", A160:A161)</f>
        <v>0</v>
      </c>
      <c r="H161" s="384">
        <f>DSUM(Recipes!$B$4:$K$3940, "SUN", A160:A161)</f>
        <v>0</v>
      </c>
      <c r="I161" s="385">
        <f>DSUM(Recipes!$B$4:$K$3940, "TOTAL", A160:A161)</f>
        <v>0</v>
      </c>
    </row>
    <row r="162" spans="1:9" hidden="1" x14ac:dyDescent="0.25">
      <c r="A162" s="387" t="s">
        <v>556</v>
      </c>
      <c r="B162" s="384">
        <f>DSUM(Recipes!$B$4:$K$3940, "MON", A161:A162)</f>
        <v>0</v>
      </c>
      <c r="C162" s="385">
        <f>DSUM(Recipes!$B$4:$K$3940, "TUES", A161:A162)</f>
        <v>0</v>
      </c>
      <c r="D162" s="384">
        <f>DSUM(Recipes!$B$4:$K$3940, "WED", A161:A162)</f>
        <v>0</v>
      </c>
      <c r="E162" s="385">
        <f>DSUM(Recipes!$B$4:$K$3940, "THURS", A161:A162)</f>
        <v>0</v>
      </c>
      <c r="F162" s="384">
        <f>DSUM(Recipes!$B$4:$K$3940, "FRI", A161:A162)</f>
        <v>0</v>
      </c>
      <c r="G162" s="385">
        <f>DSUM(Recipes!$B$4:$K$3940, "SAT", A161:A162)</f>
        <v>0</v>
      </c>
      <c r="H162" s="384">
        <f>DSUM(Recipes!$B$4:$K$3940, "SUN", A161:A162)</f>
        <v>0</v>
      </c>
      <c r="I162" s="385">
        <f>DSUM(Recipes!$B$4:$K$3940, "TOTAL", A161:A162)</f>
        <v>0</v>
      </c>
    </row>
    <row r="163" spans="1:9" x14ac:dyDescent="0.25">
      <c r="A163" s="387" t="s">
        <v>1834</v>
      </c>
      <c r="B163" s="384">
        <f>DSUM(Recipes!$B$4:$K$3940, "MON", A162:A163)</f>
        <v>0</v>
      </c>
      <c r="C163" s="385">
        <f>DSUM(Recipes!$B$4:$K$3940, "TUES", A162:A163)</f>
        <v>0</v>
      </c>
      <c r="D163" s="384">
        <f>DSUM(Recipes!$B$4:$K$3940, "WED", A162:A163)</f>
        <v>0</v>
      </c>
      <c r="E163" s="385">
        <f>DSUM(Recipes!$B$4:$K$3940, "THURS", A162:A163)</f>
        <v>0</v>
      </c>
      <c r="F163" s="384">
        <f>DSUM(Recipes!$B$4:$K$3940, "FRI", A162:A163)</f>
        <v>0</v>
      </c>
      <c r="G163" s="385">
        <f>DSUM(Recipes!$B$4:$K$3940, "SAT", A162:A163)</f>
        <v>0</v>
      </c>
      <c r="H163" s="384">
        <f>DSUM(Recipes!$B$4:$K$3940, "SUN", A162:A163)</f>
        <v>0</v>
      </c>
      <c r="I163" s="385">
        <f>DSUM(Recipes!$B$4:$K$3940, "TOTAL", A162:A163)</f>
        <v>0</v>
      </c>
    </row>
    <row r="164" spans="1:9" hidden="1" x14ac:dyDescent="0.25">
      <c r="A164" s="387" t="s">
        <v>556</v>
      </c>
      <c r="B164" s="384">
        <f>DSUM(Recipes!$B$4:$K$3940, "MON", A163:A164)</f>
        <v>0</v>
      </c>
      <c r="C164" s="385">
        <f>DSUM(Recipes!$B$4:$K$3940, "TUES", A163:A164)</f>
        <v>0</v>
      </c>
      <c r="D164" s="384">
        <f>DSUM(Recipes!$B$4:$K$3940, "WED", A163:A164)</f>
        <v>0</v>
      </c>
      <c r="E164" s="385">
        <f>DSUM(Recipes!$B$4:$K$3940, "THURS", A163:A164)</f>
        <v>0</v>
      </c>
      <c r="F164" s="384">
        <f>DSUM(Recipes!$B$4:$K$3940, "FRI", A163:A164)</f>
        <v>0</v>
      </c>
      <c r="G164" s="385">
        <f>DSUM(Recipes!$B$4:$K$3940, "SAT", A163:A164)</f>
        <v>0</v>
      </c>
      <c r="H164" s="384">
        <f>DSUM(Recipes!$B$4:$K$3940, "SUN", A163:A164)</f>
        <v>0</v>
      </c>
      <c r="I164" s="385">
        <f>DSUM(Recipes!$B$4:$K$3940, "TOTAL", A163:A164)</f>
        <v>0</v>
      </c>
    </row>
    <row r="165" spans="1:9" x14ac:dyDescent="0.25">
      <c r="A165" s="388" t="s">
        <v>1808</v>
      </c>
      <c r="B165" s="384">
        <f>DSUM(Recipes!$B$4:$K$3940, "MON", A164:A165)</f>
        <v>18</v>
      </c>
      <c r="C165" s="385">
        <f>DSUM(Recipes!$B$4:$K$3940, "TUES", A164:A165)</f>
        <v>43</v>
      </c>
      <c r="D165" s="384">
        <f>DSUM(Recipes!$B$4:$K$3940, "WED", A164:A165)</f>
        <v>15</v>
      </c>
      <c r="E165" s="385">
        <f>DSUM(Recipes!$B$4:$K$3940, "THURS", A164:A165)</f>
        <v>28</v>
      </c>
      <c r="F165" s="384">
        <f>DSUM(Recipes!$B$4:$K$3940, "FRI", A164:A165)</f>
        <v>100</v>
      </c>
      <c r="G165" s="385">
        <f>DSUM(Recipes!$B$4:$K$3940, "SAT", A164:A165)</f>
        <v>101</v>
      </c>
      <c r="H165" s="384">
        <f>DSUM(Recipes!$B$4:$K$3940, "SUN", A164:A165)</f>
        <v>40</v>
      </c>
      <c r="I165" s="385">
        <f>DSUM(Recipes!$B$4:$K$3940, "TOTAL", A164:A165)</f>
        <v>345</v>
      </c>
    </row>
    <row r="166" spans="1:9" hidden="1" x14ac:dyDescent="0.25">
      <c r="A166" s="387" t="s">
        <v>556</v>
      </c>
      <c r="B166" s="384">
        <f>DSUM(Recipes!$B$4:$K$3940, "MON", A165:A166)</f>
        <v>0</v>
      </c>
      <c r="C166" s="385">
        <f>DSUM(Recipes!$B$4:$K$3940, "TUES", A165:A166)</f>
        <v>0</v>
      </c>
      <c r="D166" s="384">
        <f>DSUM(Recipes!$B$4:$K$3940, "WED", A165:A166)</f>
        <v>0</v>
      </c>
      <c r="E166" s="385">
        <f>DSUM(Recipes!$B$4:$K$3940, "THURS", A165:A166)</f>
        <v>0</v>
      </c>
      <c r="F166" s="384">
        <f>DSUM(Recipes!$B$4:$K$3940, "FRI", A165:A166)</f>
        <v>0</v>
      </c>
      <c r="G166" s="385">
        <f>DSUM(Recipes!$B$4:$K$3940, "SAT", A165:A166)</f>
        <v>0</v>
      </c>
      <c r="H166" s="384">
        <f>DSUM(Recipes!$B$4:$K$3940, "SUN", A165:A166)</f>
        <v>0</v>
      </c>
      <c r="I166" s="385">
        <f>DSUM(Recipes!$B$4:$K$3940, "TOTAL", A165:A166)</f>
        <v>0</v>
      </c>
    </row>
    <row r="167" spans="1:9" x14ac:dyDescent="0.25">
      <c r="A167" s="388" t="s">
        <v>1844</v>
      </c>
      <c r="B167" s="384">
        <f>DSUM(Recipes!$B$4:$K$3940, "MON", A166:A167)</f>
        <v>1</v>
      </c>
      <c r="C167" s="385">
        <f>DSUM(Recipes!$B$4:$K$3940, "TUES", A166:A167)</f>
        <v>0</v>
      </c>
      <c r="D167" s="384">
        <f>DSUM(Recipes!$B$4:$K$3940, "WED", A166:A167)</f>
        <v>6</v>
      </c>
      <c r="E167" s="385">
        <f>DSUM(Recipes!$B$4:$K$3940, "THURS", A166:A167)</f>
        <v>0</v>
      </c>
      <c r="F167" s="384">
        <f>DSUM(Recipes!$B$4:$K$3940, "FRI", A166:A167)</f>
        <v>2</v>
      </c>
      <c r="G167" s="385">
        <f>DSUM(Recipes!$B$4:$K$3940, "SAT", A166:A167)</f>
        <v>4</v>
      </c>
      <c r="H167" s="384">
        <f>DSUM(Recipes!$B$4:$K$3940, "SUN", A166:A167)</f>
        <v>1</v>
      </c>
      <c r="I167" s="385">
        <f>DSUM(Recipes!$B$4:$K$3940, "TOTAL", A166:A167)</f>
        <v>14</v>
      </c>
    </row>
    <row r="168" spans="1:9" hidden="1" x14ac:dyDescent="0.25">
      <c r="A168" s="387" t="s">
        <v>556</v>
      </c>
      <c r="B168" s="384">
        <f>DSUM(Recipes!$B$4:$K$3940, "MON", A167:A168)</f>
        <v>0</v>
      </c>
      <c r="C168" s="385">
        <f>DSUM(Recipes!$B$4:$K$3940, "TUES", A167:A168)</f>
        <v>0</v>
      </c>
      <c r="D168" s="384">
        <f>DSUM(Recipes!$B$4:$K$3940, "WED", A167:A168)</f>
        <v>0</v>
      </c>
      <c r="E168" s="385">
        <f>DSUM(Recipes!$B$4:$K$3940, "THURS", A167:A168)</f>
        <v>0</v>
      </c>
      <c r="F168" s="384">
        <f>DSUM(Recipes!$B$4:$K$3940, "FRI", A167:A168)</f>
        <v>0</v>
      </c>
      <c r="G168" s="385">
        <f>DSUM(Recipes!$B$4:$K$3940, "SAT", A167:A168)</f>
        <v>0</v>
      </c>
      <c r="H168" s="384">
        <f>DSUM(Recipes!$B$4:$K$3940, "SUN", A167:A168)</f>
        <v>0</v>
      </c>
      <c r="I168" s="385">
        <f>DSUM(Recipes!$B$4:$K$3940, "TOTAL", A167:A168)</f>
        <v>0</v>
      </c>
    </row>
    <row r="169" spans="1:9" x14ac:dyDescent="0.25">
      <c r="A169" s="388" t="s">
        <v>342</v>
      </c>
      <c r="B169" s="384">
        <f>DSUM(Recipes!$B$4:$K$3940, "MON", A168:A169)</f>
        <v>9</v>
      </c>
      <c r="C169" s="385">
        <f>DSUM(Recipes!$B$4:$K$3940, "TUES", A168:A169)</f>
        <v>13</v>
      </c>
      <c r="D169" s="384">
        <f>DSUM(Recipes!$B$4:$K$3940, "WED", A168:A169)</f>
        <v>36</v>
      </c>
      <c r="E169" s="385">
        <f>DSUM(Recipes!$B$4:$K$3940, "THURS", A168:A169)</f>
        <v>15</v>
      </c>
      <c r="F169" s="384">
        <f>DSUM(Recipes!$B$4:$K$3940, "FRI", A168:A169)</f>
        <v>47</v>
      </c>
      <c r="G169" s="385">
        <f>DSUM(Recipes!$B$4:$K$3940, "SAT", A168:A169)</f>
        <v>97</v>
      </c>
      <c r="H169" s="384">
        <f>DSUM(Recipes!$B$4:$K$3940, "SUN", A168:A169)</f>
        <v>37</v>
      </c>
      <c r="I169" s="385">
        <f>DSUM(Recipes!$B$4:$K$3940, "TOTAL", A168:A169)</f>
        <v>254</v>
      </c>
    </row>
    <row r="170" spans="1:9" hidden="1" x14ac:dyDescent="0.25">
      <c r="A170" s="388" t="s">
        <v>556</v>
      </c>
      <c r="B170" s="384">
        <f>DSUM(Recipes!$B$4:$K$3940, "MON", A169:A170)</f>
        <v>0</v>
      </c>
      <c r="C170" s="385">
        <f>DSUM(Recipes!$B$4:$K$3940, "TUES", A169:A170)</f>
        <v>0</v>
      </c>
      <c r="D170" s="384">
        <f>DSUM(Recipes!$B$4:$K$3940, "WED", A169:A170)</f>
        <v>0</v>
      </c>
      <c r="E170" s="385">
        <f>DSUM(Recipes!$B$4:$K$3940, "THURS", A169:A170)</f>
        <v>0</v>
      </c>
      <c r="F170" s="384">
        <f>DSUM(Recipes!$B$4:$K$3940, "FRI", A169:A170)</f>
        <v>0</v>
      </c>
      <c r="G170" s="385">
        <f>DSUM(Recipes!$B$4:$K$3940, "SAT", A169:A170)</f>
        <v>0</v>
      </c>
      <c r="H170" s="384">
        <f>DSUM(Recipes!$B$4:$K$3940, "SUN", A169:A170)</f>
        <v>0</v>
      </c>
      <c r="I170" s="385">
        <f>DSUM(Recipes!$B$4:$K$3940, "TOTAL", A169:A170)</f>
        <v>0</v>
      </c>
    </row>
    <row r="171" spans="1:9" x14ac:dyDescent="0.25">
      <c r="A171" s="387" t="s">
        <v>1859</v>
      </c>
      <c r="B171" s="384">
        <f>DSUM(Recipes!$B$4:$K$3940, "MON", A170:A171)</f>
        <v>3</v>
      </c>
      <c r="C171" s="385">
        <f>DSUM(Recipes!$B$4:$K$3940, "TUES", A170:A171)</f>
        <v>1</v>
      </c>
      <c r="D171" s="384">
        <f>DSUM(Recipes!$B$4:$K$3940, "WED", A170:A171)</f>
        <v>3</v>
      </c>
      <c r="E171" s="385">
        <f>DSUM(Recipes!$B$4:$K$3940, "THURS", A170:A171)</f>
        <v>88</v>
      </c>
      <c r="F171" s="384">
        <f>DSUM(Recipes!$B$4:$K$3940, "FRI", A170:A171)</f>
        <v>12</v>
      </c>
      <c r="G171" s="385">
        <f>DSUM(Recipes!$B$4:$K$3940, "SAT", A170:A171)</f>
        <v>14</v>
      </c>
      <c r="H171" s="384">
        <f>DSUM(Recipes!$B$4:$K$3940, "SUN", A170:A171)</f>
        <v>5</v>
      </c>
      <c r="I171" s="385">
        <f>DSUM(Recipes!$B$4:$K$3940, "TOTAL", A170:A171)</f>
        <v>126</v>
      </c>
    </row>
    <row r="172" spans="1:9" hidden="1" x14ac:dyDescent="0.25">
      <c r="A172" s="387" t="s">
        <v>556</v>
      </c>
      <c r="B172" s="384">
        <f>DSUM(Recipes!$B$4:$K$3940, "MON", A171:A172)</f>
        <v>0</v>
      </c>
      <c r="C172" s="385">
        <f>DSUM(Recipes!$B$4:$K$3940, "TUES", A171:A172)</f>
        <v>0</v>
      </c>
      <c r="D172" s="384">
        <f>DSUM(Recipes!$B$4:$K$3940, "WED", A171:A172)</f>
        <v>0</v>
      </c>
      <c r="E172" s="385">
        <f>DSUM(Recipes!$B$4:$K$3940, "THURS", A171:A172)</f>
        <v>0</v>
      </c>
      <c r="F172" s="384">
        <f>DSUM(Recipes!$B$4:$K$3940, "FRI", A171:A172)</f>
        <v>0</v>
      </c>
      <c r="G172" s="385">
        <f>DSUM(Recipes!$B$4:$K$3940, "SAT", A171:A172)</f>
        <v>0</v>
      </c>
      <c r="H172" s="384">
        <f>DSUM(Recipes!$B$4:$K$3940, "SUN", A171:A172)</f>
        <v>0</v>
      </c>
      <c r="I172" s="385">
        <f>DSUM(Recipes!$B$4:$K$3940, "TOTAL", A171:A172)</f>
        <v>0</v>
      </c>
    </row>
    <row r="173" spans="1:9" x14ac:dyDescent="0.25">
      <c r="A173" s="387" t="s">
        <v>1863</v>
      </c>
      <c r="B173" s="384">
        <f>DSUM(Recipes!$B$4:$K$3940, "MON", A172:A173)</f>
        <v>1</v>
      </c>
      <c r="C173" s="385">
        <f>DSUM(Recipes!$B$4:$K$3940, "TUES", A172:A173)</f>
        <v>2</v>
      </c>
      <c r="D173" s="384">
        <f>DSUM(Recipes!$B$4:$K$3940, "WED", A172:A173)</f>
        <v>1</v>
      </c>
      <c r="E173" s="385">
        <f>DSUM(Recipes!$B$4:$K$3940, "THURS", A172:A173)</f>
        <v>1</v>
      </c>
      <c r="F173" s="384">
        <f>DSUM(Recipes!$B$4:$K$3940, "FRI", A172:A173)</f>
        <v>8</v>
      </c>
      <c r="G173" s="385">
        <f>DSUM(Recipes!$B$4:$K$3940, "SAT", A172:A173)</f>
        <v>7</v>
      </c>
      <c r="H173" s="384">
        <f>DSUM(Recipes!$B$4:$K$3940, "SUN", A172:A173)</f>
        <v>3</v>
      </c>
      <c r="I173" s="385">
        <f>DSUM(Recipes!$B$4:$K$3940, "TOTAL", A172:A173)</f>
        <v>23</v>
      </c>
    </row>
    <row r="174" spans="1:9" hidden="1" x14ac:dyDescent="0.25">
      <c r="A174" s="387" t="s">
        <v>556</v>
      </c>
      <c r="B174" s="384">
        <f>DSUM(Recipes!$B$4:$K$3940, "MON", A173:A174)</f>
        <v>0</v>
      </c>
      <c r="C174" s="385">
        <f>DSUM(Recipes!$B$4:$K$3940, "TUES", A173:A174)</f>
        <v>0</v>
      </c>
      <c r="D174" s="384">
        <f>DSUM(Recipes!$B$4:$K$3940, "WED", A173:A174)</f>
        <v>0</v>
      </c>
      <c r="E174" s="385">
        <f>DSUM(Recipes!$B$4:$K$3940, "THURS", A173:A174)</f>
        <v>0</v>
      </c>
      <c r="F174" s="384">
        <f>DSUM(Recipes!$B$4:$K$3940, "FRI", A173:A174)</f>
        <v>0</v>
      </c>
      <c r="G174" s="385">
        <f>DSUM(Recipes!$B$4:$K$3940, "SAT", A173:A174)</f>
        <v>0</v>
      </c>
      <c r="H174" s="384">
        <f>DSUM(Recipes!$B$4:$K$3940, "SUN", A173:A174)</f>
        <v>0</v>
      </c>
      <c r="I174" s="385">
        <f>DSUM(Recipes!$B$4:$K$3940, "TOTAL", A173:A174)</f>
        <v>0</v>
      </c>
    </row>
    <row r="175" spans="1:9" x14ac:dyDescent="0.25">
      <c r="A175" s="387" t="s">
        <v>1860</v>
      </c>
      <c r="B175" s="384">
        <f>DSUM(Recipes!$B$4:$K$3940, "MON", A174:A175)</f>
        <v>1</v>
      </c>
      <c r="C175" s="385">
        <f>DSUM(Recipes!$B$4:$K$3940, "TUES", A174:A175)</f>
        <v>1</v>
      </c>
      <c r="D175" s="384">
        <f>DSUM(Recipes!$B$4:$K$3940, "WED", A174:A175)</f>
        <v>7</v>
      </c>
      <c r="E175" s="385">
        <f>DSUM(Recipes!$B$4:$K$3940, "THURS", A174:A175)</f>
        <v>4</v>
      </c>
      <c r="F175" s="384">
        <f>DSUM(Recipes!$B$4:$K$3940, "FRI", A174:A175)</f>
        <v>19</v>
      </c>
      <c r="G175" s="385">
        <f>DSUM(Recipes!$B$4:$K$3940, "SAT", A174:A175)</f>
        <v>6</v>
      </c>
      <c r="H175" s="384">
        <f>DSUM(Recipes!$B$4:$K$3940, "SUN", A174:A175)</f>
        <v>5</v>
      </c>
      <c r="I175" s="385">
        <f>DSUM(Recipes!$B$4:$K$3940, "TOTAL", A174:A175)</f>
        <v>43</v>
      </c>
    </row>
    <row r="176" spans="1:9" hidden="1" x14ac:dyDescent="0.25">
      <c r="A176" s="387" t="s">
        <v>556</v>
      </c>
      <c r="B176" s="384">
        <f>DSUM(Recipes!$B$4:$K$3940, "MON", A175:A176)</f>
        <v>0</v>
      </c>
      <c r="C176" s="385">
        <f>DSUM(Recipes!$B$4:$K$3940, "TUES", A175:A176)</f>
        <v>0</v>
      </c>
      <c r="D176" s="384">
        <f>DSUM(Recipes!$B$4:$K$3940, "WED", A175:A176)</f>
        <v>0</v>
      </c>
      <c r="E176" s="385">
        <f>DSUM(Recipes!$B$4:$K$3940, "THURS", A175:A176)</f>
        <v>0</v>
      </c>
      <c r="F176" s="384">
        <f>DSUM(Recipes!$B$4:$K$3940, "FRI", A175:A176)</f>
        <v>0</v>
      </c>
      <c r="G176" s="385">
        <f>DSUM(Recipes!$B$4:$K$3940, "SAT", A175:A176)</f>
        <v>0</v>
      </c>
      <c r="H176" s="384">
        <f>DSUM(Recipes!$B$4:$K$3940, "SUN", A175:A176)</f>
        <v>0</v>
      </c>
      <c r="I176" s="385">
        <f>DSUM(Recipes!$B$4:$K$3940, "TOTAL", A175:A176)</f>
        <v>0</v>
      </c>
    </row>
    <row r="177" spans="1:9" x14ac:dyDescent="0.25">
      <c r="A177" s="387" t="s">
        <v>1886</v>
      </c>
      <c r="B177" s="384">
        <f>DSUM(Recipes!$B$4:$K$3940, "MON", A176:A177)</f>
        <v>1</v>
      </c>
      <c r="C177" s="385">
        <f>DSUM(Recipes!$B$4:$K$3940, "TUES", A176:A177)</f>
        <v>1</v>
      </c>
      <c r="D177" s="384">
        <f>DSUM(Recipes!$B$4:$K$3940, "WED", A176:A177)</f>
        <v>1</v>
      </c>
      <c r="E177" s="385">
        <f>DSUM(Recipes!$B$4:$K$3940, "THURS", A176:A177)</f>
        <v>3</v>
      </c>
      <c r="F177" s="384">
        <f>DSUM(Recipes!$B$4:$K$3940, "FRI", A176:A177)</f>
        <v>1</v>
      </c>
      <c r="G177" s="385">
        <f>DSUM(Recipes!$B$4:$K$3940, "SAT", A176:A177)</f>
        <v>7</v>
      </c>
      <c r="H177" s="384">
        <f>DSUM(Recipes!$B$4:$K$3940, "SUN", A176:A177)</f>
        <v>3</v>
      </c>
      <c r="I177" s="385">
        <f>DSUM(Recipes!$B$4:$K$3940, "TOTAL", A176:A177)</f>
        <v>17</v>
      </c>
    </row>
    <row r="178" spans="1:9" hidden="1" x14ac:dyDescent="0.25">
      <c r="A178" s="387" t="s">
        <v>556</v>
      </c>
      <c r="B178" s="384">
        <f>DSUM(Recipes!$B$4:$K$3940, "MON", A177:A178)</f>
        <v>0</v>
      </c>
      <c r="C178" s="385">
        <f>DSUM(Recipes!$B$4:$K$3940, "TUES", A177:A178)</f>
        <v>0</v>
      </c>
      <c r="D178" s="384">
        <f>DSUM(Recipes!$B$4:$K$3940, "WED", A177:A178)</f>
        <v>0</v>
      </c>
      <c r="E178" s="385">
        <f>DSUM(Recipes!$B$4:$K$3940, "THURS", A177:A178)</f>
        <v>0</v>
      </c>
      <c r="F178" s="384">
        <f>DSUM(Recipes!$B$4:$K$3940, "FRI", A177:A178)</f>
        <v>0</v>
      </c>
      <c r="G178" s="385">
        <f>DSUM(Recipes!$B$4:$K$3940, "SAT", A177:A178)</f>
        <v>0</v>
      </c>
      <c r="H178" s="384">
        <f>DSUM(Recipes!$B$4:$K$3940, "SUN", A177:A178)</f>
        <v>0</v>
      </c>
      <c r="I178" s="385">
        <f>DSUM(Recipes!$B$4:$K$3940, "TOTAL", A177:A178)</f>
        <v>0</v>
      </c>
    </row>
    <row r="179" spans="1:9" x14ac:dyDescent="0.25">
      <c r="A179" s="387" t="s">
        <v>62</v>
      </c>
      <c r="B179" s="384">
        <f>DSUM(Recipes!$B$4:$K$3940, "MON", A178:A179)</f>
        <v>2</v>
      </c>
      <c r="C179" s="385">
        <f>DSUM(Recipes!$B$4:$K$3940, "TUES", A178:A179)</f>
        <v>1</v>
      </c>
      <c r="D179" s="384">
        <f>DSUM(Recipes!$B$4:$K$3940, "WED", A178:A179)</f>
        <v>0</v>
      </c>
      <c r="E179" s="385">
        <f>DSUM(Recipes!$B$4:$K$3940, "THURS", A178:A179)</f>
        <v>0</v>
      </c>
      <c r="F179" s="384">
        <f>DSUM(Recipes!$B$4:$K$3940, "FRI", A178:A179)</f>
        <v>2</v>
      </c>
      <c r="G179" s="385">
        <f>DSUM(Recipes!$B$4:$K$3940, "SAT", A178:A179)</f>
        <v>6</v>
      </c>
      <c r="H179" s="384">
        <f>DSUM(Recipes!$B$4:$K$3940, "SUN", A178:A179)</f>
        <v>0</v>
      </c>
      <c r="I179" s="385">
        <f>DSUM(Recipes!$B$4:$K$3940, "TOTAL", A178:A179)</f>
        <v>11</v>
      </c>
    </row>
    <row r="180" spans="1:9" hidden="1" x14ac:dyDescent="0.25">
      <c r="A180" s="387" t="s">
        <v>556</v>
      </c>
      <c r="B180" s="384">
        <f>DSUM(Recipes!$B$4:$K$3940, "MON", A179:A180)</f>
        <v>0</v>
      </c>
      <c r="C180" s="385">
        <f>DSUM(Recipes!$B$4:$K$3940, "TUES", A179:A180)</f>
        <v>0</v>
      </c>
      <c r="D180" s="384">
        <f>DSUM(Recipes!$B$4:$K$3940, "WED", A179:A180)</f>
        <v>0</v>
      </c>
      <c r="E180" s="385">
        <f>DSUM(Recipes!$B$4:$K$3940, "THURS", A179:A180)</f>
        <v>0</v>
      </c>
      <c r="F180" s="384">
        <f>DSUM(Recipes!$B$4:$K$3940, "FRI", A179:A180)</f>
        <v>0</v>
      </c>
      <c r="G180" s="385">
        <f>DSUM(Recipes!$B$4:$K$3940, "SAT", A179:A180)</f>
        <v>0</v>
      </c>
      <c r="H180" s="384">
        <f>DSUM(Recipes!$B$4:$K$3940, "SUN", A179:A180)</f>
        <v>0</v>
      </c>
      <c r="I180" s="385">
        <f>DSUM(Recipes!$B$4:$K$3940, "TOTAL", A179:A180)</f>
        <v>0</v>
      </c>
    </row>
    <row r="181" spans="1:9" x14ac:dyDescent="0.25">
      <c r="A181" s="387" t="s">
        <v>1912</v>
      </c>
      <c r="B181" s="384">
        <f>DSUM(Recipes!$B$4:$K$3940, "MON", A180:A181)</f>
        <v>10</v>
      </c>
      <c r="C181" s="385">
        <f>DSUM(Recipes!$B$4:$K$3940, "TUES", A180:A181)</f>
        <v>3.5</v>
      </c>
      <c r="D181" s="384">
        <f>DSUM(Recipes!$B$4:$K$3940, "WED", A180:A181)</f>
        <v>3</v>
      </c>
      <c r="E181" s="385">
        <f>DSUM(Recipes!$B$4:$K$3940, "THURS", A180:A181)</f>
        <v>2</v>
      </c>
      <c r="F181" s="384">
        <f>DSUM(Recipes!$B$4:$K$3940, "FRI", A180:A181)</f>
        <v>20.5</v>
      </c>
      <c r="G181" s="385">
        <f>DSUM(Recipes!$B$4:$K$3940, "SAT", A180:A181)</f>
        <v>19.5</v>
      </c>
      <c r="H181" s="384">
        <f>DSUM(Recipes!$B$4:$K$3940, "SUN", A180:A181)</f>
        <v>7.5</v>
      </c>
      <c r="I181" s="385">
        <f>DSUM(Recipes!$B$4:$K$3940, "TOTAL", A180:A181)</f>
        <v>66</v>
      </c>
    </row>
    <row r="182" spans="1:9" hidden="1" x14ac:dyDescent="0.25">
      <c r="A182" s="387" t="s">
        <v>556</v>
      </c>
      <c r="B182" s="384">
        <f>DSUM(Recipes!$B$4:$K$3940, "MON", A181:A182)</f>
        <v>0</v>
      </c>
      <c r="C182" s="385">
        <f>DSUM(Recipes!$B$4:$K$3940, "TUES", A181:A182)</f>
        <v>0</v>
      </c>
      <c r="D182" s="384">
        <f>DSUM(Recipes!$B$4:$K$3940, "WED", A181:A182)</f>
        <v>0</v>
      </c>
      <c r="E182" s="385">
        <f>DSUM(Recipes!$B$4:$K$3940, "THURS", A181:A182)</f>
        <v>0</v>
      </c>
      <c r="F182" s="384">
        <f>DSUM(Recipes!$B$4:$K$3940, "FRI", A181:A182)</f>
        <v>0</v>
      </c>
      <c r="G182" s="385">
        <f>DSUM(Recipes!$B$4:$K$3940, "SAT", A181:A182)</f>
        <v>0</v>
      </c>
      <c r="H182" s="384">
        <f>DSUM(Recipes!$B$4:$K$3940, "SUN", A181:A182)</f>
        <v>0</v>
      </c>
      <c r="I182" s="385">
        <f>DSUM(Recipes!$B$4:$K$3940, "TOTAL", A181:A182)</f>
        <v>0</v>
      </c>
    </row>
    <row r="183" spans="1:9" x14ac:dyDescent="0.25">
      <c r="A183" s="387" t="s">
        <v>822</v>
      </c>
      <c r="B183" s="384">
        <f>DSUM(Recipes!$B$4:$K$3940, "MON", A182:A183)</f>
        <v>2</v>
      </c>
      <c r="C183" s="385">
        <f>DSUM(Recipes!$B$4:$K$3940, "TUES", A182:A183)</f>
        <v>0</v>
      </c>
      <c r="D183" s="384">
        <f>DSUM(Recipes!$B$4:$K$3940, "WED", A182:A183)</f>
        <v>1</v>
      </c>
      <c r="E183" s="385">
        <f>DSUM(Recipes!$B$4:$K$3940, "THURS", A182:A183)</f>
        <v>0</v>
      </c>
      <c r="F183" s="384">
        <f>DSUM(Recipes!$B$4:$K$3940, "FRI", A182:A183)</f>
        <v>8</v>
      </c>
      <c r="G183" s="385">
        <f>DSUM(Recipes!$B$4:$K$3940, "SAT", A182:A183)</f>
        <v>6</v>
      </c>
      <c r="H183" s="384">
        <f>DSUM(Recipes!$B$4:$K$3940, "SUN", A182:A183)</f>
        <v>2</v>
      </c>
      <c r="I183" s="385">
        <f>DSUM(Recipes!$B$4:$K$3940, "TOTAL", A182:A183)</f>
        <v>19</v>
      </c>
    </row>
    <row r="184" spans="1:9" hidden="1" x14ac:dyDescent="0.25">
      <c r="A184" s="387" t="s">
        <v>556</v>
      </c>
      <c r="B184" s="384">
        <f>DSUM(Recipes!$B$4:$K$3940, "MON", A183:A184)</f>
        <v>0</v>
      </c>
      <c r="C184" s="385">
        <f>DSUM(Recipes!$B$4:$K$3940, "TUES", A183:A184)</f>
        <v>0</v>
      </c>
      <c r="D184" s="384">
        <f>DSUM(Recipes!$B$4:$K$3940, "WED", A183:A184)</f>
        <v>0</v>
      </c>
      <c r="E184" s="385">
        <f>DSUM(Recipes!$B$4:$K$3940, "THURS", A183:A184)</f>
        <v>0</v>
      </c>
      <c r="F184" s="384">
        <f>DSUM(Recipes!$B$4:$K$3940, "FRI", A183:A184)</f>
        <v>0</v>
      </c>
      <c r="G184" s="385">
        <f>DSUM(Recipes!$B$4:$K$3940, "SAT", A183:A184)</f>
        <v>0</v>
      </c>
      <c r="H184" s="384">
        <f>DSUM(Recipes!$B$4:$K$3940, "SUN", A183:A184)</f>
        <v>0</v>
      </c>
      <c r="I184" s="385">
        <f>DSUM(Recipes!$B$4:$K$3940, "TOTAL", A183:A184)</f>
        <v>0</v>
      </c>
    </row>
    <row r="185" spans="1:9" x14ac:dyDescent="0.25">
      <c r="A185" s="387" t="s">
        <v>1915</v>
      </c>
      <c r="B185" s="384">
        <f>DSUM(Recipes!$B$4:$K$3940, "MON", A184:A185)</f>
        <v>2</v>
      </c>
      <c r="C185" s="385">
        <f>DSUM(Recipes!$B$4:$K$3940, "TUES", A184:A185)</f>
        <v>2</v>
      </c>
      <c r="D185" s="384">
        <f>DSUM(Recipes!$B$4:$K$3940, "WED", A184:A185)</f>
        <v>4</v>
      </c>
      <c r="E185" s="385">
        <f>DSUM(Recipes!$B$4:$K$3940, "THURS", A184:A185)</f>
        <v>2</v>
      </c>
      <c r="F185" s="384">
        <f>DSUM(Recipes!$B$4:$K$3940, "FRI", A184:A185)</f>
        <v>8</v>
      </c>
      <c r="G185" s="385">
        <f>DSUM(Recipes!$B$4:$K$3940, "SAT", A184:A185)</f>
        <v>13</v>
      </c>
      <c r="H185" s="384">
        <f>DSUM(Recipes!$B$4:$K$3940, "SUN", A184:A185)</f>
        <v>7</v>
      </c>
      <c r="I185" s="385">
        <f>DSUM(Recipes!$B$4:$K$3940, "TOTAL", A184:A185)</f>
        <v>38</v>
      </c>
    </row>
    <row r="186" spans="1:9" hidden="1" x14ac:dyDescent="0.25">
      <c r="A186" s="387" t="s">
        <v>556</v>
      </c>
      <c r="B186" s="384">
        <f>DSUM(Recipes!$B$4:$K$3940, "MON", A185:A186)</f>
        <v>0</v>
      </c>
      <c r="C186" s="385">
        <f>DSUM(Recipes!$B$4:$K$3940, "TUES", A185:A186)</f>
        <v>0</v>
      </c>
      <c r="D186" s="384">
        <f>DSUM(Recipes!$B$4:$K$3940, "WED", A185:A186)</f>
        <v>0</v>
      </c>
      <c r="E186" s="385">
        <f>DSUM(Recipes!$B$4:$K$3940, "THURS", A185:A186)</f>
        <v>0</v>
      </c>
      <c r="F186" s="384">
        <f>DSUM(Recipes!$B$4:$K$3940, "FRI", A185:A186)</f>
        <v>0</v>
      </c>
      <c r="G186" s="385">
        <f>DSUM(Recipes!$B$4:$K$3940, "SAT", A185:A186)</f>
        <v>0</v>
      </c>
      <c r="H186" s="384">
        <f>DSUM(Recipes!$B$4:$K$3940, "SUN", A185:A186)</f>
        <v>0</v>
      </c>
      <c r="I186" s="385">
        <f>DSUM(Recipes!$B$4:$K$3940, "TOTAL", A185:A186)</f>
        <v>0</v>
      </c>
    </row>
    <row r="187" spans="1:9" x14ac:dyDescent="0.25">
      <c r="A187" s="389" t="s">
        <v>1928</v>
      </c>
      <c r="B187" s="384">
        <f>DSUM(Recipes!$B$4:$K$3940, "MON", A186:A187)</f>
        <v>0</v>
      </c>
      <c r="C187" s="385">
        <f>DSUM(Recipes!$B$4:$K$3940, "TUES", A186:A187)</f>
        <v>2</v>
      </c>
      <c r="D187" s="384">
        <f>DSUM(Recipes!$B$4:$K$3940, "WED", A186:A187)</f>
        <v>1.5</v>
      </c>
      <c r="E187" s="385">
        <f>DSUM(Recipes!$B$4:$K$3940, "THURS", A186:A187)</f>
        <v>0</v>
      </c>
      <c r="F187" s="384">
        <f>DSUM(Recipes!$B$4:$K$3940, "FRI", A186:A187)</f>
        <v>5</v>
      </c>
      <c r="G187" s="385">
        <f>DSUM(Recipes!$B$4:$K$3940, "SAT", A186:A187)</f>
        <v>13</v>
      </c>
      <c r="H187" s="384">
        <f>DSUM(Recipes!$B$4:$K$3940, "SUN", A186:A187)</f>
        <v>4</v>
      </c>
      <c r="I187" s="385">
        <f>DSUM(Recipes!$B$4:$K$3940, "TOTAL", A186:A187)</f>
        <v>25.5</v>
      </c>
    </row>
    <row r="188" spans="1:9" x14ac:dyDescent="0.25">
      <c r="A188" s="387">
        <v>0</v>
      </c>
      <c r="B188" s="384">
        <f>DSUM(Recipes!$B$4:$K$3940, "MON", A187:A188)</f>
        <v>0</v>
      </c>
      <c r="C188" s="385">
        <f>DSUM(Recipes!$B$4:$K$3940, "TUES", A187:A188)</f>
        <v>0</v>
      </c>
      <c r="D188" s="384">
        <f>DSUM(Recipes!$B$4:$K$3940, "WED", A187:A188)</f>
        <v>0</v>
      </c>
      <c r="E188" s="385">
        <f>DSUM(Recipes!$B$4:$K$3940, "THURS", A187:A188)</f>
        <v>0</v>
      </c>
      <c r="F188" s="384">
        <f>DSUM(Recipes!$B$4:$K$3940, "FRI", A187:A188)</f>
        <v>0</v>
      </c>
      <c r="G188" s="385">
        <f>DSUM(Recipes!$B$4:$K$3940, "SAT", A187:A188)</f>
        <v>0</v>
      </c>
      <c r="H188" s="384">
        <f>DSUM(Recipes!$B$4:$K$3940, "SUN", A187:A188)</f>
        <v>0</v>
      </c>
      <c r="I188" s="385">
        <f>DSUM(Recipes!$B$4:$K$3940, "TOTAL", A187:A188)</f>
        <v>0</v>
      </c>
    </row>
    <row r="189" spans="1:9" hidden="1" x14ac:dyDescent="0.25">
      <c r="A189" s="387" t="s">
        <v>556</v>
      </c>
      <c r="B189" s="384">
        <f>DSUM(Recipes!$B$4:$K$3940, "MON", A188:A189)</f>
        <v>0</v>
      </c>
      <c r="C189" s="385">
        <f>DSUM(Recipes!$B$4:$K$3940, "TUES", A188:A189)</f>
        <v>0</v>
      </c>
      <c r="D189" s="384">
        <f>DSUM(Recipes!$B$4:$K$3940, "WED", A188:A189)</f>
        <v>0</v>
      </c>
      <c r="E189" s="385">
        <f>DSUM(Recipes!$B$4:$K$3940, "THURS", A188:A189)</f>
        <v>0</v>
      </c>
      <c r="F189" s="384">
        <f>DSUM(Recipes!$B$4:$K$3940, "FRI", A188:A189)</f>
        <v>0</v>
      </c>
      <c r="G189" s="385">
        <f>DSUM(Recipes!$B$4:$K$3940, "SAT", A188:A189)</f>
        <v>0</v>
      </c>
      <c r="H189" s="384">
        <f>DSUM(Recipes!$B$4:$K$3940, "SUN", A188:A189)</f>
        <v>0</v>
      </c>
      <c r="I189" s="385">
        <f>DSUM(Recipes!$B$4:$K$3940, "TOTAL", A188:A189)</f>
        <v>0</v>
      </c>
    </row>
    <row r="190" spans="1:9" x14ac:dyDescent="0.25">
      <c r="A190" s="387">
        <v>0</v>
      </c>
      <c r="B190" s="384">
        <f>DSUM(Recipes!$B$4:$K$3940, "MON", A189:A190)</f>
        <v>0</v>
      </c>
      <c r="C190" s="385">
        <f>DSUM(Recipes!$B$4:$K$3940, "TUES", A189:A190)</f>
        <v>0</v>
      </c>
      <c r="D190" s="384">
        <f>DSUM(Recipes!$B$4:$K$3940, "WED", A189:A190)</f>
        <v>0</v>
      </c>
      <c r="E190" s="385">
        <f>DSUM(Recipes!$B$4:$K$3940, "THURS", A189:A190)</f>
        <v>0</v>
      </c>
      <c r="F190" s="384">
        <f>DSUM(Recipes!$B$4:$K$3940, "FRI", A189:A190)</f>
        <v>0</v>
      </c>
      <c r="G190" s="385">
        <f>DSUM(Recipes!$B$4:$K$3940, "SAT", A189:A190)</f>
        <v>0</v>
      </c>
      <c r="H190" s="384">
        <f>DSUM(Recipes!$B$4:$K$3940, "SUN", A189:A190)</f>
        <v>0</v>
      </c>
      <c r="I190" s="385">
        <f>DSUM(Recipes!$B$4:$K$3940, "TOTAL", A189:A190)</f>
        <v>0</v>
      </c>
    </row>
    <row r="191" spans="1:9" x14ac:dyDescent="0.25">
      <c r="A191" s="387">
        <v>0</v>
      </c>
      <c r="B191" s="384">
        <f>DSUM(Recipes!$B$4:$K$3940, "MON", A190:A191)</f>
        <v>0</v>
      </c>
      <c r="C191" s="385">
        <f>DSUM(Recipes!$B$4:$K$3940, "TUES", A190:A191)</f>
        <v>0</v>
      </c>
      <c r="D191" s="384">
        <f>DSUM(Recipes!$B$4:$K$3940, "WED", A190:A191)</f>
        <v>0</v>
      </c>
      <c r="E191" s="385">
        <f>DSUM(Recipes!$B$4:$K$3940, "THURS", A190:A191)</f>
        <v>0</v>
      </c>
      <c r="F191" s="384">
        <f>DSUM(Recipes!$B$4:$K$3940, "FRI", A190:A191)</f>
        <v>0</v>
      </c>
      <c r="G191" s="385">
        <f>DSUM(Recipes!$B$4:$K$3940, "SAT", A190:A191)</f>
        <v>0</v>
      </c>
      <c r="H191" s="384">
        <f>DSUM(Recipes!$B$4:$K$3940, "SUN", A190:A191)</f>
        <v>0</v>
      </c>
      <c r="I191" s="385">
        <f>DSUM(Recipes!$B$4:$K$3940, "TOTAL", A190:A191)</f>
        <v>0</v>
      </c>
    </row>
    <row r="192" spans="1:9" ht="15" customHeight="1" x14ac:dyDescent="0.25">
      <c r="A192" s="383">
        <v>0</v>
      </c>
      <c r="B192" s="390"/>
      <c r="C192" s="391"/>
      <c r="D192" s="390"/>
      <c r="E192" s="391"/>
      <c r="F192" s="384">
        <f>DSUM(Recipes!$B$4:$K$3940, "FRI", A191:A192)</f>
        <v>0</v>
      </c>
      <c r="G192" s="385">
        <f>DSUM(Recipes!$B$4:$K$3940, "SAT", A191:A192)</f>
        <v>0</v>
      </c>
      <c r="H192" s="384">
        <f>DSUM(Recipes!$B$4:$K$3940, "SUN", A191:A192)</f>
        <v>0</v>
      </c>
      <c r="I192" s="385">
        <f>DSUM(Recipes!$B$4:$K$3940, "TOTAL", A191:A192)</f>
        <v>0</v>
      </c>
    </row>
    <row r="193" spans="1:1" ht="15" customHeight="1" x14ac:dyDescent="0.25">
      <c r="A193" s="383">
        <v>0</v>
      </c>
    </row>
  </sheetData>
  <pageMargins left="0.7" right="0.7" top="0.75" bottom="0.75" header="0.3" footer="0.3"/>
  <pageSetup scale="93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36282-D992-4DC7-AADB-024AB4F85683}">
  <sheetPr codeName="Sheet6"/>
  <dimension ref="A1:G23"/>
  <sheetViews>
    <sheetView topLeftCell="A7" workbookViewId="0">
      <selection activeCell="F22" sqref="F22:G22"/>
    </sheetView>
  </sheetViews>
  <sheetFormatPr defaultRowHeight="21" customHeight="1" x14ac:dyDescent="0.25"/>
  <cols>
    <col min="1" max="2" width="18.28515625" customWidth="1"/>
    <col min="3" max="4" width="14.42578125" customWidth="1"/>
    <col min="5" max="5" width="12.7109375" customWidth="1"/>
    <col min="6" max="6" width="14.5703125" customWidth="1"/>
    <col min="7" max="7" width="15.7109375" customWidth="1"/>
  </cols>
  <sheetData>
    <row r="1" spans="1:7" ht="21" customHeight="1" thickBot="1" x14ac:dyDescent="0.3"/>
    <row r="2" spans="1:7" ht="21" customHeight="1" thickBot="1" x14ac:dyDescent="0.3">
      <c r="A2" s="572" t="s">
        <v>131</v>
      </c>
      <c r="B2" s="578" t="s">
        <v>892</v>
      </c>
      <c r="C2" s="573" t="s">
        <v>328</v>
      </c>
      <c r="D2" s="573" t="s">
        <v>893</v>
      </c>
      <c r="E2" s="573" t="s">
        <v>879</v>
      </c>
      <c r="F2" s="573" t="s">
        <v>878</v>
      </c>
      <c r="G2" s="574" t="s">
        <v>880</v>
      </c>
    </row>
    <row r="3" spans="1:7" ht="21" customHeight="1" thickBot="1" x14ac:dyDescent="0.3">
      <c r="A3" s="575" t="s">
        <v>881</v>
      </c>
      <c r="B3" s="579" t="s">
        <v>140</v>
      </c>
      <c r="C3" s="577">
        <f>'Inventory Worksheet'!J19</f>
        <v>48</v>
      </c>
      <c r="D3" s="582">
        <f>'Inventory Worksheet'!K19</f>
        <v>10.5075</v>
      </c>
      <c r="E3" s="581">
        <f>'Daily Product Breakdown'!I125*7/16/2.2</f>
        <v>32.414772727272727</v>
      </c>
      <c r="F3" s="581">
        <f>E3-C3</f>
        <v>-15.585227272727273</v>
      </c>
      <c r="G3" s="583">
        <f>F3*D3</f>
        <v>-163.76177556818183</v>
      </c>
    </row>
    <row r="4" spans="1:7" ht="21" customHeight="1" thickBot="1" x14ac:dyDescent="0.3">
      <c r="A4" s="576" t="s">
        <v>882</v>
      </c>
      <c r="B4" s="580" t="s">
        <v>140</v>
      </c>
      <c r="C4" s="577">
        <f>'Inventory Worksheet'!J22</f>
        <v>24</v>
      </c>
      <c r="D4" s="582">
        <f>'Inventory Worksheet'!K22</f>
        <v>11.31</v>
      </c>
      <c r="E4" s="581">
        <f>'Daily Product Breakdown'!I115*3.5/16/2.2</f>
        <v>0</v>
      </c>
      <c r="F4" s="581">
        <f t="shared" ref="F4:F19" si="0">E4-C4</f>
        <v>-24</v>
      </c>
      <c r="G4" s="583">
        <f t="shared" ref="G4:G19" si="1">F4*D4</f>
        <v>-271.44</v>
      </c>
    </row>
    <row r="5" spans="1:7" ht="21" customHeight="1" thickBot="1" x14ac:dyDescent="0.3">
      <c r="A5" s="576" t="s">
        <v>883</v>
      </c>
      <c r="B5" s="580" t="s">
        <v>506</v>
      </c>
      <c r="C5" s="577">
        <f>'Inventory Worksheet'!J8</f>
        <v>37</v>
      </c>
      <c r="D5" s="582">
        <f>'Inventory Worksheet'!K8</f>
        <v>3.54</v>
      </c>
      <c r="E5" s="581">
        <f>'Daily Product Breakdown'!I123/16</f>
        <v>13.280625000000001</v>
      </c>
      <c r="F5" s="581">
        <f t="shared" si="0"/>
        <v>-23.719374999999999</v>
      </c>
      <c r="G5" s="583">
        <f t="shared" si="1"/>
        <v>-83.966587500000003</v>
      </c>
    </row>
    <row r="6" spans="1:7" ht="21" customHeight="1" thickBot="1" x14ac:dyDescent="0.3">
      <c r="A6" s="576" t="s">
        <v>884</v>
      </c>
      <c r="B6" s="580" t="s">
        <v>140</v>
      </c>
      <c r="C6" s="577">
        <f>'Inventory Worksheet'!J20</f>
        <v>40.5</v>
      </c>
      <c r="D6" s="582">
        <f>'Inventory Worksheet'!K20</f>
        <v>10.702999999999999</v>
      </c>
      <c r="E6" s="581">
        <f>'Daily Product Breakdown'!I39+'Daily Product Breakdown'!I41/16/2.2</f>
        <v>22.755681818181817</v>
      </c>
      <c r="F6" s="581">
        <f t="shared" si="0"/>
        <v>-17.744318181818183</v>
      </c>
      <c r="G6" s="583">
        <f t="shared" si="1"/>
        <v>-189.91743750000001</v>
      </c>
    </row>
    <row r="7" spans="1:7" ht="21" customHeight="1" thickBot="1" x14ac:dyDescent="0.3">
      <c r="A7" s="576" t="s">
        <v>885</v>
      </c>
      <c r="B7" s="580" t="s">
        <v>506</v>
      </c>
      <c r="C7" s="577">
        <f>'Inventory Worksheet'!J21</f>
        <v>75</v>
      </c>
      <c r="D7" s="582">
        <f>'Inventory Worksheet'!K21</f>
        <v>4.2300000000000004</v>
      </c>
      <c r="E7" s="581">
        <f>'Daily Product Breakdown'!I111/16/2.2</f>
        <v>0</v>
      </c>
      <c r="F7" s="581">
        <f t="shared" si="0"/>
        <v>-75</v>
      </c>
      <c r="G7" s="583">
        <f t="shared" si="1"/>
        <v>-317.25000000000006</v>
      </c>
    </row>
    <row r="8" spans="1:7" ht="21" customHeight="1" thickBot="1" x14ac:dyDescent="0.3">
      <c r="A8" s="576" t="s">
        <v>886</v>
      </c>
      <c r="B8" s="580" t="s">
        <v>894</v>
      </c>
      <c r="C8" s="577">
        <f>'Inventory Worksheet'!J30</f>
        <v>21</v>
      </c>
      <c r="D8" s="582">
        <f>'Inventory Worksheet'!K30</f>
        <v>4.3600000000000003</v>
      </c>
      <c r="E8" s="581">
        <f>'Daily Product Breakdown'!I47</f>
        <v>23</v>
      </c>
      <c r="F8" s="581">
        <f t="shared" si="0"/>
        <v>2</v>
      </c>
      <c r="G8" s="583">
        <f t="shared" si="1"/>
        <v>8.7200000000000006</v>
      </c>
    </row>
    <row r="9" spans="1:7" ht="21" customHeight="1" thickBot="1" x14ac:dyDescent="0.3">
      <c r="A9" s="576" t="s">
        <v>887</v>
      </c>
      <c r="B9" s="580" t="s">
        <v>506</v>
      </c>
      <c r="C9" s="577">
        <f>'Inventory Worksheet'!J29</f>
        <v>15</v>
      </c>
      <c r="D9" s="582">
        <f>'Inventory Worksheet'!K29</f>
        <v>7.17</v>
      </c>
      <c r="E9" s="581">
        <f>'Daily Product Breakdown'!I79/55</f>
        <v>0</v>
      </c>
      <c r="F9" s="581">
        <f t="shared" si="0"/>
        <v>-15</v>
      </c>
      <c r="G9" s="583">
        <f t="shared" si="1"/>
        <v>-107.55</v>
      </c>
    </row>
    <row r="10" spans="1:7" ht="21" customHeight="1" thickBot="1" x14ac:dyDescent="0.3">
      <c r="A10" s="576" t="s">
        <v>888</v>
      </c>
      <c r="B10" s="580" t="s">
        <v>506</v>
      </c>
      <c r="C10" s="577">
        <f>'Inventory Worksheet'!J26</f>
        <v>0</v>
      </c>
      <c r="D10" s="582">
        <f>'Inventory Worksheet'!K26</f>
        <v>0</v>
      </c>
      <c r="E10" s="581">
        <f>'Daily Product Breakdown'!I132*7/16/2.2</f>
        <v>0</v>
      </c>
      <c r="F10" s="581">
        <f t="shared" si="0"/>
        <v>0</v>
      </c>
      <c r="G10" s="583">
        <f t="shared" si="1"/>
        <v>0</v>
      </c>
    </row>
    <row r="11" spans="1:7" ht="21" customHeight="1" thickBot="1" x14ac:dyDescent="0.3">
      <c r="A11" s="576" t="s">
        <v>889</v>
      </c>
      <c r="B11" s="580" t="s">
        <v>506</v>
      </c>
      <c r="C11" s="577">
        <f>'Inventory Worksheet'!J27</f>
        <v>20</v>
      </c>
      <c r="D11" s="582">
        <f>'Inventory Worksheet'!K27</f>
        <v>2.5089999999999999</v>
      </c>
      <c r="E11" s="581">
        <f>'Daily Product Breakdown'!I183/23</f>
        <v>0.82608695652173914</v>
      </c>
      <c r="F11" s="581">
        <f t="shared" si="0"/>
        <v>-19.173913043478262</v>
      </c>
      <c r="G11" s="583">
        <f t="shared" si="1"/>
        <v>-48.107347826086958</v>
      </c>
    </row>
    <row r="12" spans="1:7" ht="21" customHeight="1" x14ac:dyDescent="0.25">
      <c r="A12" s="585" t="s">
        <v>890</v>
      </c>
      <c r="B12" s="586" t="s">
        <v>506</v>
      </c>
      <c r="C12" s="587">
        <f>'Inventory Worksheet'!J28</f>
        <v>11</v>
      </c>
      <c r="D12" s="588">
        <f>'Inventory Worksheet'!K28</f>
        <v>14.5</v>
      </c>
      <c r="E12" s="589">
        <f>'Daily Product Breakdown'!I134*7/16/2.2</f>
        <v>0</v>
      </c>
      <c r="F12" s="589">
        <f t="shared" si="0"/>
        <v>-11</v>
      </c>
      <c r="G12" s="590">
        <f t="shared" si="1"/>
        <v>-159.5</v>
      </c>
    </row>
    <row r="13" spans="1:7" ht="21" customHeight="1" x14ac:dyDescent="0.25">
      <c r="A13" s="591" t="s">
        <v>891</v>
      </c>
      <c r="B13" s="591" t="s">
        <v>506</v>
      </c>
      <c r="C13" s="592">
        <f>'Inventory Worksheet'!J7</f>
        <v>61</v>
      </c>
      <c r="D13" s="593" t="e">
        <f>'Inventory Worksheet'!#REF!</f>
        <v>#REF!</v>
      </c>
      <c r="E13" s="584">
        <f>'Daily Product Breakdown'!I105/16</f>
        <v>14.90625</v>
      </c>
      <c r="F13" s="584">
        <f t="shared" si="0"/>
        <v>-46.09375</v>
      </c>
      <c r="G13" s="594" t="e">
        <f t="shared" si="1"/>
        <v>#REF!</v>
      </c>
    </row>
    <row r="14" spans="1:7" ht="21" customHeight="1" x14ac:dyDescent="0.25">
      <c r="A14" s="591" t="s">
        <v>895</v>
      </c>
      <c r="B14" s="591" t="s">
        <v>157</v>
      </c>
      <c r="C14" s="592">
        <f>'Inventory Worksheet'!J95</f>
        <v>75.099999999999994</v>
      </c>
      <c r="D14" s="593">
        <f>'Inventory Worksheet'!K95</f>
        <v>8.3249999999999993</v>
      </c>
      <c r="E14" s="584">
        <f>'Daily Product Breakdown'!I73/64</f>
        <v>23.921875</v>
      </c>
      <c r="F14" s="584">
        <f t="shared" si="0"/>
        <v>-51.178124999999994</v>
      </c>
      <c r="G14" s="594">
        <f t="shared" si="1"/>
        <v>-426.05789062499991</v>
      </c>
    </row>
    <row r="15" spans="1:7" ht="21" customHeight="1" x14ac:dyDescent="0.25">
      <c r="A15" s="591" t="s">
        <v>896</v>
      </c>
      <c r="B15" s="591" t="s">
        <v>157</v>
      </c>
      <c r="C15" s="592">
        <f>'Inventory Worksheet'!J96</f>
        <v>57.1</v>
      </c>
      <c r="D15" s="593">
        <f>'Inventory Worksheet'!K96</f>
        <v>7.9316000000000004</v>
      </c>
      <c r="E15" s="584">
        <f>'Daily Product Breakdown'!I65/105</f>
        <v>12.580857142857143</v>
      </c>
      <c r="F15" s="584">
        <f t="shared" si="0"/>
        <v>-44.51914285714286</v>
      </c>
      <c r="G15" s="594">
        <f t="shared" si="1"/>
        <v>-353.10803348571432</v>
      </c>
    </row>
    <row r="16" spans="1:7" ht="21" customHeight="1" x14ac:dyDescent="0.25">
      <c r="A16" s="591" t="s">
        <v>897</v>
      </c>
      <c r="B16" s="591" t="s">
        <v>157</v>
      </c>
      <c r="C16" s="592">
        <f>'Inventory Worksheet'!J96</f>
        <v>57.1</v>
      </c>
      <c r="D16" s="593">
        <f>'Inventory Worksheet'!K96</f>
        <v>7.9316000000000004</v>
      </c>
      <c r="E16" s="584">
        <f>'Daily Product Breakdown'!I67/64</f>
        <v>0.609375</v>
      </c>
      <c r="F16" s="584">
        <f t="shared" si="0"/>
        <v>-56.490625000000001</v>
      </c>
      <c r="G16" s="594">
        <f t="shared" si="1"/>
        <v>-448.06104125000002</v>
      </c>
    </row>
    <row r="17" spans="1:7" ht="21" customHeight="1" x14ac:dyDescent="0.25">
      <c r="A17" s="591" t="s">
        <v>898</v>
      </c>
      <c r="B17" s="591" t="s">
        <v>140</v>
      </c>
      <c r="C17" s="592">
        <f>'Inventory Worksheet'!J50</f>
        <v>50.5</v>
      </c>
      <c r="D17" s="593">
        <f>'Inventory Worksheet'!K50</f>
        <v>9.6940000000000008</v>
      </c>
      <c r="E17" s="584">
        <f>'Daily Product Breakdown'!I55/16/2.2</f>
        <v>0</v>
      </c>
      <c r="F17" s="584">
        <f t="shared" si="0"/>
        <v>-50.5</v>
      </c>
      <c r="G17" s="594">
        <f t="shared" si="1"/>
        <v>-489.54700000000003</v>
      </c>
    </row>
    <row r="18" spans="1:7" ht="21" customHeight="1" x14ac:dyDescent="0.25">
      <c r="A18" s="591" t="s">
        <v>899</v>
      </c>
      <c r="B18" s="591" t="s">
        <v>506</v>
      </c>
      <c r="C18" s="592">
        <f>'Inventory Worksheet'!J51</f>
        <v>21</v>
      </c>
      <c r="D18" s="593">
        <f>'Inventory Worksheet'!K51</f>
        <v>12.29</v>
      </c>
      <c r="E18" s="584">
        <f>'Daily Product Breakdown'!I103/16</f>
        <v>1.875</v>
      </c>
      <c r="F18" s="584">
        <f t="shared" si="0"/>
        <v>-19.125</v>
      </c>
      <c r="G18" s="594">
        <f t="shared" si="1"/>
        <v>-235.04624999999999</v>
      </c>
    </row>
    <row r="19" spans="1:7" ht="21" customHeight="1" x14ac:dyDescent="0.25">
      <c r="A19" s="591" t="s">
        <v>900</v>
      </c>
      <c r="B19" s="591" t="s">
        <v>506</v>
      </c>
      <c r="C19" s="592">
        <f>'Inventory Worksheet'!J254</f>
        <v>276</v>
      </c>
      <c r="D19" s="593">
        <f>'Inventory Worksheet'!K244</f>
        <v>1.361</v>
      </c>
      <c r="E19" s="584">
        <f>'Daily Product Breakdown'!I101/16</f>
        <v>139.125</v>
      </c>
      <c r="F19" s="584">
        <f t="shared" si="0"/>
        <v>-136.875</v>
      </c>
      <c r="G19" s="594">
        <f t="shared" si="1"/>
        <v>-186.28687500000001</v>
      </c>
    </row>
    <row r="20" spans="1:7" ht="21" customHeight="1" x14ac:dyDescent="0.25">
      <c r="A20" s="571"/>
      <c r="B20" s="571"/>
      <c r="C20" s="571"/>
      <c r="D20" s="571"/>
      <c r="E20" s="571"/>
      <c r="F20" s="571"/>
      <c r="G20" s="571"/>
    </row>
    <row r="21" spans="1:7" ht="21" customHeight="1" thickBot="1" x14ac:dyDescent="0.3">
      <c r="A21" s="595"/>
      <c r="B21" s="595"/>
      <c r="C21" s="595"/>
      <c r="D21" s="595"/>
      <c r="E21" s="595"/>
      <c r="F21" s="595"/>
      <c r="G21" s="595"/>
    </row>
    <row r="22" spans="1:7" ht="21" customHeight="1" thickBot="1" x14ac:dyDescent="0.3">
      <c r="A22" s="833" t="s">
        <v>901</v>
      </c>
      <c r="B22" s="834"/>
      <c r="C22" s="834"/>
      <c r="D22" s="834"/>
      <c r="E22" s="835"/>
      <c r="F22" s="836" t="e">
        <f>SUM(G3:G21)</f>
        <v>#REF!</v>
      </c>
      <c r="G22" s="835"/>
    </row>
    <row r="23" spans="1:7" ht="21" customHeight="1" thickBot="1" x14ac:dyDescent="0.3">
      <c r="A23" s="833" t="s">
        <v>902</v>
      </c>
      <c r="B23" s="834"/>
      <c r="C23" s="834"/>
      <c r="D23" s="834"/>
      <c r="E23" s="835"/>
      <c r="F23" s="837" t="e">
        <f>F22/'FRONT PAGE'!B3</f>
        <v>#REF!</v>
      </c>
      <c r="G23" s="838"/>
    </row>
  </sheetData>
  <mergeCells count="4">
    <mergeCell ref="A22:E22"/>
    <mergeCell ref="F22:G22"/>
    <mergeCell ref="A23:E23"/>
    <mergeCell ref="F23:G23"/>
  </mergeCells>
  <conditionalFormatting sqref="G3:G13">
    <cfRule type="cellIs" dxfId="10" priority="9" stopIfTrue="1" operator="greaterThan">
      <formula>0</formula>
    </cfRule>
    <cfRule type="cellIs" dxfId="9" priority="10" stopIfTrue="1" operator="lessThan">
      <formula>0</formula>
    </cfRule>
  </conditionalFormatting>
  <conditionalFormatting sqref="G14:G16">
    <cfRule type="cellIs" dxfId="8" priority="7" stopIfTrue="1" operator="greaterThan">
      <formula>0</formula>
    </cfRule>
    <cfRule type="cellIs" dxfId="7" priority="8" stopIfTrue="1" operator="lessThan">
      <formula>0</formula>
    </cfRule>
  </conditionalFormatting>
  <conditionalFormatting sqref="G17">
    <cfRule type="cellIs" dxfId="6" priority="5" stopIfTrue="1" operator="greaterThan">
      <formula>0</formula>
    </cfRule>
    <cfRule type="cellIs" dxfId="5" priority="6" stopIfTrue="1" operator="lessThan">
      <formula>0</formula>
    </cfRule>
  </conditionalFormatting>
  <conditionalFormatting sqref="G18:G19">
    <cfRule type="cellIs" dxfId="4" priority="3" stopIfTrue="1" operator="greaterThan">
      <formula>0</formula>
    </cfRule>
    <cfRule type="cellIs" dxfId="3" priority="4" stopIfTrue="1" operator="lessThan">
      <formula>0</formula>
    </cfRule>
  </conditionalFormatting>
  <conditionalFormatting sqref="F22:G22">
    <cfRule type="cellIs" dxfId="2" priority="1" stopIfTrue="1" operator="greaterThan">
      <formula>1</formula>
    </cfRule>
    <cfRule type="cellIs" dxfId="1" priority="2" stopIfTrue="1" operator="lessThan">
      <formula>-1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206F-98FD-49F7-B07E-1E9D358C3131}">
  <sheetPr codeName="Sheet1">
    <pageSetUpPr fitToPage="1"/>
  </sheetPr>
  <dimension ref="A1:W3360"/>
  <sheetViews>
    <sheetView zoomScale="85" zoomScaleNormal="85" workbookViewId="0">
      <pane ySplit="1" topLeftCell="A568" activePane="bottomLeft" state="frozen"/>
      <selection activeCell="C2404" sqref="C2404"/>
      <selection pane="bottomLeft" activeCell="B596" sqref="B596"/>
    </sheetView>
  </sheetViews>
  <sheetFormatPr defaultRowHeight="15" customHeight="1" x14ac:dyDescent="0.25"/>
  <cols>
    <col min="2" max="2" width="27.5703125" customWidth="1"/>
    <col min="4" max="4" width="8" customWidth="1"/>
    <col min="6" max="6" width="10.42578125" bestFit="1" customWidth="1"/>
  </cols>
  <sheetData>
    <row r="1" spans="1:17" ht="15" customHeight="1" x14ac:dyDescent="0.25">
      <c r="B1" s="393" t="s">
        <v>604</v>
      </c>
      <c r="C1" s="394" t="s">
        <v>605</v>
      </c>
      <c r="D1" s="395" t="s">
        <v>606</v>
      </c>
      <c r="E1" s="396" t="s">
        <v>607</v>
      </c>
      <c r="F1" s="397" t="s">
        <v>608</v>
      </c>
      <c r="G1" s="398" t="s">
        <v>609</v>
      </c>
      <c r="H1" s="399" t="s">
        <v>610</v>
      </c>
      <c r="I1" s="399" t="s">
        <v>611</v>
      </c>
      <c r="J1" s="400" t="s">
        <v>612</v>
      </c>
      <c r="K1" s="401" t="s">
        <v>613</v>
      </c>
      <c r="L1" s="402"/>
      <c r="M1" s="403"/>
      <c r="N1" s="404" t="s">
        <v>614</v>
      </c>
      <c r="O1" s="398" t="s">
        <v>615</v>
      </c>
      <c r="P1" s="400" t="s">
        <v>616</v>
      </c>
      <c r="Q1" s="405" t="s">
        <v>617</v>
      </c>
    </row>
    <row r="3" spans="1:17" ht="15" customHeight="1" thickBot="1" x14ac:dyDescent="0.3">
      <c r="A3" s="840" t="s">
        <v>618</v>
      </c>
      <c r="B3" s="840"/>
      <c r="C3" s="840"/>
      <c r="D3" s="840"/>
      <c r="E3" s="840"/>
      <c r="F3" s="840"/>
      <c r="G3" s="840"/>
      <c r="H3" s="840"/>
      <c r="I3" s="840"/>
      <c r="J3" s="840"/>
      <c r="K3" s="840"/>
      <c r="L3" s="840"/>
      <c r="M3" s="840"/>
      <c r="N3" s="840"/>
      <c r="O3" s="840"/>
      <c r="P3" s="840"/>
    </row>
    <row r="4" spans="1:17" ht="16.5" hidden="1" thickBot="1" x14ac:dyDescent="0.3">
      <c r="B4" s="406" t="s">
        <v>556</v>
      </c>
      <c r="D4" s="407" t="s">
        <v>548</v>
      </c>
      <c r="E4" s="408" t="s">
        <v>549</v>
      </c>
      <c r="F4" s="408" t="s">
        <v>550</v>
      </c>
      <c r="G4" s="408" t="s">
        <v>551</v>
      </c>
      <c r="H4" s="408" t="s">
        <v>552</v>
      </c>
      <c r="I4" s="408" t="s">
        <v>553</v>
      </c>
      <c r="J4" s="408" t="s">
        <v>554</v>
      </c>
      <c r="K4" s="409" t="s">
        <v>555</v>
      </c>
    </row>
    <row r="5" spans="1:17" ht="15.75" thickBot="1" x14ac:dyDescent="0.3">
      <c r="B5" s="410">
        <v>6400130</v>
      </c>
      <c r="C5" s="411"/>
      <c r="D5" s="407" t="s">
        <v>548</v>
      </c>
      <c r="E5" s="408" t="s">
        <v>549</v>
      </c>
      <c r="F5" s="408" t="s">
        <v>550</v>
      </c>
      <c r="G5" s="408" t="s">
        <v>551</v>
      </c>
      <c r="H5" s="408" t="s">
        <v>552</v>
      </c>
      <c r="I5" s="408" t="s">
        <v>553</v>
      </c>
      <c r="J5" s="408" t="s">
        <v>554</v>
      </c>
      <c r="K5" s="412" t="s">
        <v>555</v>
      </c>
      <c r="M5" s="413" t="s">
        <v>619</v>
      </c>
    </row>
    <row r="6" spans="1:17" ht="15.75" thickBot="1" x14ac:dyDescent="0.3">
      <c r="B6" s="414" t="s">
        <v>556</v>
      </c>
      <c r="C6" s="415" t="s">
        <v>620</v>
      </c>
      <c r="D6" s="416">
        <f>IF(ISERROR(VLOOKUP($B$5,'MD Usage'!$A$1:$W$5000,5,FALSE)),0,VLOOKUP($B$5,'MD Usage'!$A$1:$W$5000,3,FALSE))</f>
        <v>3</v>
      </c>
      <c r="E6" s="416">
        <f>IF(ISERROR(VLOOKUP($B$5,'MD Usage'!$A$1:$W$5000,5,FALSE)),0,VLOOKUP($B$5,'MD Usage'!$A$1:$W$5000,5,FALSE))</f>
        <v>2</v>
      </c>
      <c r="F6" s="416">
        <f>IF(ISERROR(VLOOKUP($B$5,'MD Usage'!$A$1:$W$5000,7,FALSE)),0,VLOOKUP($B$5,'MD Usage'!$A$1:$W$5000,7,FALSE))</f>
        <v>3</v>
      </c>
      <c r="G6" s="416">
        <f>IF(ISERROR(VLOOKUP($B$5,'MD Usage'!$A$1:$W$5000,9,FALSE)),0,VLOOKUP($B$5,'MD Usage'!$A$1:$W$5000,9,FALSE))</f>
        <v>2</v>
      </c>
      <c r="H6" s="416">
        <f>IF(ISERROR(VLOOKUP($B$5,'MD Usage'!$A$1:$W$5000,11,FALSE)),0,VLOOKUP($B$5,'MD Usage'!$A$1:$W$5000,11,FALSE))</f>
        <v>11</v>
      </c>
      <c r="I6" s="417">
        <f>IF(ISERROR(VLOOKUP($B$5,'MD Usage'!A1:R2000,13,FALSE)),0,VLOOKUP($B$5,'MD Usage'!A1:R2000,13,FALSE))</f>
        <v>21</v>
      </c>
      <c r="J6" s="416">
        <f>IF(ISERROR(VLOOKUP($B$5,'MD Usage'!A1:R2000,15,FALSE)),0,VLOOKUP($B$5,'MD Usage'!A1:R2000,15,FALSE))</f>
        <v>5</v>
      </c>
      <c r="K6" s="418">
        <f t="shared" ref="K6:K11" si="0">SUM(D6:J6)</f>
        <v>47</v>
      </c>
    </row>
    <row r="7" spans="1:17" x14ac:dyDescent="0.25">
      <c r="B7" s="419" t="s">
        <v>589</v>
      </c>
      <c r="C7" s="420">
        <v>8</v>
      </c>
      <c r="D7" s="421">
        <f>$D$6*C7</f>
        <v>24</v>
      </c>
      <c r="E7" s="421">
        <f>$E$6*C7</f>
        <v>16</v>
      </c>
      <c r="F7" s="421">
        <f>$F$6*C7</f>
        <v>24</v>
      </c>
      <c r="G7" s="421">
        <f>$G$6*C7</f>
        <v>16</v>
      </c>
      <c r="H7" s="421">
        <f>$H$6*C7</f>
        <v>88</v>
      </c>
      <c r="I7" s="421">
        <f>$I$6*C7</f>
        <v>168</v>
      </c>
      <c r="J7" s="421">
        <f>$J$6*C7</f>
        <v>40</v>
      </c>
      <c r="K7" s="422">
        <f t="shared" si="0"/>
        <v>376</v>
      </c>
    </row>
    <row r="8" spans="1:17" x14ac:dyDescent="0.25">
      <c r="B8" s="389" t="s">
        <v>578</v>
      </c>
      <c r="C8" s="423">
        <v>3</v>
      </c>
      <c r="D8" s="421">
        <f>$D$6*C8</f>
        <v>9</v>
      </c>
      <c r="E8" s="421">
        <f>$E$6*C8</f>
        <v>6</v>
      </c>
      <c r="F8" s="421">
        <f>$F$6*C8</f>
        <v>9</v>
      </c>
      <c r="G8" s="421">
        <f>$G$6*C8</f>
        <v>6</v>
      </c>
      <c r="H8" s="421">
        <f>$H$6*C8</f>
        <v>33</v>
      </c>
      <c r="I8" s="421">
        <f>$I$6*C8</f>
        <v>63</v>
      </c>
      <c r="J8" s="421">
        <f>$J$6*C8</f>
        <v>15</v>
      </c>
      <c r="K8" s="424">
        <f t="shared" si="0"/>
        <v>141</v>
      </c>
    </row>
    <row r="9" spans="1:17" x14ac:dyDescent="0.25">
      <c r="B9" s="389"/>
      <c r="C9" s="423"/>
      <c r="D9" s="421">
        <f>$D$6*C9</f>
        <v>0</v>
      </c>
      <c r="E9" s="421">
        <f>$E$6*C9</f>
        <v>0</v>
      </c>
      <c r="F9" s="421">
        <f>$F$6*C9</f>
        <v>0</v>
      </c>
      <c r="G9" s="421">
        <f>$G$6*C9</f>
        <v>0</v>
      </c>
      <c r="H9" s="421">
        <f>$H$6*C9</f>
        <v>0</v>
      </c>
      <c r="I9" s="421">
        <f>$I$6*C9</f>
        <v>0</v>
      </c>
      <c r="J9" s="421">
        <f>$J$6*C9</f>
        <v>0</v>
      </c>
      <c r="K9" s="424">
        <f t="shared" si="0"/>
        <v>0</v>
      </c>
    </row>
    <row r="10" spans="1:17" x14ac:dyDescent="0.25">
      <c r="B10" s="389"/>
      <c r="C10" s="423"/>
      <c r="D10" s="421">
        <f>$D$6*C10</f>
        <v>0</v>
      </c>
      <c r="E10" s="421">
        <f>$E$6*C10</f>
        <v>0</v>
      </c>
      <c r="F10" s="421">
        <f>$F$6*C10</f>
        <v>0</v>
      </c>
      <c r="G10" s="421">
        <f>$G$6*C10</f>
        <v>0</v>
      </c>
      <c r="H10" s="421">
        <f>$H$6*C10</f>
        <v>0</v>
      </c>
      <c r="I10" s="421">
        <f>$I$6*C10</f>
        <v>0</v>
      </c>
      <c r="J10" s="421">
        <f>$J$6*C10</f>
        <v>0</v>
      </c>
      <c r="K10" s="424">
        <f t="shared" si="0"/>
        <v>0</v>
      </c>
    </row>
    <row r="11" spans="1:17" x14ac:dyDescent="0.25">
      <c r="B11" s="389"/>
      <c r="C11" s="423"/>
      <c r="D11" s="421">
        <f>$D$6*C11</f>
        <v>0</v>
      </c>
      <c r="E11" s="421">
        <f>$E$6*C11</f>
        <v>0</v>
      </c>
      <c r="F11" s="421">
        <f>$F$6*C11</f>
        <v>0</v>
      </c>
      <c r="G11" s="421">
        <f>$G$6*C11</f>
        <v>0</v>
      </c>
      <c r="H11" s="421">
        <f>$H$6*C11</f>
        <v>0</v>
      </c>
      <c r="I11" s="421">
        <f>$I$6*C11</f>
        <v>0</v>
      </c>
      <c r="J11" s="421">
        <f>$J$6*C11</f>
        <v>0</v>
      </c>
      <c r="K11" s="424">
        <f t="shared" si="0"/>
        <v>0</v>
      </c>
    </row>
    <row r="12" spans="1:17" ht="15" customHeight="1" thickBot="1" x14ac:dyDescent="0.3"/>
    <row r="13" spans="1:17" ht="15.75" thickBot="1" x14ac:dyDescent="0.3">
      <c r="B13" s="410">
        <v>6404015</v>
      </c>
      <c r="C13" s="411"/>
      <c r="D13" s="407" t="s">
        <v>548</v>
      </c>
      <c r="E13" s="408" t="s">
        <v>549</v>
      </c>
      <c r="F13" s="408" t="s">
        <v>550</v>
      </c>
      <c r="G13" s="408" t="s">
        <v>551</v>
      </c>
      <c r="H13" s="408" t="s">
        <v>552</v>
      </c>
      <c r="I13" s="408" t="s">
        <v>553</v>
      </c>
      <c r="J13" s="408" t="s">
        <v>554</v>
      </c>
      <c r="K13" s="408" t="s">
        <v>555</v>
      </c>
      <c r="M13" s="425" t="s">
        <v>621</v>
      </c>
    </row>
    <row r="14" spans="1:17" ht="15.75" thickBot="1" x14ac:dyDescent="0.3">
      <c r="B14" s="414" t="s">
        <v>556</v>
      </c>
      <c r="C14" s="415" t="s">
        <v>620</v>
      </c>
      <c r="D14" s="416">
        <f>IF(ISERROR(VLOOKUP($B$13,'MD Usage'!$A$1:$W$5000,3,FALSE)),0,VLOOKUP($B$13,'MD Usage'!$A$1:$W$5000,3,FALSE))</f>
        <v>0</v>
      </c>
      <c r="E14" s="416">
        <f>IF(ISERROR(VLOOKUP($B$13,'MD Usage'!$A$1:$W$5000,5,FALSE)),0,VLOOKUP($B$13,'MD Usage'!$A$1:$W$5000,5,FALSE))</f>
        <v>0</v>
      </c>
      <c r="F14" s="416">
        <f>IF(ISERROR(VLOOKUP($B$13,'MD Usage'!$A$1:$W$5000,7,FALSE)),0,VLOOKUP($B$13,'MD Usage'!$A$1:$W$5000,7,FALSE))</f>
        <v>0</v>
      </c>
      <c r="G14" s="416">
        <f>IF(ISERROR(VLOOKUP($B$13,'MD Usage'!$A$1:$W$5000,9,FALSE)),0,VLOOKUP($B$13,'MD Usage'!$A$1:$W$5000,9,FALSE))</f>
        <v>1</v>
      </c>
      <c r="H14" s="416">
        <f>IF(ISERROR(VLOOKUP($B$13,'MD Usage'!$A$1:$W$5000,11,FALSE)),0,VLOOKUP($B$13,'MD Usage'!$A$1:$W$5000,11,FALSE))</f>
        <v>0</v>
      </c>
      <c r="I14" s="416">
        <f>IF(ISERROR(VLOOKUP($B$13,'MD Usage'!A1:R2000,13,FALSE)),0,VLOOKUP($B$13,'MD Usage'!A1:R2000,13,FALSE))</f>
        <v>2</v>
      </c>
      <c r="J14" s="416">
        <f>IF(ISERROR(VLOOKUP($B$13,'MD Usage'!A1:R2000,15,FALSE)),0,VLOOKUP($B$13,'MD Usage'!A1:R2000,15,FALSE))</f>
        <v>1</v>
      </c>
      <c r="K14" s="418">
        <f t="shared" ref="K14:K19" si="1">SUM(D14:J14)</f>
        <v>4</v>
      </c>
    </row>
    <row r="15" spans="1:17" x14ac:dyDescent="0.25">
      <c r="B15" s="419" t="s">
        <v>622</v>
      </c>
      <c r="C15" s="420">
        <v>8</v>
      </c>
      <c r="D15" s="421">
        <f>$D$14*C15</f>
        <v>0</v>
      </c>
      <c r="E15" s="421">
        <f>$E$14*C15</f>
        <v>0</v>
      </c>
      <c r="F15" s="421">
        <f>$F$14*C15</f>
        <v>0</v>
      </c>
      <c r="G15" s="421">
        <f>$G$14*C15</f>
        <v>8</v>
      </c>
      <c r="H15" s="421">
        <f>$H$14*C15</f>
        <v>0</v>
      </c>
      <c r="I15" s="421">
        <f>$I$14*C15</f>
        <v>16</v>
      </c>
      <c r="J15" s="421">
        <f>$J$14*C15</f>
        <v>8</v>
      </c>
      <c r="K15" s="422">
        <f t="shared" si="1"/>
        <v>32</v>
      </c>
    </row>
    <row r="16" spans="1:17" x14ac:dyDescent="0.25">
      <c r="B16" s="389" t="s">
        <v>578</v>
      </c>
      <c r="C16" s="423">
        <v>3</v>
      </c>
      <c r="D16" s="421">
        <f>$D$14*C16</f>
        <v>0</v>
      </c>
      <c r="E16" s="421">
        <f>$E$14*C16</f>
        <v>0</v>
      </c>
      <c r="F16" s="421">
        <f>$F$14*C16</f>
        <v>0</v>
      </c>
      <c r="G16" s="421">
        <f>$G$14*C16</f>
        <v>3</v>
      </c>
      <c r="H16" s="421">
        <f>$H$14*C16</f>
        <v>0</v>
      </c>
      <c r="I16" s="421">
        <f>$I$14*C16</f>
        <v>6</v>
      </c>
      <c r="J16" s="421">
        <f>$J$14*C16</f>
        <v>3</v>
      </c>
      <c r="K16" s="424">
        <f t="shared" si="1"/>
        <v>12</v>
      </c>
    </row>
    <row r="17" spans="2:13" x14ac:dyDescent="0.25">
      <c r="B17" s="389"/>
      <c r="C17" s="423"/>
      <c r="D17" s="421">
        <f>$D$14*C17</f>
        <v>0</v>
      </c>
      <c r="E17" s="421">
        <f>$E$14*C17</f>
        <v>0</v>
      </c>
      <c r="F17" s="421">
        <f>$F$14*C17</f>
        <v>0</v>
      </c>
      <c r="G17" s="421">
        <f>$G$14*C17</f>
        <v>0</v>
      </c>
      <c r="H17" s="421">
        <f>$H$14*C17</f>
        <v>0</v>
      </c>
      <c r="I17" s="421">
        <f>$I$14*C17</f>
        <v>0</v>
      </c>
      <c r="J17" s="421">
        <f>$J$14*C17</f>
        <v>0</v>
      </c>
      <c r="K17" s="424">
        <f t="shared" si="1"/>
        <v>0</v>
      </c>
    </row>
    <row r="18" spans="2:13" x14ac:dyDescent="0.25">
      <c r="B18" s="389"/>
      <c r="C18" s="423"/>
      <c r="D18" s="421">
        <f>$D$14*C18</f>
        <v>0</v>
      </c>
      <c r="E18" s="421">
        <f>$E$14*C18</f>
        <v>0</v>
      </c>
      <c r="F18" s="421">
        <f>$F$14*C18</f>
        <v>0</v>
      </c>
      <c r="G18" s="421">
        <f>$G$14*C18</f>
        <v>0</v>
      </c>
      <c r="H18" s="421">
        <f>$H$14*C18</f>
        <v>0</v>
      </c>
      <c r="I18" s="421">
        <f>$I$14*C18</f>
        <v>0</v>
      </c>
      <c r="J18" s="421">
        <f>$J$14*C18</f>
        <v>0</v>
      </c>
      <c r="K18" s="424">
        <f t="shared" si="1"/>
        <v>0</v>
      </c>
    </row>
    <row r="19" spans="2:13" x14ac:dyDescent="0.25">
      <c r="B19" s="389"/>
      <c r="C19" s="423"/>
      <c r="D19" s="421">
        <f>$D$14*C19</f>
        <v>0</v>
      </c>
      <c r="E19" s="421">
        <f>$E$14*C19</f>
        <v>0</v>
      </c>
      <c r="F19" s="421">
        <f>$F$14*C19</f>
        <v>0</v>
      </c>
      <c r="G19" s="421">
        <f>$G$14*C19</f>
        <v>0</v>
      </c>
      <c r="H19" s="421">
        <f>$H$14*C19</f>
        <v>0</v>
      </c>
      <c r="I19" s="421">
        <f>$I$14*C19</f>
        <v>0</v>
      </c>
      <c r="J19" s="421">
        <f>$J$14*C19</f>
        <v>0</v>
      </c>
      <c r="K19" s="424">
        <f t="shared" si="1"/>
        <v>0</v>
      </c>
    </row>
    <row r="20" spans="2:13" ht="15" customHeight="1" thickBot="1" x14ac:dyDescent="0.3"/>
    <row r="21" spans="2:13" ht="15.75" thickBot="1" x14ac:dyDescent="0.3">
      <c r="B21" s="410">
        <v>6404045</v>
      </c>
      <c r="C21" s="411"/>
      <c r="D21" s="407" t="s">
        <v>548</v>
      </c>
      <c r="E21" s="408" t="s">
        <v>549</v>
      </c>
      <c r="F21" s="408" t="s">
        <v>550</v>
      </c>
      <c r="G21" s="408" t="s">
        <v>551</v>
      </c>
      <c r="H21" s="408" t="s">
        <v>552</v>
      </c>
      <c r="I21" s="408" t="s">
        <v>553</v>
      </c>
      <c r="J21" s="408" t="s">
        <v>554</v>
      </c>
      <c r="K21" s="408" t="s">
        <v>555</v>
      </c>
      <c r="M21" s="426" t="s">
        <v>1889</v>
      </c>
    </row>
    <row r="22" spans="2:13" ht="15.75" thickBot="1" x14ac:dyDescent="0.3">
      <c r="B22" s="414" t="s">
        <v>556</v>
      </c>
      <c r="C22" s="415" t="s">
        <v>620</v>
      </c>
      <c r="D22" s="416">
        <f>IF(ISERROR(VLOOKUP($B$21,'MD Usage'!$A$1:$W$5000,3,FALSE)),0,VLOOKUP($B$21,'MD Usage'!$A$1:$W$5000,3,FALSE))</f>
        <v>0</v>
      </c>
      <c r="E22" s="416">
        <f>IF(ISERROR(VLOOKUP($B$21,'MD Usage'!$A$1:$W$5000,5,FALSE)),0,VLOOKUP($B$21,'MD Usage'!$A$1:$W$5000,5,FALSE))</f>
        <v>0</v>
      </c>
      <c r="F22" s="416">
        <f>IF(ISERROR(VLOOKUP($B$21,'MD Usage'!$A$1:$W$5000,7,FALSE)),0,VLOOKUP($B$21,'MD Usage'!$A$1:$W$5000,7,FALSE))</f>
        <v>1</v>
      </c>
      <c r="G22" s="416">
        <f>IF(ISERROR(VLOOKUP($B$21,'MD Usage'!$A$1:$W$5000,9,FALSE)),0,VLOOKUP($B$21,'MD Usage'!$A$1:$W$5000,9,FALSE))</f>
        <v>0</v>
      </c>
      <c r="H22" s="416">
        <f>IF(ISERROR(VLOOKUP($B$21,'MD Usage'!$A$1:$W$5000,11,FALSE)),0,VLOOKUP($B$21,'MD Usage'!$A$1:$W$5000,11,FALSE))</f>
        <v>0</v>
      </c>
      <c r="I22" s="416">
        <f>IF(ISERROR(VLOOKUP($B$21,'MD Usage'!A1:R2000,13,FALSE)),0,VLOOKUP($B$21,'MD Usage'!A1:R2000,13,FALSE))</f>
        <v>3</v>
      </c>
      <c r="J22" s="416">
        <f>IF(ISERROR(VLOOKUP($B$21,'MD Usage'!A1:R2000,15,FALSE)),0,VLOOKUP($B$21,'MD Usage'!A1:R2000,15,FALSE))</f>
        <v>1</v>
      </c>
      <c r="K22" s="418">
        <f>SUM(D22:J22)</f>
        <v>5</v>
      </c>
    </row>
    <row r="23" spans="2:13" x14ac:dyDescent="0.25">
      <c r="B23" s="419" t="s">
        <v>622</v>
      </c>
      <c r="C23" s="420">
        <v>16</v>
      </c>
      <c r="D23" s="421">
        <f>$D$22*C23</f>
        <v>0</v>
      </c>
      <c r="E23" s="421">
        <f>$E$22*C23</f>
        <v>0</v>
      </c>
      <c r="F23" s="421">
        <f>$F$22*C23</f>
        <v>16</v>
      </c>
      <c r="G23" s="421">
        <f>$G$22*C23</f>
        <v>0</v>
      </c>
      <c r="H23" s="421">
        <f>$H$22*C23</f>
        <v>0</v>
      </c>
      <c r="I23" s="421">
        <f>$I$22*C23</f>
        <v>48</v>
      </c>
      <c r="J23" s="421">
        <f>$J$22*C23</f>
        <v>16</v>
      </c>
      <c r="K23" s="422">
        <f>SUM(D23:J23)</f>
        <v>80</v>
      </c>
    </row>
    <row r="24" spans="2:13" x14ac:dyDescent="0.25">
      <c r="B24" s="389" t="s">
        <v>578</v>
      </c>
      <c r="C24" s="423">
        <v>3</v>
      </c>
      <c r="D24" s="421">
        <f>$D$22*C24</f>
        <v>0</v>
      </c>
      <c r="E24" s="421">
        <f>$E$22*C24</f>
        <v>0</v>
      </c>
      <c r="F24" s="421">
        <f>$F$22*C24</f>
        <v>3</v>
      </c>
      <c r="G24" s="421">
        <f>$G$22*C24</f>
        <v>0</v>
      </c>
      <c r="H24" s="421">
        <f>$H$22*C24</f>
        <v>0</v>
      </c>
      <c r="I24" s="421">
        <f>$I$22*C24</f>
        <v>9</v>
      </c>
      <c r="J24" s="421">
        <f>$J$22*C24</f>
        <v>3</v>
      </c>
      <c r="K24" s="424">
        <f>SUM(D24:J24)</f>
        <v>15</v>
      </c>
    </row>
    <row r="25" spans="2:13" x14ac:dyDescent="0.25">
      <c r="B25" s="389"/>
      <c r="C25" s="423"/>
      <c r="D25" s="421">
        <f>$D$22*C25</f>
        <v>0</v>
      </c>
      <c r="E25" s="421">
        <f>$E$22*C25</f>
        <v>0</v>
      </c>
      <c r="F25" s="421">
        <f>$F$22*C25</f>
        <v>0</v>
      </c>
      <c r="G25" s="421">
        <f>$G$22*C25</f>
        <v>0</v>
      </c>
      <c r="H25" s="421">
        <f>$H$22*C25</f>
        <v>0</v>
      </c>
      <c r="I25" s="421">
        <f>$I$22*C25</f>
        <v>0</v>
      </c>
      <c r="J25" s="421">
        <f>$J$22*C25</f>
        <v>0</v>
      </c>
      <c r="K25" s="424">
        <f>SUM(D25:J25)</f>
        <v>0</v>
      </c>
    </row>
    <row r="26" spans="2:13" x14ac:dyDescent="0.25">
      <c r="B26" s="389"/>
      <c r="C26" s="423"/>
      <c r="D26" s="421">
        <f>$D$22*C26</f>
        <v>0</v>
      </c>
      <c r="E26" s="421">
        <f>$E$22*C26</f>
        <v>0</v>
      </c>
      <c r="F26" s="421">
        <f>$F$22*C26</f>
        <v>0</v>
      </c>
      <c r="G26" s="421">
        <f>$G$22*C26</f>
        <v>0</v>
      </c>
      <c r="H26" s="421">
        <f>$H$22*C26</f>
        <v>0</v>
      </c>
      <c r="I26" s="421">
        <f>$I$22*C26</f>
        <v>0</v>
      </c>
      <c r="J26" s="421">
        <f>$J$22*C26</f>
        <v>0</v>
      </c>
      <c r="K26" s="424">
        <f>SUM(D26:J26)</f>
        <v>0</v>
      </c>
    </row>
    <row r="27" spans="2:13" ht="15" customHeight="1" thickBot="1" x14ac:dyDescent="0.3"/>
    <row r="28" spans="2:13" ht="15.75" thickBot="1" x14ac:dyDescent="0.3">
      <c r="B28" s="410">
        <v>6400191</v>
      </c>
      <c r="C28" s="411"/>
      <c r="D28" s="407" t="s">
        <v>548</v>
      </c>
      <c r="E28" s="408" t="s">
        <v>549</v>
      </c>
      <c r="F28" s="408" t="s">
        <v>550</v>
      </c>
      <c r="G28" s="408" t="s">
        <v>551</v>
      </c>
      <c r="H28" s="408" t="s">
        <v>552</v>
      </c>
      <c r="I28" s="408" t="s">
        <v>553</v>
      </c>
      <c r="J28" s="408" t="s">
        <v>554</v>
      </c>
      <c r="K28" s="408" t="s">
        <v>555</v>
      </c>
      <c r="M28" s="426" t="s">
        <v>623</v>
      </c>
    </row>
    <row r="29" spans="2:13" ht="15.75" thickBot="1" x14ac:dyDescent="0.3">
      <c r="B29" s="414" t="s">
        <v>556</v>
      </c>
      <c r="C29" s="415" t="s">
        <v>620</v>
      </c>
      <c r="D29" s="416">
        <f>IF(ISERROR(VLOOKUP($B$28,'MD Usage'!$A$1:$W$5000,3,FALSE)),0,VLOOKUP($B$28,'MD Usage'!$A$1:$W$5000,3,FALSE))</f>
        <v>0</v>
      </c>
      <c r="E29" s="416">
        <f>IF(ISERROR(VLOOKUP($B$28,'MD Usage'!$A$1:$W$5000,5,FALSE)),0,VLOOKUP($B$28,'MD Usage'!$A$1:$W$5000,5,FALSE))</f>
        <v>0</v>
      </c>
      <c r="F29" s="416">
        <f>IF(ISERROR(VLOOKUP($B$28,'MD Usage'!$A$1:$W$5000,7,FALSE)),0,VLOOKUP($B$28,'MD Usage'!$A$1:$W$5000,7,FALSE))</f>
        <v>0</v>
      </c>
      <c r="G29" s="416">
        <f>IF(ISERROR(VLOOKUP($B$28,'MD Usage'!$A$1:$W$5000,9,FALSE)),0,VLOOKUP($B$28,'MD Usage'!$A$1:$W$5000,9,FALSE))</f>
        <v>0</v>
      </c>
      <c r="H29" s="416">
        <f>IF(ISERROR(VLOOKUP($B$28,'MD Usage'!$A$1:$W$5000,11,FALSE)),0,VLOOKUP($B$28,'MD Usage'!$A$1:$W$5000,11,FALSE))</f>
        <v>0</v>
      </c>
      <c r="I29" s="416">
        <f>IF(ISERROR(VLOOKUP($B$28,'MD Usage'!A1:R2000,13,FALSE)),0,VLOOKUP($B$28,'MD Usage'!A1:R2000,13,FALSE))</f>
        <v>0</v>
      </c>
      <c r="J29" s="416">
        <f>IF(ISERROR(VLOOKUP($B$28,'MD Usage'!A1:R2000,15,FALSE)),0,VLOOKUP($B$28,'MD Usage'!A1:R2000,15,FALSE))</f>
        <v>0</v>
      </c>
      <c r="K29" s="418">
        <f t="shared" ref="K29:K34" si="2">SUM(D29:J29)</f>
        <v>0</v>
      </c>
    </row>
    <row r="30" spans="2:13" x14ac:dyDescent="0.25">
      <c r="B30" s="419" t="s">
        <v>347</v>
      </c>
      <c r="C30" s="420">
        <v>1</v>
      </c>
      <c r="D30" s="421">
        <f>$D$29*C30</f>
        <v>0</v>
      </c>
      <c r="E30" s="421">
        <f>$E$29*C30</f>
        <v>0</v>
      </c>
      <c r="F30" s="421">
        <f>$F$29*C30</f>
        <v>0</v>
      </c>
      <c r="G30" s="421">
        <f>$G$29*C30</f>
        <v>0</v>
      </c>
      <c r="H30" s="421">
        <f>$H$29*C30</f>
        <v>0</v>
      </c>
      <c r="I30" s="421">
        <f>$I$29*C30</f>
        <v>0</v>
      </c>
      <c r="J30" s="421">
        <f>$J$29*C30</f>
        <v>0</v>
      </c>
      <c r="K30" s="422">
        <f t="shared" si="2"/>
        <v>0</v>
      </c>
    </row>
    <row r="31" spans="2:13" x14ac:dyDescent="0.25">
      <c r="B31" s="389" t="s">
        <v>624</v>
      </c>
      <c r="C31" s="423">
        <v>4</v>
      </c>
      <c r="D31" s="421">
        <f>$D$29*C31</f>
        <v>0</v>
      </c>
      <c r="E31" s="421">
        <f>$E$29*C31</f>
        <v>0</v>
      </c>
      <c r="F31" s="421">
        <f>$F$29*C31</f>
        <v>0</v>
      </c>
      <c r="G31" s="421">
        <f>$G$29*C31</f>
        <v>0</v>
      </c>
      <c r="H31" s="421">
        <f>$H$29*C31</f>
        <v>0</v>
      </c>
      <c r="I31" s="421">
        <f>$I$29*C31</f>
        <v>0</v>
      </c>
      <c r="J31" s="421">
        <f>$J$29*C31</f>
        <v>0</v>
      </c>
      <c r="K31" s="424">
        <f t="shared" si="2"/>
        <v>0</v>
      </c>
    </row>
    <row r="32" spans="2:13" x14ac:dyDescent="0.25">
      <c r="B32" s="389" t="s">
        <v>578</v>
      </c>
      <c r="C32" s="423">
        <v>1.5</v>
      </c>
      <c r="D32" s="421">
        <f>$D$29*C32</f>
        <v>0</v>
      </c>
      <c r="E32" s="421">
        <f>$E$29*C32</f>
        <v>0</v>
      </c>
      <c r="F32" s="421">
        <f>$F$29*C32</f>
        <v>0</v>
      </c>
      <c r="G32" s="421">
        <f>$G$29*C32</f>
        <v>0</v>
      </c>
      <c r="H32" s="421">
        <f>$H$29*C32</f>
        <v>0</v>
      </c>
      <c r="I32" s="421">
        <f>$I$29*C32</f>
        <v>0</v>
      </c>
      <c r="J32" s="421">
        <f>$J$29*C32</f>
        <v>0</v>
      </c>
      <c r="K32" s="424">
        <f t="shared" si="2"/>
        <v>0</v>
      </c>
    </row>
    <row r="33" spans="2:13" x14ac:dyDescent="0.25">
      <c r="B33" s="389" t="s">
        <v>625</v>
      </c>
      <c r="C33" s="423">
        <v>1.5</v>
      </c>
      <c r="D33" s="421">
        <f>$D$29*C33</f>
        <v>0</v>
      </c>
      <c r="E33" s="421">
        <f>$E$29*C33</f>
        <v>0</v>
      </c>
      <c r="F33" s="421">
        <f>$F$29*C33</f>
        <v>0</v>
      </c>
      <c r="G33" s="421">
        <f>$G$29*C33</f>
        <v>0</v>
      </c>
      <c r="H33" s="421">
        <f>$H$29*C33</f>
        <v>0</v>
      </c>
      <c r="I33" s="421">
        <f>$I$29*C33</f>
        <v>0</v>
      </c>
      <c r="J33" s="421">
        <f>$J$29*C33</f>
        <v>0</v>
      </c>
      <c r="K33" s="424">
        <f t="shared" si="2"/>
        <v>0</v>
      </c>
    </row>
    <row r="34" spans="2:13" x14ac:dyDescent="0.25">
      <c r="B34" s="389" t="s">
        <v>626</v>
      </c>
      <c r="C34" s="423">
        <v>1</v>
      </c>
      <c r="D34" s="421">
        <f>$D$29*C34</f>
        <v>0</v>
      </c>
      <c r="E34" s="421">
        <f>$E$29*C34</f>
        <v>0</v>
      </c>
      <c r="F34" s="421">
        <f>$F$29*C34</f>
        <v>0</v>
      </c>
      <c r="G34" s="421">
        <f>$G$29*C34</f>
        <v>0</v>
      </c>
      <c r="H34" s="421">
        <f>$H$29*C34</f>
        <v>0</v>
      </c>
      <c r="I34" s="421">
        <f>$I$29*C34</f>
        <v>0</v>
      </c>
      <c r="J34" s="421">
        <f>$J$29*C34</f>
        <v>0</v>
      </c>
      <c r="K34" s="424">
        <f t="shared" si="2"/>
        <v>0</v>
      </c>
    </row>
    <row r="35" spans="2:13" ht="15" customHeight="1" thickBot="1" x14ac:dyDescent="0.3"/>
    <row r="36" spans="2:13" ht="15.75" thickBot="1" x14ac:dyDescent="0.3">
      <c r="B36" s="410">
        <v>6400192</v>
      </c>
      <c r="C36" s="411"/>
      <c r="D36" s="407" t="s">
        <v>548</v>
      </c>
      <c r="E36" s="408" t="s">
        <v>549</v>
      </c>
      <c r="F36" s="408" t="s">
        <v>550</v>
      </c>
      <c r="G36" s="408" t="s">
        <v>551</v>
      </c>
      <c r="H36" s="408" t="s">
        <v>552</v>
      </c>
      <c r="I36" s="408" t="s">
        <v>553</v>
      </c>
      <c r="J36" s="408" t="s">
        <v>554</v>
      </c>
      <c r="K36" s="408" t="s">
        <v>555</v>
      </c>
      <c r="M36" s="426" t="s">
        <v>627</v>
      </c>
    </row>
    <row r="37" spans="2:13" ht="15.75" thickBot="1" x14ac:dyDescent="0.3">
      <c r="B37" s="414" t="s">
        <v>556</v>
      </c>
      <c r="C37" s="415" t="s">
        <v>620</v>
      </c>
      <c r="D37" s="416">
        <f>IF(ISERROR(VLOOKUP($B$36,'MD Usage'!$A$1:$W$5000,3,FALSE)),0,VLOOKUP($B$36,'MD Usage'!$A$1:$W$5000,3,FALSE))</f>
        <v>0</v>
      </c>
      <c r="E37" s="416">
        <f>IF(ISERROR(VLOOKUP($B$36,'MD Usage'!$A$1:$W$5000,5,FALSE)),0,VLOOKUP($B$36,'MD Usage'!$A$1:$W$5000,5,FALSE))</f>
        <v>0</v>
      </c>
      <c r="F37" s="416">
        <f>IF(ISERROR(VLOOKUP($B$36,'MD Usage'!$A$1:$W$5000,7,FALSE)),0,VLOOKUP($B$36,'MD Usage'!$A$1:$W$5000,7,FALSE))</f>
        <v>0</v>
      </c>
      <c r="G37" s="416">
        <f>IF(ISERROR(VLOOKUP($B$36,'MD Usage'!$A$1:$W$5000,9,FALSE)),0,VLOOKUP($B$36,'MD Usage'!$A$1:$W$5000,9,FALSE))</f>
        <v>0</v>
      </c>
      <c r="H37" s="416">
        <f>IF(ISERROR(VLOOKUP($B$36,'MD Usage'!$A$1:$W$5000,11,FALSE)),0,VLOOKUP($B$36,'MD Usage'!$A$1:$W$5000,11,FALSE))</f>
        <v>0</v>
      </c>
      <c r="I37" s="416">
        <f>IF(ISERROR(VLOOKUP($B$36,'MD Usage'!A1:R2000,13,FALSE)),0,VLOOKUP($B$36,'MD Usage'!A1:R2000,13,FALSE))</f>
        <v>0</v>
      </c>
      <c r="J37" s="416">
        <f>IF(ISERROR(VLOOKUP($B$36,'MD Usage'!A1:R2000,15,FALSE)),0,VLOOKUP($B$36,'MD Usage'!A1:R2000,15,FALSE))</f>
        <v>0</v>
      </c>
      <c r="K37" s="418">
        <f t="shared" ref="K37:K42" si="3">SUM(D37:J37)</f>
        <v>0</v>
      </c>
    </row>
    <row r="38" spans="2:13" x14ac:dyDescent="0.25">
      <c r="B38" s="419" t="s">
        <v>347</v>
      </c>
      <c r="C38" s="420">
        <v>1</v>
      </c>
      <c r="D38" s="421">
        <f>$D$37*C38</f>
        <v>0</v>
      </c>
      <c r="E38" s="421">
        <f>$E$37*C38</f>
        <v>0</v>
      </c>
      <c r="F38" s="421">
        <f>$F$37*C38</f>
        <v>0</v>
      </c>
      <c r="G38" s="421">
        <f>$G$37*C38</f>
        <v>0</v>
      </c>
      <c r="H38" s="421">
        <f>$H$37*C38</f>
        <v>0</v>
      </c>
      <c r="I38" s="421">
        <f>$I$37*C38</f>
        <v>0</v>
      </c>
      <c r="J38" s="421">
        <f>$J$37*C38</f>
        <v>0</v>
      </c>
      <c r="K38" s="422">
        <f t="shared" si="3"/>
        <v>0</v>
      </c>
    </row>
    <row r="39" spans="2:13" x14ac:dyDescent="0.25">
      <c r="B39" s="389" t="s">
        <v>624</v>
      </c>
      <c r="C39" s="423">
        <v>4</v>
      </c>
      <c r="D39" s="421">
        <f>$D$37*C39</f>
        <v>0</v>
      </c>
      <c r="E39" s="421">
        <f>$E$37*C39</f>
        <v>0</v>
      </c>
      <c r="F39" s="421">
        <f>$F$37*C39</f>
        <v>0</v>
      </c>
      <c r="G39" s="421">
        <f>$G$37*C39</f>
        <v>0</v>
      </c>
      <c r="H39" s="421">
        <f>$H$37*C39</f>
        <v>0</v>
      </c>
      <c r="I39" s="421">
        <f>$I$37*C39</f>
        <v>0</v>
      </c>
      <c r="J39" s="421">
        <f>$J$37*C39</f>
        <v>0</v>
      </c>
      <c r="K39" s="424">
        <f t="shared" si="3"/>
        <v>0</v>
      </c>
    </row>
    <row r="40" spans="2:13" x14ac:dyDescent="0.25">
      <c r="B40" s="389" t="s">
        <v>578</v>
      </c>
      <c r="C40" s="423">
        <v>1.5</v>
      </c>
      <c r="D40" s="421">
        <f>$D$37*C40</f>
        <v>0</v>
      </c>
      <c r="E40" s="421">
        <f>$E$37*C40</f>
        <v>0</v>
      </c>
      <c r="F40" s="421">
        <f>$F$37*C40</f>
        <v>0</v>
      </c>
      <c r="G40" s="421">
        <f>$G$37*C40</f>
        <v>0</v>
      </c>
      <c r="H40" s="421">
        <f>$H$37*C40</f>
        <v>0</v>
      </c>
      <c r="I40" s="421">
        <f>$I$37*C40</f>
        <v>0</v>
      </c>
      <c r="J40" s="421">
        <f>$J$37*C40</f>
        <v>0</v>
      </c>
      <c r="K40" s="424">
        <f t="shared" si="3"/>
        <v>0</v>
      </c>
    </row>
    <row r="41" spans="2:13" x14ac:dyDescent="0.25">
      <c r="B41" s="389" t="s">
        <v>625</v>
      </c>
      <c r="C41" s="423">
        <v>1.5</v>
      </c>
      <c r="D41" s="421">
        <f>$D$37*C41</f>
        <v>0</v>
      </c>
      <c r="E41" s="421">
        <f>$E$37*C41</f>
        <v>0</v>
      </c>
      <c r="F41" s="421">
        <f>$F$37*C41</f>
        <v>0</v>
      </c>
      <c r="G41" s="421">
        <f>$G$37*C41</f>
        <v>0</v>
      </c>
      <c r="H41" s="421">
        <f>$H$37*C41</f>
        <v>0</v>
      </c>
      <c r="I41" s="421">
        <f>$I$37*C41</f>
        <v>0</v>
      </c>
      <c r="J41" s="421">
        <f>$J$37*C41</f>
        <v>0</v>
      </c>
      <c r="K41" s="424">
        <f t="shared" si="3"/>
        <v>0</v>
      </c>
    </row>
    <row r="42" spans="2:13" x14ac:dyDescent="0.25">
      <c r="B42" s="389" t="s">
        <v>626</v>
      </c>
      <c r="C42" s="423">
        <v>1</v>
      </c>
      <c r="D42" s="421">
        <f>$D$37*C42</f>
        <v>0</v>
      </c>
      <c r="E42" s="421">
        <f>$E$37*C42</f>
        <v>0</v>
      </c>
      <c r="F42" s="421">
        <f>$F$37*C42</f>
        <v>0</v>
      </c>
      <c r="G42" s="421">
        <f>$G$37*C42</f>
        <v>0</v>
      </c>
      <c r="H42" s="421">
        <f>$H$37*C42</f>
        <v>0</v>
      </c>
      <c r="I42" s="421">
        <f>$I$37*C42</f>
        <v>0</v>
      </c>
      <c r="J42" s="421">
        <f>$J$37*C42</f>
        <v>0</v>
      </c>
      <c r="K42" s="424">
        <f t="shared" si="3"/>
        <v>0</v>
      </c>
    </row>
    <row r="43" spans="2:13" ht="15" customHeight="1" thickBot="1" x14ac:dyDescent="0.3"/>
    <row r="44" spans="2:13" ht="15.75" thickBot="1" x14ac:dyDescent="0.3">
      <c r="B44" s="410">
        <v>5</v>
      </c>
      <c r="C44" s="411"/>
      <c r="D44" s="407" t="s">
        <v>548</v>
      </c>
      <c r="E44" s="408" t="s">
        <v>549</v>
      </c>
      <c r="F44" s="408" t="s">
        <v>550</v>
      </c>
      <c r="G44" s="408" t="s">
        <v>551</v>
      </c>
      <c r="H44" s="408" t="s">
        <v>552</v>
      </c>
      <c r="I44" s="408" t="s">
        <v>553</v>
      </c>
      <c r="J44" s="408" t="s">
        <v>554</v>
      </c>
      <c r="K44" s="408" t="s">
        <v>555</v>
      </c>
      <c r="M44" s="426" t="s">
        <v>628</v>
      </c>
    </row>
    <row r="45" spans="2:13" ht="15.75" thickBot="1" x14ac:dyDescent="0.3">
      <c r="B45" s="414" t="s">
        <v>556</v>
      </c>
      <c r="C45" s="415" t="s">
        <v>620</v>
      </c>
      <c r="D45" s="416">
        <f>IF(ISERROR(VLOOKUP($B$44,'MD Usage'!$A$1:$W$5000,3,FALSE)),0,VLOOKUP($B$44,'MD Usage'!$A$1:$W$5000,3,FALSE))</f>
        <v>0</v>
      </c>
      <c r="E45" s="416">
        <f>IF(ISERROR(VLOOKUP($B$44,'MD Usage'!$A$1:$W$5000,5,FALSE)),0,VLOOKUP($B$44,'MD Usage'!$A$1:$W$5000,5,FALSE))</f>
        <v>0</v>
      </c>
      <c r="F45" s="416">
        <f>IF(ISERROR(VLOOKUP($B$44,'MD Usage'!$A$1:$W$5000,7,FALSE)),0,VLOOKUP($B$44,'MD Usage'!$A$1:$W$5000,7,FALSE))</f>
        <v>0</v>
      </c>
      <c r="G45" s="416">
        <f>IF(ISERROR(VLOOKUP($B$44,'MD Usage'!$A$1:$W$5000,9,FALSE)),0,VLOOKUP($B$44,'MD Usage'!$A$1:$W$5000,9,FALSE))</f>
        <v>0</v>
      </c>
      <c r="H45" s="416">
        <f>IF(ISERROR(VLOOKUP($B$44,'MD Usage'!$A$1:$W$5000,11,FALSE)),0,VLOOKUP($B$44,'MD Usage'!$A$1:$W$5000,11,FALSE))</f>
        <v>0</v>
      </c>
      <c r="I45" s="416">
        <f>IF(ISERROR(VLOOKUP($B$44,'MD Usage'!A1:R2000,13,FALSE)),0,VLOOKUP($B$44,'MD Usage'!A1:R2000,13,FALSE))</f>
        <v>0</v>
      </c>
      <c r="J45" s="416">
        <f>IF(ISERROR(VLOOKUP($B$44,'MD Usage'!A1:R2000,15,FALSE)),0,VLOOKUP($B$44,'MD Usage'!A1:R2000,15,FALSE))</f>
        <v>0</v>
      </c>
      <c r="K45" s="418">
        <f t="shared" ref="K45:K50" si="4">SUM(D45:J45)</f>
        <v>0</v>
      </c>
    </row>
    <row r="46" spans="2:13" x14ac:dyDescent="0.25">
      <c r="B46" s="419" t="s">
        <v>347</v>
      </c>
      <c r="C46" s="420">
        <v>1</v>
      </c>
      <c r="D46" s="421">
        <f>$D$45*C46</f>
        <v>0</v>
      </c>
      <c r="E46" s="421">
        <f>$E$45*C46</f>
        <v>0</v>
      </c>
      <c r="F46" s="421">
        <f>$F$45*C46</f>
        <v>0</v>
      </c>
      <c r="G46" s="421">
        <f>$G$45*C46</f>
        <v>0</v>
      </c>
      <c r="H46" s="421">
        <f>$H$45*C46</f>
        <v>0</v>
      </c>
      <c r="I46" s="421">
        <f>$I$45*C46</f>
        <v>0</v>
      </c>
      <c r="J46" s="421">
        <f>$J$45*C46</f>
        <v>0</v>
      </c>
      <c r="K46" s="422">
        <f t="shared" si="4"/>
        <v>0</v>
      </c>
    </row>
    <row r="47" spans="2:13" x14ac:dyDescent="0.25">
      <c r="B47" s="389" t="s">
        <v>624</v>
      </c>
      <c r="C47" s="423">
        <v>4</v>
      </c>
      <c r="D47" s="421">
        <f>$D$45*C47</f>
        <v>0</v>
      </c>
      <c r="E47" s="421">
        <f>$E$45*C47</f>
        <v>0</v>
      </c>
      <c r="F47" s="421">
        <f>$F$45*C47</f>
        <v>0</v>
      </c>
      <c r="G47" s="421">
        <f>$G$45*C47</f>
        <v>0</v>
      </c>
      <c r="H47" s="421">
        <f>$H$45*C47</f>
        <v>0</v>
      </c>
      <c r="I47" s="421">
        <f>$I$45*C47</f>
        <v>0</v>
      </c>
      <c r="J47" s="421">
        <f>$J$45*C47</f>
        <v>0</v>
      </c>
      <c r="K47" s="424">
        <f t="shared" si="4"/>
        <v>0</v>
      </c>
    </row>
    <row r="48" spans="2:13" x14ac:dyDescent="0.25">
      <c r="B48" s="389" t="s">
        <v>578</v>
      </c>
      <c r="C48" s="423">
        <v>1.5</v>
      </c>
      <c r="D48" s="421">
        <f>$D$45*C48</f>
        <v>0</v>
      </c>
      <c r="E48" s="421">
        <f>$E$45*C48</f>
        <v>0</v>
      </c>
      <c r="F48" s="421">
        <f>$F$45*C48</f>
        <v>0</v>
      </c>
      <c r="G48" s="421">
        <f>$G$45*C48</f>
        <v>0</v>
      </c>
      <c r="H48" s="421">
        <f>$H$45*C48</f>
        <v>0</v>
      </c>
      <c r="I48" s="421">
        <f>$I$45*C48</f>
        <v>0</v>
      </c>
      <c r="J48" s="421">
        <f>$J$45*C48</f>
        <v>0</v>
      </c>
      <c r="K48" s="424">
        <f t="shared" si="4"/>
        <v>0</v>
      </c>
    </row>
    <row r="49" spans="2:13" x14ac:dyDescent="0.25">
      <c r="B49" s="389" t="s">
        <v>625</v>
      </c>
      <c r="C49" s="423">
        <v>1.5</v>
      </c>
      <c r="D49" s="421">
        <f>$D$45*C49</f>
        <v>0</v>
      </c>
      <c r="E49" s="421">
        <f>$E$45*C49</f>
        <v>0</v>
      </c>
      <c r="F49" s="421">
        <f>$F$45*C49</f>
        <v>0</v>
      </c>
      <c r="G49" s="421">
        <f>$G$45*C49</f>
        <v>0</v>
      </c>
      <c r="H49" s="421">
        <f>$H$45*C49</f>
        <v>0</v>
      </c>
      <c r="I49" s="421">
        <f>$I$45*C49</f>
        <v>0</v>
      </c>
      <c r="J49" s="421">
        <f>$J$45*C49</f>
        <v>0</v>
      </c>
      <c r="K49" s="424">
        <f t="shared" si="4"/>
        <v>0</v>
      </c>
    </row>
    <row r="50" spans="2:13" x14ac:dyDescent="0.25">
      <c r="B50" s="389" t="s">
        <v>626</v>
      </c>
      <c r="C50" s="423">
        <v>1</v>
      </c>
      <c r="D50" s="421">
        <f>$D$45*C50</f>
        <v>0</v>
      </c>
      <c r="E50" s="421">
        <f>$E$45*C50</f>
        <v>0</v>
      </c>
      <c r="F50" s="421">
        <f>$F$45*C50</f>
        <v>0</v>
      </c>
      <c r="G50" s="421">
        <f>$G$45*C50</f>
        <v>0</v>
      </c>
      <c r="H50" s="421">
        <f>$H$45*C50</f>
        <v>0</v>
      </c>
      <c r="I50" s="421">
        <f>$I$45*C50</f>
        <v>0</v>
      </c>
      <c r="J50" s="421">
        <f>$J$45*C50</f>
        <v>0</v>
      </c>
      <c r="K50" s="424">
        <f t="shared" si="4"/>
        <v>0</v>
      </c>
    </row>
    <row r="51" spans="2:13" ht="15" customHeight="1" thickBot="1" x14ac:dyDescent="0.3"/>
    <row r="52" spans="2:13" ht="15.75" thickBot="1" x14ac:dyDescent="0.3">
      <c r="B52" s="410">
        <v>6400127</v>
      </c>
      <c r="C52" s="411"/>
      <c r="D52" s="407" t="s">
        <v>548</v>
      </c>
      <c r="E52" s="408" t="s">
        <v>549</v>
      </c>
      <c r="F52" s="408" t="s">
        <v>550</v>
      </c>
      <c r="G52" s="408" t="s">
        <v>551</v>
      </c>
      <c r="H52" s="408" t="s">
        <v>552</v>
      </c>
      <c r="I52" s="408" t="s">
        <v>553</v>
      </c>
      <c r="J52" s="408" t="s">
        <v>554</v>
      </c>
      <c r="K52" s="408" t="s">
        <v>555</v>
      </c>
      <c r="M52" s="426" t="s">
        <v>629</v>
      </c>
    </row>
    <row r="53" spans="2:13" ht="15.75" thickBot="1" x14ac:dyDescent="0.3">
      <c r="B53" s="414" t="s">
        <v>556</v>
      </c>
      <c r="C53" s="415" t="s">
        <v>620</v>
      </c>
      <c r="D53" s="416">
        <f>IF(ISERROR(VLOOKUP($B$52,'MD Usage'!$A$1:$W$5000,3,FALSE)),0,VLOOKUP($B$52,'MD Usage'!$A$1:$W$5000,3,FALSE))</f>
        <v>0</v>
      </c>
      <c r="E53" s="416">
        <f>IF(ISERROR(VLOOKUP($B$52,'MD Usage'!$A$1:$W$5000,5,FALSE)),0,VLOOKUP($B$52,'MD Usage'!$A$1:$W$5000,5,FALSE))</f>
        <v>0</v>
      </c>
      <c r="F53" s="416">
        <f>IF(ISERROR(VLOOKUP($B$52,'MD Usage'!$A$1:$W$5000,7,FALSE)),0,VLOOKUP($B$52,'MD Usage'!$A$1:$W$5000,7,FALSE))</f>
        <v>0</v>
      </c>
      <c r="G53" s="416">
        <f>IF(ISERROR(VLOOKUP($B$52,'MD Usage'!$A$1:$W$5000,9,FALSE)),0,VLOOKUP($B$52,'MD Usage'!$A$1:$W$5000,9,FALSE))</f>
        <v>0</v>
      </c>
      <c r="H53" s="416">
        <f>IF(ISERROR(VLOOKUP($B$52,'MD Usage'!$A$1:$W$5000,11,FALSE)),0,VLOOKUP($B$52,'MD Usage'!$A$1:$W$5000,11,FALSE))</f>
        <v>0</v>
      </c>
      <c r="I53" s="416">
        <f>IF(ISERROR(VLOOKUP($B$52,'MD Usage'!A1:R2000,13,FALSE)),0,VLOOKUP($B$52,'MD Usage'!A1:R2000,13,FALSE))</f>
        <v>0</v>
      </c>
      <c r="J53" s="416">
        <f>IF(ISERROR(VLOOKUP($B$52,'MD Usage'!A1:R2000,15,FALSE)),0,VLOOKUP($B$52,'MD Usage'!A1:R2000,15,FALSE))</f>
        <v>0</v>
      </c>
      <c r="K53" s="418">
        <f t="shared" ref="K53:K58" si="5">SUM(D53:J53)</f>
        <v>0</v>
      </c>
    </row>
    <row r="54" spans="2:13" x14ac:dyDescent="0.25">
      <c r="B54" s="419" t="s">
        <v>463</v>
      </c>
      <c r="C54" s="420">
        <v>7</v>
      </c>
      <c r="D54" s="421">
        <f>$D$53*C54</f>
        <v>0</v>
      </c>
      <c r="E54" s="421">
        <f>$E$53*C54</f>
        <v>0</v>
      </c>
      <c r="F54" s="421">
        <f>$F$53*C54</f>
        <v>0</v>
      </c>
      <c r="G54" s="421">
        <f>$G$53*C54</f>
        <v>0</v>
      </c>
      <c r="H54" s="421">
        <f>$H$53*C54</f>
        <v>0</v>
      </c>
      <c r="I54" s="421">
        <f>$I$53*C54</f>
        <v>0</v>
      </c>
      <c r="J54" s="421">
        <f>$J$53*C54</f>
        <v>0</v>
      </c>
      <c r="K54" s="422">
        <f t="shared" si="5"/>
        <v>0</v>
      </c>
    </row>
    <row r="55" spans="2:13" x14ac:dyDescent="0.25">
      <c r="B55" s="389" t="s">
        <v>118</v>
      </c>
      <c r="C55" s="423">
        <v>7</v>
      </c>
      <c r="D55" s="421">
        <f>$D$53*C55</f>
        <v>0</v>
      </c>
      <c r="E55" s="421">
        <f>$E$53*C55</f>
        <v>0</v>
      </c>
      <c r="F55" s="421">
        <f>$F$53*C55</f>
        <v>0</v>
      </c>
      <c r="G55" s="421">
        <f>$G$53*C55</f>
        <v>0</v>
      </c>
      <c r="H55" s="421">
        <f>$H$53*C55</f>
        <v>0</v>
      </c>
      <c r="I55" s="421">
        <f>$I$53*C55</f>
        <v>0</v>
      </c>
      <c r="J55" s="421">
        <f>$J$53*C55</f>
        <v>0</v>
      </c>
      <c r="K55" s="424">
        <f t="shared" si="5"/>
        <v>0</v>
      </c>
    </row>
    <row r="56" spans="2:13" x14ac:dyDescent="0.25">
      <c r="B56" s="389"/>
      <c r="C56" s="423"/>
      <c r="D56" s="421">
        <f>$D$53*C56</f>
        <v>0</v>
      </c>
      <c r="E56" s="421">
        <f>$E$53*C56</f>
        <v>0</v>
      </c>
      <c r="F56" s="421">
        <f>$F$53*C56</f>
        <v>0</v>
      </c>
      <c r="G56" s="421">
        <f>$G$53*C56</f>
        <v>0</v>
      </c>
      <c r="H56" s="421">
        <f>$H$53*C56</f>
        <v>0</v>
      </c>
      <c r="I56" s="421">
        <f>$I$53*C56</f>
        <v>0</v>
      </c>
      <c r="J56" s="421">
        <f>$J$53*C56</f>
        <v>0</v>
      </c>
      <c r="K56" s="424">
        <f t="shared" si="5"/>
        <v>0</v>
      </c>
    </row>
    <row r="57" spans="2:13" x14ac:dyDescent="0.25">
      <c r="B57" s="389"/>
      <c r="C57" s="423"/>
      <c r="D57" s="421">
        <f>$D$53*C57</f>
        <v>0</v>
      </c>
      <c r="E57" s="421">
        <f>$E$53*C57</f>
        <v>0</v>
      </c>
      <c r="F57" s="421">
        <f>$F$53*C57</f>
        <v>0</v>
      </c>
      <c r="G57" s="421">
        <f>$G$53*C57</f>
        <v>0</v>
      </c>
      <c r="H57" s="421">
        <f>$H$53*C57</f>
        <v>0</v>
      </c>
      <c r="I57" s="421">
        <f>$I$53*C57</f>
        <v>0</v>
      </c>
      <c r="J57" s="421">
        <f>$J$53*C57</f>
        <v>0</v>
      </c>
      <c r="K57" s="424">
        <f t="shared" si="5"/>
        <v>0</v>
      </c>
    </row>
    <row r="58" spans="2:13" x14ac:dyDescent="0.25">
      <c r="B58" s="389"/>
      <c r="C58" s="423"/>
      <c r="D58" s="421">
        <f>$D$53*C58</f>
        <v>0</v>
      </c>
      <c r="E58" s="421">
        <f>$E$53*C58</f>
        <v>0</v>
      </c>
      <c r="F58" s="421">
        <f>$F$53*C58</f>
        <v>0</v>
      </c>
      <c r="G58" s="421">
        <f>$G$53*C58</f>
        <v>0</v>
      </c>
      <c r="H58" s="421">
        <f>$H$53*C58</f>
        <v>0</v>
      </c>
      <c r="I58" s="421">
        <f>$I$53*C58</f>
        <v>0</v>
      </c>
      <c r="J58" s="421">
        <f>$J$53*C58</f>
        <v>0</v>
      </c>
      <c r="K58" s="424">
        <f t="shared" si="5"/>
        <v>0</v>
      </c>
    </row>
    <row r="59" spans="2:13" ht="15" customHeight="1" thickBot="1" x14ac:dyDescent="0.3"/>
    <row r="60" spans="2:13" ht="15.75" thickBot="1" x14ac:dyDescent="0.3">
      <c r="B60" s="410">
        <v>5555555</v>
      </c>
      <c r="C60" s="411"/>
      <c r="D60" s="407" t="s">
        <v>548</v>
      </c>
      <c r="E60" s="408" t="s">
        <v>549</v>
      </c>
      <c r="F60" s="408" t="s">
        <v>550</v>
      </c>
      <c r="G60" s="408" t="s">
        <v>551</v>
      </c>
      <c r="H60" s="408" t="s">
        <v>552</v>
      </c>
      <c r="I60" s="408" t="s">
        <v>553</v>
      </c>
      <c r="J60" s="408" t="s">
        <v>554</v>
      </c>
      <c r="K60" s="408" t="s">
        <v>555</v>
      </c>
      <c r="M60" s="426" t="s">
        <v>630</v>
      </c>
    </row>
    <row r="61" spans="2:13" ht="15.75" thickBot="1" x14ac:dyDescent="0.3">
      <c r="B61" s="414" t="s">
        <v>556</v>
      </c>
      <c r="C61" s="415" t="s">
        <v>620</v>
      </c>
      <c r="D61" s="416">
        <f>IF(ISERROR(VLOOKUP($B$60,'MD Usage'!$A$1:$W$5000,3,FALSE)),0,VLOOKUP($B$60,'MD Usage'!$A$1:$W$5000,3,FALSE))</f>
        <v>0</v>
      </c>
      <c r="E61" s="416">
        <f>IF(ISERROR(VLOOKUP($B$60,'MD Usage'!$A$1:$W$5000,5,FALSE)),0,VLOOKUP($B$60,'MD Usage'!$A$1:$W$5000,5,FALSE))</f>
        <v>0</v>
      </c>
      <c r="F61" s="416">
        <f>IF(ISERROR(VLOOKUP($B$60,'MD Usage'!$A$1:$W$5000,7,FALSE)),0,VLOOKUP($B$60,'MD Usage'!$A$1:$W$5000,7,FALSE))</f>
        <v>0</v>
      </c>
      <c r="G61" s="416">
        <f>IF(ISERROR(VLOOKUP($B$60,'MD Usage'!$A$1:$W$5000,9,FALSE)),0,VLOOKUP($B$60,'MD Usage'!$A$1:$W$5000,9,FALSE))</f>
        <v>0</v>
      </c>
      <c r="H61" s="416">
        <f>IF(ISERROR(VLOOKUP($B$60,'MD Usage'!$A$1:$W$5000,11,FALSE)),0,VLOOKUP($B$60,'MD Usage'!$A$1:$W$5000,11,FALSE))</f>
        <v>0</v>
      </c>
      <c r="I61" s="416">
        <f>IF(ISERROR(VLOOKUP($B$60,'MD Usage'!A1:R2000,13,FALSE)),0,VLOOKUP($B$60,'MD Usage'!A1:R2000,13,FALSE))</f>
        <v>0</v>
      </c>
      <c r="J61" s="416">
        <f>IF(ISERROR(VLOOKUP($B$60,'MD Usage'!A1:R2000,15,FALSE)),0,VLOOKUP($B$60,'MD Usage'!A1:R2000,15,FALSE))</f>
        <v>0</v>
      </c>
      <c r="K61" s="418">
        <f t="shared" ref="K61:K66" si="6">SUM(D61:J61)</f>
        <v>0</v>
      </c>
    </row>
    <row r="62" spans="2:13" x14ac:dyDescent="0.25">
      <c r="B62" s="419" t="s">
        <v>463</v>
      </c>
      <c r="C62" s="420">
        <v>7</v>
      </c>
      <c r="D62" s="421">
        <f>$D$61*C62</f>
        <v>0</v>
      </c>
      <c r="E62" s="421">
        <f>$E$61*C62</f>
        <v>0</v>
      </c>
      <c r="F62" s="421">
        <f>$F$61*C62</f>
        <v>0</v>
      </c>
      <c r="G62" s="421">
        <f>$G$61*C62</f>
        <v>0</v>
      </c>
      <c r="H62" s="421">
        <f>$H$61*C62</f>
        <v>0</v>
      </c>
      <c r="I62" s="421">
        <f>$I$61*C62</f>
        <v>0</v>
      </c>
      <c r="J62" s="421">
        <f>$J$61*C62</f>
        <v>0</v>
      </c>
      <c r="K62" s="422">
        <f t="shared" si="6"/>
        <v>0</v>
      </c>
    </row>
    <row r="63" spans="2:13" x14ac:dyDescent="0.25">
      <c r="B63" s="389" t="s">
        <v>118</v>
      </c>
      <c r="C63" s="423">
        <v>7</v>
      </c>
      <c r="D63" s="421">
        <f>$D$61*C63</f>
        <v>0</v>
      </c>
      <c r="E63" s="421">
        <f>$E$61*C63</f>
        <v>0</v>
      </c>
      <c r="F63" s="421">
        <f>$F$61*C63</f>
        <v>0</v>
      </c>
      <c r="G63" s="421">
        <f>$G$61*C63</f>
        <v>0</v>
      </c>
      <c r="H63" s="421">
        <f>$H$61*C63</f>
        <v>0</v>
      </c>
      <c r="I63" s="421">
        <f>$I$61*C63</f>
        <v>0</v>
      </c>
      <c r="J63" s="421">
        <f>$J$61*C63</f>
        <v>0</v>
      </c>
      <c r="K63" s="424">
        <f t="shared" si="6"/>
        <v>0</v>
      </c>
    </row>
    <row r="64" spans="2:13" x14ac:dyDescent="0.25">
      <c r="B64" s="389"/>
      <c r="C64" s="423"/>
      <c r="D64" s="421">
        <f>$D$61*C64</f>
        <v>0</v>
      </c>
      <c r="E64" s="421">
        <f>$E$61*C64</f>
        <v>0</v>
      </c>
      <c r="F64" s="421">
        <f>$F$61*C64</f>
        <v>0</v>
      </c>
      <c r="G64" s="421">
        <f>$G$61*C64</f>
        <v>0</v>
      </c>
      <c r="H64" s="421">
        <f>$H$61*C64</f>
        <v>0</v>
      </c>
      <c r="I64" s="421">
        <f>$I$61*C64</f>
        <v>0</v>
      </c>
      <c r="J64" s="421">
        <f>$J$61*C64</f>
        <v>0</v>
      </c>
      <c r="K64" s="424">
        <f t="shared" si="6"/>
        <v>0</v>
      </c>
    </row>
    <row r="65" spans="2:13" x14ac:dyDescent="0.25">
      <c r="B65" s="389"/>
      <c r="C65" s="423"/>
      <c r="D65" s="421">
        <f>$D$61*C65</f>
        <v>0</v>
      </c>
      <c r="E65" s="421">
        <f>$E$61*C65</f>
        <v>0</v>
      </c>
      <c r="F65" s="421">
        <f>$F$61*C65</f>
        <v>0</v>
      </c>
      <c r="G65" s="421">
        <f>$G$61*C65</f>
        <v>0</v>
      </c>
      <c r="H65" s="421">
        <f>$H$61*C65</f>
        <v>0</v>
      </c>
      <c r="I65" s="421">
        <f>$I$61*C65</f>
        <v>0</v>
      </c>
      <c r="J65" s="421">
        <f>$J$61*C65</f>
        <v>0</v>
      </c>
      <c r="K65" s="424">
        <f t="shared" si="6"/>
        <v>0</v>
      </c>
    </row>
    <row r="66" spans="2:13" x14ac:dyDescent="0.25">
      <c r="B66" s="389"/>
      <c r="C66" s="423"/>
      <c r="D66" s="421">
        <f>$D$61*C66</f>
        <v>0</v>
      </c>
      <c r="E66" s="421">
        <f>$E$61*C66</f>
        <v>0</v>
      </c>
      <c r="F66" s="421">
        <f>$F$61*C66</f>
        <v>0</v>
      </c>
      <c r="G66" s="421">
        <f>$G$61*C66</f>
        <v>0</v>
      </c>
      <c r="H66" s="421">
        <f>$H$61*C66</f>
        <v>0</v>
      </c>
      <c r="I66" s="421">
        <f>$I$61*C66</f>
        <v>0</v>
      </c>
      <c r="J66" s="421">
        <f>$J$61*C66</f>
        <v>0</v>
      </c>
      <c r="K66" s="424">
        <f t="shared" si="6"/>
        <v>0</v>
      </c>
    </row>
    <row r="67" spans="2:13" ht="15" customHeight="1" thickBot="1" x14ac:dyDescent="0.3"/>
    <row r="68" spans="2:13" ht="15.75" thickBot="1" x14ac:dyDescent="0.3">
      <c r="B68" s="410">
        <v>555555555</v>
      </c>
      <c r="C68" s="411"/>
      <c r="D68" s="407" t="s">
        <v>548</v>
      </c>
      <c r="E68" s="408" t="s">
        <v>549</v>
      </c>
      <c r="F68" s="408" t="s">
        <v>550</v>
      </c>
      <c r="G68" s="408" t="s">
        <v>551</v>
      </c>
      <c r="H68" s="408" t="s">
        <v>552</v>
      </c>
      <c r="I68" s="408" t="s">
        <v>553</v>
      </c>
      <c r="J68" s="408" t="s">
        <v>554</v>
      </c>
      <c r="K68" s="408" t="s">
        <v>555</v>
      </c>
      <c r="M68" s="426" t="s">
        <v>631</v>
      </c>
    </row>
    <row r="69" spans="2:13" ht="15.75" thickBot="1" x14ac:dyDescent="0.3">
      <c r="B69" s="414" t="s">
        <v>556</v>
      </c>
      <c r="C69" s="415" t="s">
        <v>620</v>
      </c>
      <c r="D69" s="416">
        <f>IF(ISERROR(VLOOKUP($B$68,'MD Usage'!$A$1:$W$5000,3,FALSE)),0,VLOOKUP($B$68,'MD Usage'!$A$1:$W$5000,3,FALSE))</f>
        <v>0</v>
      </c>
      <c r="E69" s="416">
        <f>IF(ISERROR(VLOOKUP($B$68,'MD Usage'!$A$1:$W$5000,5,FALSE)),0,VLOOKUP($B$68,'MD Usage'!$A$1:$W$5000,5,FALSE))</f>
        <v>0</v>
      </c>
      <c r="F69" s="416">
        <f>IF(ISERROR(VLOOKUP($B$68,'MD Usage'!$A$1:$W$5000,7,FALSE)),0,VLOOKUP($B$68,'MD Usage'!$A$1:$W$5000,7,FALSE))</f>
        <v>0</v>
      </c>
      <c r="G69" s="416">
        <f>IF(ISERROR(VLOOKUP($B$68,'MD Usage'!$A$1:$W$5000,9,FALSE)),0,VLOOKUP($B$68,'MD Usage'!$A$1:$W$5000,9,FALSE))</f>
        <v>0</v>
      </c>
      <c r="H69" s="416">
        <f>IF(ISERROR(VLOOKUP($B$68,'MD Usage'!$A$1:$W$5000,11,FALSE)),0,VLOOKUP($B$68,'MD Usage'!$A$1:$W$5000,11,FALSE))</f>
        <v>0</v>
      </c>
      <c r="I69" s="416">
        <f>IF(ISERROR(VLOOKUP($B$68,'MD Usage'!A1:R2000,13,FALSE)),0,VLOOKUP($B$68,'MD Usage'!A1:R2000,13,FALSE))</f>
        <v>0</v>
      </c>
      <c r="J69" s="416">
        <f>IF(ISERROR(VLOOKUP($B$68,'MD Usage'!A1:R2000,15,FALSE)),0,VLOOKUP($B$68,'MD Usage'!A1:R2000,15,FALSE))</f>
        <v>0</v>
      </c>
      <c r="K69" s="418">
        <f t="shared" ref="K69:K74" si="7">SUM(D69:J69)</f>
        <v>0</v>
      </c>
    </row>
    <row r="70" spans="2:13" x14ac:dyDescent="0.25">
      <c r="B70" s="419" t="s">
        <v>463</v>
      </c>
      <c r="C70" s="420">
        <v>7</v>
      </c>
      <c r="D70" s="421">
        <f>$D$69*C70</f>
        <v>0</v>
      </c>
      <c r="E70" s="421">
        <f>$E$69*C70</f>
        <v>0</v>
      </c>
      <c r="F70" s="421">
        <f>$F$69*C70</f>
        <v>0</v>
      </c>
      <c r="G70" s="421">
        <f>$G$69*C70</f>
        <v>0</v>
      </c>
      <c r="H70" s="421">
        <f>$H$69*C70</f>
        <v>0</v>
      </c>
      <c r="I70" s="421">
        <f>$I$69*C70</f>
        <v>0</v>
      </c>
      <c r="J70" s="421">
        <f>$J$69*C70</f>
        <v>0</v>
      </c>
      <c r="K70" s="422">
        <f t="shared" si="7"/>
        <v>0</v>
      </c>
    </row>
    <row r="71" spans="2:13" x14ac:dyDescent="0.25">
      <c r="B71" s="389" t="s">
        <v>118</v>
      </c>
      <c r="C71" s="423">
        <v>7</v>
      </c>
      <c r="D71" s="421">
        <f>$D$69*C71</f>
        <v>0</v>
      </c>
      <c r="E71" s="421">
        <f>$E$69*C71</f>
        <v>0</v>
      </c>
      <c r="F71" s="421">
        <f>$F$69*C71</f>
        <v>0</v>
      </c>
      <c r="G71" s="421">
        <f>$G$69*C71</f>
        <v>0</v>
      </c>
      <c r="H71" s="421">
        <f>$H$69*C71</f>
        <v>0</v>
      </c>
      <c r="I71" s="421">
        <f>$I$69*C71</f>
        <v>0</v>
      </c>
      <c r="J71" s="421">
        <f>$J$69*C71</f>
        <v>0</v>
      </c>
      <c r="K71" s="424">
        <f t="shared" si="7"/>
        <v>0</v>
      </c>
    </row>
    <row r="72" spans="2:13" x14ac:dyDescent="0.25">
      <c r="B72" s="389"/>
      <c r="C72" s="423"/>
      <c r="D72" s="421">
        <f>$D$69*C72</f>
        <v>0</v>
      </c>
      <c r="E72" s="421">
        <f>$E$69*C72</f>
        <v>0</v>
      </c>
      <c r="F72" s="421">
        <f>$F$69*C72</f>
        <v>0</v>
      </c>
      <c r="G72" s="421">
        <f>$G$69*C72</f>
        <v>0</v>
      </c>
      <c r="H72" s="421">
        <f>$H$69*C72</f>
        <v>0</v>
      </c>
      <c r="I72" s="421">
        <f>$I$69*C72</f>
        <v>0</v>
      </c>
      <c r="J72" s="421">
        <f>$J$69*C72</f>
        <v>0</v>
      </c>
      <c r="K72" s="424">
        <f t="shared" si="7"/>
        <v>0</v>
      </c>
    </row>
    <row r="73" spans="2:13" x14ac:dyDescent="0.25">
      <c r="B73" s="389"/>
      <c r="C73" s="423"/>
      <c r="D73" s="421">
        <f>$D$69*C73</f>
        <v>0</v>
      </c>
      <c r="E73" s="421">
        <f>$E$69*C73</f>
        <v>0</v>
      </c>
      <c r="F73" s="421">
        <f>$F$69*C73</f>
        <v>0</v>
      </c>
      <c r="G73" s="421">
        <f>$G$69*C73</f>
        <v>0</v>
      </c>
      <c r="H73" s="421">
        <f>$H$69*C73</f>
        <v>0</v>
      </c>
      <c r="I73" s="421">
        <f>$I$69*C73</f>
        <v>0</v>
      </c>
      <c r="J73" s="421">
        <f>$J$69*C73</f>
        <v>0</v>
      </c>
      <c r="K73" s="424">
        <f t="shared" si="7"/>
        <v>0</v>
      </c>
    </row>
    <row r="74" spans="2:13" x14ac:dyDescent="0.25">
      <c r="B74" s="389"/>
      <c r="C74" s="423"/>
      <c r="D74" s="421">
        <f>$D$69*C74</f>
        <v>0</v>
      </c>
      <c r="E74" s="421">
        <f>$E$69*C74</f>
        <v>0</v>
      </c>
      <c r="F74" s="421">
        <f>$F$69*C74</f>
        <v>0</v>
      </c>
      <c r="G74" s="421">
        <f>$G$69*C74</f>
        <v>0</v>
      </c>
      <c r="H74" s="421">
        <f>$H$69*C74</f>
        <v>0</v>
      </c>
      <c r="I74" s="421">
        <f>$I$69*C74</f>
        <v>0</v>
      </c>
      <c r="J74" s="421">
        <f>$J$69*C74</f>
        <v>0</v>
      </c>
      <c r="K74" s="424">
        <f t="shared" si="7"/>
        <v>0</v>
      </c>
    </row>
    <row r="75" spans="2:13" ht="15" customHeight="1" thickBot="1" x14ac:dyDescent="0.3"/>
    <row r="76" spans="2:13" ht="15.75" thickBot="1" x14ac:dyDescent="0.3">
      <c r="B76" s="410">
        <v>6400374</v>
      </c>
      <c r="C76" s="411"/>
      <c r="D76" s="407" t="s">
        <v>548</v>
      </c>
      <c r="E76" s="408" t="s">
        <v>549</v>
      </c>
      <c r="F76" s="408" t="s">
        <v>550</v>
      </c>
      <c r="G76" s="408" t="s">
        <v>551</v>
      </c>
      <c r="H76" s="408" t="s">
        <v>552</v>
      </c>
      <c r="I76" s="408" t="s">
        <v>553</v>
      </c>
      <c r="J76" s="408" t="s">
        <v>554</v>
      </c>
      <c r="K76" s="408" t="s">
        <v>555</v>
      </c>
      <c r="M76" s="426" t="s">
        <v>632</v>
      </c>
    </row>
    <row r="77" spans="2:13" ht="15.75" thickBot="1" x14ac:dyDescent="0.3">
      <c r="B77" s="414" t="s">
        <v>556</v>
      </c>
      <c r="C77" s="415" t="s">
        <v>620</v>
      </c>
      <c r="D77" s="416">
        <f>IF(ISERROR(VLOOKUP($B$76,'MD Usage'!$A$1:$W$5000,3,FALSE)),0,VLOOKUP($B$76,'MD Usage'!$A$1:$W$5000,3,FALSE))</f>
        <v>0</v>
      </c>
      <c r="E77" s="416">
        <f>IF(ISERROR(VLOOKUP($B$76,'MD Usage'!$A$1:$W$5000,5,FALSE)),0,VLOOKUP($B$76,'MD Usage'!$A$1:$W$5000,5,FALSE))</f>
        <v>0</v>
      </c>
      <c r="F77" s="416">
        <f>IF(ISERROR(VLOOKUP($B$76,'MD Usage'!$A$1:$W$5000,7,FALSE)),0,VLOOKUP($B$76,'MD Usage'!$A$1:$W$5000,7,FALSE))</f>
        <v>6</v>
      </c>
      <c r="G77" s="416">
        <f>IF(ISERROR(VLOOKUP($B$76,'MD Usage'!$A$1:$W$5000,9,FALSE)),0,VLOOKUP($B$76,'MD Usage'!$A$1:$W$5000,9,FALSE))</f>
        <v>3</v>
      </c>
      <c r="H77" s="416">
        <f>IF(ISERROR(VLOOKUP($B$76,'MD Usage'!$A$1:$W$5000,11,FALSE)),0,VLOOKUP($B$76,'MD Usage'!$A$1:$W$5000,11,FALSE))</f>
        <v>12</v>
      </c>
      <c r="I77" s="416">
        <f>IF(ISERROR(VLOOKUP($B$76,'MD Usage'!A1:R2000,13,FALSE)),0,VLOOKUP($B$76,'MD Usage'!A1:R2000,13,FALSE))</f>
        <v>4</v>
      </c>
      <c r="J77" s="416">
        <f>IF(ISERROR(VLOOKUP($B$76,'MD Usage'!A1:R2000,15,FALSE)),0,VLOOKUP($B$76,'MD Usage'!A1:R2000,15,FALSE))</f>
        <v>4</v>
      </c>
      <c r="K77" s="418">
        <f t="shared" ref="K77:K82" si="8">SUM(D77:J77)</f>
        <v>29</v>
      </c>
    </row>
    <row r="78" spans="2:13" x14ac:dyDescent="0.25">
      <c r="B78" s="419" t="s">
        <v>571</v>
      </c>
      <c r="C78" s="420">
        <v>1</v>
      </c>
      <c r="D78" s="421">
        <f>$D$77*C78</f>
        <v>0</v>
      </c>
      <c r="E78" s="421">
        <f>$E$77*C78</f>
        <v>0</v>
      </c>
      <c r="F78" s="421">
        <f>$F$77*C78</f>
        <v>6</v>
      </c>
      <c r="G78" s="421">
        <f>$G$77*C78</f>
        <v>3</v>
      </c>
      <c r="H78" s="421">
        <f>$H$77*C78</f>
        <v>12</v>
      </c>
      <c r="I78" s="421">
        <f>$I$77*C78</f>
        <v>4</v>
      </c>
      <c r="J78" s="421">
        <f>$J$77*C78</f>
        <v>4</v>
      </c>
      <c r="K78" s="422">
        <f t="shared" si="8"/>
        <v>29</v>
      </c>
    </row>
    <row r="79" spans="2:13" x14ac:dyDescent="0.25">
      <c r="B79" s="389" t="s">
        <v>1860</v>
      </c>
      <c r="C79" s="423">
        <v>1</v>
      </c>
      <c r="D79" s="421">
        <f>$D$77*C79</f>
        <v>0</v>
      </c>
      <c r="E79" s="421">
        <f>$E$77*C79</f>
        <v>0</v>
      </c>
      <c r="F79" s="421">
        <f>$F$77*C79</f>
        <v>6</v>
      </c>
      <c r="G79" s="421">
        <f>$G$77*C79</f>
        <v>3</v>
      </c>
      <c r="H79" s="421">
        <f>$H$77*C79</f>
        <v>12</v>
      </c>
      <c r="I79" s="421">
        <f>$I$77*C79</f>
        <v>4</v>
      </c>
      <c r="J79" s="421">
        <f>$J$77*C79</f>
        <v>4</v>
      </c>
      <c r="K79" s="424">
        <f t="shared" si="8"/>
        <v>29</v>
      </c>
    </row>
    <row r="80" spans="2:13" x14ac:dyDescent="0.25">
      <c r="B80" s="389" t="s">
        <v>917</v>
      </c>
      <c r="C80" s="423">
        <v>1</v>
      </c>
      <c r="D80" s="421">
        <f>$D$77*C80</f>
        <v>0</v>
      </c>
      <c r="E80" s="421">
        <f>$E$77*C80</f>
        <v>0</v>
      </c>
      <c r="F80" s="421">
        <f>$F$77*C80</f>
        <v>6</v>
      </c>
      <c r="G80" s="421">
        <f>$G$77*C80</f>
        <v>3</v>
      </c>
      <c r="H80" s="421">
        <f>$H$77*C80</f>
        <v>12</v>
      </c>
      <c r="I80" s="421">
        <f>$I$77*C80</f>
        <v>4</v>
      </c>
      <c r="J80" s="421">
        <f>$J$77*C80</f>
        <v>4</v>
      </c>
      <c r="K80" s="424">
        <f t="shared" si="8"/>
        <v>29</v>
      </c>
    </row>
    <row r="81" spans="2:13" x14ac:dyDescent="0.25">
      <c r="B81" s="389"/>
      <c r="C81" s="423"/>
      <c r="D81" s="421">
        <f>$D$77*C81</f>
        <v>0</v>
      </c>
      <c r="E81" s="421">
        <f>$E$77*C81</f>
        <v>0</v>
      </c>
      <c r="F81" s="421">
        <f>$F$77*C81</f>
        <v>0</v>
      </c>
      <c r="G81" s="421">
        <f>$G$77*C81</f>
        <v>0</v>
      </c>
      <c r="H81" s="421">
        <f>$H$77*C81</f>
        <v>0</v>
      </c>
      <c r="I81" s="421">
        <f>$I$77*C81</f>
        <v>0</v>
      </c>
      <c r="J81" s="421">
        <f>$J$77*C81</f>
        <v>0</v>
      </c>
      <c r="K81" s="424">
        <f t="shared" si="8"/>
        <v>0</v>
      </c>
    </row>
    <row r="82" spans="2:13" x14ac:dyDescent="0.25">
      <c r="B82" s="389"/>
      <c r="C82" s="423"/>
      <c r="D82" s="421">
        <f>$D$77*C82</f>
        <v>0</v>
      </c>
      <c r="E82" s="421">
        <f>$E$77*C82</f>
        <v>0</v>
      </c>
      <c r="F82" s="421">
        <f>$F$77*C82</f>
        <v>0</v>
      </c>
      <c r="G82" s="421">
        <f>$G$77*C82</f>
        <v>0</v>
      </c>
      <c r="H82" s="421">
        <f>$H$77*C82</f>
        <v>0</v>
      </c>
      <c r="I82" s="421">
        <f>$I$77*C82</f>
        <v>0</v>
      </c>
      <c r="J82" s="421">
        <f>$J$77*C82</f>
        <v>0</v>
      </c>
      <c r="K82" s="424">
        <f t="shared" si="8"/>
        <v>0</v>
      </c>
    </row>
    <row r="83" spans="2:13" ht="15" customHeight="1" thickBot="1" x14ac:dyDescent="0.3"/>
    <row r="84" spans="2:13" ht="15.75" thickBot="1" x14ac:dyDescent="0.3">
      <c r="B84" s="410">
        <v>6400375</v>
      </c>
      <c r="C84" s="411"/>
      <c r="D84" s="407" t="s">
        <v>548</v>
      </c>
      <c r="E84" s="408" t="s">
        <v>549</v>
      </c>
      <c r="F84" s="408" t="s">
        <v>550</v>
      </c>
      <c r="G84" s="408" t="s">
        <v>551</v>
      </c>
      <c r="H84" s="408" t="s">
        <v>552</v>
      </c>
      <c r="I84" s="408" t="s">
        <v>553</v>
      </c>
      <c r="J84" s="408" t="s">
        <v>554</v>
      </c>
      <c r="K84" s="408" t="s">
        <v>555</v>
      </c>
      <c r="M84" s="426" t="s">
        <v>633</v>
      </c>
    </row>
    <row r="85" spans="2:13" ht="15.75" thickBot="1" x14ac:dyDescent="0.3">
      <c r="B85" s="414" t="s">
        <v>556</v>
      </c>
      <c r="C85" s="415" t="s">
        <v>620</v>
      </c>
      <c r="D85" s="416">
        <f>IF(ISERROR(VLOOKUP($B$84,'MD Usage'!$A$1:$W$5000,3,FALSE)),0,VLOOKUP($B$84,'MD Usage'!$A$1:$W$5000,3,FALSE))</f>
        <v>1</v>
      </c>
      <c r="E85" s="416">
        <f>IF(ISERROR(VLOOKUP($B$84,'MD Usage'!$A$1:$W$5000,5,FALSE)),0,VLOOKUP($B$84,'MD Usage'!$A$1:$W$5000,5,FALSE))</f>
        <v>1</v>
      </c>
      <c r="F85" s="416">
        <f>IF(ISERROR(VLOOKUP($B$84,'MD Usage'!$A$1:$W$5000,7,FALSE)),0,VLOOKUP($B$84,'MD Usage'!$A$1:$W$5000,7,FALSE))</f>
        <v>0</v>
      </c>
      <c r="G85" s="416">
        <f>IF(ISERROR(VLOOKUP($B$84,'MD Usage'!$A$1:$W$5000,9,FALSE)),0,VLOOKUP($B$84,'MD Usage'!$A$1:$W$5000,9,FALSE))</f>
        <v>0</v>
      </c>
      <c r="H85" s="416">
        <f>IF(ISERROR(VLOOKUP($B$84,'MD Usage'!$A$1:$W$5000,11,FALSE)),0,VLOOKUP($B$84,'MD Usage'!$A$1:$W$5000,11,FALSE))</f>
        <v>2</v>
      </c>
      <c r="I85" s="416">
        <f>IF(ISERROR(VLOOKUP($B$84,'MD Usage'!A1:R2000,13,FALSE)),0,VLOOKUP($B$84,'MD Usage'!A1:R2000,13,FALSE))</f>
        <v>0</v>
      </c>
      <c r="J85" s="416">
        <f>IF(ISERROR(VLOOKUP($B$84,'MD Usage'!A1:R2000,15,FALSE)),0,VLOOKUP($B$84,'MD Usage'!A1:R2000,15,FALSE))</f>
        <v>0</v>
      </c>
      <c r="K85" s="418">
        <f t="shared" ref="K85:K90" si="9">SUM(D85:J85)</f>
        <v>4</v>
      </c>
    </row>
    <row r="86" spans="2:13" x14ac:dyDescent="0.25">
      <c r="B86" s="419" t="s">
        <v>571</v>
      </c>
      <c r="C86" s="420">
        <v>1</v>
      </c>
      <c r="D86" s="421">
        <f>$D$85*C86</f>
        <v>1</v>
      </c>
      <c r="E86" s="421">
        <f>$E$85*C86</f>
        <v>1</v>
      </c>
      <c r="F86" s="421">
        <f>$F$85*C86</f>
        <v>0</v>
      </c>
      <c r="G86" s="421">
        <f>$G$85*C86</f>
        <v>0</v>
      </c>
      <c r="H86" s="421">
        <f>$H$85*C86</f>
        <v>2</v>
      </c>
      <c r="I86" s="421">
        <f>$I$85*C86</f>
        <v>0</v>
      </c>
      <c r="J86" s="421">
        <f>$J$85*C86</f>
        <v>0</v>
      </c>
      <c r="K86" s="422">
        <f t="shared" si="9"/>
        <v>4</v>
      </c>
    </row>
    <row r="87" spans="2:13" x14ac:dyDescent="0.25">
      <c r="B87" s="389" t="s">
        <v>1860</v>
      </c>
      <c r="C87" s="423">
        <v>1</v>
      </c>
      <c r="D87" s="421">
        <f>$D$85*C87</f>
        <v>1</v>
      </c>
      <c r="E87" s="421">
        <f>$E$85*C87</f>
        <v>1</v>
      </c>
      <c r="F87" s="421">
        <f>$F$85*C87</f>
        <v>0</v>
      </c>
      <c r="G87" s="421">
        <f>$G$85*C87</f>
        <v>0</v>
      </c>
      <c r="H87" s="421">
        <f>$H$85*C87</f>
        <v>2</v>
      </c>
      <c r="I87" s="421">
        <f>$I$85*C87</f>
        <v>0</v>
      </c>
      <c r="J87" s="421">
        <f>$J$85*C87</f>
        <v>0</v>
      </c>
      <c r="K87" s="424">
        <f t="shared" si="9"/>
        <v>4</v>
      </c>
    </row>
    <row r="88" spans="2:13" x14ac:dyDescent="0.25">
      <c r="B88" s="389" t="s">
        <v>917</v>
      </c>
      <c r="C88" s="423">
        <v>1</v>
      </c>
      <c r="D88" s="421">
        <f>$D$85*C88</f>
        <v>1</v>
      </c>
      <c r="E88" s="421">
        <f>$E$85*C88</f>
        <v>1</v>
      </c>
      <c r="F88" s="421">
        <f>$F$85*C88</f>
        <v>0</v>
      </c>
      <c r="G88" s="421">
        <f>$G$85*C88</f>
        <v>0</v>
      </c>
      <c r="H88" s="421">
        <f>$H$85*C88</f>
        <v>2</v>
      </c>
      <c r="I88" s="421">
        <f>$I$85*C88</f>
        <v>0</v>
      </c>
      <c r="J88" s="421">
        <f>$J$85*C88</f>
        <v>0</v>
      </c>
      <c r="K88" s="424">
        <f t="shared" si="9"/>
        <v>4</v>
      </c>
    </row>
    <row r="89" spans="2:13" x14ac:dyDescent="0.25">
      <c r="B89" s="389"/>
      <c r="C89" s="423"/>
      <c r="D89" s="421">
        <f>$D$85*C89</f>
        <v>0</v>
      </c>
      <c r="E89" s="421">
        <f>$E$85*C89</f>
        <v>0</v>
      </c>
      <c r="F89" s="421">
        <f>$F$85*C89</f>
        <v>0</v>
      </c>
      <c r="G89" s="421">
        <f>$G$85*C89</f>
        <v>0</v>
      </c>
      <c r="H89" s="421">
        <f>$H$85*C89</f>
        <v>0</v>
      </c>
      <c r="I89" s="421">
        <f>$I$85*C89</f>
        <v>0</v>
      </c>
      <c r="J89" s="421">
        <f>$J$85*C89</f>
        <v>0</v>
      </c>
      <c r="K89" s="424">
        <f t="shared" si="9"/>
        <v>0</v>
      </c>
    </row>
    <row r="90" spans="2:13" x14ac:dyDescent="0.25">
      <c r="B90" s="389"/>
      <c r="C90" s="423"/>
      <c r="D90" s="421">
        <f>$D$85*C90</f>
        <v>0</v>
      </c>
      <c r="E90" s="421">
        <f>$E$85*C90</f>
        <v>0</v>
      </c>
      <c r="F90" s="421">
        <f>$F$85*C90</f>
        <v>0</v>
      </c>
      <c r="G90" s="421">
        <f>$G$85*C90</f>
        <v>0</v>
      </c>
      <c r="H90" s="421">
        <f>$H$85*C90</f>
        <v>0</v>
      </c>
      <c r="I90" s="421">
        <f>$I$85*C90</f>
        <v>0</v>
      </c>
      <c r="J90" s="421">
        <f>$J$85*C90</f>
        <v>0</v>
      </c>
      <c r="K90" s="424">
        <f t="shared" si="9"/>
        <v>0</v>
      </c>
    </row>
    <row r="91" spans="2:13" ht="15" customHeight="1" thickBot="1" x14ac:dyDescent="0.3"/>
    <row r="92" spans="2:13" ht="15.75" thickBot="1" x14ac:dyDescent="0.3">
      <c r="B92" s="425">
        <v>5555555</v>
      </c>
      <c r="C92" s="411"/>
      <c r="D92" s="407" t="s">
        <v>548</v>
      </c>
      <c r="E92" s="408" t="s">
        <v>549</v>
      </c>
      <c r="F92" s="408" t="s">
        <v>550</v>
      </c>
      <c r="G92" s="408" t="s">
        <v>551</v>
      </c>
      <c r="H92" s="408" t="s">
        <v>552</v>
      </c>
      <c r="I92" s="408" t="s">
        <v>553</v>
      </c>
      <c r="J92" s="408" t="s">
        <v>554</v>
      </c>
      <c r="K92" s="408" t="s">
        <v>555</v>
      </c>
      <c r="M92" s="426" t="s">
        <v>634</v>
      </c>
    </row>
    <row r="93" spans="2:13" ht="15.75" thickBot="1" x14ac:dyDescent="0.3">
      <c r="B93" s="414" t="s">
        <v>556</v>
      </c>
      <c r="C93" s="415" t="s">
        <v>620</v>
      </c>
      <c r="D93" s="416">
        <f>IF(ISERROR(VLOOKUP($B$92,'MD Usage'!$A$1:$W$5000,3,FALSE)),0,VLOOKUP($B$92,'MD Usage'!$A$1:$W$5000,3,FALSE))</f>
        <v>0</v>
      </c>
      <c r="E93" s="416">
        <f>IF(ISERROR(VLOOKUP($B$92,'MD Usage'!$A$1:$W$5000,5,FALSE)),0,VLOOKUP($B$92,'MD Usage'!$A$1:$W$5000,5,FALSE))</f>
        <v>0</v>
      </c>
      <c r="F93" s="416">
        <f>IF(ISERROR(VLOOKUP($B$92,'MD Usage'!$A$1:$W$5000,7,FALSE)),0,VLOOKUP($B$92,'MD Usage'!$A$1:$W$5000,7,FALSE))</f>
        <v>0</v>
      </c>
      <c r="G93" s="416">
        <f>IF(ISERROR(VLOOKUP($B$92,'MD Usage'!$A$1:$W$5000,9,FALSE)),0,VLOOKUP($B$92,'MD Usage'!$A$1:$W$5000,9,FALSE))</f>
        <v>0</v>
      </c>
      <c r="H93" s="416">
        <f>IF(ISERROR(VLOOKUP($B$92,'MD Usage'!$A$1:$W$5000,11,FALSE)),0,VLOOKUP($B$92,'MD Usage'!$A$1:$W$5000,11,FALSE))</f>
        <v>0</v>
      </c>
      <c r="I93" s="416">
        <f>IF(ISERROR(VLOOKUP($B$92,'MD Usage'!A1:R2000,13,FALSE)),0,VLOOKUP($B$92,'MD Usage'!A1:R2000,13,FALSE))</f>
        <v>0</v>
      </c>
      <c r="J93" s="416">
        <f>IF(ISERROR(VLOOKUP($B$92,'MD Usage'!A1:R2000,15,FALSE)),0,VLOOKUP($B$92,'MD Usage'!A1:R2000,15,FALSE))</f>
        <v>0</v>
      </c>
      <c r="K93" s="418">
        <f t="shared" ref="K93:K98" si="10">SUM(D93:J93)</f>
        <v>0</v>
      </c>
    </row>
    <row r="94" spans="2:13" x14ac:dyDescent="0.25">
      <c r="B94" s="419" t="s">
        <v>571</v>
      </c>
      <c r="C94" s="420">
        <v>1</v>
      </c>
      <c r="D94" s="421">
        <f>$D$93*C94</f>
        <v>0</v>
      </c>
      <c r="E94" s="421">
        <f>$E$93*C94</f>
        <v>0</v>
      </c>
      <c r="F94" s="421">
        <f>$F$93*C94</f>
        <v>0</v>
      </c>
      <c r="G94" s="421">
        <f>$G$93*C94</f>
        <v>0</v>
      </c>
      <c r="H94" s="421">
        <f>$H$93*C94</f>
        <v>0</v>
      </c>
      <c r="I94" s="421">
        <f>$I$93*C94</f>
        <v>0</v>
      </c>
      <c r="J94" s="421">
        <f>$J$93*C94</f>
        <v>0</v>
      </c>
      <c r="K94" s="422">
        <f t="shared" si="10"/>
        <v>0</v>
      </c>
    </row>
    <row r="95" spans="2:13" x14ac:dyDescent="0.25">
      <c r="B95" s="389" t="s">
        <v>1860</v>
      </c>
      <c r="C95" s="423">
        <v>1</v>
      </c>
      <c r="D95" s="421">
        <f>$D$93*C95</f>
        <v>0</v>
      </c>
      <c r="E95" s="421">
        <f>$E$93*C95</f>
        <v>0</v>
      </c>
      <c r="F95" s="421">
        <f>$F$93*C95</f>
        <v>0</v>
      </c>
      <c r="G95" s="421">
        <f>$G$93*C95</f>
        <v>0</v>
      </c>
      <c r="H95" s="421">
        <f>$H$93*C95</f>
        <v>0</v>
      </c>
      <c r="I95" s="421">
        <f>$I$93*C95</f>
        <v>0</v>
      </c>
      <c r="J95" s="421">
        <f>$J$93*C95</f>
        <v>0</v>
      </c>
      <c r="K95" s="424">
        <f t="shared" si="10"/>
        <v>0</v>
      </c>
    </row>
    <row r="96" spans="2:13" x14ac:dyDescent="0.25">
      <c r="B96" s="389" t="s">
        <v>917</v>
      </c>
      <c r="C96" s="423">
        <v>1</v>
      </c>
      <c r="D96" s="421">
        <f>$D$93*C96</f>
        <v>0</v>
      </c>
      <c r="E96" s="421">
        <f>$E$93*C96</f>
        <v>0</v>
      </c>
      <c r="F96" s="421">
        <f>$F$93*C96</f>
        <v>0</v>
      </c>
      <c r="G96" s="421">
        <f>$G$93*C96</f>
        <v>0</v>
      </c>
      <c r="H96" s="421">
        <f>$H$93*C96</f>
        <v>0</v>
      </c>
      <c r="I96" s="421">
        <f>$I$93*C96</f>
        <v>0</v>
      </c>
      <c r="J96" s="421">
        <f>$J$93*C96</f>
        <v>0</v>
      </c>
      <c r="K96" s="424">
        <f t="shared" si="10"/>
        <v>0</v>
      </c>
    </row>
    <row r="97" spans="2:13" x14ac:dyDescent="0.25">
      <c r="B97" s="389"/>
      <c r="C97" s="423"/>
      <c r="D97" s="421">
        <f>$D$93*C97</f>
        <v>0</v>
      </c>
      <c r="E97" s="421">
        <f>$E$93*C97</f>
        <v>0</v>
      </c>
      <c r="F97" s="421">
        <f>$F$93*C97</f>
        <v>0</v>
      </c>
      <c r="G97" s="421">
        <f>$G$93*C97</f>
        <v>0</v>
      </c>
      <c r="H97" s="421">
        <f>$H$93*C97</f>
        <v>0</v>
      </c>
      <c r="I97" s="421">
        <f>$I$93*C97</f>
        <v>0</v>
      </c>
      <c r="J97" s="421">
        <f>$J$93*C97</f>
        <v>0</v>
      </c>
      <c r="K97" s="424">
        <f t="shared" si="10"/>
        <v>0</v>
      </c>
    </row>
    <row r="98" spans="2:13" x14ac:dyDescent="0.25">
      <c r="B98" s="389"/>
      <c r="C98" s="423"/>
      <c r="D98" s="421">
        <f>$D$93*C98</f>
        <v>0</v>
      </c>
      <c r="E98" s="421">
        <f>$E$93*C98</f>
        <v>0</v>
      </c>
      <c r="F98" s="421">
        <f>$F$93*C98</f>
        <v>0</v>
      </c>
      <c r="G98" s="421">
        <f>$G$93*C98</f>
        <v>0</v>
      </c>
      <c r="H98" s="421">
        <f>$H$93*C98</f>
        <v>0</v>
      </c>
      <c r="I98" s="421">
        <f>$I$93*C98</f>
        <v>0</v>
      </c>
      <c r="J98" s="421">
        <f>$J$93*C98</f>
        <v>0</v>
      </c>
      <c r="K98" s="424">
        <f t="shared" si="10"/>
        <v>0</v>
      </c>
    </row>
    <row r="99" spans="2:13" ht="15" customHeight="1" thickBot="1" x14ac:dyDescent="0.3"/>
    <row r="100" spans="2:13" ht="15.75" thickBot="1" x14ac:dyDescent="0.3">
      <c r="B100" s="427">
        <v>6400261</v>
      </c>
      <c r="C100" s="411"/>
      <c r="D100" s="407" t="s">
        <v>548</v>
      </c>
      <c r="E100" s="408" t="s">
        <v>549</v>
      </c>
      <c r="F100" s="408" t="s">
        <v>550</v>
      </c>
      <c r="G100" s="408" t="s">
        <v>551</v>
      </c>
      <c r="H100" s="408" t="s">
        <v>552</v>
      </c>
      <c r="I100" s="408" t="s">
        <v>553</v>
      </c>
      <c r="J100" s="408" t="s">
        <v>554</v>
      </c>
      <c r="K100" s="408" t="s">
        <v>555</v>
      </c>
      <c r="M100" s="426" t="s">
        <v>635</v>
      </c>
    </row>
    <row r="101" spans="2:13" ht="15.75" thickBot="1" x14ac:dyDescent="0.3">
      <c r="B101" s="414" t="s">
        <v>556</v>
      </c>
      <c r="C101" s="415" t="s">
        <v>620</v>
      </c>
      <c r="D101" s="416">
        <f>IF(ISERROR(VLOOKUP($B$100,'MD Usage'!$A$1:$W$5000,3,FALSE)),0,VLOOKUP($B$100,'MD Usage'!$A$1:$W$5000,3,FALSE))</f>
        <v>0</v>
      </c>
      <c r="E101" s="416">
        <f>IF(ISERROR(VLOOKUP($B$100,'MD Usage'!$A$1:$W$5000,5,FALSE)),0,VLOOKUP($B$100,'MD Usage'!$A$1:$W$5000,5,FALSE))</f>
        <v>0</v>
      </c>
      <c r="F101" s="416">
        <f>IF(ISERROR(VLOOKUP($B$100,'MD Usage'!$A$1:$W$5000,7,FALSE)),0,VLOOKUP($B$100,'MD Usage'!$A$1:$W$5000,7,FALSE))</f>
        <v>3</v>
      </c>
      <c r="G101" s="416">
        <f>IF(ISERROR(VLOOKUP($B$100,'MD Usage'!$A$1:$W$5000,9,FALSE)),0,VLOOKUP($B$100,'MD Usage'!$A$1:$W$5000,9,FALSE))</f>
        <v>1</v>
      </c>
      <c r="H101" s="416">
        <f>IF(ISERROR(VLOOKUP($B$100,'MD Usage'!$A$1:$W$5000,11,FALSE)),0,VLOOKUP($B$100,'MD Usage'!$A$1:$W$5000,11,FALSE))</f>
        <v>2</v>
      </c>
      <c r="I101" s="416">
        <f>IF(ISERROR(VLOOKUP($B$100,'MD Usage'!A1:R2000,13,FALSE)),0,VLOOKUP($B$100,'MD Usage'!A1:R2000,13,FALSE))</f>
        <v>4</v>
      </c>
      <c r="J101" s="416">
        <f>IF(ISERROR(VLOOKUP($B$100,'MD Usage'!A1:R2000,15,FALSE)),0,VLOOKUP($B$100,'MD Usage'!A1:R2000,15,FALSE))</f>
        <v>2</v>
      </c>
      <c r="K101" s="418">
        <f t="shared" ref="K101:K106" si="11">SUM(D101:J101)</f>
        <v>12</v>
      </c>
    </row>
    <row r="102" spans="2:13" x14ac:dyDescent="0.25">
      <c r="B102" s="419" t="s">
        <v>583</v>
      </c>
      <c r="C102" s="420">
        <v>1</v>
      </c>
      <c r="D102" s="421">
        <f>$D$101*C102</f>
        <v>0</v>
      </c>
      <c r="E102" s="421">
        <f>$E$101*C102</f>
        <v>0</v>
      </c>
      <c r="F102" s="421">
        <f>$F$101*C102</f>
        <v>3</v>
      </c>
      <c r="G102" s="421">
        <f>$G$101*C102</f>
        <v>1</v>
      </c>
      <c r="H102" s="421">
        <f>$H$101*C102</f>
        <v>2</v>
      </c>
      <c r="I102" s="421">
        <f>$I$101*C102</f>
        <v>4</v>
      </c>
      <c r="J102" s="421">
        <f>$J$101*C102</f>
        <v>2</v>
      </c>
      <c r="K102" s="422">
        <f t="shared" si="11"/>
        <v>12</v>
      </c>
    </row>
    <row r="103" spans="2:13" x14ac:dyDescent="0.25">
      <c r="B103" s="389" t="s">
        <v>565</v>
      </c>
      <c r="C103" s="423">
        <v>1</v>
      </c>
      <c r="D103" s="421">
        <f>$D$101*C103</f>
        <v>0</v>
      </c>
      <c r="E103" s="421">
        <f>$E$101*C103</f>
        <v>0</v>
      </c>
      <c r="F103" s="421">
        <f>$F$101*C103</f>
        <v>3</v>
      </c>
      <c r="G103" s="421">
        <f>$G$101*C103</f>
        <v>1</v>
      </c>
      <c r="H103" s="421">
        <f>$H$101*C103</f>
        <v>2</v>
      </c>
      <c r="I103" s="421">
        <f>$I$101*C103</f>
        <v>4</v>
      </c>
      <c r="J103" s="421">
        <f>$J$101*C103</f>
        <v>2</v>
      </c>
      <c r="K103" s="424">
        <f t="shared" si="11"/>
        <v>12</v>
      </c>
    </row>
    <row r="104" spans="2:13" x14ac:dyDescent="0.25">
      <c r="B104" s="389" t="s">
        <v>578</v>
      </c>
      <c r="C104" s="423">
        <v>3</v>
      </c>
      <c r="D104" s="421">
        <f>$D$101*C104</f>
        <v>0</v>
      </c>
      <c r="E104" s="421">
        <f>$E$101*C104</f>
        <v>0</v>
      </c>
      <c r="F104" s="421">
        <f>$F$101*C104</f>
        <v>9</v>
      </c>
      <c r="G104" s="421">
        <f>$G$101*C104</f>
        <v>3</v>
      </c>
      <c r="H104" s="421">
        <f>$H$101*C104</f>
        <v>6</v>
      </c>
      <c r="I104" s="421">
        <f>$I$101*C104</f>
        <v>12</v>
      </c>
      <c r="J104" s="421">
        <f>$J$101*C104</f>
        <v>6</v>
      </c>
      <c r="K104" s="424">
        <f t="shared" si="11"/>
        <v>36</v>
      </c>
    </row>
    <row r="105" spans="2:13" x14ac:dyDescent="0.25">
      <c r="B105" s="389"/>
      <c r="C105" s="423"/>
      <c r="D105" s="421">
        <f>$D$101*C105</f>
        <v>0</v>
      </c>
      <c r="E105" s="421">
        <f>$E$101*C105</f>
        <v>0</v>
      </c>
      <c r="F105" s="421">
        <f>$F$101*C105</f>
        <v>0</v>
      </c>
      <c r="G105" s="421">
        <f>$G$101*C105</f>
        <v>0</v>
      </c>
      <c r="H105" s="421">
        <f>$H$101*C105</f>
        <v>0</v>
      </c>
      <c r="I105" s="421">
        <f>$I$101*C105</f>
        <v>0</v>
      </c>
      <c r="J105" s="421">
        <f>$J$101*C105</f>
        <v>0</v>
      </c>
      <c r="K105" s="424">
        <f t="shared" si="11"/>
        <v>0</v>
      </c>
    </row>
    <row r="106" spans="2:13" x14ac:dyDescent="0.25">
      <c r="B106" s="389"/>
      <c r="C106" s="423"/>
      <c r="D106" s="421">
        <f>$D$101*C106</f>
        <v>0</v>
      </c>
      <c r="E106" s="421">
        <f>$E$101*C106</f>
        <v>0</v>
      </c>
      <c r="F106" s="421">
        <f>$F$101*C106</f>
        <v>0</v>
      </c>
      <c r="G106" s="421">
        <f>$G$101*C106</f>
        <v>0</v>
      </c>
      <c r="H106" s="421">
        <f>$H$101*C106</f>
        <v>0</v>
      </c>
      <c r="I106" s="421">
        <f>$I$101*C106</f>
        <v>0</v>
      </c>
      <c r="J106" s="421">
        <f>$J$101*C106</f>
        <v>0</v>
      </c>
      <c r="K106" s="424">
        <f t="shared" si="11"/>
        <v>0</v>
      </c>
    </row>
    <row r="107" spans="2:13" ht="15" customHeight="1" thickBot="1" x14ac:dyDescent="0.3"/>
    <row r="108" spans="2:13" ht="15.75" thickBot="1" x14ac:dyDescent="0.3">
      <c r="B108" s="427">
        <v>6400347</v>
      </c>
      <c r="C108" s="411"/>
      <c r="D108" s="407" t="s">
        <v>548</v>
      </c>
      <c r="E108" s="408" t="s">
        <v>549</v>
      </c>
      <c r="F108" s="408" t="s">
        <v>550</v>
      </c>
      <c r="G108" s="408" t="s">
        <v>551</v>
      </c>
      <c r="H108" s="408" t="s">
        <v>552</v>
      </c>
      <c r="I108" s="408" t="s">
        <v>553</v>
      </c>
      <c r="J108" s="408" t="s">
        <v>554</v>
      </c>
      <c r="K108" s="408" t="s">
        <v>555</v>
      </c>
      <c r="M108" s="426" t="s">
        <v>636</v>
      </c>
    </row>
    <row r="109" spans="2:13" ht="15.75" thickBot="1" x14ac:dyDescent="0.3">
      <c r="B109" s="414" t="s">
        <v>556</v>
      </c>
      <c r="C109" s="415" t="s">
        <v>620</v>
      </c>
      <c r="D109" s="416">
        <f>IF(ISERROR(VLOOKUP($B$108,'MD Usage'!$A$1:$W$5000,3,FALSE)),0,VLOOKUP($B$108,'MD Usage'!$A$1:$W$5000,3,FALSE))</f>
        <v>0</v>
      </c>
      <c r="E109" s="416">
        <f>IF(ISERROR(VLOOKUP($B$108,'MD Usage'!$A$1:$W$5000,5,FALSE)),0,VLOOKUP($B$108,'MD Usage'!$A$1:$W$5000,5,FALSE))</f>
        <v>0</v>
      </c>
      <c r="F109" s="416">
        <f>IF(ISERROR(VLOOKUP($B$108,'MD Usage'!$A$1:$W$5000,7,FALSE)),0,VLOOKUP($B$108,'MD Usage'!$A$1:$W$5000,7,FALSE))</f>
        <v>0</v>
      </c>
      <c r="G109" s="416">
        <f>IF(ISERROR(VLOOKUP($B$108,'MD Usage'!$A$1:$W$5000,9,FALSE)),0,VLOOKUP($B$108,'MD Usage'!$A$1:$W$5000,9,FALSE))</f>
        <v>3</v>
      </c>
      <c r="H109" s="416">
        <f>IF(ISERROR(VLOOKUP($B$108,'MD Usage'!$A$1:$W$5000,11,FALSE)),0,VLOOKUP($B$108,'MD Usage'!$A$1:$W$5000,11,FALSE))</f>
        <v>0</v>
      </c>
      <c r="I109" s="416">
        <f>IF(ISERROR(VLOOKUP($B$108,'MD Usage'!A1:R2000,13,FALSE)),0,VLOOKUP($B$108,'MD Usage'!A1:R2000,13,FALSE))</f>
        <v>0</v>
      </c>
      <c r="J109" s="416">
        <f>IF(ISERROR(VLOOKUP($B$108,'MD Usage'!A1:R2000,15,FALSE)),0,VLOOKUP($B$108,'MD Usage'!A1:R2000,15,FALSE))</f>
        <v>0</v>
      </c>
      <c r="K109" s="418">
        <f t="shared" ref="K109:K114" si="12">SUM(D109:J109)</f>
        <v>3</v>
      </c>
    </row>
    <row r="110" spans="2:13" x14ac:dyDescent="0.25">
      <c r="B110" s="419" t="s">
        <v>583</v>
      </c>
      <c r="C110" s="420">
        <v>1</v>
      </c>
      <c r="D110" s="421">
        <f>$D$109*C110</f>
        <v>0</v>
      </c>
      <c r="E110" s="421">
        <f>$E$109*C110</f>
        <v>0</v>
      </c>
      <c r="F110" s="421">
        <f>$F$109*C110</f>
        <v>0</v>
      </c>
      <c r="G110" s="421">
        <f>$G$109*C110</f>
        <v>3</v>
      </c>
      <c r="H110" s="421">
        <f>$H$109*C110</f>
        <v>0</v>
      </c>
      <c r="I110" s="421">
        <f>$I$109*C110</f>
        <v>0</v>
      </c>
      <c r="J110" s="421">
        <f>$J$109*C110</f>
        <v>0</v>
      </c>
      <c r="K110" s="422">
        <f t="shared" si="12"/>
        <v>3</v>
      </c>
    </row>
    <row r="111" spans="2:13" x14ac:dyDescent="0.25">
      <c r="B111" s="389" t="s">
        <v>565</v>
      </c>
      <c r="C111" s="423">
        <v>1</v>
      </c>
      <c r="D111" s="421">
        <f>$D$109*C111</f>
        <v>0</v>
      </c>
      <c r="E111" s="421">
        <f>$E$109*C111</f>
        <v>0</v>
      </c>
      <c r="F111" s="421">
        <f>$F$109*C111</f>
        <v>0</v>
      </c>
      <c r="G111" s="421">
        <f>$G$109*C111</f>
        <v>3</v>
      </c>
      <c r="H111" s="421">
        <f>$H$109*C111</f>
        <v>0</v>
      </c>
      <c r="I111" s="421">
        <f>$I$109*C111</f>
        <v>0</v>
      </c>
      <c r="J111" s="421">
        <f>$J$109*C111</f>
        <v>0</v>
      </c>
      <c r="K111" s="424">
        <f t="shared" si="12"/>
        <v>3</v>
      </c>
    </row>
    <row r="112" spans="2:13" x14ac:dyDescent="0.25">
      <c r="B112" s="389" t="s">
        <v>578</v>
      </c>
      <c r="C112" s="423">
        <v>3</v>
      </c>
      <c r="D112" s="421">
        <f>$D$109*C112</f>
        <v>0</v>
      </c>
      <c r="E112" s="421">
        <f>$E$109*C112</f>
        <v>0</v>
      </c>
      <c r="F112" s="421">
        <f>$F$109*C112</f>
        <v>0</v>
      </c>
      <c r="G112" s="421">
        <f>$G$109*C112</f>
        <v>9</v>
      </c>
      <c r="H112" s="421">
        <f>$H$109*C112</f>
        <v>0</v>
      </c>
      <c r="I112" s="421">
        <f>$I$109*C112</f>
        <v>0</v>
      </c>
      <c r="J112" s="421">
        <f>$J$109*C112</f>
        <v>0</v>
      </c>
      <c r="K112" s="424">
        <f t="shared" si="12"/>
        <v>9</v>
      </c>
    </row>
    <row r="113" spans="2:13" x14ac:dyDescent="0.25">
      <c r="B113" s="389"/>
      <c r="C113" s="423"/>
      <c r="D113" s="421">
        <f>$D$109*C113</f>
        <v>0</v>
      </c>
      <c r="E113" s="421">
        <f>$E$109*C113</f>
        <v>0</v>
      </c>
      <c r="F113" s="421">
        <f>$F$109*C113</f>
        <v>0</v>
      </c>
      <c r="G113" s="421">
        <f>$G$109*C113</f>
        <v>0</v>
      </c>
      <c r="H113" s="421">
        <f>$H$109*C113</f>
        <v>0</v>
      </c>
      <c r="I113" s="421">
        <f>$I$109*C113</f>
        <v>0</v>
      </c>
      <c r="J113" s="421">
        <f>$J$109*C113</f>
        <v>0</v>
      </c>
      <c r="K113" s="424">
        <f t="shared" si="12"/>
        <v>0</v>
      </c>
    </row>
    <row r="114" spans="2:13" x14ac:dyDescent="0.25">
      <c r="B114" s="389"/>
      <c r="C114" s="423"/>
      <c r="D114" s="421">
        <f>$D$109*C114</f>
        <v>0</v>
      </c>
      <c r="E114" s="421">
        <f>$E$109*C114</f>
        <v>0</v>
      </c>
      <c r="F114" s="421">
        <f>$F$109*C114</f>
        <v>0</v>
      </c>
      <c r="G114" s="421">
        <f>$G$109*C114</f>
        <v>0</v>
      </c>
      <c r="H114" s="421">
        <f>$H$109*C114</f>
        <v>0</v>
      </c>
      <c r="I114" s="421">
        <f>$I$109*C114</f>
        <v>0</v>
      </c>
      <c r="J114" s="421">
        <f>$J$109*C114</f>
        <v>0</v>
      </c>
      <c r="K114" s="424">
        <f t="shared" si="12"/>
        <v>0</v>
      </c>
    </row>
    <row r="115" spans="2:13" ht="15" customHeight="1" thickBot="1" x14ac:dyDescent="0.3"/>
    <row r="116" spans="2:13" ht="15.75" thickBot="1" x14ac:dyDescent="0.3">
      <c r="B116" s="410">
        <v>6400347</v>
      </c>
      <c r="C116" s="411"/>
      <c r="D116" s="407" t="s">
        <v>548</v>
      </c>
      <c r="E116" s="408" t="s">
        <v>549</v>
      </c>
      <c r="F116" s="408" t="s">
        <v>550</v>
      </c>
      <c r="G116" s="408" t="s">
        <v>551</v>
      </c>
      <c r="H116" s="408" t="s">
        <v>552</v>
      </c>
      <c r="I116" s="408" t="s">
        <v>553</v>
      </c>
      <c r="J116" s="408" t="s">
        <v>554</v>
      </c>
      <c r="K116" s="408" t="s">
        <v>555</v>
      </c>
      <c r="M116" s="426" t="s">
        <v>637</v>
      </c>
    </row>
    <row r="117" spans="2:13" ht="15.75" thickBot="1" x14ac:dyDescent="0.3">
      <c r="B117" s="414" t="s">
        <v>556</v>
      </c>
      <c r="C117" s="415" t="s">
        <v>620</v>
      </c>
      <c r="D117" s="416">
        <f>IF(ISERROR(VLOOKUP($B$116,'MD Usage'!$A$1:$W$5000,3,FALSE)),0,VLOOKUP($B$116,'MD Usage'!$A$1:$W$5000,3,FALSE))</f>
        <v>0</v>
      </c>
      <c r="E117" s="416">
        <f>IF(ISERROR(VLOOKUP($B$116,'MD Usage'!$A$1:$W$5000,5,FALSE)),0,VLOOKUP($B$116,'MD Usage'!$A$1:$W$5000,5,FALSE))</f>
        <v>0</v>
      </c>
      <c r="F117" s="416">
        <f>IF(ISERROR(VLOOKUP($B$116,'MD Usage'!$A$1:$W$5000,7,FALSE)),0,VLOOKUP($B$116,'MD Usage'!$A$1:$W$5000,7,FALSE))</f>
        <v>0</v>
      </c>
      <c r="G117" s="416">
        <f>IF(ISERROR(VLOOKUP($B$116,'MD Usage'!$A$1:$W$5000,9,FALSE)),0,VLOOKUP($B$116,'MD Usage'!$A$1:$W$5000,9,FALSE))</f>
        <v>3</v>
      </c>
      <c r="H117" s="416">
        <f>IF(ISERROR(VLOOKUP($B$116,'MD Usage'!$A$1:$W$5000,11,FALSE)),0,VLOOKUP($B$116,'MD Usage'!$A$1:$W$5000,11,FALSE))</f>
        <v>0</v>
      </c>
      <c r="I117" s="416">
        <f>IF(ISERROR(VLOOKUP($B$116,'MD Usage'!A1:R2000,13,FALSE)),0,VLOOKUP($B$116,'MD Usage'!A1:R2000,13,FALSE))</f>
        <v>0</v>
      </c>
      <c r="J117" s="416">
        <f>IF(ISERROR(VLOOKUP($B$116,'MD Usage'!A1:R2000,15,FALSE)),0,VLOOKUP($B$116,'MD Usage'!A1:R2000,15,FALSE))</f>
        <v>0</v>
      </c>
      <c r="K117" s="418">
        <f t="shared" ref="K117:K122" si="13">SUM(D117:J117)</f>
        <v>3</v>
      </c>
    </row>
    <row r="118" spans="2:13" x14ac:dyDescent="0.25">
      <c r="B118" s="419" t="s">
        <v>583</v>
      </c>
      <c r="C118" s="420">
        <v>1</v>
      </c>
      <c r="D118" s="421">
        <f>$D$117*C118</f>
        <v>0</v>
      </c>
      <c r="E118" s="421">
        <f>$E$117*C118</f>
        <v>0</v>
      </c>
      <c r="F118" s="421">
        <f>$F$117*C118</f>
        <v>0</v>
      </c>
      <c r="G118" s="421">
        <f>$G$117*C118</f>
        <v>3</v>
      </c>
      <c r="H118" s="421">
        <f>$H$117*C118</f>
        <v>0</v>
      </c>
      <c r="I118" s="421">
        <f>$I$117*C118</f>
        <v>0</v>
      </c>
      <c r="J118" s="421">
        <f>$J$117*C118</f>
        <v>0</v>
      </c>
      <c r="K118" s="422">
        <f t="shared" si="13"/>
        <v>3</v>
      </c>
    </row>
    <row r="119" spans="2:13" x14ac:dyDescent="0.25">
      <c r="B119" s="389" t="s">
        <v>638</v>
      </c>
      <c r="C119" s="423">
        <v>1</v>
      </c>
      <c r="D119" s="421">
        <f>$D$117*C119</f>
        <v>0</v>
      </c>
      <c r="E119" s="421">
        <f>$E$117*C119</f>
        <v>0</v>
      </c>
      <c r="F119" s="421">
        <f>$F$117*C119</f>
        <v>0</v>
      </c>
      <c r="G119" s="421">
        <f>$G$117*C119</f>
        <v>3</v>
      </c>
      <c r="H119" s="421">
        <f>$H$117*C119</f>
        <v>0</v>
      </c>
      <c r="I119" s="421">
        <f>$I$117*C119</f>
        <v>0</v>
      </c>
      <c r="J119" s="421">
        <f>$J$117*C119</f>
        <v>0</v>
      </c>
      <c r="K119" s="424">
        <f t="shared" si="13"/>
        <v>3</v>
      </c>
    </row>
    <row r="120" spans="2:13" x14ac:dyDescent="0.25">
      <c r="B120" s="389" t="s">
        <v>578</v>
      </c>
      <c r="C120" s="423">
        <v>3</v>
      </c>
      <c r="D120" s="421">
        <f>$D$117*C120</f>
        <v>0</v>
      </c>
      <c r="E120" s="421">
        <f>$E$117*C120</f>
        <v>0</v>
      </c>
      <c r="F120" s="421">
        <f>$F$117*C120</f>
        <v>0</v>
      </c>
      <c r="G120" s="421">
        <f>$G$117*C120</f>
        <v>9</v>
      </c>
      <c r="H120" s="421">
        <f>$H$117*C120</f>
        <v>0</v>
      </c>
      <c r="I120" s="421">
        <f>$I$117*C120</f>
        <v>0</v>
      </c>
      <c r="J120" s="421">
        <f>$J$117*C120</f>
        <v>0</v>
      </c>
      <c r="K120" s="424">
        <f t="shared" si="13"/>
        <v>9</v>
      </c>
    </row>
    <row r="121" spans="2:13" x14ac:dyDescent="0.25">
      <c r="B121" s="389"/>
      <c r="C121" s="423"/>
      <c r="D121" s="421">
        <f>$D$117*C121</f>
        <v>0</v>
      </c>
      <c r="E121" s="421">
        <f>$E$117*C121</f>
        <v>0</v>
      </c>
      <c r="F121" s="421">
        <f>$F$117*C121</f>
        <v>0</v>
      </c>
      <c r="G121" s="421">
        <f>$G$117*C121</f>
        <v>0</v>
      </c>
      <c r="H121" s="421">
        <f>$H$117*C121</f>
        <v>0</v>
      </c>
      <c r="I121" s="421">
        <f>$I$117*C121</f>
        <v>0</v>
      </c>
      <c r="J121" s="421">
        <f>$J$117*C121</f>
        <v>0</v>
      </c>
      <c r="K121" s="424">
        <f t="shared" si="13"/>
        <v>0</v>
      </c>
    </row>
    <row r="122" spans="2:13" x14ac:dyDescent="0.25">
      <c r="B122" s="389"/>
      <c r="C122" s="423"/>
      <c r="D122" s="421">
        <f>$D$117*C122</f>
        <v>0</v>
      </c>
      <c r="E122" s="421">
        <f>$E$117*C122</f>
        <v>0</v>
      </c>
      <c r="F122" s="421">
        <f>$F$117*C122</f>
        <v>0</v>
      </c>
      <c r="G122" s="421">
        <f>$G$117*C122</f>
        <v>0</v>
      </c>
      <c r="H122" s="421">
        <f>$H$117*C122</f>
        <v>0</v>
      </c>
      <c r="I122" s="421">
        <f>$I$117*C122</f>
        <v>0</v>
      </c>
      <c r="J122" s="421">
        <f>$J$117*C122</f>
        <v>0</v>
      </c>
      <c r="K122" s="424">
        <f t="shared" si="13"/>
        <v>0</v>
      </c>
    </row>
    <row r="123" spans="2:13" ht="15" customHeight="1" thickBot="1" x14ac:dyDescent="0.3"/>
    <row r="124" spans="2:13" ht="15.75" thickBot="1" x14ac:dyDescent="0.3">
      <c r="B124" s="410">
        <v>6400009</v>
      </c>
      <c r="C124" s="411"/>
      <c r="D124" s="407" t="s">
        <v>548</v>
      </c>
      <c r="E124" s="408" t="s">
        <v>549</v>
      </c>
      <c r="F124" s="408" t="s">
        <v>550</v>
      </c>
      <c r="G124" s="408" t="s">
        <v>551</v>
      </c>
      <c r="H124" s="408" t="s">
        <v>552</v>
      </c>
      <c r="I124" s="408" t="s">
        <v>553</v>
      </c>
      <c r="J124" s="408" t="s">
        <v>554</v>
      </c>
      <c r="K124" s="408" t="s">
        <v>555</v>
      </c>
      <c r="M124" s="426" t="s">
        <v>639</v>
      </c>
    </row>
    <row r="125" spans="2:13" ht="15.75" thickBot="1" x14ac:dyDescent="0.3">
      <c r="B125" s="414" t="s">
        <v>556</v>
      </c>
      <c r="C125" s="415" t="s">
        <v>620</v>
      </c>
      <c r="D125" s="416">
        <f>IF(ISERROR(VLOOKUP(B124,'MD Usage'!$A$1:$W$5000,3,FALSE)),0,VLOOKUP(B124,'MD Usage'!$A$1:$W$5000,3,FALSE))</f>
        <v>2</v>
      </c>
      <c r="E125" s="416">
        <f>IF(ISERROR(VLOOKUP(B124,'MD Usage'!$A$1:$W$5000,5,FALSE)),0,VLOOKUP(B124,'MD Usage'!$A$1:$W$5000,5,FALSE))</f>
        <v>1</v>
      </c>
      <c r="F125" s="416">
        <f>IF(ISERROR(VLOOKUP(B124,'MD Usage'!$A$1:$W$5000,7,FALSE)),0,VLOOKUP(B124,'MD Usage'!$A$1:$W$5000,7,FALSE))</f>
        <v>2</v>
      </c>
      <c r="G125" s="416">
        <f>IF(ISERROR(VLOOKUP(B124,'MD Usage'!$A$1:$W$5000,9,FALSE)),0,VLOOKUP(B124,'MD Usage'!$A$1:$W$5000,9,FALSE))</f>
        <v>2</v>
      </c>
      <c r="H125" s="416">
        <f>IF(ISERROR(VLOOKUP(B124,'MD Usage'!$A$1:$W$5000,11,FALSE)),0,VLOOKUP(B124,'MD Usage'!$A$1:$W$5000,11,FALSE))</f>
        <v>1</v>
      </c>
      <c r="I125" s="416">
        <f>IF(ISERROR(VLOOKUP(B124,'MD Usage'!A1:R2000,13,FALSE)),0,VLOOKUP(B124,'MD Usage'!A1:R2000,13,FALSE))</f>
        <v>0</v>
      </c>
      <c r="J125" s="416">
        <f>IF(ISERROR(VLOOKUP(B124,'MD Usage'!A1:R2000,15,FALSE)),0,VLOOKUP(B124,'MD Usage'!A1:R2000,15,FALSE))</f>
        <v>2</v>
      </c>
      <c r="K125" s="418">
        <f t="shared" ref="K125:K130" si="14">SUM(D125:J125)</f>
        <v>10</v>
      </c>
    </row>
    <row r="126" spans="2:13" x14ac:dyDescent="0.25">
      <c r="B126" s="419" t="s">
        <v>914</v>
      </c>
      <c r="C126" s="420">
        <v>1</v>
      </c>
      <c r="D126" s="421">
        <f>D125*C126</f>
        <v>2</v>
      </c>
      <c r="E126" s="421">
        <f>E125*C126</f>
        <v>1</v>
      </c>
      <c r="F126" s="421">
        <f>F125*C126</f>
        <v>2</v>
      </c>
      <c r="G126" s="421">
        <f>G125*C126</f>
        <v>2</v>
      </c>
      <c r="H126" s="421">
        <f>H125*C126</f>
        <v>1</v>
      </c>
      <c r="I126" s="421">
        <f>I125*C126</f>
        <v>0</v>
      </c>
      <c r="J126" s="421">
        <f>J125*C126</f>
        <v>2</v>
      </c>
      <c r="K126" s="422">
        <f t="shared" si="14"/>
        <v>10</v>
      </c>
    </row>
    <row r="127" spans="2:13" x14ac:dyDescent="0.25">
      <c r="B127" s="389" t="s">
        <v>915</v>
      </c>
      <c r="C127" s="423">
        <v>4</v>
      </c>
      <c r="D127" s="421">
        <f>D125*C127</f>
        <v>8</v>
      </c>
      <c r="E127" s="421">
        <f>E125*C127</f>
        <v>4</v>
      </c>
      <c r="F127" s="421">
        <f>F125*C127</f>
        <v>8</v>
      </c>
      <c r="G127" s="421">
        <f>G125*C127</f>
        <v>8</v>
      </c>
      <c r="H127" s="421">
        <f>H125*C127</f>
        <v>4</v>
      </c>
      <c r="I127" s="421">
        <f>I125*C127</f>
        <v>0</v>
      </c>
      <c r="J127" s="421">
        <f>J125*C127</f>
        <v>8</v>
      </c>
      <c r="K127" s="424">
        <f t="shared" si="14"/>
        <v>40</v>
      </c>
    </row>
    <row r="128" spans="2:13" x14ac:dyDescent="0.25">
      <c r="B128" s="389"/>
      <c r="C128" s="423"/>
      <c r="D128" s="421">
        <f>D125*C128</f>
        <v>0</v>
      </c>
      <c r="E128" s="421">
        <f>E125*C128</f>
        <v>0</v>
      </c>
      <c r="F128" s="421">
        <f>F125*C128</f>
        <v>0</v>
      </c>
      <c r="G128" s="421">
        <f>G125*C128</f>
        <v>0</v>
      </c>
      <c r="H128" s="421">
        <f>H125*C128</f>
        <v>0</v>
      </c>
      <c r="I128" s="421">
        <f>I125*C128</f>
        <v>0</v>
      </c>
      <c r="J128" s="421">
        <f>J125*C128</f>
        <v>0</v>
      </c>
      <c r="K128" s="424">
        <f t="shared" si="14"/>
        <v>0</v>
      </c>
    </row>
    <row r="129" spans="2:13" ht="15" customHeight="1" x14ac:dyDescent="0.25">
      <c r="B129" s="389"/>
      <c r="C129" s="423"/>
      <c r="D129" s="421">
        <f>D125*C129</f>
        <v>0</v>
      </c>
      <c r="E129" s="421">
        <f>E125*C129</f>
        <v>0</v>
      </c>
      <c r="F129" s="421">
        <f>F125*C129</f>
        <v>0</v>
      </c>
      <c r="G129" s="421">
        <f>G125*C129</f>
        <v>0</v>
      </c>
      <c r="H129" s="421">
        <f>H125*C129</f>
        <v>0</v>
      </c>
      <c r="I129" s="421">
        <f>I125*C129</f>
        <v>0</v>
      </c>
      <c r="J129" s="421">
        <f>J125*C129</f>
        <v>0</v>
      </c>
      <c r="K129" s="424">
        <f t="shared" si="14"/>
        <v>0</v>
      </c>
    </row>
    <row r="130" spans="2:13" x14ac:dyDescent="0.25">
      <c r="B130" s="389"/>
      <c r="C130" s="423"/>
      <c r="D130" s="421">
        <f>D125*C130</f>
        <v>0</v>
      </c>
      <c r="E130" s="421">
        <f>E125*C130</f>
        <v>0</v>
      </c>
      <c r="F130" s="421">
        <f>F125*C130</f>
        <v>0</v>
      </c>
      <c r="G130" s="421">
        <f>G125*C130</f>
        <v>0</v>
      </c>
      <c r="H130" s="421">
        <f>H125*C130</f>
        <v>0</v>
      </c>
      <c r="I130" s="421">
        <f>I125*C130</f>
        <v>0</v>
      </c>
      <c r="J130" s="421">
        <f>J125*C130</f>
        <v>0</v>
      </c>
      <c r="K130" s="424">
        <f t="shared" si="14"/>
        <v>0</v>
      </c>
    </row>
    <row r="131" spans="2:13" ht="15.75" thickBot="1" x14ac:dyDescent="0.3"/>
    <row r="132" spans="2:13" ht="15.75" thickBot="1" x14ac:dyDescent="0.3">
      <c r="B132" s="427">
        <v>6400026</v>
      </c>
      <c r="C132" s="411"/>
      <c r="D132" s="407" t="s">
        <v>548</v>
      </c>
      <c r="E132" s="408" t="s">
        <v>549</v>
      </c>
      <c r="F132" s="408" t="s">
        <v>550</v>
      </c>
      <c r="G132" s="408" t="s">
        <v>551</v>
      </c>
      <c r="H132" s="408" t="s">
        <v>552</v>
      </c>
      <c r="I132" s="408" t="s">
        <v>553</v>
      </c>
      <c r="J132" s="408" t="s">
        <v>554</v>
      </c>
      <c r="K132" s="408" t="s">
        <v>555</v>
      </c>
      <c r="M132" s="426" t="s">
        <v>640</v>
      </c>
    </row>
    <row r="133" spans="2:13" ht="15.75" thickBot="1" x14ac:dyDescent="0.3">
      <c r="B133" s="414" t="s">
        <v>556</v>
      </c>
      <c r="C133" s="415" t="s">
        <v>620</v>
      </c>
      <c r="D133" s="416">
        <f>IF(ISERROR(VLOOKUP(B132,'MD Usage'!$A$1:$W$5000,3,FALSE)),0,VLOOKUP(B132,'MD Usage'!$A$1:$W$5000,3,FALSE))</f>
        <v>0</v>
      </c>
      <c r="E133" s="416">
        <f>IF(ISERROR(VLOOKUP(B132,'MD Usage'!$A$1:$W$5000,5,FALSE)),0,VLOOKUP(B132,'MD Usage'!$A$1:$W$5000,5,FALSE))</f>
        <v>0</v>
      </c>
      <c r="F133" s="416">
        <f>IF(ISERROR(VLOOKUP(B132,'MD Usage'!$A$1:$W$5000,7,FALSE)),0,VLOOKUP(B132,'MD Usage'!$A$1:$W$5000,7,FALSE))</f>
        <v>0</v>
      </c>
      <c r="G133" s="416">
        <f>IF(ISERROR(VLOOKUP(B132,'MD Usage'!$A$1:$W$5000,9,FALSE)),0,VLOOKUP(B132,'MD Usage'!$A$1:$W$5000,9,FALSE))</f>
        <v>0</v>
      </c>
      <c r="H133" s="416">
        <f>IF(ISERROR(VLOOKUP(B132,'MD Usage'!$A$1:$W$5000,11,FALSE)),0,VLOOKUP(B132,'MD Usage'!$A$1:$W$5000,11,FALSE))</f>
        <v>0</v>
      </c>
      <c r="I133" s="416">
        <f>IF(ISERROR(VLOOKUP(B132,'MD Usage'!A1:R2000,13,FALSE)),0,VLOOKUP(B132,'MD Usage'!A1:R2000,13,FALSE))</f>
        <v>0</v>
      </c>
      <c r="J133" s="416">
        <f>IF(ISERROR(VLOOKUP(B132,'MD Usage'!A1:R2000,15,FALSE)),0,VLOOKUP(B132,'MD Usage'!A1:R2000,15,FALSE))</f>
        <v>0</v>
      </c>
      <c r="K133" s="418">
        <f t="shared" ref="K133:K138" si="15">SUM(D133:J133)</f>
        <v>0</v>
      </c>
    </row>
    <row r="134" spans="2:13" x14ac:dyDescent="0.25">
      <c r="B134" s="419" t="s">
        <v>914</v>
      </c>
      <c r="C134" s="420">
        <v>1</v>
      </c>
      <c r="D134" s="421">
        <f>D133*C134</f>
        <v>0</v>
      </c>
      <c r="E134" s="421">
        <f>E133*C134</f>
        <v>0</v>
      </c>
      <c r="F134" s="421">
        <f>F133*C134</f>
        <v>0</v>
      </c>
      <c r="G134" s="421">
        <f>G133*C134</f>
        <v>0</v>
      </c>
      <c r="H134" s="421">
        <f>H133*C134</f>
        <v>0</v>
      </c>
      <c r="I134" s="421">
        <f>I133*C134</f>
        <v>0</v>
      </c>
      <c r="J134" s="421">
        <f>J133*C134</f>
        <v>0</v>
      </c>
      <c r="K134" s="422">
        <f t="shared" si="15"/>
        <v>0</v>
      </c>
    </row>
    <row r="135" spans="2:13" x14ac:dyDescent="0.25">
      <c r="B135" s="389" t="s">
        <v>915</v>
      </c>
      <c r="C135" s="423">
        <v>4</v>
      </c>
      <c r="D135" s="421">
        <f>D133*C135</f>
        <v>0</v>
      </c>
      <c r="E135" s="421">
        <f>E133*C135</f>
        <v>0</v>
      </c>
      <c r="F135" s="421">
        <f>F133*C135</f>
        <v>0</v>
      </c>
      <c r="G135" s="421">
        <f>G133*C135</f>
        <v>0</v>
      </c>
      <c r="H135" s="421">
        <f>H133*C135</f>
        <v>0</v>
      </c>
      <c r="I135" s="421">
        <f>I133*C135</f>
        <v>0</v>
      </c>
      <c r="J135" s="421">
        <f>J133*C135</f>
        <v>0</v>
      </c>
      <c r="K135" s="424">
        <f t="shared" si="15"/>
        <v>0</v>
      </c>
    </row>
    <row r="136" spans="2:13" x14ac:dyDescent="0.25">
      <c r="B136" s="389"/>
      <c r="C136" s="423"/>
      <c r="D136" s="421">
        <f>D133*C136</f>
        <v>0</v>
      </c>
      <c r="E136" s="421">
        <f>E133*C136</f>
        <v>0</v>
      </c>
      <c r="F136" s="421">
        <f>F133*C136</f>
        <v>0</v>
      </c>
      <c r="G136" s="421">
        <f>G133*C136</f>
        <v>0</v>
      </c>
      <c r="H136" s="421">
        <f>H133*C136</f>
        <v>0</v>
      </c>
      <c r="I136" s="421">
        <f>I133*C136</f>
        <v>0</v>
      </c>
      <c r="J136" s="421">
        <f>J133*C136</f>
        <v>0</v>
      </c>
      <c r="K136" s="424">
        <f t="shared" si="15"/>
        <v>0</v>
      </c>
    </row>
    <row r="137" spans="2:13" ht="15" customHeight="1" x14ac:dyDescent="0.25">
      <c r="B137" s="389"/>
      <c r="C137" s="423"/>
      <c r="D137" s="421">
        <f>D133*C137</f>
        <v>0</v>
      </c>
      <c r="E137" s="421">
        <f>E133*C137</f>
        <v>0</v>
      </c>
      <c r="F137" s="421">
        <f>F133*C137</f>
        <v>0</v>
      </c>
      <c r="G137" s="421">
        <f>G133*C137</f>
        <v>0</v>
      </c>
      <c r="H137" s="421">
        <f>H133*C137</f>
        <v>0</v>
      </c>
      <c r="I137" s="421">
        <f>I133*C137</f>
        <v>0</v>
      </c>
      <c r="J137" s="421">
        <f>J133*C137</f>
        <v>0</v>
      </c>
      <c r="K137" s="424">
        <f t="shared" si="15"/>
        <v>0</v>
      </c>
    </row>
    <row r="138" spans="2:13" x14ac:dyDescent="0.25">
      <c r="B138" s="389"/>
      <c r="C138" s="423"/>
      <c r="D138" s="421">
        <f>D133*C138</f>
        <v>0</v>
      </c>
      <c r="E138" s="421">
        <f>E133*C138</f>
        <v>0</v>
      </c>
      <c r="F138" s="421">
        <f>F133*C138</f>
        <v>0</v>
      </c>
      <c r="G138" s="421">
        <f>G133*C138</f>
        <v>0</v>
      </c>
      <c r="H138" s="421">
        <f>H133*C138</f>
        <v>0</v>
      </c>
      <c r="I138" s="421">
        <f>I133*C138</f>
        <v>0</v>
      </c>
      <c r="J138" s="421">
        <f>J133*C138</f>
        <v>0</v>
      </c>
      <c r="K138" s="424">
        <f t="shared" si="15"/>
        <v>0</v>
      </c>
    </row>
    <row r="139" spans="2:13" ht="15.75" thickBot="1" x14ac:dyDescent="0.3"/>
    <row r="140" spans="2:13" ht="15.75" thickBot="1" x14ac:dyDescent="0.3">
      <c r="B140" s="410">
        <v>300</v>
      </c>
      <c r="C140" s="411"/>
      <c r="D140" s="407" t="s">
        <v>548</v>
      </c>
      <c r="E140" s="408" t="s">
        <v>549</v>
      </c>
      <c r="F140" s="408" t="s">
        <v>550</v>
      </c>
      <c r="G140" s="408" t="s">
        <v>551</v>
      </c>
      <c r="H140" s="408" t="s">
        <v>552</v>
      </c>
      <c r="I140" s="408" t="s">
        <v>553</v>
      </c>
      <c r="J140" s="408" t="s">
        <v>554</v>
      </c>
      <c r="K140" s="408" t="s">
        <v>555</v>
      </c>
      <c r="M140" s="426" t="s">
        <v>641</v>
      </c>
    </row>
    <row r="141" spans="2:13" ht="15.75" thickBot="1" x14ac:dyDescent="0.3">
      <c r="B141" s="414" t="s">
        <v>556</v>
      </c>
      <c r="C141" s="415" t="s">
        <v>620</v>
      </c>
      <c r="D141" s="416">
        <f>IF(ISERROR(VLOOKUP(B140,'MD Usage'!$A$1:$W$5000,3,FALSE)),0,VLOOKUP(B140,'MD Usage'!$A$1:$W$5000,3,FALSE))</f>
        <v>0</v>
      </c>
      <c r="E141" s="416">
        <f>IF(ISERROR(VLOOKUP(B140,'MD Usage'!$A$1:$W$5000,5,FALSE)),0,VLOOKUP(B140,'MD Usage'!$A$1:$W$5000,5,FALSE))</f>
        <v>0</v>
      </c>
      <c r="F141" s="416">
        <f>IF(ISERROR(VLOOKUP(B140,'MD Usage'!$A$1:$W$5000,7,FALSE)),0,VLOOKUP(B140,'MD Usage'!$A$1:$W$5000,7,FALSE))</f>
        <v>0</v>
      </c>
      <c r="G141" s="416">
        <f>IF(ISERROR(VLOOKUP(B140,'MD Usage'!$A$1:$W$5000,9,FALSE)),0,VLOOKUP(B140,'MD Usage'!$A$1:$W$5000,9,FALSE))</f>
        <v>0</v>
      </c>
      <c r="H141" s="416">
        <f>IF(ISERROR(VLOOKUP(B140,'MD Usage'!$A$1:$W$5000,11,FALSE)),0,VLOOKUP(B140,'MD Usage'!$A$1:$W$5000,11,FALSE))</f>
        <v>0</v>
      </c>
      <c r="I141" s="416">
        <f>IF(ISERROR(VLOOKUP(B140,'MD Usage'!A1:R2000,13,FALSE)),0,VLOOKUP(B140,'MD Usage'!A1:R2000,13,FALSE))</f>
        <v>0</v>
      </c>
      <c r="J141" s="416">
        <f>IF(ISERROR(VLOOKUP(B140,'MD Usage'!A1:R2000,15,FALSE)),0,VLOOKUP(B140,'MD Usage'!A1:R2000,15,FALSE))</f>
        <v>0</v>
      </c>
      <c r="K141" s="418">
        <f t="shared" ref="K141:K146" si="16">SUM(D141:J141)</f>
        <v>0</v>
      </c>
    </row>
    <row r="142" spans="2:13" x14ac:dyDescent="0.25">
      <c r="B142" s="419" t="s">
        <v>914</v>
      </c>
      <c r="C142" s="420">
        <v>1</v>
      </c>
      <c r="D142" s="421">
        <f>D141*C142</f>
        <v>0</v>
      </c>
      <c r="E142" s="421">
        <f>E141*C142</f>
        <v>0</v>
      </c>
      <c r="F142" s="421">
        <f>F141*C142</f>
        <v>0</v>
      </c>
      <c r="G142" s="421">
        <f>G141*C142</f>
        <v>0</v>
      </c>
      <c r="H142" s="421">
        <f>H141*C142</f>
        <v>0</v>
      </c>
      <c r="I142" s="421">
        <f>I141*C142</f>
        <v>0</v>
      </c>
      <c r="J142" s="421">
        <f>J141*C142</f>
        <v>0</v>
      </c>
      <c r="K142" s="422">
        <f t="shared" si="16"/>
        <v>0</v>
      </c>
    </row>
    <row r="143" spans="2:13" x14ac:dyDescent="0.25">
      <c r="B143" s="389" t="s">
        <v>915</v>
      </c>
      <c r="C143" s="423">
        <v>4</v>
      </c>
      <c r="D143" s="421">
        <f>D141*C143</f>
        <v>0</v>
      </c>
      <c r="E143" s="421">
        <f>E141*C143</f>
        <v>0</v>
      </c>
      <c r="F143" s="421">
        <f>F141*C143</f>
        <v>0</v>
      </c>
      <c r="G143" s="421">
        <f>G141*C143</f>
        <v>0</v>
      </c>
      <c r="H143" s="421">
        <f>H141*C143</f>
        <v>0</v>
      </c>
      <c r="I143" s="421">
        <f>I141*C143</f>
        <v>0</v>
      </c>
      <c r="J143" s="421">
        <f>J141*C143</f>
        <v>0</v>
      </c>
      <c r="K143" s="424">
        <f t="shared" si="16"/>
        <v>0</v>
      </c>
    </row>
    <row r="144" spans="2:13" x14ac:dyDescent="0.25">
      <c r="B144" s="389"/>
      <c r="C144" s="423"/>
      <c r="D144" s="421">
        <f>D141*C144</f>
        <v>0</v>
      </c>
      <c r="E144" s="421">
        <f>E141*C144</f>
        <v>0</v>
      </c>
      <c r="F144" s="421">
        <f>F141*C144</f>
        <v>0</v>
      </c>
      <c r="G144" s="421">
        <f>G141*C144</f>
        <v>0</v>
      </c>
      <c r="H144" s="421">
        <f>H141*C144</f>
        <v>0</v>
      </c>
      <c r="I144" s="421">
        <f>I141*C144</f>
        <v>0</v>
      </c>
      <c r="J144" s="421">
        <f>J141*C144</f>
        <v>0</v>
      </c>
      <c r="K144" s="424">
        <f t="shared" si="16"/>
        <v>0</v>
      </c>
    </row>
    <row r="145" spans="2:13" ht="15" customHeight="1" x14ac:dyDescent="0.25">
      <c r="B145" s="389"/>
      <c r="C145" s="423"/>
      <c r="D145" s="421">
        <f>D141*C145</f>
        <v>0</v>
      </c>
      <c r="E145" s="421">
        <f>E141*C145</f>
        <v>0</v>
      </c>
      <c r="F145" s="421">
        <f>F141*C145</f>
        <v>0</v>
      </c>
      <c r="G145" s="421">
        <f>G141*C145</f>
        <v>0</v>
      </c>
      <c r="H145" s="421">
        <f>H141*C145</f>
        <v>0</v>
      </c>
      <c r="I145" s="421">
        <f>I141*C145</f>
        <v>0</v>
      </c>
      <c r="J145" s="421">
        <f>J141*C145</f>
        <v>0</v>
      </c>
      <c r="K145" s="424">
        <f t="shared" si="16"/>
        <v>0</v>
      </c>
    </row>
    <row r="146" spans="2:13" x14ac:dyDescent="0.25">
      <c r="B146" s="389"/>
      <c r="C146" s="423"/>
      <c r="D146" s="421">
        <f>D141*C146</f>
        <v>0</v>
      </c>
      <c r="E146" s="421">
        <f>E141*C146</f>
        <v>0</v>
      </c>
      <c r="F146" s="421">
        <f>F141*C146</f>
        <v>0</v>
      </c>
      <c r="G146" s="421">
        <f>G141*C146</f>
        <v>0</v>
      </c>
      <c r="H146" s="421">
        <f>H141*C146</f>
        <v>0</v>
      </c>
      <c r="I146" s="421">
        <f>I141*C146</f>
        <v>0</v>
      </c>
      <c r="J146" s="421">
        <f>J141*C146</f>
        <v>0</v>
      </c>
      <c r="K146" s="424">
        <f t="shared" si="16"/>
        <v>0</v>
      </c>
    </row>
    <row r="147" spans="2:13" ht="15.75" thickBot="1" x14ac:dyDescent="0.3"/>
    <row r="148" spans="2:13" ht="15.75" thickBot="1" x14ac:dyDescent="0.3">
      <c r="B148" s="425">
        <v>6400010</v>
      </c>
      <c r="C148" s="411"/>
      <c r="D148" s="407" t="s">
        <v>548</v>
      </c>
      <c r="E148" s="408" t="s">
        <v>549</v>
      </c>
      <c r="F148" s="408" t="s">
        <v>550</v>
      </c>
      <c r="G148" s="408" t="s">
        <v>551</v>
      </c>
      <c r="H148" s="408" t="s">
        <v>552</v>
      </c>
      <c r="I148" s="408" t="s">
        <v>553</v>
      </c>
      <c r="J148" s="408" t="s">
        <v>554</v>
      </c>
      <c r="K148" s="408" t="s">
        <v>555</v>
      </c>
      <c r="M148" s="426" t="s">
        <v>642</v>
      </c>
    </row>
    <row r="149" spans="2:13" ht="15.75" thickBot="1" x14ac:dyDescent="0.3">
      <c r="B149" s="414" t="s">
        <v>556</v>
      </c>
      <c r="C149" s="415" t="s">
        <v>620</v>
      </c>
      <c r="D149" s="416">
        <f>IF(ISERROR(VLOOKUP(B148,'MD Usage'!$A$1:$W$5000,3,FALSE)),0,VLOOKUP(B148,'MD Usage'!$A$1:$W$5000,3,FALSE))</f>
        <v>0</v>
      </c>
      <c r="E149" s="416">
        <f>IF(ISERROR(VLOOKUP(B148,'MD Usage'!$A$1:$W$5000,5,FALSE)),0,VLOOKUP(B148,'MD Usage'!$A$1:$W$5000,5,FALSE))</f>
        <v>1</v>
      </c>
      <c r="F149" s="416">
        <f>IF(ISERROR(VLOOKUP(B148,'MD Usage'!$A$1:$W$5000,7,FALSE)),0,VLOOKUP(B148,'MD Usage'!$A$1:$W$5000,7,FALSE))</f>
        <v>2</v>
      </c>
      <c r="G149" s="416">
        <f>IF(ISERROR(VLOOKUP(B148,'MD Usage'!$A$1:$W$5000,9,FALSE)),0,VLOOKUP(B148,'MD Usage'!$A$1:$W$5000,9,FALSE))</f>
        <v>1</v>
      </c>
      <c r="H149" s="416">
        <f>IF(ISERROR(VLOOKUP(B148,'MD Usage'!$A$1:$W$5000,11,FALSE)),0,VLOOKUP(B148,'MD Usage'!$A$1:$W$5000,11,FALSE))</f>
        <v>2</v>
      </c>
      <c r="I149" s="416">
        <f>IF(ISERROR(VLOOKUP(B148,'MD Usage'!A1:R2000,13,FALSE)),0,VLOOKUP(B148,'MD Usage'!A1:R2000,13,FALSE))</f>
        <v>2</v>
      </c>
      <c r="J149" s="416">
        <f>IF(ISERROR(VLOOKUP(B148,'MD Usage'!A1:R2000,15,FALSE)),0,VLOOKUP(B148,'MD Usage'!A1:R2000,15,FALSE))</f>
        <v>0</v>
      </c>
      <c r="K149" s="418">
        <f t="shared" ref="K149:K154" si="17">SUM(D149:J149)</f>
        <v>8</v>
      </c>
    </row>
    <row r="150" spans="2:13" x14ac:dyDescent="0.25">
      <c r="B150" s="419" t="s">
        <v>914</v>
      </c>
      <c r="C150" s="420">
        <v>1</v>
      </c>
      <c r="D150" s="421">
        <f>D149*C150</f>
        <v>0</v>
      </c>
      <c r="E150" s="421">
        <f>E149*C150</f>
        <v>1</v>
      </c>
      <c r="F150" s="421">
        <f>F149*C150</f>
        <v>2</v>
      </c>
      <c r="G150" s="421">
        <f>G149*C150</f>
        <v>1</v>
      </c>
      <c r="H150" s="421">
        <f>H149*C150</f>
        <v>2</v>
      </c>
      <c r="I150" s="421">
        <f>I149*C150</f>
        <v>2</v>
      </c>
      <c r="J150" s="421">
        <f>J149*C150</f>
        <v>0</v>
      </c>
      <c r="K150" s="422">
        <f t="shared" si="17"/>
        <v>8</v>
      </c>
    </row>
    <row r="151" spans="2:13" x14ac:dyDescent="0.25">
      <c r="B151" s="389" t="s">
        <v>578</v>
      </c>
      <c r="C151" s="423">
        <v>3</v>
      </c>
      <c r="D151" s="421">
        <f>D149*C151</f>
        <v>0</v>
      </c>
      <c r="E151" s="421">
        <f>E149*C151</f>
        <v>3</v>
      </c>
      <c r="F151" s="421">
        <f>F149*C151</f>
        <v>6</v>
      </c>
      <c r="G151" s="421">
        <f>G149*C151</f>
        <v>3</v>
      </c>
      <c r="H151" s="421">
        <f>H149*C151</f>
        <v>6</v>
      </c>
      <c r="I151" s="421">
        <f>I149*C151</f>
        <v>6</v>
      </c>
      <c r="J151" s="421">
        <f>J149*C151</f>
        <v>0</v>
      </c>
      <c r="K151" s="424">
        <f t="shared" si="17"/>
        <v>24</v>
      </c>
    </row>
    <row r="152" spans="2:13" x14ac:dyDescent="0.25">
      <c r="B152" s="389" t="s">
        <v>626</v>
      </c>
      <c r="C152" s="423">
        <v>1</v>
      </c>
      <c r="D152" s="421">
        <f>D149*C152</f>
        <v>0</v>
      </c>
      <c r="E152" s="421">
        <f>E149*C152</f>
        <v>1</v>
      </c>
      <c r="F152" s="421">
        <f>F149*C152</f>
        <v>2</v>
      </c>
      <c r="G152" s="421">
        <f>G149*C152</f>
        <v>1</v>
      </c>
      <c r="H152" s="421">
        <f>H149*C152</f>
        <v>2</v>
      </c>
      <c r="I152" s="421">
        <f>I149*C152</f>
        <v>2</v>
      </c>
      <c r="J152" s="421">
        <f>J149*C152</f>
        <v>0</v>
      </c>
      <c r="K152" s="424">
        <f t="shared" si="17"/>
        <v>8</v>
      </c>
    </row>
    <row r="153" spans="2:13" ht="15" customHeight="1" x14ac:dyDescent="0.25">
      <c r="B153" s="389"/>
      <c r="C153" s="423"/>
      <c r="D153" s="421">
        <f>D149*C153</f>
        <v>0</v>
      </c>
      <c r="E153" s="421">
        <f>E149*C153</f>
        <v>0</v>
      </c>
      <c r="F153" s="421">
        <f>F149*C153</f>
        <v>0</v>
      </c>
      <c r="G153" s="421">
        <f>G149*C153</f>
        <v>0</v>
      </c>
      <c r="H153" s="421">
        <f>H149*C153</f>
        <v>0</v>
      </c>
      <c r="I153" s="421">
        <f>I149*C153</f>
        <v>0</v>
      </c>
      <c r="J153" s="421">
        <f>J149*C153</f>
        <v>0</v>
      </c>
      <c r="K153" s="424">
        <f t="shared" si="17"/>
        <v>0</v>
      </c>
    </row>
    <row r="154" spans="2:13" x14ac:dyDescent="0.25">
      <c r="B154" s="389"/>
      <c r="C154" s="423"/>
      <c r="D154" s="421">
        <f>D149*C154</f>
        <v>0</v>
      </c>
      <c r="E154" s="421">
        <f>E149*C154</f>
        <v>0</v>
      </c>
      <c r="F154" s="421">
        <f>F149*C154</f>
        <v>0</v>
      </c>
      <c r="G154" s="421">
        <f>G149*C154</f>
        <v>0</v>
      </c>
      <c r="H154" s="421">
        <f>H149*C154</f>
        <v>0</v>
      </c>
      <c r="I154" s="421">
        <f>I149*C154</f>
        <v>0</v>
      </c>
      <c r="J154" s="421">
        <f>J149*C154</f>
        <v>0</v>
      </c>
      <c r="K154" s="424">
        <f t="shared" si="17"/>
        <v>0</v>
      </c>
    </row>
    <row r="155" spans="2:13" ht="15" customHeight="1" thickBot="1" x14ac:dyDescent="0.3"/>
    <row r="156" spans="2:13" ht="15.75" thickBot="1" x14ac:dyDescent="0.3">
      <c r="B156" s="410">
        <v>6400027</v>
      </c>
      <c r="C156" s="411"/>
      <c r="D156" s="407" t="s">
        <v>548</v>
      </c>
      <c r="E156" s="408" t="s">
        <v>549</v>
      </c>
      <c r="F156" s="408" t="s">
        <v>550</v>
      </c>
      <c r="G156" s="408" t="s">
        <v>551</v>
      </c>
      <c r="H156" s="408" t="s">
        <v>552</v>
      </c>
      <c r="I156" s="408" t="s">
        <v>553</v>
      </c>
      <c r="J156" s="408" t="s">
        <v>554</v>
      </c>
      <c r="K156" s="408" t="s">
        <v>555</v>
      </c>
      <c r="M156" s="426" t="s">
        <v>643</v>
      </c>
    </row>
    <row r="157" spans="2:13" ht="15.75" thickBot="1" x14ac:dyDescent="0.3">
      <c r="B157" s="414" t="s">
        <v>556</v>
      </c>
      <c r="C157" s="415" t="s">
        <v>620</v>
      </c>
      <c r="D157" s="416">
        <f>IF(ISERROR(VLOOKUP(B156,'MD Usage'!$A$1:$W$5000,3,FALSE)),0,VLOOKUP(B156,'MD Usage'!$A$1:$W$5000,3,FALSE))</f>
        <v>0</v>
      </c>
      <c r="E157" s="416">
        <f>IF(ISERROR(VLOOKUP(B156,'MD Usage'!$A$1:$W$5000,5,FALSE)),0,VLOOKUP(B156,'MD Usage'!$A$1:$W$5000,5,FALSE))</f>
        <v>0</v>
      </c>
      <c r="F157" s="416">
        <f>IF(ISERROR(VLOOKUP(B156,'MD Usage'!$A$1:$W$5000,7,FALSE)),0,VLOOKUP(B156,'MD Usage'!$A$1:$W$5000,7,FALSE))</f>
        <v>0</v>
      </c>
      <c r="G157" s="416">
        <f>IF(ISERROR(VLOOKUP(B156,'MD Usage'!$A$1:$W$5000,9,FALSE)),0,VLOOKUP(B156,'MD Usage'!$A$1:$W$5000,9,FALSE))</f>
        <v>0</v>
      </c>
      <c r="H157" s="416">
        <f>IF(ISERROR(VLOOKUP(B156,'MD Usage'!$A$1:$W$5000,11,FALSE)),0,VLOOKUP(B156,'MD Usage'!$A$1:$W$5000,11,FALSE))</f>
        <v>0</v>
      </c>
      <c r="I157" s="416">
        <f>IF(ISERROR(VLOOKUP(B156,'MD Usage'!A1:R2000,13,FALSE)),0,VLOOKUP(B156,'MD Usage'!A1:R2000,13,FALSE))</f>
        <v>0</v>
      </c>
      <c r="J157" s="416">
        <f>IF(ISERROR(VLOOKUP(B156,'MD Usage'!A1:R2000,15,FALSE)),0,VLOOKUP(B156,'MD Usage'!A1:R2000,15,FALSE))</f>
        <v>0</v>
      </c>
      <c r="K157" s="418">
        <f t="shared" ref="K157:K162" si="18">SUM(D157:J157)</f>
        <v>0</v>
      </c>
    </row>
    <row r="158" spans="2:13" x14ac:dyDescent="0.25">
      <c r="B158" s="419" t="s">
        <v>914</v>
      </c>
      <c r="C158" s="420">
        <v>1</v>
      </c>
      <c r="D158" s="421">
        <f>D157*C158</f>
        <v>0</v>
      </c>
      <c r="E158" s="421">
        <f>E157*C158</f>
        <v>0</v>
      </c>
      <c r="F158" s="421">
        <f>F157*C158</f>
        <v>0</v>
      </c>
      <c r="G158" s="421">
        <f>G157*C158</f>
        <v>0</v>
      </c>
      <c r="H158" s="421">
        <f>H157*C158</f>
        <v>0</v>
      </c>
      <c r="I158" s="421">
        <f>I157*C158</f>
        <v>0</v>
      </c>
      <c r="J158" s="421">
        <f>J157*C158</f>
        <v>0</v>
      </c>
      <c r="K158" s="422">
        <f t="shared" si="18"/>
        <v>0</v>
      </c>
    </row>
    <row r="159" spans="2:13" x14ac:dyDescent="0.25">
      <c r="B159" s="389" t="s">
        <v>578</v>
      </c>
      <c r="C159" s="423">
        <v>3</v>
      </c>
      <c r="D159" s="421">
        <f>D157*C159</f>
        <v>0</v>
      </c>
      <c r="E159" s="421">
        <f>E157*C159</f>
        <v>0</v>
      </c>
      <c r="F159" s="421">
        <f>F157*C159</f>
        <v>0</v>
      </c>
      <c r="G159" s="421">
        <f>G157*C159</f>
        <v>0</v>
      </c>
      <c r="H159" s="421">
        <f>H157*C159</f>
        <v>0</v>
      </c>
      <c r="I159" s="421">
        <f>I157*C159</f>
        <v>0</v>
      </c>
      <c r="J159" s="421">
        <f>J157*C159</f>
        <v>0</v>
      </c>
      <c r="K159" s="424">
        <f t="shared" si="18"/>
        <v>0</v>
      </c>
    </row>
    <row r="160" spans="2:13" x14ac:dyDescent="0.25">
      <c r="B160" s="389" t="s">
        <v>626</v>
      </c>
      <c r="C160" s="423">
        <v>1</v>
      </c>
      <c r="D160" s="421">
        <f>D157*C160</f>
        <v>0</v>
      </c>
      <c r="E160" s="421">
        <f>E157*C160</f>
        <v>0</v>
      </c>
      <c r="F160" s="421">
        <f>F157*C160</f>
        <v>0</v>
      </c>
      <c r="G160" s="421">
        <f>G157*C160</f>
        <v>0</v>
      </c>
      <c r="H160" s="421">
        <f>H157*C160</f>
        <v>0</v>
      </c>
      <c r="I160" s="421">
        <f>I157*C160</f>
        <v>0</v>
      </c>
      <c r="J160" s="421">
        <f>J157*C160</f>
        <v>0</v>
      </c>
      <c r="K160" s="424">
        <f t="shared" si="18"/>
        <v>0</v>
      </c>
    </row>
    <row r="161" spans="2:13" ht="15" customHeight="1" x14ac:dyDescent="0.25">
      <c r="B161" s="389"/>
      <c r="C161" s="423"/>
      <c r="D161" s="421">
        <f>D157*C161</f>
        <v>0</v>
      </c>
      <c r="E161" s="421">
        <f>E157*C161</f>
        <v>0</v>
      </c>
      <c r="F161" s="421">
        <f>F157*C161</f>
        <v>0</v>
      </c>
      <c r="G161" s="421">
        <f>G157*C161</f>
        <v>0</v>
      </c>
      <c r="H161" s="421">
        <f>H157*C161</f>
        <v>0</v>
      </c>
      <c r="I161" s="421">
        <f>I157*C161</f>
        <v>0</v>
      </c>
      <c r="J161" s="421">
        <f>J157*C161</f>
        <v>0</v>
      </c>
      <c r="K161" s="424">
        <f t="shared" si="18"/>
        <v>0</v>
      </c>
    </row>
    <row r="162" spans="2:13" x14ac:dyDescent="0.25">
      <c r="B162" s="389"/>
      <c r="C162" s="423"/>
      <c r="D162" s="421">
        <f>D157*C162</f>
        <v>0</v>
      </c>
      <c r="E162" s="421">
        <f>E157*C162</f>
        <v>0</v>
      </c>
      <c r="F162" s="421">
        <f>F157*C162</f>
        <v>0</v>
      </c>
      <c r="G162" s="421">
        <f>G157*C162</f>
        <v>0</v>
      </c>
      <c r="H162" s="421">
        <f>H157*C162</f>
        <v>0</v>
      </c>
      <c r="I162" s="421">
        <f>I157*C162</f>
        <v>0</v>
      </c>
      <c r="J162" s="421">
        <f>J157*C162</f>
        <v>0</v>
      </c>
      <c r="K162" s="424">
        <f t="shared" si="18"/>
        <v>0</v>
      </c>
    </row>
    <row r="164" spans="2:13" ht="15.75" thickBot="1" x14ac:dyDescent="0.3"/>
    <row r="165" spans="2:13" ht="15.75" thickBot="1" x14ac:dyDescent="0.3">
      <c r="B165" s="425">
        <v>5</v>
      </c>
      <c r="C165" s="411"/>
      <c r="D165" s="407" t="s">
        <v>548</v>
      </c>
      <c r="E165" s="408" t="s">
        <v>549</v>
      </c>
      <c r="F165" s="408" t="s">
        <v>550</v>
      </c>
      <c r="G165" s="408" t="s">
        <v>551</v>
      </c>
      <c r="H165" s="408" t="s">
        <v>552</v>
      </c>
      <c r="I165" s="408" t="s">
        <v>553</v>
      </c>
      <c r="J165" s="408" t="s">
        <v>554</v>
      </c>
      <c r="K165" s="408" t="s">
        <v>555</v>
      </c>
      <c r="M165" s="426" t="s">
        <v>644</v>
      </c>
    </row>
    <row r="166" spans="2:13" ht="15.75" thickBot="1" x14ac:dyDescent="0.3">
      <c r="B166" s="414" t="s">
        <v>556</v>
      </c>
      <c r="C166" s="415" t="s">
        <v>620</v>
      </c>
      <c r="D166" s="416">
        <f>IF(ISERROR(VLOOKUP(B165,'MD Usage'!$A$1:$W$5000,3,FALSE)),0,VLOOKUP(B165,'MD Usage'!$A$1:$W$5000,3,FALSE))</f>
        <v>0</v>
      </c>
      <c r="E166" s="416">
        <f>IF(ISERROR(VLOOKUP(B165,'MD Usage'!$A$1:$W$5000,5,FALSE)),0,VLOOKUP(B165,'MD Usage'!$A$1:$W$5000,5,FALSE))</f>
        <v>0</v>
      </c>
      <c r="F166" s="416">
        <f>IF(ISERROR(VLOOKUP(B165,'MD Usage'!$A$1:$W$5000,7,FALSE)),0,VLOOKUP(B165,'MD Usage'!$A$1:$W$5000,7,FALSE))</f>
        <v>0</v>
      </c>
      <c r="G166" s="416">
        <f>IF(ISERROR(VLOOKUP(B165,'MD Usage'!$A$1:$W$5000,9,FALSE)),0,VLOOKUP(B165,'MD Usage'!$A$1:$W$5000,9,FALSE))</f>
        <v>0</v>
      </c>
      <c r="H166" s="416">
        <f>IF(ISERROR(VLOOKUP(B165,'MD Usage'!$A$1:$W$5000,11,FALSE)),0,VLOOKUP(B165,'MD Usage'!$A$1:$W$5000,11,FALSE))</f>
        <v>0</v>
      </c>
      <c r="I166" s="416">
        <f>IF(ISERROR(VLOOKUP(B165,'MD Usage'!A1:R2000,13,FALSE)),0,VLOOKUP(B165,'MD Usage'!A1:R2000,13,FALSE))</f>
        <v>0</v>
      </c>
      <c r="J166" s="416">
        <f>IF(ISERROR(VLOOKUP(B165,'MD Usage'!A1:R2000,15,FALSE)),0,VLOOKUP(B165,'MD Usage'!A1:R2000,15,FALSE))</f>
        <v>0</v>
      </c>
      <c r="K166" s="418">
        <f t="shared" ref="K166:K171" si="19">SUM(D166:J166)</f>
        <v>0</v>
      </c>
    </row>
    <row r="167" spans="2:13" x14ac:dyDescent="0.25">
      <c r="B167" s="419" t="s">
        <v>914</v>
      </c>
      <c r="C167" s="420">
        <v>1</v>
      </c>
      <c r="D167" s="421">
        <f>D166*C167</f>
        <v>0</v>
      </c>
      <c r="E167" s="421">
        <f>E166*C167</f>
        <v>0</v>
      </c>
      <c r="F167" s="421">
        <f>F166*C167</f>
        <v>0</v>
      </c>
      <c r="G167" s="421">
        <f>G166*C167</f>
        <v>0</v>
      </c>
      <c r="H167" s="421">
        <f>H166*C167</f>
        <v>0</v>
      </c>
      <c r="I167" s="421">
        <f>I166*C167</f>
        <v>0</v>
      </c>
      <c r="J167" s="421">
        <f>J166*C167</f>
        <v>0</v>
      </c>
      <c r="K167" s="422">
        <f t="shared" si="19"/>
        <v>0</v>
      </c>
    </row>
    <row r="168" spans="2:13" x14ac:dyDescent="0.25">
      <c r="B168" s="389" t="s">
        <v>578</v>
      </c>
      <c r="C168" s="423">
        <v>3</v>
      </c>
      <c r="D168" s="421">
        <f>D166*C168</f>
        <v>0</v>
      </c>
      <c r="E168" s="421">
        <f>E166*C168</f>
        <v>0</v>
      </c>
      <c r="F168" s="421">
        <f>F166*C168</f>
        <v>0</v>
      </c>
      <c r="G168" s="421">
        <f>G166*C168</f>
        <v>0</v>
      </c>
      <c r="H168" s="421">
        <f>H166*C168</f>
        <v>0</v>
      </c>
      <c r="I168" s="421">
        <f>I166*C168</f>
        <v>0</v>
      </c>
      <c r="J168" s="421">
        <f>J166*C168</f>
        <v>0</v>
      </c>
      <c r="K168" s="424">
        <f t="shared" si="19"/>
        <v>0</v>
      </c>
    </row>
    <row r="169" spans="2:13" ht="15" customHeight="1" x14ac:dyDescent="0.25">
      <c r="B169" s="389" t="s">
        <v>626</v>
      </c>
      <c r="C169" s="423">
        <v>1</v>
      </c>
      <c r="D169" s="421">
        <f>D166*C169</f>
        <v>0</v>
      </c>
      <c r="E169" s="421">
        <f>E166*C169</f>
        <v>0</v>
      </c>
      <c r="F169" s="421">
        <f>F166*C169</f>
        <v>0</v>
      </c>
      <c r="G169" s="421">
        <f>G166*C169</f>
        <v>0</v>
      </c>
      <c r="H169" s="421">
        <f>H166*C169</f>
        <v>0</v>
      </c>
      <c r="I169" s="421">
        <f>I166*C169</f>
        <v>0</v>
      </c>
      <c r="J169" s="421">
        <f>J166*C169</f>
        <v>0</v>
      </c>
      <c r="K169" s="424">
        <f t="shared" si="19"/>
        <v>0</v>
      </c>
    </row>
    <row r="170" spans="2:13" x14ac:dyDescent="0.25">
      <c r="B170" s="389"/>
      <c r="C170" s="423"/>
      <c r="D170" s="421">
        <f>D166*C170</f>
        <v>0</v>
      </c>
      <c r="E170" s="421">
        <f>E166*C170</f>
        <v>0</v>
      </c>
      <c r="F170" s="421">
        <f>F166*C170</f>
        <v>0</v>
      </c>
      <c r="G170" s="421">
        <f>G166*C170</f>
        <v>0</v>
      </c>
      <c r="H170" s="421">
        <f>H166*C170</f>
        <v>0</v>
      </c>
      <c r="I170" s="421">
        <f>I166*C170</f>
        <v>0</v>
      </c>
      <c r="J170" s="421">
        <f>J166*C170</f>
        <v>0</v>
      </c>
      <c r="K170" s="424">
        <f t="shared" si="19"/>
        <v>0</v>
      </c>
    </row>
    <row r="171" spans="2:13" x14ac:dyDescent="0.25">
      <c r="B171" s="389"/>
      <c r="C171" s="423"/>
      <c r="D171" s="421">
        <f>D166*C171</f>
        <v>0</v>
      </c>
      <c r="E171" s="421">
        <f>E166*C171</f>
        <v>0</v>
      </c>
      <c r="F171" s="421">
        <f>F166*C171</f>
        <v>0</v>
      </c>
      <c r="G171" s="421">
        <f>G166*C171</f>
        <v>0</v>
      </c>
      <c r="H171" s="421">
        <f>H166*C171</f>
        <v>0</v>
      </c>
      <c r="I171" s="421">
        <f>I166*C171</f>
        <v>0</v>
      </c>
      <c r="J171" s="421">
        <f>J166*C171</f>
        <v>0</v>
      </c>
      <c r="K171" s="424">
        <f t="shared" si="19"/>
        <v>0</v>
      </c>
    </row>
    <row r="172" spans="2:13" ht="15.75" thickBot="1" x14ac:dyDescent="0.3"/>
    <row r="173" spans="2:13" ht="15.75" thickBot="1" x14ac:dyDescent="0.3">
      <c r="B173" s="425">
        <v>6450018</v>
      </c>
      <c r="C173" s="411"/>
      <c r="D173" s="407" t="s">
        <v>548</v>
      </c>
      <c r="E173" s="408" t="s">
        <v>549</v>
      </c>
      <c r="F173" s="408" t="s">
        <v>550</v>
      </c>
      <c r="G173" s="408" t="s">
        <v>551</v>
      </c>
      <c r="H173" s="408" t="s">
        <v>552</v>
      </c>
      <c r="I173" s="408" t="s">
        <v>553</v>
      </c>
      <c r="J173" s="408" t="s">
        <v>554</v>
      </c>
      <c r="K173" s="408" t="s">
        <v>555</v>
      </c>
      <c r="M173" s="426" t="s">
        <v>1815</v>
      </c>
    </row>
    <row r="174" spans="2:13" ht="15.75" thickBot="1" x14ac:dyDescent="0.3">
      <c r="B174" s="414" t="s">
        <v>556</v>
      </c>
      <c r="C174" s="415" t="s">
        <v>620</v>
      </c>
      <c r="D174" s="416">
        <f>IF(ISERROR(VLOOKUP(B173,'MD Usage'!$A$1:$W$5000,3,FALSE)),0,VLOOKUP(B173,'MD Usage'!$A$1:$W$5000,3,FALSE))</f>
        <v>0</v>
      </c>
      <c r="E174" s="416">
        <f>IF(ISERROR(VLOOKUP(B173,'MD Usage'!$A$1:$W$5000,5,FALSE)),0,VLOOKUP(B173,'MD Usage'!$A$1:$W$5000,5,FALSE))</f>
        <v>1</v>
      </c>
      <c r="F174" s="416">
        <f>IF(ISERROR(VLOOKUP(B173,'MD Usage'!$A$1:$W$5000,7,FALSE)),0,VLOOKUP(B173,'MD Usage'!$A$1:$W$5000,7,FALSE))</f>
        <v>2</v>
      </c>
      <c r="G174" s="416">
        <f>IF(ISERROR(VLOOKUP(B173,'MD Usage'!$A$1:$W$5000,9,FALSE)),0,VLOOKUP(B173,'MD Usage'!$A$1:$W$5000,9,FALSE))</f>
        <v>0</v>
      </c>
      <c r="H174" s="416">
        <f>IF(ISERROR(VLOOKUP(B173,'MD Usage'!$A$1:$W$5000,11,FALSE)),0,VLOOKUP(B173,'MD Usage'!$A$1:$W$5000,11,FALSE))</f>
        <v>1</v>
      </c>
      <c r="I174" s="416">
        <f>IF(ISERROR(VLOOKUP(B173,'MD Usage'!A1:R2000,13,FALSE)),0,VLOOKUP(B173,'MD Usage'!A1:R2000,13,FALSE))</f>
        <v>5</v>
      </c>
      <c r="J174" s="416">
        <f>IF(ISERROR(VLOOKUP(B173,'MD Usage'!A1:R2000,15,FALSE)),0,VLOOKUP(B173,'MD Usage'!A1:R2000,15,FALSE))</f>
        <v>1</v>
      </c>
      <c r="K174" s="418">
        <f t="shared" ref="K174:K179" si="20">SUM(D174:J174)</f>
        <v>10</v>
      </c>
    </row>
    <row r="175" spans="2:13" x14ac:dyDescent="0.25">
      <c r="B175" s="419" t="s">
        <v>594</v>
      </c>
      <c r="C175" s="420">
        <v>1</v>
      </c>
      <c r="D175" s="421">
        <f>D174*C175</f>
        <v>0</v>
      </c>
      <c r="E175" s="421">
        <f>E174*C175</f>
        <v>1</v>
      </c>
      <c r="F175" s="421">
        <f>F174*C175</f>
        <v>2</v>
      </c>
      <c r="G175" s="421">
        <f>G174*C175</f>
        <v>0</v>
      </c>
      <c r="H175" s="421">
        <f>H174*C175</f>
        <v>1</v>
      </c>
      <c r="I175" s="421">
        <f>I174*C175</f>
        <v>5</v>
      </c>
      <c r="J175" s="421">
        <f>J174*C175</f>
        <v>1</v>
      </c>
      <c r="K175" s="422">
        <f t="shared" si="20"/>
        <v>10</v>
      </c>
    </row>
    <row r="176" spans="2:13" x14ac:dyDescent="0.25">
      <c r="B176" s="389" t="s">
        <v>1815</v>
      </c>
      <c r="C176" s="423">
        <v>1</v>
      </c>
      <c r="D176" s="421">
        <f>D174*C176</f>
        <v>0</v>
      </c>
      <c r="E176" s="421">
        <f>E174*C176</f>
        <v>1</v>
      </c>
      <c r="F176" s="421">
        <f>F174*C176</f>
        <v>2</v>
      </c>
      <c r="G176" s="421">
        <f>G174*C176</f>
        <v>0</v>
      </c>
      <c r="H176" s="421">
        <f>H174*C176</f>
        <v>1</v>
      </c>
      <c r="I176" s="421">
        <f>I174*C176</f>
        <v>5</v>
      </c>
      <c r="J176" s="421">
        <f>J174*C176</f>
        <v>1</v>
      </c>
      <c r="K176" s="424">
        <f t="shared" si="20"/>
        <v>10</v>
      </c>
    </row>
    <row r="177" spans="2:13" ht="15" customHeight="1" x14ac:dyDescent="0.25">
      <c r="B177" s="389" t="s">
        <v>1826</v>
      </c>
      <c r="C177" s="423">
        <v>1</v>
      </c>
      <c r="D177" s="421">
        <f>D174*C177</f>
        <v>0</v>
      </c>
      <c r="E177" s="421">
        <f>E174*C177</f>
        <v>1</v>
      </c>
      <c r="F177" s="421">
        <f>F174*C177</f>
        <v>2</v>
      </c>
      <c r="G177" s="421">
        <f>G174*C177</f>
        <v>0</v>
      </c>
      <c r="H177" s="421">
        <f>H174*C177</f>
        <v>1</v>
      </c>
      <c r="I177" s="421">
        <f>I174*C177</f>
        <v>5</v>
      </c>
      <c r="J177" s="421">
        <f>J174*C177</f>
        <v>1</v>
      </c>
      <c r="K177" s="424">
        <f t="shared" si="20"/>
        <v>10</v>
      </c>
    </row>
    <row r="178" spans="2:13" x14ac:dyDescent="0.25">
      <c r="B178" s="389"/>
      <c r="C178" s="423"/>
      <c r="D178" s="421">
        <f>D174*C178</f>
        <v>0</v>
      </c>
      <c r="E178" s="421">
        <f>E174*C178</f>
        <v>0</v>
      </c>
      <c r="F178" s="421">
        <f>F174*C178</f>
        <v>0</v>
      </c>
      <c r="G178" s="421">
        <f>G174*C178</f>
        <v>0</v>
      </c>
      <c r="H178" s="421">
        <f>H174*C178</f>
        <v>0</v>
      </c>
      <c r="I178" s="421">
        <f>I174*C178</f>
        <v>0</v>
      </c>
      <c r="J178" s="421">
        <f>J174*C178</f>
        <v>0</v>
      </c>
      <c r="K178" s="424">
        <f t="shared" si="20"/>
        <v>0</v>
      </c>
    </row>
    <row r="179" spans="2:13" x14ac:dyDescent="0.25">
      <c r="B179" s="389"/>
      <c r="C179" s="423"/>
      <c r="D179" s="421">
        <f>D174*C179</f>
        <v>0</v>
      </c>
      <c r="E179" s="421">
        <f>E174*C179</f>
        <v>0</v>
      </c>
      <c r="F179" s="421">
        <f>F174*C179</f>
        <v>0</v>
      </c>
      <c r="G179" s="421">
        <f>G174*C179</f>
        <v>0</v>
      </c>
      <c r="H179" s="421">
        <f>H174*C179</f>
        <v>0</v>
      </c>
      <c r="I179" s="421">
        <f>I174*C179</f>
        <v>0</v>
      </c>
      <c r="J179" s="421">
        <f>J174*C179</f>
        <v>0</v>
      </c>
      <c r="K179" s="424">
        <f t="shared" si="20"/>
        <v>0</v>
      </c>
    </row>
    <row r="180" spans="2:13" ht="15.75" thickBot="1" x14ac:dyDescent="0.3"/>
    <row r="181" spans="2:13" ht="15.75" thickBot="1" x14ac:dyDescent="0.3">
      <c r="B181" s="410">
        <v>6400342</v>
      </c>
      <c r="C181" s="411"/>
      <c r="D181" s="407" t="s">
        <v>548</v>
      </c>
      <c r="E181" s="408" t="s">
        <v>549</v>
      </c>
      <c r="F181" s="408" t="s">
        <v>550</v>
      </c>
      <c r="G181" s="408" t="s">
        <v>551</v>
      </c>
      <c r="H181" s="408" t="s">
        <v>552</v>
      </c>
      <c r="I181" s="408" t="s">
        <v>553</v>
      </c>
      <c r="J181" s="408" t="s">
        <v>554</v>
      </c>
      <c r="K181" s="408" t="s">
        <v>555</v>
      </c>
      <c r="M181" s="426" t="s">
        <v>1816</v>
      </c>
    </row>
    <row r="182" spans="2:13" ht="15.75" thickBot="1" x14ac:dyDescent="0.3">
      <c r="B182" s="414" t="s">
        <v>556</v>
      </c>
      <c r="C182" s="415" t="s">
        <v>620</v>
      </c>
      <c r="D182" s="416">
        <f>IF(ISERROR(VLOOKUP(B181,'MD Usage'!$A$1:$W$5000,3,FALSE)),0,VLOOKUP(B181,'MD Usage'!$A$1:$W$5000,3,FALSE))</f>
        <v>1</v>
      </c>
      <c r="E182" s="416">
        <f>IF(ISERROR(VLOOKUP(B181,'MD Usage'!$A$1:$W$5000,5,FALSE)),0,VLOOKUP(B181,'MD Usage'!$A$1:$W$5000,5,FALSE))</f>
        <v>1</v>
      </c>
      <c r="F182" s="416">
        <f>IF(ISERROR(VLOOKUP(B181,'MD Usage'!$A$1:$W$5000,7,FALSE)),0,VLOOKUP(B181,'MD Usage'!$A$1:$W$5000,7,FALSE))</f>
        <v>4</v>
      </c>
      <c r="G182" s="416">
        <f>IF(ISERROR(VLOOKUP(B181,'MD Usage'!$A$1:$W$5000,9,FALSE)),0,VLOOKUP(B181,'MD Usage'!$A$1:$W$5000,9,FALSE))</f>
        <v>1</v>
      </c>
      <c r="H182" s="416">
        <f>IF(ISERROR(VLOOKUP(B181,'MD Usage'!$A$1:$W$5000,11,FALSE)),0,VLOOKUP(B181,'MD Usage'!$A$1:$W$5000,11,FALSE))</f>
        <v>6</v>
      </c>
      <c r="I182" s="416">
        <f>IF(ISERROR(VLOOKUP(B181,'MD Usage'!A1:R2000,13,FALSE)),0,VLOOKUP(B181,'MD Usage'!A1:R2000,13,FALSE))</f>
        <v>9</v>
      </c>
      <c r="J182" s="416">
        <f>IF(ISERROR(VLOOKUP(B181,'MD Usage'!A1:R2000,15,FALSE)),0,VLOOKUP(B181,'MD Usage'!A1:R2000,15,FALSE))</f>
        <v>5</v>
      </c>
      <c r="K182" s="418">
        <f t="shared" ref="K182:K187" si="21">SUM(D182:J182)</f>
        <v>27</v>
      </c>
    </row>
    <row r="183" spans="2:13" x14ac:dyDescent="0.25">
      <c r="B183" s="419" t="s">
        <v>343</v>
      </c>
      <c r="C183" s="420">
        <v>1</v>
      </c>
      <c r="D183" s="421">
        <f>D182*C183</f>
        <v>1</v>
      </c>
      <c r="E183" s="421">
        <f>E182*C183</f>
        <v>1</v>
      </c>
      <c r="F183" s="421">
        <f>F182*C183</f>
        <v>4</v>
      </c>
      <c r="G183" s="421">
        <f>G182*C183</f>
        <v>1</v>
      </c>
      <c r="H183" s="421">
        <f>H182*C183</f>
        <v>6</v>
      </c>
      <c r="I183" s="421">
        <f>I182*C183</f>
        <v>9</v>
      </c>
      <c r="J183" s="421">
        <f>J182*C183</f>
        <v>5</v>
      </c>
      <c r="K183" s="422">
        <f t="shared" si="21"/>
        <v>27</v>
      </c>
    </row>
    <row r="184" spans="2:13" x14ac:dyDescent="0.25">
      <c r="B184" s="389" t="s">
        <v>1915</v>
      </c>
      <c r="C184" s="423">
        <v>1</v>
      </c>
      <c r="D184" s="421">
        <f>D182*C184</f>
        <v>1</v>
      </c>
      <c r="E184" s="421">
        <f>E182*C184</f>
        <v>1</v>
      </c>
      <c r="F184" s="421">
        <f>F182*C184</f>
        <v>4</v>
      </c>
      <c r="G184" s="421">
        <f>G182*C184</f>
        <v>1</v>
      </c>
      <c r="H184" s="421">
        <f>H182*C184</f>
        <v>6</v>
      </c>
      <c r="I184" s="421">
        <f>I182*C184</f>
        <v>9</v>
      </c>
      <c r="J184" s="421">
        <f>J182*C184</f>
        <v>5</v>
      </c>
      <c r="K184" s="424">
        <f t="shared" si="21"/>
        <v>27</v>
      </c>
    </row>
    <row r="185" spans="2:13" ht="15" customHeight="1" x14ac:dyDescent="0.25">
      <c r="B185" s="389" t="s">
        <v>342</v>
      </c>
      <c r="C185" s="423">
        <v>3</v>
      </c>
      <c r="D185" s="421">
        <f>D182*C185</f>
        <v>3</v>
      </c>
      <c r="E185" s="421">
        <f>E182*C185</f>
        <v>3</v>
      </c>
      <c r="F185" s="421">
        <f>F182*C185</f>
        <v>12</v>
      </c>
      <c r="G185" s="421">
        <f>G182*C185</f>
        <v>3</v>
      </c>
      <c r="H185" s="421">
        <f>H182*C185</f>
        <v>18</v>
      </c>
      <c r="I185" s="421">
        <f>I182*C185</f>
        <v>27</v>
      </c>
      <c r="J185" s="421">
        <f>J182*C185</f>
        <v>15</v>
      </c>
      <c r="K185" s="424">
        <f t="shared" si="21"/>
        <v>81</v>
      </c>
    </row>
    <row r="186" spans="2:13" x14ac:dyDescent="0.25">
      <c r="B186" s="389"/>
      <c r="C186" s="423"/>
      <c r="D186" s="421">
        <f>D182*C186</f>
        <v>0</v>
      </c>
      <c r="E186" s="421">
        <f>E182*C186</f>
        <v>0</v>
      </c>
      <c r="F186" s="421">
        <f>F182*C186</f>
        <v>0</v>
      </c>
      <c r="G186" s="421">
        <f>G182*C186</f>
        <v>0</v>
      </c>
      <c r="H186" s="421">
        <f>H182*C186</f>
        <v>0</v>
      </c>
      <c r="I186" s="421">
        <f>I182*C186</f>
        <v>0</v>
      </c>
      <c r="J186" s="421">
        <f>J182*C186</f>
        <v>0</v>
      </c>
      <c r="K186" s="424">
        <f t="shared" si="21"/>
        <v>0</v>
      </c>
    </row>
    <row r="187" spans="2:13" x14ac:dyDescent="0.25">
      <c r="B187" s="389"/>
      <c r="C187" s="423"/>
      <c r="D187" s="421">
        <f>D182*C187</f>
        <v>0</v>
      </c>
      <c r="E187" s="421">
        <f>E182*C187</f>
        <v>0</v>
      </c>
      <c r="F187" s="421">
        <f>F182*C187</f>
        <v>0</v>
      </c>
      <c r="G187" s="421">
        <f>G182*C187</f>
        <v>0</v>
      </c>
      <c r="H187" s="421">
        <f>H182*C187</f>
        <v>0</v>
      </c>
      <c r="I187" s="421">
        <f>I182*C187</f>
        <v>0</v>
      </c>
      <c r="J187" s="421">
        <f>J182*C187</f>
        <v>0</v>
      </c>
      <c r="K187" s="424">
        <f t="shared" si="21"/>
        <v>0</v>
      </c>
    </row>
    <row r="188" spans="2:13" ht="15.75" thickBot="1" x14ac:dyDescent="0.3"/>
    <row r="189" spans="2:13" ht="15.75" thickBot="1" x14ac:dyDescent="0.3">
      <c r="B189" s="410">
        <v>6400344</v>
      </c>
      <c r="C189" s="411"/>
      <c r="D189" s="407" t="s">
        <v>548</v>
      </c>
      <c r="E189" s="408" t="s">
        <v>549</v>
      </c>
      <c r="F189" s="408" t="s">
        <v>550</v>
      </c>
      <c r="G189" s="408" t="s">
        <v>551</v>
      </c>
      <c r="H189" s="408" t="s">
        <v>552</v>
      </c>
      <c r="I189" s="408" t="s">
        <v>553</v>
      </c>
      <c r="J189" s="408" t="s">
        <v>554</v>
      </c>
      <c r="K189" s="408" t="s">
        <v>555</v>
      </c>
      <c r="M189" s="426" t="s">
        <v>1817</v>
      </c>
    </row>
    <row r="190" spans="2:13" ht="15.75" thickBot="1" x14ac:dyDescent="0.3">
      <c r="B190" s="414" t="s">
        <v>556</v>
      </c>
      <c r="C190" s="415" t="s">
        <v>620</v>
      </c>
      <c r="D190" s="416">
        <f>IF(ISERROR(VLOOKUP(B189,'MD Usage'!$A$1:$W$5000,3,FALSE)),0,VLOOKUP(B189,'MD Usage'!$A$1:$W$5000,3,FALSE))</f>
        <v>0</v>
      </c>
      <c r="E190" s="416">
        <f>IF(ISERROR(VLOOKUP(B189,'MD Usage'!$A$1:$W$5000,5,FALSE)),0,VLOOKUP(B189,'MD Usage'!$A$1:$W$5000,5,FALSE))</f>
        <v>0</v>
      </c>
      <c r="F190" s="416">
        <f>IF(ISERROR(VLOOKUP(B189,'MD Usage'!$A$1:$W$5000,7,FALSE)),0,VLOOKUP(B189,'MD Usage'!$A$1:$W$5000,7,FALSE))</f>
        <v>0</v>
      </c>
      <c r="G190" s="416">
        <f>IF(ISERROR(VLOOKUP(B189,'MD Usage'!$A$1:$W$5000,9,FALSE)),0,VLOOKUP(B189,'MD Usage'!$A$1:$W$5000,9,FALSE))</f>
        <v>0</v>
      </c>
      <c r="H190" s="416">
        <f>IF(ISERROR(VLOOKUP(B189,'MD Usage'!$A$1:$W$5000,11,FALSE)),0,VLOOKUP(B189,'MD Usage'!$A$1:$W$5000,11,FALSE))</f>
        <v>0</v>
      </c>
      <c r="I190" s="416">
        <f>IF(ISERROR(VLOOKUP(B189,'MD Usage'!A1:R2000,13,FALSE)),0,VLOOKUP(B189,'MD Usage'!A1:R2000,13,FALSE))</f>
        <v>0</v>
      </c>
      <c r="J190" s="416">
        <f>IF(ISERROR(VLOOKUP(B189,'MD Usage'!A1:R2000,15,FALSE)),0,VLOOKUP(B189,'MD Usage'!A1:R2000,15,FALSE))</f>
        <v>2</v>
      </c>
      <c r="K190" s="418">
        <f t="shared" ref="K190:K195" si="22">SUM(D190:J190)</f>
        <v>2</v>
      </c>
    </row>
    <row r="191" spans="2:13" x14ac:dyDescent="0.25">
      <c r="B191" s="419" t="s">
        <v>343</v>
      </c>
      <c r="C191" s="420">
        <v>1</v>
      </c>
      <c r="D191" s="421">
        <f>D190*C191</f>
        <v>0</v>
      </c>
      <c r="E191" s="421">
        <f>E190*C191</f>
        <v>0</v>
      </c>
      <c r="F191" s="421">
        <f>F190*C191</f>
        <v>0</v>
      </c>
      <c r="G191" s="421">
        <f>G190*C191</f>
        <v>0</v>
      </c>
      <c r="H191" s="421">
        <f>H190*C191</f>
        <v>0</v>
      </c>
      <c r="I191" s="421">
        <f>I190*C191</f>
        <v>0</v>
      </c>
      <c r="J191" s="421">
        <f>J190*C191</f>
        <v>2</v>
      </c>
      <c r="K191" s="422">
        <f t="shared" si="22"/>
        <v>2</v>
      </c>
    </row>
    <row r="192" spans="2:13" x14ac:dyDescent="0.25">
      <c r="B192" s="389" t="s">
        <v>1915</v>
      </c>
      <c r="C192" s="423">
        <v>1</v>
      </c>
      <c r="D192" s="421">
        <f>D190*C192</f>
        <v>0</v>
      </c>
      <c r="E192" s="421">
        <f>E190*C192</f>
        <v>0</v>
      </c>
      <c r="F192" s="421">
        <f>F190*C192</f>
        <v>0</v>
      </c>
      <c r="G192" s="421">
        <f>G190*C192</f>
        <v>0</v>
      </c>
      <c r="H192" s="421">
        <f>H190*C192</f>
        <v>0</v>
      </c>
      <c r="I192" s="421">
        <f>I190*C192</f>
        <v>0</v>
      </c>
      <c r="J192" s="421">
        <f>J190*C192</f>
        <v>2</v>
      </c>
      <c r="K192" s="424">
        <f t="shared" si="22"/>
        <v>2</v>
      </c>
    </row>
    <row r="193" spans="1:22" ht="15" customHeight="1" x14ac:dyDescent="0.25">
      <c r="B193" s="389" t="s">
        <v>342</v>
      </c>
      <c r="C193" s="423">
        <v>3</v>
      </c>
      <c r="D193" s="421">
        <f>D190*C193</f>
        <v>0</v>
      </c>
      <c r="E193" s="421">
        <f>E190*C193</f>
        <v>0</v>
      </c>
      <c r="F193" s="421">
        <f>F190*C193</f>
        <v>0</v>
      </c>
      <c r="G193" s="421">
        <f>G190*C193</f>
        <v>0</v>
      </c>
      <c r="H193" s="421">
        <f>H190*C193</f>
        <v>0</v>
      </c>
      <c r="I193" s="421">
        <f>I190*C193</f>
        <v>0</v>
      </c>
      <c r="J193" s="421">
        <f>J190*C193</f>
        <v>6</v>
      </c>
      <c r="K193" s="424">
        <f t="shared" si="22"/>
        <v>6</v>
      </c>
    </row>
    <row r="194" spans="1:22" x14ac:dyDescent="0.25">
      <c r="B194" s="389"/>
      <c r="C194" s="423"/>
      <c r="D194" s="421">
        <f>D190*C194</f>
        <v>0</v>
      </c>
      <c r="E194" s="421">
        <f>E190*C194</f>
        <v>0</v>
      </c>
      <c r="F194" s="421">
        <f>F190*C194</f>
        <v>0</v>
      </c>
      <c r="G194" s="421">
        <f>G190*C194</f>
        <v>0</v>
      </c>
      <c r="H194" s="421">
        <f>H190*C194</f>
        <v>0</v>
      </c>
      <c r="I194" s="421">
        <f>I190*C194</f>
        <v>0</v>
      </c>
      <c r="J194" s="421">
        <f>J190*C194</f>
        <v>0</v>
      </c>
      <c r="K194" s="424">
        <f t="shared" si="22"/>
        <v>0</v>
      </c>
    </row>
    <row r="195" spans="1:22" x14ac:dyDescent="0.25">
      <c r="B195" s="389"/>
      <c r="C195" s="423"/>
      <c r="D195" s="421">
        <f>D190*C195</f>
        <v>0</v>
      </c>
      <c r="E195" s="421">
        <f>E190*C195</f>
        <v>0</v>
      </c>
      <c r="F195" s="421">
        <f>F190*C195</f>
        <v>0</v>
      </c>
      <c r="G195" s="421">
        <f>G190*C195</f>
        <v>0</v>
      </c>
      <c r="H195" s="421">
        <f>H190*C195</f>
        <v>0</v>
      </c>
      <c r="I195" s="421">
        <f>I190*C195</f>
        <v>0</v>
      </c>
      <c r="J195" s="421">
        <f>J190*C195</f>
        <v>0</v>
      </c>
      <c r="K195" s="424">
        <f t="shared" si="22"/>
        <v>0</v>
      </c>
    </row>
    <row r="196" spans="1:22" ht="15.75" thickBot="1" x14ac:dyDescent="0.3">
      <c r="A196" s="841" t="s">
        <v>645</v>
      </c>
      <c r="B196" s="841"/>
      <c r="C196" s="841"/>
      <c r="D196" s="841"/>
      <c r="E196" s="841"/>
      <c r="F196" s="841"/>
      <c r="G196" s="841"/>
      <c r="H196" s="841"/>
      <c r="I196" s="841"/>
      <c r="J196" s="841"/>
      <c r="K196" s="841"/>
      <c r="L196" s="841"/>
      <c r="M196" s="841"/>
      <c r="N196" s="841"/>
      <c r="O196" s="841"/>
      <c r="P196" s="841"/>
      <c r="Q196" s="841"/>
      <c r="R196" s="841"/>
      <c r="S196" s="841"/>
      <c r="T196" s="841"/>
      <c r="U196" s="841"/>
      <c r="V196" s="841"/>
    </row>
    <row r="197" spans="1:22" ht="15.75" thickBot="1" x14ac:dyDescent="0.3">
      <c r="B197" s="428">
        <v>6410049</v>
      </c>
      <c r="C197" s="411"/>
      <c r="D197" s="407" t="s">
        <v>548</v>
      </c>
      <c r="E197" s="408" t="s">
        <v>549</v>
      </c>
      <c r="F197" s="408" t="s">
        <v>550</v>
      </c>
      <c r="G197" s="408" t="s">
        <v>551</v>
      </c>
      <c r="H197" s="408" t="s">
        <v>552</v>
      </c>
      <c r="I197" s="408" t="s">
        <v>553</v>
      </c>
      <c r="J197" s="408" t="s">
        <v>554</v>
      </c>
      <c r="K197" s="408" t="s">
        <v>555</v>
      </c>
      <c r="M197" s="426" t="s">
        <v>646</v>
      </c>
    </row>
    <row r="198" spans="1:22" ht="15.75" thickBot="1" x14ac:dyDescent="0.3">
      <c r="B198" s="429" t="s">
        <v>556</v>
      </c>
      <c r="C198" s="415" t="s">
        <v>620</v>
      </c>
      <c r="D198" s="416">
        <f>IF(ISERROR(VLOOKUP(B197,'MD Usage'!$A$1:$W$5000,3,FALSE)),0,VLOOKUP(B197,'MD Usage'!$A$1:$W$5000,3,FALSE))</f>
        <v>0</v>
      </c>
      <c r="E198" s="416">
        <f>IF(ISERROR(VLOOKUP(B197,'MD Usage'!$A$1:$W$5000,5,FALSE)),0,VLOOKUP(B197,'MD Usage'!$A$1:$W$5000,5,FALSE))</f>
        <v>0</v>
      </c>
      <c r="F198" s="416">
        <f>IF(ISERROR(VLOOKUP(B197,'MD Usage'!$A$1:$W$5000,7,FALSE)),0,VLOOKUP(B197,'MD Usage'!$A$1:$W$5000,7,FALSE))</f>
        <v>0</v>
      </c>
      <c r="G198" s="416">
        <f>IF(ISERROR(VLOOKUP(B197,'MD Usage'!$A$1:$W$5000,9,FALSE)),0,VLOOKUP(B197,'MD Usage'!$A$1:$W$5000,9,FALSE))</f>
        <v>0</v>
      </c>
      <c r="H198" s="416">
        <f>IF(ISERROR(VLOOKUP(B197,'MD Usage'!$A$1:$W$5000,11,FALSE)),0,VLOOKUP(B197,'MD Usage'!$A$1:$W$5000,11,FALSE))</f>
        <v>1</v>
      </c>
      <c r="I198" s="416">
        <f>IF(ISERROR(VLOOKUP(B197,'MD Usage'!A1:R2000,13,FALSE)),0,VLOOKUP(B197,'MD Usage'!A1:R2000,13,FALSE))</f>
        <v>0</v>
      </c>
      <c r="J198" s="416">
        <f>IF(ISERROR(VLOOKUP(B197,'MD Usage'!A1:R2000,15,FALSE)),0,VLOOKUP(B197,'MD Usage'!A1:R2000,15,FALSE))</f>
        <v>0</v>
      </c>
      <c r="K198" s="418">
        <f t="shared" ref="K198:K203" si="23">SUM(D198:J198)</f>
        <v>1</v>
      </c>
    </row>
    <row r="199" spans="1:22" x14ac:dyDescent="0.25">
      <c r="B199" s="391" t="s">
        <v>588</v>
      </c>
      <c r="C199" s="430">
        <v>6</v>
      </c>
      <c r="D199" s="421">
        <f>D198*C199</f>
        <v>0</v>
      </c>
      <c r="E199" s="421">
        <f>E198*C199</f>
        <v>0</v>
      </c>
      <c r="F199" s="421">
        <f>F198*C199</f>
        <v>0</v>
      </c>
      <c r="G199" s="421">
        <f>G198*C199</f>
        <v>0</v>
      </c>
      <c r="H199" s="421">
        <f>H198*C199</f>
        <v>6</v>
      </c>
      <c r="I199" s="421">
        <f>I198*C199</f>
        <v>0</v>
      </c>
      <c r="J199" s="421">
        <f>J198*C199</f>
        <v>0</v>
      </c>
      <c r="K199" s="422">
        <f t="shared" si="23"/>
        <v>6</v>
      </c>
    </row>
    <row r="200" spans="1:22" ht="15" customHeight="1" x14ac:dyDescent="0.25">
      <c r="B200" s="391" t="s">
        <v>590</v>
      </c>
      <c r="C200" s="431">
        <v>1.5</v>
      </c>
      <c r="D200" s="421">
        <f>D198*C200</f>
        <v>0</v>
      </c>
      <c r="E200" s="421">
        <f>E198*C200</f>
        <v>0</v>
      </c>
      <c r="F200" s="421">
        <f>F198*C200</f>
        <v>0</v>
      </c>
      <c r="G200" s="421">
        <f>G198*C200</f>
        <v>0</v>
      </c>
      <c r="H200" s="421">
        <f>H198*C200</f>
        <v>1.5</v>
      </c>
      <c r="I200" s="421">
        <f>I198*C200</f>
        <v>0</v>
      </c>
      <c r="J200" s="421">
        <f>J198*C200</f>
        <v>0</v>
      </c>
      <c r="K200" s="424">
        <f t="shared" si="23"/>
        <v>1.5</v>
      </c>
    </row>
    <row r="201" spans="1:22" x14ac:dyDescent="0.25">
      <c r="B201" s="391"/>
      <c r="C201" s="431"/>
      <c r="D201" s="421">
        <f>D198*C201</f>
        <v>0</v>
      </c>
      <c r="E201" s="421">
        <f>E198*C201</f>
        <v>0</v>
      </c>
      <c r="F201" s="421">
        <f>F198*C201</f>
        <v>0</v>
      </c>
      <c r="G201" s="421">
        <f>G198*C201</f>
        <v>0</v>
      </c>
      <c r="H201" s="421">
        <f>H198*C201</f>
        <v>0</v>
      </c>
      <c r="I201" s="421">
        <f>I198*C201</f>
        <v>0</v>
      </c>
      <c r="J201" s="421">
        <f>J198*C201</f>
        <v>0</v>
      </c>
      <c r="K201" s="424">
        <f t="shared" si="23"/>
        <v>0</v>
      </c>
    </row>
    <row r="202" spans="1:22" x14ac:dyDescent="0.25">
      <c r="B202" s="391"/>
      <c r="C202" s="431"/>
      <c r="D202" s="421">
        <f>D198*C202</f>
        <v>0</v>
      </c>
      <c r="E202" s="421">
        <f>E198*C202</f>
        <v>0</v>
      </c>
      <c r="F202" s="421">
        <f>F198*C202</f>
        <v>0</v>
      </c>
      <c r="G202" s="421">
        <f>G198*C202</f>
        <v>0</v>
      </c>
      <c r="H202" s="421">
        <f>H198*C202</f>
        <v>0</v>
      </c>
      <c r="I202" s="421">
        <f>I198*C202</f>
        <v>0</v>
      </c>
      <c r="J202" s="421">
        <f>J198*C202</f>
        <v>0</v>
      </c>
      <c r="K202" s="424">
        <f t="shared" si="23"/>
        <v>0</v>
      </c>
    </row>
    <row r="203" spans="1:22" x14ac:dyDescent="0.25">
      <c r="B203" s="389"/>
      <c r="C203" s="423"/>
      <c r="D203" s="421">
        <f>D198*C203</f>
        <v>0</v>
      </c>
      <c r="E203" s="421">
        <f>E198*C203</f>
        <v>0</v>
      </c>
      <c r="F203" s="421">
        <f>F198*C203</f>
        <v>0</v>
      </c>
      <c r="G203" s="421">
        <f>G198*C203</f>
        <v>0</v>
      </c>
      <c r="H203" s="421">
        <f>H198*C203</f>
        <v>0</v>
      </c>
      <c r="I203" s="421">
        <f>I198*C203</f>
        <v>0</v>
      </c>
      <c r="J203" s="421">
        <f>J198*C203</f>
        <v>0</v>
      </c>
      <c r="K203" s="424">
        <f t="shared" si="23"/>
        <v>0</v>
      </c>
    </row>
    <row r="204" spans="1:22" ht="15.75" thickBot="1" x14ac:dyDescent="0.3"/>
    <row r="205" spans="1:22" ht="15.75" thickBot="1" x14ac:dyDescent="0.3">
      <c r="B205" s="410">
        <v>6410003</v>
      </c>
      <c r="C205" s="411"/>
      <c r="D205" s="407" t="s">
        <v>548</v>
      </c>
      <c r="E205" s="408" t="s">
        <v>549</v>
      </c>
      <c r="F205" s="408" t="s">
        <v>550</v>
      </c>
      <c r="G205" s="408" t="s">
        <v>551</v>
      </c>
      <c r="H205" s="408" t="s">
        <v>552</v>
      </c>
      <c r="I205" s="408" t="s">
        <v>553</v>
      </c>
      <c r="J205" s="408" t="s">
        <v>554</v>
      </c>
      <c r="K205" s="408" t="s">
        <v>555</v>
      </c>
      <c r="M205" s="426" t="s">
        <v>647</v>
      </c>
    </row>
    <row r="206" spans="1:22" ht="15.75" thickBot="1" x14ac:dyDescent="0.3">
      <c r="B206" s="414" t="s">
        <v>556</v>
      </c>
      <c r="C206" s="415" t="s">
        <v>620</v>
      </c>
      <c r="D206" s="416">
        <f>IF(ISERROR(VLOOKUP(B205,'MD Usage'!$A$1:$W$5000,3,FALSE)),0,VLOOKUP(B205,'MD Usage'!$A$1:$W$5000,3,FALSE))</f>
        <v>0</v>
      </c>
      <c r="E206" s="416">
        <f>IF(ISERROR(VLOOKUP(B205,'MD Usage'!$A$1:$W$5000,5,FALSE)),0,VLOOKUP(B205,'MD Usage'!$A$1:$W$5000,5,FALSE))</f>
        <v>0</v>
      </c>
      <c r="F206" s="416">
        <f>IF(ISERROR(VLOOKUP(B205,'MD Usage'!$A$1:$W$5000,7,FALSE)),0,VLOOKUP(B205,'MD Usage'!$A$1:$W$5000,7,FALSE))</f>
        <v>0</v>
      </c>
      <c r="G206" s="416">
        <f>IF(ISERROR(VLOOKUP(B205,'MD Usage'!$A$1:$W$5000,9,FALSE)),0,VLOOKUP(B205,'MD Usage'!$A$1:$W$5000,9,FALSE))</f>
        <v>0</v>
      </c>
      <c r="H206" s="416">
        <f>IF(ISERROR(VLOOKUP(B205,'MD Usage'!$A$1:$W$5000,11,FALSE)),0,VLOOKUP(B205,'MD Usage'!$A$1:$W$5000,11,FALSE))</f>
        <v>1</v>
      </c>
      <c r="I206" s="416">
        <f>IF(ISERROR(VLOOKUP(B205,'MD Usage'!A1:R2000,13,FALSE)),0,VLOOKUP(B205,'MD Usage'!A1:R2000,13,FALSE))</f>
        <v>0</v>
      </c>
      <c r="J206" s="416">
        <f>IF(ISERROR(VLOOKUP(B205,'MD Usage'!A9:R2008,15,FALSE)),0,VLOOKUP(B205,'MD Usage'!A9:R2008,15,FALSE))</f>
        <v>0</v>
      </c>
      <c r="K206" s="418">
        <f t="shared" ref="K206:K211" si="24">SUM(D206:J206)</f>
        <v>1</v>
      </c>
    </row>
    <row r="207" spans="1:22" ht="15" customHeight="1" x14ac:dyDescent="0.25">
      <c r="B207" s="391" t="s">
        <v>588</v>
      </c>
      <c r="C207" s="430">
        <v>6</v>
      </c>
      <c r="D207" s="421">
        <f>D206*C207</f>
        <v>0</v>
      </c>
      <c r="E207" s="421">
        <f>E206*C207</f>
        <v>0</v>
      </c>
      <c r="F207" s="421">
        <f>F206*C207</f>
        <v>0</v>
      </c>
      <c r="G207" s="421">
        <f>G206*C207</f>
        <v>0</v>
      </c>
      <c r="H207" s="421">
        <f>H206*C207</f>
        <v>6</v>
      </c>
      <c r="I207" s="421">
        <f>I206*C207</f>
        <v>0</v>
      </c>
      <c r="J207" s="421">
        <f>J206*C207</f>
        <v>0</v>
      </c>
      <c r="K207" s="422">
        <f t="shared" si="24"/>
        <v>6</v>
      </c>
    </row>
    <row r="208" spans="1:22" x14ac:dyDescent="0.25">
      <c r="B208" s="391" t="s">
        <v>590</v>
      </c>
      <c r="C208" s="431">
        <v>1.5</v>
      </c>
      <c r="D208" s="421">
        <f>D206*C208</f>
        <v>0</v>
      </c>
      <c r="E208" s="421">
        <f>E206*C208</f>
        <v>0</v>
      </c>
      <c r="F208" s="421">
        <f>F206*C208</f>
        <v>0</v>
      </c>
      <c r="G208" s="421">
        <f>G206*C208</f>
        <v>0</v>
      </c>
      <c r="H208" s="421">
        <f>H206*C208</f>
        <v>1.5</v>
      </c>
      <c r="I208" s="421">
        <f>I206*C208</f>
        <v>0</v>
      </c>
      <c r="J208" s="421">
        <f>J206*C208</f>
        <v>0</v>
      </c>
      <c r="K208" s="424">
        <f t="shared" si="24"/>
        <v>1.5</v>
      </c>
    </row>
    <row r="209" spans="2:13" x14ac:dyDescent="0.25">
      <c r="B209" s="389"/>
      <c r="C209" s="423"/>
      <c r="D209" s="421">
        <f>D206*C209</f>
        <v>0</v>
      </c>
      <c r="E209" s="421">
        <f>E206*C209</f>
        <v>0</v>
      </c>
      <c r="F209" s="421">
        <f>F206*C209</f>
        <v>0</v>
      </c>
      <c r="G209" s="421">
        <f>G206*C209</f>
        <v>0</v>
      </c>
      <c r="H209" s="421">
        <f>H206*C209</f>
        <v>0</v>
      </c>
      <c r="I209" s="421">
        <f>I206*C209</f>
        <v>0</v>
      </c>
      <c r="J209" s="421">
        <f>J206*C209</f>
        <v>0</v>
      </c>
      <c r="K209" s="424">
        <f t="shared" si="24"/>
        <v>0</v>
      </c>
    </row>
    <row r="210" spans="2:13" x14ac:dyDescent="0.25">
      <c r="B210" s="389"/>
      <c r="C210" s="423"/>
      <c r="D210" s="421">
        <f>D206*C210</f>
        <v>0</v>
      </c>
      <c r="E210" s="421">
        <f>E206*C210</f>
        <v>0</v>
      </c>
      <c r="F210" s="421">
        <f>F206*C210</f>
        <v>0</v>
      </c>
      <c r="G210" s="421">
        <f>G206*C210</f>
        <v>0</v>
      </c>
      <c r="H210" s="421">
        <f>H206*C210</f>
        <v>0</v>
      </c>
      <c r="I210" s="421">
        <f>I206*C210</f>
        <v>0</v>
      </c>
      <c r="J210" s="421">
        <f>J206*C210</f>
        <v>0</v>
      </c>
      <c r="K210" s="424">
        <f t="shared" si="24"/>
        <v>0</v>
      </c>
    </row>
    <row r="211" spans="2:13" x14ac:dyDescent="0.25">
      <c r="B211" s="389"/>
      <c r="C211" s="423"/>
      <c r="D211" s="421">
        <f>D206*C211</f>
        <v>0</v>
      </c>
      <c r="E211" s="421">
        <f>E206*C211</f>
        <v>0</v>
      </c>
      <c r="F211" s="421">
        <f>F206*C211</f>
        <v>0</v>
      </c>
      <c r="G211" s="421">
        <f>G206*C211</f>
        <v>0</v>
      </c>
      <c r="H211" s="421">
        <f>H206*C211</f>
        <v>0</v>
      </c>
      <c r="I211" s="421">
        <f>I206*C211</f>
        <v>0</v>
      </c>
      <c r="J211" s="421">
        <f>J206*C211</f>
        <v>0</v>
      </c>
      <c r="K211" s="424">
        <f t="shared" si="24"/>
        <v>0</v>
      </c>
    </row>
    <row r="212" spans="2:13" ht="15.75" thickBot="1" x14ac:dyDescent="0.3"/>
    <row r="213" spans="2:13" ht="15.75" thickBot="1" x14ac:dyDescent="0.3">
      <c r="B213" s="410">
        <v>5</v>
      </c>
      <c r="C213" s="411"/>
      <c r="D213" s="407" t="s">
        <v>548</v>
      </c>
      <c r="E213" s="408" t="s">
        <v>549</v>
      </c>
      <c r="F213" s="408" t="s">
        <v>550</v>
      </c>
      <c r="G213" s="408" t="s">
        <v>551</v>
      </c>
      <c r="H213" s="408" t="s">
        <v>552</v>
      </c>
      <c r="I213" s="408" t="s">
        <v>553</v>
      </c>
      <c r="J213" s="408" t="s">
        <v>554</v>
      </c>
      <c r="K213" s="408" t="s">
        <v>555</v>
      </c>
      <c r="M213" s="426" t="s">
        <v>648</v>
      </c>
    </row>
    <row r="214" spans="2:13" ht="15" customHeight="1" thickBot="1" x14ac:dyDescent="0.3">
      <c r="B214" s="414" t="s">
        <v>556</v>
      </c>
      <c r="C214" s="415" t="s">
        <v>620</v>
      </c>
      <c r="D214" s="416">
        <f>IF(ISERROR(VLOOKUP($B$213,'MD Usage'!$A$1:$W$5000,3,FALSE)),0,VLOOKUP($B$213,'MD Usage'!$A$1:$W$5000,3,FALSE))</f>
        <v>0</v>
      </c>
      <c r="E214" s="416">
        <f>IF(ISERROR(VLOOKUP($B$213,'MD Usage'!$A$1:$W$5000,5,FALSE)),0,VLOOKUP($B$213,'MD Usage'!$A$1:$W$5000,5,FALSE))</f>
        <v>0</v>
      </c>
      <c r="F214" s="416">
        <f>IF(ISERROR(VLOOKUP($B$213,'MD Usage'!$A$1:$W$5000,7,FALSE)),0,VLOOKUP($B$213,'MD Usage'!$A$1:$W$5000,7,FALSE))</f>
        <v>0</v>
      </c>
      <c r="G214" s="416">
        <f>IF(ISERROR(VLOOKUP($B$213,'MD Usage'!$A$1:$W$5000,9,FALSE)),0,VLOOKUP($B$213,'MD Usage'!$A$1:$W$5000,9,FALSE))</f>
        <v>0</v>
      </c>
      <c r="H214" s="416">
        <f>IF(ISERROR(VLOOKUP($B$213,'MD Usage'!$A$1:$W$5000,11,FALSE)),0,VLOOKUP($B$213,'MD Usage'!$A$1:$W$5000,11,FALSE))</f>
        <v>0</v>
      </c>
      <c r="I214" s="416">
        <f>IF(ISERROR(VLOOKUP($B$213,'MD Usage'!A1:R2000,13,FALSE)),0,VLOOKUP($B$213,'MD Usage'!A1:R2000,13,FALSE))</f>
        <v>0</v>
      </c>
      <c r="J214" s="416">
        <f>IF(ISERROR(VLOOKUP($B$213,'MD Usage'!A1:R2000,15,FALSE)),0,VLOOKUP($B$213,'MD Usage'!A1:R2000,15,FALSE))</f>
        <v>0</v>
      </c>
      <c r="K214" s="418">
        <f t="shared" ref="K214:K219" si="25">SUM(D214:J214)</f>
        <v>0</v>
      </c>
    </row>
    <row r="215" spans="2:13" x14ac:dyDescent="0.25">
      <c r="B215" s="391" t="s">
        <v>588</v>
      </c>
      <c r="C215" s="430">
        <v>6</v>
      </c>
      <c r="D215" s="421">
        <f>$D$214*C215</f>
        <v>0</v>
      </c>
      <c r="E215" s="421">
        <f>$E$214*C215</f>
        <v>0</v>
      </c>
      <c r="F215" s="421">
        <f>$F$214*C215</f>
        <v>0</v>
      </c>
      <c r="G215" s="421">
        <f>$G$214*C215</f>
        <v>0</v>
      </c>
      <c r="H215" s="421">
        <f>$H$214*C215</f>
        <v>0</v>
      </c>
      <c r="I215" s="421">
        <f>$I$214*C215</f>
        <v>0</v>
      </c>
      <c r="J215" s="421">
        <f>$J$214*C215</f>
        <v>0</v>
      </c>
      <c r="K215" s="422">
        <f t="shared" si="25"/>
        <v>0</v>
      </c>
    </row>
    <row r="216" spans="2:13" x14ac:dyDescent="0.25">
      <c r="B216" s="391" t="s">
        <v>590</v>
      </c>
      <c r="C216" s="431">
        <v>1.5</v>
      </c>
      <c r="D216" s="421">
        <f>$D$214*C216</f>
        <v>0</v>
      </c>
      <c r="E216" s="421">
        <f>$E$214*C216</f>
        <v>0</v>
      </c>
      <c r="F216" s="421">
        <f>$F$214*C216</f>
        <v>0</v>
      </c>
      <c r="G216" s="421">
        <f>$G$214*C216</f>
        <v>0</v>
      </c>
      <c r="H216" s="421">
        <f>$H$214*C216</f>
        <v>0</v>
      </c>
      <c r="I216" s="421">
        <f>$I$214*C216</f>
        <v>0</v>
      </c>
      <c r="J216" s="421">
        <f>$J$214*C216</f>
        <v>0</v>
      </c>
      <c r="K216" s="424">
        <f t="shared" si="25"/>
        <v>0</v>
      </c>
    </row>
    <row r="217" spans="2:13" x14ac:dyDescent="0.25">
      <c r="B217" s="389"/>
      <c r="C217" s="423"/>
      <c r="D217" s="421">
        <f>$D$85*C217</f>
        <v>0</v>
      </c>
      <c r="E217" s="421">
        <f>$E$85*C217</f>
        <v>0</v>
      </c>
      <c r="F217" s="421">
        <f>$F$85*C217</f>
        <v>0</v>
      </c>
      <c r="G217" s="421">
        <f>$G$85*C217</f>
        <v>0</v>
      </c>
      <c r="H217" s="421">
        <f>$H$85*C217</f>
        <v>0</v>
      </c>
      <c r="I217" s="421">
        <f>$I$85*C217</f>
        <v>0</v>
      </c>
      <c r="J217" s="421">
        <f>$J$85*C217</f>
        <v>0</v>
      </c>
      <c r="K217" s="424">
        <f t="shared" si="25"/>
        <v>0</v>
      </c>
    </row>
    <row r="218" spans="2:13" x14ac:dyDescent="0.25">
      <c r="B218" s="389"/>
      <c r="C218" s="423"/>
      <c r="D218" s="421">
        <f>$D$85*C218</f>
        <v>0</v>
      </c>
      <c r="E218" s="421">
        <f>$E$85*C218</f>
        <v>0</v>
      </c>
      <c r="F218" s="421">
        <f>$F$85*C218</f>
        <v>0</v>
      </c>
      <c r="G218" s="421">
        <f>$G$85*C218</f>
        <v>0</v>
      </c>
      <c r="H218" s="421">
        <f>$H$85*C218</f>
        <v>0</v>
      </c>
      <c r="I218" s="421">
        <f>$I$85*C218</f>
        <v>0</v>
      </c>
      <c r="J218" s="421">
        <f>$J$85*C218</f>
        <v>0</v>
      </c>
      <c r="K218" s="424">
        <f t="shared" si="25"/>
        <v>0</v>
      </c>
    </row>
    <row r="219" spans="2:13" x14ac:dyDescent="0.25">
      <c r="B219" s="389"/>
      <c r="C219" s="423"/>
      <c r="D219" s="421">
        <f>$D$85*C219</f>
        <v>0</v>
      </c>
      <c r="E219" s="421">
        <f>$E$85*C219</f>
        <v>0</v>
      </c>
      <c r="F219" s="421">
        <f>$F$85*C219</f>
        <v>0</v>
      </c>
      <c r="G219" s="421">
        <f>$G$85*C219</f>
        <v>0</v>
      </c>
      <c r="H219" s="421">
        <f>$H$85*C219</f>
        <v>0</v>
      </c>
      <c r="I219" s="421">
        <f>$I$85*C219</f>
        <v>0</v>
      </c>
      <c r="J219" s="421">
        <f>$J$85*C219</f>
        <v>0</v>
      </c>
      <c r="K219" s="424">
        <f t="shared" si="25"/>
        <v>0</v>
      </c>
    </row>
    <row r="220" spans="2:13" ht="15.75" thickBot="1" x14ac:dyDescent="0.3"/>
    <row r="221" spans="2:13" ht="15" customHeight="1" thickBot="1" x14ac:dyDescent="0.3">
      <c r="B221" s="428">
        <v>6480203</v>
      </c>
      <c r="C221" s="411"/>
      <c r="D221" s="407" t="s">
        <v>548</v>
      </c>
      <c r="E221" s="408" t="s">
        <v>549</v>
      </c>
      <c r="F221" s="408" t="s">
        <v>550</v>
      </c>
      <c r="G221" s="408" t="s">
        <v>551</v>
      </c>
      <c r="H221" s="408" t="s">
        <v>552</v>
      </c>
      <c r="I221" s="408" t="s">
        <v>553</v>
      </c>
      <c r="J221" s="408" t="s">
        <v>554</v>
      </c>
      <c r="K221" s="408" t="s">
        <v>555</v>
      </c>
      <c r="M221" s="426" t="s">
        <v>649</v>
      </c>
    </row>
    <row r="222" spans="2:13" ht="15.75" thickBot="1" x14ac:dyDescent="0.3">
      <c r="B222" s="429" t="s">
        <v>556</v>
      </c>
      <c r="C222" s="415" t="s">
        <v>620</v>
      </c>
      <c r="D222" s="416">
        <f>IF(ISERROR(VLOOKUP(B221,'MD Usage'!$A$1:$W$5000,3,FALSE)),0,VLOOKUP(B221,'MD Usage'!$A$1:$W$5000,3,FALSE))</f>
        <v>0</v>
      </c>
      <c r="E222" s="416">
        <f>IF(ISERROR(VLOOKUP(B221,'MD Usage'!$A$1:$W$5000,5,FALSE)),0,VLOOKUP(B221,'MD Usage'!$A$1:$W$5000,5,FALSE))</f>
        <v>1</v>
      </c>
      <c r="F222" s="416">
        <f>IF(ISERROR(VLOOKUP(B221,'MD Usage'!$A$1:$W$5000,7,FALSE)),0,VLOOKUP(B221,'MD Usage'!$A$1:$W$5000,7,FALSE))</f>
        <v>0</v>
      </c>
      <c r="G222" s="416">
        <f>IF(ISERROR(VLOOKUP(B221,'MD Usage'!$A$1:$W$5000,9,FALSE)),0,VLOOKUP(B221,'MD Usage'!$A$1:$W$5000,9,FALSE))</f>
        <v>0</v>
      </c>
      <c r="H222" s="416">
        <f>IF(ISERROR(VLOOKUP(B221,'MD Usage'!$A$1:$W$5000,11,FALSE)),0,VLOOKUP(B221,'MD Usage'!$A$1:$W$5000,11,FALSE))</f>
        <v>0</v>
      </c>
      <c r="I222" s="416">
        <f>IF(ISERROR(VLOOKUP(B221,'MD Usage'!A1:R2000,13,FALSE)),0,VLOOKUP(B221,'MD Usage'!A1:R2000,13,FALSE))</f>
        <v>0</v>
      </c>
      <c r="J222" s="416">
        <f>IF(ISERROR(VLOOKUP(B221,'MD Usage'!A1:R2000,15,FALSE)),0,VLOOKUP(B221,'MD Usage'!A1:R2000,15,FALSE))</f>
        <v>1</v>
      </c>
      <c r="K222" s="418">
        <f t="shared" ref="K222:K227" si="26">SUM(D222:J222)</f>
        <v>2</v>
      </c>
    </row>
    <row r="223" spans="2:13" x14ac:dyDescent="0.25">
      <c r="B223" s="419" t="s">
        <v>588</v>
      </c>
      <c r="C223" s="420">
        <v>4</v>
      </c>
      <c r="D223" s="421">
        <f>D222*C223</f>
        <v>0</v>
      </c>
      <c r="E223" s="421">
        <f>E222*C223</f>
        <v>4</v>
      </c>
      <c r="F223" s="421">
        <f>F222*C223</f>
        <v>0</v>
      </c>
      <c r="G223" s="421">
        <f>G222*C223</f>
        <v>0</v>
      </c>
      <c r="H223" s="421">
        <f>H222*C223</f>
        <v>0</v>
      </c>
      <c r="I223" s="421">
        <f>I222*C223</f>
        <v>0</v>
      </c>
      <c r="J223" s="421">
        <f>J222*C223</f>
        <v>4</v>
      </c>
      <c r="K223" s="422">
        <f t="shared" si="26"/>
        <v>8</v>
      </c>
    </row>
    <row r="224" spans="2:13" x14ac:dyDescent="0.25">
      <c r="B224" s="389" t="s">
        <v>650</v>
      </c>
      <c r="C224" s="423">
        <v>1</v>
      </c>
      <c r="D224" s="421">
        <f>D222*C224</f>
        <v>0</v>
      </c>
      <c r="E224" s="421">
        <f>E222*C224</f>
        <v>1</v>
      </c>
      <c r="F224" s="421">
        <f>F222*C224</f>
        <v>0</v>
      </c>
      <c r="G224" s="421">
        <f>G222*C224</f>
        <v>0</v>
      </c>
      <c r="H224" s="421">
        <f>H222*C224</f>
        <v>0</v>
      </c>
      <c r="I224" s="421">
        <f>I222*C224</f>
        <v>0</v>
      </c>
      <c r="J224" s="421">
        <f>J222*C224</f>
        <v>1</v>
      </c>
      <c r="K224" s="424">
        <f t="shared" si="26"/>
        <v>2</v>
      </c>
    </row>
    <row r="225" spans="2:13" x14ac:dyDescent="0.25">
      <c r="B225" s="391"/>
      <c r="C225" s="431"/>
      <c r="D225" s="421">
        <f>D222*C225</f>
        <v>0</v>
      </c>
      <c r="E225" s="421">
        <f>E222*C225</f>
        <v>0</v>
      </c>
      <c r="F225" s="421">
        <f>F222*C225</f>
        <v>0</v>
      </c>
      <c r="G225" s="421">
        <f>G222*C225</f>
        <v>0</v>
      </c>
      <c r="H225" s="421">
        <f>H222*C225</f>
        <v>0</v>
      </c>
      <c r="I225" s="421">
        <f>I222*C225</f>
        <v>0</v>
      </c>
      <c r="J225" s="421">
        <f>J222*C225</f>
        <v>0</v>
      </c>
      <c r="K225" s="424">
        <f t="shared" si="26"/>
        <v>0</v>
      </c>
    </row>
    <row r="226" spans="2:13" x14ac:dyDescent="0.25">
      <c r="B226" s="391"/>
      <c r="C226" s="431"/>
      <c r="D226" s="421">
        <f>D222*C226</f>
        <v>0</v>
      </c>
      <c r="E226" s="421">
        <f>E222*C226</f>
        <v>0</v>
      </c>
      <c r="F226" s="421">
        <f>F222*C226</f>
        <v>0</v>
      </c>
      <c r="G226" s="421">
        <f>G222*C226</f>
        <v>0</v>
      </c>
      <c r="H226" s="421">
        <f>H222*C226</f>
        <v>0</v>
      </c>
      <c r="I226" s="421">
        <f>I222*C226</f>
        <v>0</v>
      </c>
      <c r="J226" s="421">
        <f>J222*C226</f>
        <v>0</v>
      </c>
      <c r="K226" s="424">
        <f t="shared" si="26"/>
        <v>0</v>
      </c>
    </row>
    <row r="227" spans="2:13" x14ac:dyDescent="0.25">
      <c r="B227" s="389"/>
      <c r="C227" s="423"/>
      <c r="D227" s="421">
        <f>D222*C227</f>
        <v>0</v>
      </c>
      <c r="E227" s="421">
        <f>E222*C227</f>
        <v>0</v>
      </c>
      <c r="F227" s="421">
        <f>F222*C227</f>
        <v>0</v>
      </c>
      <c r="G227" s="421">
        <f>G222*C227</f>
        <v>0</v>
      </c>
      <c r="H227" s="421">
        <f>H222*C227</f>
        <v>0</v>
      </c>
      <c r="I227" s="421">
        <f>I222*C227</f>
        <v>0</v>
      </c>
      <c r="J227" s="421">
        <f>J222*C227</f>
        <v>0</v>
      </c>
      <c r="K227" s="424">
        <f t="shared" si="26"/>
        <v>0</v>
      </c>
    </row>
    <row r="228" spans="2:13" ht="15" customHeight="1" thickBot="1" x14ac:dyDescent="0.3"/>
    <row r="229" spans="2:13" ht="15.75" thickBot="1" x14ac:dyDescent="0.3">
      <c r="B229" s="410">
        <v>6490177</v>
      </c>
      <c r="C229" s="411"/>
      <c r="D229" s="407" t="s">
        <v>548</v>
      </c>
      <c r="E229" s="408" t="s">
        <v>549</v>
      </c>
      <c r="F229" s="408" t="s">
        <v>550</v>
      </c>
      <c r="G229" s="408" t="s">
        <v>551</v>
      </c>
      <c r="H229" s="408" t="s">
        <v>552</v>
      </c>
      <c r="I229" s="408" t="s">
        <v>553</v>
      </c>
      <c r="J229" s="408" t="s">
        <v>554</v>
      </c>
      <c r="K229" s="408" t="s">
        <v>555</v>
      </c>
      <c r="M229" s="426" t="s">
        <v>651</v>
      </c>
    </row>
    <row r="230" spans="2:13" ht="15.75" thickBot="1" x14ac:dyDescent="0.3">
      <c r="B230" s="414" t="s">
        <v>556</v>
      </c>
      <c r="C230" s="415" t="s">
        <v>620</v>
      </c>
      <c r="D230" s="416">
        <f>IF(ISERROR(VLOOKUP(B229,'MD Usage'!$A$1:$W$5000,3,FALSE)),0,VLOOKUP(B229,'MD Usage'!$A$1:$W$5000,3,FALSE))</f>
        <v>0</v>
      </c>
      <c r="E230" s="416">
        <f>IF(ISERROR(VLOOKUP(B229,'MD Usage'!$A$1:$W$5000,5,FALSE)),0,VLOOKUP(B229,'MD Usage'!$A$1:$W$5000,5,FALSE))</f>
        <v>0</v>
      </c>
      <c r="F230" s="416">
        <f>IF(ISERROR(VLOOKUP(B229,'MD Usage'!$A$1:$W$5000,7,FALSE)),0,VLOOKUP(B229,'MD Usage'!$A$1:$W$5000,7,FALSE))</f>
        <v>0</v>
      </c>
      <c r="G230" s="416">
        <f>IF(ISERROR(VLOOKUP(B229,'MD Usage'!$A$1:$W$5000,9,FALSE)),0,VLOOKUP(B229,'MD Usage'!$A$1:$W$5000,9,FALSE))</f>
        <v>1</v>
      </c>
      <c r="H230" s="416">
        <f>IF(ISERROR(VLOOKUP(B229,'MD Usage'!$A$1:$W$5000,11,FALSE)),0,VLOOKUP(B229,'MD Usage'!$A$1:$W$5000,11,FALSE))</f>
        <v>0</v>
      </c>
      <c r="I230" s="416">
        <f>IF(ISERROR(VLOOKUP(B229,'MD Usage'!A1:R2000,13,FALSE)),0,VLOOKUP(B229,'MD Usage'!A1:R2000,13,FALSE))</f>
        <v>0</v>
      </c>
      <c r="J230" s="416">
        <f>IF(ISERROR(VLOOKUP(B229,'MD Usage'!A1:R2000,15,FALSE)),0,VLOOKUP(B229,'MD Usage'!A1:R2000,15,FALSE))</f>
        <v>0</v>
      </c>
      <c r="K230" s="418">
        <f t="shared" ref="K230:K235" si="27">SUM(D230:J230)</f>
        <v>1</v>
      </c>
    </row>
    <row r="231" spans="2:13" x14ac:dyDescent="0.25">
      <c r="B231" s="419" t="s">
        <v>588</v>
      </c>
      <c r="C231" s="420">
        <v>4</v>
      </c>
      <c r="D231" s="421">
        <f>D230*C231</f>
        <v>0</v>
      </c>
      <c r="E231" s="421">
        <f>E230*C231</f>
        <v>0</v>
      </c>
      <c r="F231" s="421">
        <f>F230*C231</f>
        <v>0</v>
      </c>
      <c r="G231" s="421">
        <f>G230*C231</f>
        <v>4</v>
      </c>
      <c r="H231" s="421">
        <f>H230*C231</f>
        <v>0</v>
      </c>
      <c r="I231" s="421">
        <f>I230*C231</f>
        <v>0</v>
      </c>
      <c r="J231" s="421">
        <f>J230*C231</f>
        <v>0</v>
      </c>
      <c r="K231" s="422">
        <f t="shared" si="27"/>
        <v>4</v>
      </c>
    </row>
    <row r="232" spans="2:13" x14ac:dyDescent="0.25">
      <c r="B232" s="389" t="s">
        <v>650</v>
      </c>
      <c r="C232" s="423">
        <v>1</v>
      </c>
      <c r="D232" s="421">
        <f>D230*C232</f>
        <v>0</v>
      </c>
      <c r="E232" s="421">
        <f>E230*C232</f>
        <v>0</v>
      </c>
      <c r="F232" s="421">
        <f>F230*C232</f>
        <v>0</v>
      </c>
      <c r="G232" s="421">
        <f>G230*C232</f>
        <v>1</v>
      </c>
      <c r="H232" s="421">
        <f>H230*C232</f>
        <v>0</v>
      </c>
      <c r="I232" s="421">
        <f>I230*C232</f>
        <v>0</v>
      </c>
      <c r="J232" s="421">
        <f>J230*C232</f>
        <v>0</v>
      </c>
      <c r="K232" s="424">
        <f t="shared" si="27"/>
        <v>1</v>
      </c>
    </row>
    <row r="233" spans="2:13" x14ac:dyDescent="0.25">
      <c r="B233" s="389" t="s">
        <v>601</v>
      </c>
      <c r="C233" s="423">
        <v>1</v>
      </c>
      <c r="D233" s="421">
        <f>D230*C233</f>
        <v>0</v>
      </c>
      <c r="E233" s="421">
        <f>E230*C233</f>
        <v>0</v>
      </c>
      <c r="F233" s="421">
        <f>F230*C233</f>
        <v>0</v>
      </c>
      <c r="G233" s="421">
        <f>G230*C233</f>
        <v>1</v>
      </c>
      <c r="H233" s="421">
        <f>H230*C233</f>
        <v>0</v>
      </c>
      <c r="I233" s="421">
        <f>I230*C233</f>
        <v>0</v>
      </c>
      <c r="J233" s="421">
        <f>J230*C233</f>
        <v>0</v>
      </c>
      <c r="K233" s="424">
        <f t="shared" si="27"/>
        <v>1</v>
      </c>
    </row>
    <row r="234" spans="2:13" x14ac:dyDescent="0.25">
      <c r="B234" s="389"/>
      <c r="C234" s="423"/>
      <c r="D234" s="421">
        <f>D230*C234</f>
        <v>0</v>
      </c>
      <c r="E234" s="421">
        <f>E230*C234</f>
        <v>0</v>
      </c>
      <c r="F234" s="421">
        <f>F230*C234</f>
        <v>0</v>
      </c>
      <c r="G234" s="421">
        <f>G230*C234</f>
        <v>0</v>
      </c>
      <c r="H234" s="421">
        <f>H230*C234</f>
        <v>0</v>
      </c>
      <c r="I234" s="421">
        <f>I230*C234</f>
        <v>0</v>
      </c>
      <c r="J234" s="421">
        <f>J230*C234</f>
        <v>0</v>
      </c>
      <c r="K234" s="424">
        <f t="shared" si="27"/>
        <v>0</v>
      </c>
    </row>
    <row r="235" spans="2:13" ht="15" customHeight="1" x14ac:dyDescent="0.25">
      <c r="B235" s="389"/>
      <c r="C235" s="423"/>
      <c r="D235" s="421">
        <f>D230*C235</f>
        <v>0</v>
      </c>
      <c r="E235" s="421">
        <f>E230*C235</f>
        <v>0</v>
      </c>
      <c r="F235" s="421">
        <f>F230*C235</f>
        <v>0</v>
      </c>
      <c r="G235" s="421">
        <f>G230*C235</f>
        <v>0</v>
      </c>
      <c r="H235" s="421">
        <f>H230*C235</f>
        <v>0</v>
      </c>
      <c r="I235" s="421">
        <f>I230*C235</f>
        <v>0</v>
      </c>
      <c r="J235" s="421">
        <f>J230*C235</f>
        <v>0</v>
      </c>
      <c r="K235" s="424">
        <f t="shared" si="27"/>
        <v>0</v>
      </c>
    </row>
    <row r="236" spans="2:13" ht="15.75" thickBot="1" x14ac:dyDescent="0.3"/>
    <row r="237" spans="2:13" ht="15.75" thickBot="1" x14ac:dyDescent="0.3">
      <c r="B237" s="410">
        <v>6490178</v>
      </c>
      <c r="C237" s="411"/>
      <c r="D237" s="407" t="s">
        <v>548</v>
      </c>
      <c r="E237" s="408" t="s">
        <v>549</v>
      </c>
      <c r="F237" s="408" t="s">
        <v>550</v>
      </c>
      <c r="G237" s="408" t="s">
        <v>551</v>
      </c>
      <c r="H237" s="408" t="s">
        <v>552</v>
      </c>
      <c r="I237" s="408" t="s">
        <v>553</v>
      </c>
      <c r="J237" s="408" t="s">
        <v>554</v>
      </c>
      <c r="K237" s="408" t="s">
        <v>555</v>
      </c>
      <c r="M237" s="426" t="s">
        <v>652</v>
      </c>
    </row>
    <row r="238" spans="2:13" ht="15.75" thickBot="1" x14ac:dyDescent="0.3">
      <c r="B238" s="414" t="s">
        <v>556</v>
      </c>
      <c r="C238" s="415" t="s">
        <v>620</v>
      </c>
      <c r="D238" s="416">
        <f>IF(ISERROR(VLOOKUP(B237,'MD Usage'!$A$1:$W$5000,3,FALSE)),0,VLOOKUP(B237,'MD Usage'!$A$1:$W$5000,3,FALSE))</f>
        <v>0</v>
      </c>
      <c r="E238" s="416">
        <f>IF(ISERROR(VLOOKUP(B237,'MD Usage'!$A$1:$W$5000,5,FALSE)),0,VLOOKUP(B237,'MD Usage'!$A$1:$W$5000,5,FALSE))</f>
        <v>0</v>
      </c>
      <c r="F238" s="416">
        <f>IF(ISERROR(VLOOKUP(B237,'MD Usage'!$A$1:$W$5000,7,FALSE)),0,VLOOKUP(B237,'MD Usage'!$A$1:$W$5000,7,FALSE))</f>
        <v>0</v>
      </c>
      <c r="G238" s="416">
        <f>IF(ISERROR(VLOOKUP(B237,'MD Usage'!$A$1:$W$5000,9,FALSE)),0,VLOOKUP(B237,'MD Usage'!$A$1:$W$5000,9,FALSE))</f>
        <v>0</v>
      </c>
      <c r="H238" s="416">
        <f>IF(ISERROR(VLOOKUP(B237,'MD Usage'!$A$1:$W$5000,11,FALSE)),0,VLOOKUP(B237,'MD Usage'!$A$1:$W$5000,11,FALSE))</f>
        <v>0</v>
      </c>
      <c r="I238" s="416">
        <f>IF(ISERROR(VLOOKUP(B237,'MD Usage'!A1:R2000,13,FALSE)),0,VLOOKUP(B237,'MD Usage'!A1:R2000,13,FALSE))</f>
        <v>0</v>
      </c>
      <c r="J238" s="416">
        <f>IF(ISERROR(VLOOKUP(B237,'MD Usage'!A1:R2000,15,FALSE)),0,VLOOKUP(B237,'MD Usage'!A1:R2000,15,FALSE))</f>
        <v>0</v>
      </c>
      <c r="K238" s="418">
        <f t="shared" ref="K238:K243" si="28">SUM(D238:J238)</f>
        <v>0</v>
      </c>
    </row>
    <row r="239" spans="2:13" x14ac:dyDescent="0.25">
      <c r="B239" s="419" t="s">
        <v>588</v>
      </c>
      <c r="C239" s="420">
        <v>4</v>
      </c>
      <c r="D239" s="421">
        <f>D238*C239</f>
        <v>0</v>
      </c>
      <c r="E239" s="421">
        <f>E238*C239</f>
        <v>0</v>
      </c>
      <c r="F239" s="421">
        <f>F238*C239</f>
        <v>0</v>
      </c>
      <c r="G239" s="421">
        <f>G238*C239</f>
        <v>0</v>
      </c>
      <c r="H239" s="421">
        <f>H238*C239</f>
        <v>0</v>
      </c>
      <c r="I239" s="421">
        <f>I238*C239</f>
        <v>0</v>
      </c>
      <c r="J239" s="421">
        <f>J238*C239</f>
        <v>0</v>
      </c>
      <c r="K239" s="422">
        <f t="shared" si="28"/>
        <v>0</v>
      </c>
    </row>
    <row r="240" spans="2:13" x14ac:dyDescent="0.25">
      <c r="B240" s="389" t="s">
        <v>650</v>
      </c>
      <c r="C240" s="423">
        <v>1</v>
      </c>
      <c r="D240" s="421">
        <f>D238*C240</f>
        <v>0</v>
      </c>
      <c r="E240" s="421">
        <f>E238*C240</f>
        <v>0</v>
      </c>
      <c r="F240" s="421">
        <f>F238*C240</f>
        <v>0</v>
      </c>
      <c r="G240" s="421">
        <f>G238*C240</f>
        <v>0</v>
      </c>
      <c r="H240" s="421">
        <f>H238*C240</f>
        <v>0</v>
      </c>
      <c r="I240" s="421">
        <f>I238*C240</f>
        <v>0</v>
      </c>
      <c r="J240" s="421">
        <f>J238*C240</f>
        <v>0</v>
      </c>
      <c r="K240" s="424">
        <f t="shared" si="28"/>
        <v>0</v>
      </c>
    </row>
    <row r="241" spans="2:13" x14ac:dyDescent="0.25">
      <c r="B241" s="389" t="s">
        <v>601</v>
      </c>
      <c r="C241" s="423">
        <v>1</v>
      </c>
      <c r="D241" s="421">
        <f>D238*C241</f>
        <v>0</v>
      </c>
      <c r="E241" s="421">
        <f>E238*C241</f>
        <v>0</v>
      </c>
      <c r="F241" s="421">
        <f>F238*C241</f>
        <v>0</v>
      </c>
      <c r="G241" s="421">
        <f>G238*C241</f>
        <v>0</v>
      </c>
      <c r="H241" s="421">
        <f>H238*C241</f>
        <v>0</v>
      </c>
      <c r="I241" s="421">
        <f>I238*C241</f>
        <v>0</v>
      </c>
      <c r="J241" s="421">
        <f>J238*C241</f>
        <v>0</v>
      </c>
      <c r="K241" s="424">
        <f t="shared" si="28"/>
        <v>0</v>
      </c>
    </row>
    <row r="242" spans="2:13" ht="15" customHeight="1" x14ac:dyDescent="0.25">
      <c r="B242" s="389"/>
      <c r="C242" s="423"/>
      <c r="D242" s="421">
        <f>D238*C242</f>
        <v>0</v>
      </c>
      <c r="E242" s="421">
        <f>E238*C242</f>
        <v>0</v>
      </c>
      <c r="F242" s="421">
        <f>F238*C242</f>
        <v>0</v>
      </c>
      <c r="G242" s="421">
        <f>G238*C242</f>
        <v>0</v>
      </c>
      <c r="H242" s="421">
        <f>H238*C242</f>
        <v>0</v>
      </c>
      <c r="I242" s="421">
        <f>I238*C242</f>
        <v>0</v>
      </c>
      <c r="J242" s="421">
        <f>J238*C242</f>
        <v>0</v>
      </c>
      <c r="K242" s="424">
        <f t="shared" si="28"/>
        <v>0</v>
      </c>
    </row>
    <row r="243" spans="2:13" x14ac:dyDescent="0.25">
      <c r="B243" s="389"/>
      <c r="C243" s="423"/>
      <c r="D243" s="421">
        <f>D238*C243</f>
        <v>0</v>
      </c>
      <c r="E243" s="421">
        <f>E238*C243</f>
        <v>0</v>
      </c>
      <c r="F243" s="421">
        <f>F238*C243</f>
        <v>0</v>
      </c>
      <c r="G243" s="421">
        <f>G238*C243</f>
        <v>0</v>
      </c>
      <c r="H243" s="421">
        <f>H238*C243</f>
        <v>0</v>
      </c>
      <c r="I243" s="421">
        <f>I238*C243</f>
        <v>0</v>
      </c>
      <c r="J243" s="421">
        <f>J238*C243</f>
        <v>0</v>
      </c>
      <c r="K243" s="424">
        <f t="shared" si="28"/>
        <v>0</v>
      </c>
    </row>
    <row r="244" spans="2:13" ht="15.75" thickBot="1" x14ac:dyDescent="0.3"/>
    <row r="245" spans="2:13" ht="15.75" thickBot="1" x14ac:dyDescent="0.3">
      <c r="B245" s="410">
        <v>6410055</v>
      </c>
      <c r="C245" s="411"/>
      <c r="D245" s="407" t="s">
        <v>548</v>
      </c>
      <c r="E245" s="408" t="s">
        <v>549</v>
      </c>
      <c r="F245" s="408" t="s">
        <v>550</v>
      </c>
      <c r="G245" s="408" t="s">
        <v>551</v>
      </c>
      <c r="H245" s="408" t="s">
        <v>552</v>
      </c>
      <c r="I245" s="408" t="s">
        <v>553</v>
      </c>
      <c r="J245" s="408" t="s">
        <v>554</v>
      </c>
      <c r="K245" s="408" t="s">
        <v>555</v>
      </c>
      <c r="M245" s="426" t="s">
        <v>653</v>
      </c>
    </row>
    <row r="246" spans="2:13" ht="15.75" thickBot="1" x14ac:dyDescent="0.3">
      <c r="B246" s="414" t="s">
        <v>556</v>
      </c>
      <c r="C246" s="415" t="s">
        <v>620</v>
      </c>
      <c r="D246" s="416">
        <f>IF(ISERROR(VLOOKUP(B245,'MD Usage'!$A$1:$W$5000,3,FALSE)),0,VLOOKUP(B245,'MD Usage'!$A$1:$W$5000,3,FALSE))</f>
        <v>0</v>
      </c>
      <c r="E246" s="416">
        <f>IF(ISERROR(VLOOKUP(B245,'MD Usage'!$A$1:$W$5000,5,FALSE)),0,VLOOKUP(B245,'MD Usage'!$A$1:$W$5000,5,FALSE))</f>
        <v>0</v>
      </c>
      <c r="F246" s="416">
        <f>IF(ISERROR(VLOOKUP(B245,'MD Usage'!$A$1:$W$5000,7,FALSE)),0,VLOOKUP(B245,'MD Usage'!$A$1:$W$5000,7,FALSE))</f>
        <v>0</v>
      </c>
      <c r="G246" s="416">
        <f>IF(ISERROR(VLOOKUP(B245,'MD Usage'!$A$1:$W$5000,9,FALSE)),0,VLOOKUP(B245,'MD Usage'!$A$1:$W$5000,9,FALSE))</f>
        <v>0</v>
      </c>
      <c r="H246" s="416">
        <f>IF(ISERROR(VLOOKUP(B245,'MD Usage'!$A$1:$W$5000,11,FALSE)),0,VLOOKUP(B245,'MD Usage'!$A$1:$W$5000,11,FALSE))</f>
        <v>0</v>
      </c>
      <c r="I246" s="416">
        <f>IF(ISERROR(VLOOKUP(B245,'MD Usage'!A1:R2000,13,FALSE)),0,VLOOKUP(B245,'MD Usage'!A1:R2000,13,FALSE))</f>
        <v>1</v>
      </c>
      <c r="J246" s="416">
        <f>IF(ISERROR(VLOOKUP(B245,'MD Usage'!A1:R2000,15,FALSE)),0,VLOOKUP(B245,'MD Usage'!A1:R2000,15,FALSE))</f>
        <v>0</v>
      </c>
      <c r="K246" s="418">
        <f t="shared" ref="K246:K251" si="29">SUM(D246:J246)</f>
        <v>1</v>
      </c>
    </row>
    <row r="247" spans="2:13" x14ac:dyDescent="0.25">
      <c r="B247" s="419" t="s">
        <v>588</v>
      </c>
      <c r="C247" s="420">
        <v>6</v>
      </c>
      <c r="D247" s="421">
        <f>D246*C247</f>
        <v>0</v>
      </c>
      <c r="E247" s="421">
        <f>E246*C247</f>
        <v>0</v>
      </c>
      <c r="F247" s="421">
        <f>F246*C247</f>
        <v>0</v>
      </c>
      <c r="G247" s="421">
        <f>G246*C247</f>
        <v>0</v>
      </c>
      <c r="H247" s="421">
        <f>H246*C247</f>
        <v>0</v>
      </c>
      <c r="I247" s="421">
        <f>I246*C247</f>
        <v>6</v>
      </c>
      <c r="J247" s="421">
        <f>J246*C247</f>
        <v>0</v>
      </c>
      <c r="K247" s="422">
        <f t="shared" si="29"/>
        <v>6</v>
      </c>
    </row>
    <row r="248" spans="2:13" x14ac:dyDescent="0.25">
      <c r="B248" s="389" t="s">
        <v>590</v>
      </c>
      <c r="C248" s="423">
        <v>1.5</v>
      </c>
      <c r="D248" s="421">
        <f>D246*C248</f>
        <v>0</v>
      </c>
      <c r="E248" s="421">
        <f>E246*C248</f>
        <v>0</v>
      </c>
      <c r="F248" s="421">
        <f>F246*C248</f>
        <v>0</v>
      </c>
      <c r="G248" s="421">
        <f>G246*C248</f>
        <v>0</v>
      </c>
      <c r="H248" s="421">
        <f>H246*C248</f>
        <v>0</v>
      </c>
      <c r="I248" s="421">
        <f>I246*C248</f>
        <v>1.5</v>
      </c>
      <c r="J248" s="421">
        <f>J246*C248</f>
        <v>0</v>
      </c>
      <c r="K248" s="424">
        <f t="shared" si="29"/>
        <v>1.5</v>
      </c>
    </row>
    <row r="249" spans="2:13" x14ac:dyDescent="0.25">
      <c r="B249" s="389" t="s">
        <v>603</v>
      </c>
      <c r="C249" s="423">
        <v>1</v>
      </c>
      <c r="D249" s="421">
        <f>D246*C249</f>
        <v>0</v>
      </c>
      <c r="E249" s="421">
        <f>E246*C249</f>
        <v>0</v>
      </c>
      <c r="F249" s="421">
        <f>F246*C249</f>
        <v>0</v>
      </c>
      <c r="G249" s="421">
        <f>G246*C249</f>
        <v>0</v>
      </c>
      <c r="H249" s="421">
        <f>H246*C249</f>
        <v>0</v>
      </c>
      <c r="I249" s="421">
        <f>I246*C249</f>
        <v>1</v>
      </c>
      <c r="J249" s="421">
        <f>J246*C249</f>
        <v>0</v>
      </c>
      <c r="K249" s="424">
        <f t="shared" si="29"/>
        <v>1</v>
      </c>
    </row>
    <row r="250" spans="2:13" ht="15" customHeight="1" x14ac:dyDescent="0.25">
      <c r="B250" s="389"/>
      <c r="C250" s="423"/>
      <c r="D250" s="421">
        <f>D246*C250</f>
        <v>0</v>
      </c>
      <c r="E250" s="421">
        <f>E246*C250</f>
        <v>0</v>
      </c>
      <c r="F250" s="421">
        <f>F246*C250</f>
        <v>0</v>
      </c>
      <c r="G250" s="421">
        <f>G246*C250</f>
        <v>0</v>
      </c>
      <c r="H250" s="421">
        <f>H246*C250</f>
        <v>0</v>
      </c>
      <c r="I250" s="421">
        <f>I246*C250</f>
        <v>0</v>
      </c>
      <c r="J250" s="421">
        <f>J246*C250</f>
        <v>0</v>
      </c>
      <c r="K250" s="424">
        <f t="shared" si="29"/>
        <v>0</v>
      </c>
    </row>
    <row r="251" spans="2:13" x14ac:dyDescent="0.25">
      <c r="B251" s="389"/>
      <c r="C251" s="423"/>
      <c r="D251" s="421">
        <f>D246*C251</f>
        <v>0</v>
      </c>
      <c r="E251" s="421">
        <f>E246*C251</f>
        <v>0</v>
      </c>
      <c r="F251" s="421">
        <f>F246*C251</f>
        <v>0</v>
      </c>
      <c r="G251" s="421">
        <f>G246*C251</f>
        <v>0</v>
      </c>
      <c r="H251" s="421">
        <f>H246*C251</f>
        <v>0</v>
      </c>
      <c r="I251" s="421">
        <f>I246*C251</f>
        <v>0</v>
      </c>
      <c r="J251" s="421">
        <f>J246*C251</f>
        <v>0</v>
      </c>
      <c r="K251" s="424">
        <f t="shared" si="29"/>
        <v>0</v>
      </c>
    </row>
    <row r="252" spans="2:13" ht="15.75" thickBot="1" x14ac:dyDescent="0.3"/>
    <row r="253" spans="2:13" ht="15.75" thickBot="1" x14ac:dyDescent="0.3">
      <c r="B253" s="410">
        <v>5</v>
      </c>
      <c r="C253" s="411"/>
      <c r="D253" s="407" t="s">
        <v>548</v>
      </c>
      <c r="E253" s="408" t="s">
        <v>549</v>
      </c>
      <c r="F253" s="408" t="s">
        <v>550</v>
      </c>
      <c r="G253" s="408" t="s">
        <v>551</v>
      </c>
      <c r="H253" s="408" t="s">
        <v>552</v>
      </c>
      <c r="I253" s="408" t="s">
        <v>553</v>
      </c>
      <c r="J253" s="408" t="s">
        <v>554</v>
      </c>
      <c r="K253" s="408" t="s">
        <v>555</v>
      </c>
      <c r="M253" s="426" t="s">
        <v>654</v>
      </c>
    </row>
    <row r="254" spans="2:13" ht="15.75" thickBot="1" x14ac:dyDescent="0.3">
      <c r="B254" s="414" t="s">
        <v>556</v>
      </c>
      <c r="C254" s="415" t="s">
        <v>620</v>
      </c>
      <c r="D254" s="416">
        <f>IF(ISERROR(VLOOKUP(B253,'MD Usage'!$A$1:$W$5000,3,FALSE)),0,VLOOKUP(B253,'MD Usage'!$A$1:$W$5000,3,FALSE))</f>
        <v>0</v>
      </c>
      <c r="E254" s="416">
        <f>IF(ISERROR(VLOOKUP(B253,'MD Usage'!$A$1:$W$5000,5,FALSE)),0,VLOOKUP(B253,'MD Usage'!$A$1:$W$5000,5,FALSE))</f>
        <v>0</v>
      </c>
      <c r="F254" s="416">
        <f>IF(ISERROR(VLOOKUP(B253,'MD Usage'!$A$1:$W$5000,7,FALSE)),0,VLOOKUP(B253,'MD Usage'!$A$1:$W$5000,7,FALSE))</f>
        <v>0</v>
      </c>
      <c r="G254" s="416">
        <f>IF(ISERROR(VLOOKUP(B253,'MD Usage'!$A$1:$W$5000,9,FALSE)),0,VLOOKUP(B253,'MD Usage'!$A$1:$W$5000,9,FALSE))</f>
        <v>0</v>
      </c>
      <c r="H254" s="416">
        <f>IF(ISERROR(VLOOKUP(B253,'MD Usage'!$A$1:$W$5000,11,FALSE)),0,VLOOKUP(B253,'MD Usage'!$A$1:$W$5000,11,FALSE))</f>
        <v>0</v>
      </c>
      <c r="I254" s="416">
        <f>IF(ISERROR(VLOOKUP(B253,'MD Usage'!A1:R2000,13,FALSE)),0,VLOOKUP(B253,'MD Usage'!A1:R2000,13,FALSE))</f>
        <v>0</v>
      </c>
      <c r="J254" s="416">
        <f>IF(ISERROR(VLOOKUP(B253,'MD Usage'!A1:R2000,15,FALSE)),0,VLOOKUP(B253,'MD Usage'!A1:R2000,15,FALSE))</f>
        <v>0</v>
      </c>
      <c r="K254" s="418">
        <f t="shared" ref="K254:K259" si="30">SUM(D254:J254)</f>
        <v>0</v>
      </c>
    </row>
    <row r="255" spans="2:13" x14ac:dyDescent="0.25">
      <c r="B255" s="419" t="s">
        <v>588</v>
      </c>
      <c r="C255" s="420">
        <v>6</v>
      </c>
      <c r="D255" s="421">
        <f>D254*C255</f>
        <v>0</v>
      </c>
      <c r="E255" s="421">
        <f>E254*C255</f>
        <v>0</v>
      </c>
      <c r="F255" s="421">
        <f>F254*C255</f>
        <v>0</v>
      </c>
      <c r="G255" s="421">
        <f>G254*C255</f>
        <v>0</v>
      </c>
      <c r="H255" s="421">
        <f>H254*C255</f>
        <v>0</v>
      </c>
      <c r="I255" s="421">
        <f>I254*C255</f>
        <v>0</v>
      </c>
      <c r="J255" s="421">
        <f>J254*C255</f>
        <v>0</v>
      </c>
      <c r="K255" s="422">
        <f t="shared" si="30"/>
        <v>0</v>
      </c>
    </row>
    <row r="256" spans="2:13" x14ac:dyDescent="0.25">
      <c r="B256" s="389" t="s">
        <v>590</v>
      </c>
      <c r="C256" s="423">
        <v>1.5</v>
      </c>
      <c r="D256" s="421">
        <f>D254*C256</f>
        <v>0</v>
      </c>
      <c r="E256" s="421">
        <f>E254*C256</f>
        <v>0</v>
      </c>
      <c r="F256" s="421">
        <f>F254*C256</f>
        <v>0</v>
      </c>
      <c r="G256" s="421">
        <f>G254*C256</f>
        <v>0</v>
      </c>
      <c r="H256" s="421">
        <f>H254*C256</f>
        <v>0</v>
      </c>
      <c r="I256" s="421">
        <f>I254*C256</f>
        <v>0</v>
      </c>
      <c r="J256" s="421">
        <f>J254*C256</f>
        <v>0</v>
      </c>
      <c r="K256" s="424">
        <f t="shared" si="30"/>
        <v>0</v>
      </c>
    </row>
    <row r="257" spans="2:13" ht="15" customHeight="1" x14ac:dyDescent="0.25">
      <c r="B257" s="389" t="s">
        <v>603</v>
      </c>
      <c r="C257" s="423">
        <v>1</v>
      </c>
      <c r="D257" s="421">
        <f>D254*C257</f>
        <v>0</v>
      </c>
      <c r="E257" s="421">
        <f>E254*C257</f>
        <v>0</v>
      </c>
      <c r="F257" s="421">
        <f>F254*C257</f>
        <v>0</v>
      </c>
      <c r="G257" s="421">
        <f>G254*C257</f>
        <v>0</v>
      </c>
      <c r="H257" s="421">
        <f>H254*C257</f>
        <v>0</v>
      </c>
      <c r="I257" s="421">
        <f>I254*C257</f>
        <v>0</v>
      </c>
      <c r="J257" s="421">
        <f>J254*C257</f>
        <v>0</v>
      </c>
      <c r="K257" s="424">
        <f t="shared" si="30"/>
        <v>0</v>
      </c>
    </row>
    <row r="258" spans="2:13" x14ac:dyDescent="0.25">
      <c r="B258" s="389"/>
      <c r="C258" s="423"/>
      <c r="D258" s="421">
        <f>D254*C258</f>
        <v>0</v>
      </c>
      <c r="E258" s="421">
        <f>E254*C258</f>
        <v>0</v>
      </c>
      <c r="F258" s="421">
        <f>F254*C258</f>
        <v>0</v>
      </c>
      <c r="G258" s="421">
        <f>G254*C258</f>
        <v>0</v>
      </c>
      <c r="H258" s="421">
        <f>H254*C258</f>
        <v>0</v>
      </c>
      <c r="I258" s="421">
        <f>I254*C258</f>
        <v>0</v>
      </c>
      <c r="J258" s="421">
        <f>J254*C258</f>
        <v>0</v>
      </c>
      <c r="K258" s="424">
        <f t="shared" si="30"/>
        <v>0</v>
      </c>
    </row>
    <row r="259" spans="2:13" x14ac:dyDescent="0.25">
      <c r="B259" s="389"/>
      <c r="C259" s="423"/>
      <c r="D259" s="421">
        <f>D254*C259</f>
        <v>0</v>
      </c>
      <c r="E259" s="421">
        <f>E254*C259</f>
        <v>0</v>
      </c>
      <c r="F259" s="421">
        <f>F254*C259</f>
        <v>0</v>
      </c>
      <c r="G259" s="421">
        <f>G254*C259</f>
        <v>0</v>
      </c>
      <c r="H259" s="421">
        <f>H254*C259</f>
        <v>0</v>
      </c>
      <c r="I259" s="421">
        <f>I254*C259</f>
        <v>0</v>
      </c>
      <c r="J259" s="421">
        <f>J254*C259</f>
        <v>0</v>
      </c>
      <c r="K259" s="424">
        <f t="shared" si="30"/>
        <v>0</v>
      </c>
    </row>
    <row r="260" spans="2:13" ht="15.75" thickBot="1" x14ac:dyDescent="0.3"/>
    <row r="261" spans="2:13" ht="15.75" thickBot="1" x14ac:dyDescent="0.3">
      <c r="B261" s="410">
        <v>5</v>
      </c>
      <c r="C261" s="411"/>
      <c r="D261" s="407" t="s">
        <v>548</v>
      </c>
      <c r="E261" s="408" t="s">
        <v>549</v>
      </c>
      <c r="F261" s="408" t="s">
        <v>550</v>
      </c>
      <c r="G261" s="408" t="s">
        <v>551</v>
      </c>
      <c r="H261" s="408" t="s">
        <v>552</v>
      </c>
      <c r="I261" s="408" t="s">
        <v>553</v>
      </c>
      <c r="J261" s="408" t="s">
        <v>554</v>
      </c>
      <c r="K261" s="408" t="s">
        <v>555</v>
      </c>
      <c r="M261" s="426" t="s">
        <v>655</v>
      </c>
    </row>
    <row r="262" spans="2:13" ht="15.75" thickBot="1" x14ac:dyDescent="0.3">
      <c r="B262" s="414" t="s">
        <v>556</v>
      </c>
      <c r="C262" s="415" t="s">
        <v>620</v>
      </c>
      <c r="D262" s="416">
        <f>IF(ISERROR(VLOOKUP(B261,'MD Usage'!$A$1:$W$5000,3,FALSE)),0,VLOOKUP(B261,'MD Usage'!$A$1:$W$5000,3,FALSE))</f>
        <v>0</v>
      </c>
      <c r="E262" s="416">
        <f>IF(ISERROR(VLOOKUP(B261,'MD Usage'!$A$1:$W$5000,5,FALSE)),0,VLOOKUP(B261,'MD Usage'!$A$1:$W$5000,5,FALSE))</f>
        <v>0</v>
      </c>
      <c r="F262" s="416">
        <f>IF(ISERROR(VLOOKUP(B261,'MD Usage'!$A$1:$W$5000,7,FALSE)),0,VLOOKUP(B261,'MD Usage'!$A$1:$W$5000,7,FALSE))</f>
        <v>0</v>
      </c>
      <c r="G262" s="416">
        <f>IF(ISERROR(VLOOKUP(B261,'MD Usage'!$A$1:$W$5000,9,FALSE)),0,VLOOKUP(B261,'MD Usage'!$A$1:$W$5000,9,FALSE))</f>
        <v>0</v>
      </c>
      <c r="H262" s="416">
        <f>IF(ISERROR(VLOOKUP(B261,'MD Usage'!$A$1:$W$5000,11,FALSE)),0,VLOOKUP(B261,'MD Usage'!$A$1:$W$5000,11,FALSE))</f>
        <v>0</v>
      </c>
      <c r="I262" s="416">
        <f>IF(ISERROR(VLOOKUP(B261,'MD Usage'!A1:R2000,13,FALSE)),0,VLOOKUP(B261,'MD Usage'!A1:R2000,13,FALSE))</f>
        <v>0</v>
      </c>
      <c r="J262" s="416">
        <f>IF(ISERROR(VLOOKUP(B261,'MD Usage'!A1:R2000,15,FALSE)),0,VLOOKUP(B261,'MD Usage'!A1:R2000,15,FALSE))</f>
        <v>0</v>
      </c>
      <c r="K262" s="418">
        <f t="shared" ref="K262:K267" si="31">SUM(D262:J262)</f>
        <v>0</v>
      </c>
    </row>
    <row r="263" spans="2:13" x14ac:dyDescent="0.25">
      <c r="B263" s="391" t="s">
        <v>588</v>
      </c>
      <c r="C263" s="430">
        <v>6</v>
      </c>
      <c r="D263" s="421">
        <f>D262*C263</f>
        <v>0</v>
      </c>
      <c r="E263" s="421">
        <f>E262*C263</f>
        <v>0</v>
      </c>
      <c r="F263" s="421">
        <f>F262*C263</f>
        <v>0</v>
      </c>
      <c r="G263" s="421">
        <f>G262*C263</f>
        <v>0</v>
      </c>
      <c r="H263" s="421">
        <f>H262*C263</f>
        <v>0</v>
      </c>
      <c r="I263" s="421">
        <f>I262*C263</f>
        <v>0</v>
      </c>
      <c r="J263" s="421">
        <f>J262*C263</f>
        <v>0</v>
      </c>
      <c r="K263" s="422">
        <f t="shared" si="31"/>
        <v>0</v>
      </c>
    </row>
    <row r="264" spans="2:13" ht="15" customHeight="1" x14ac:dyDescent="0.25">
      <c r="B264" s="391" t="s">
        <v>590</v>
      </c>
      <c r="C264" s="431">
        <v>1.5</v>
      </c>
      <c r="D264" s="421">
        <f>D262*C264</f>
        <v>0</v>
      </c>
      <c r="E264" s="421">
        <f>E262*C264</f>
        <v>0</v>
      </c>
      <c r="F264" s="421">
        <f>F262*C264</f>
        <v>0</v>
      </c>
      <c r="G264" s="421">
        <f>G262*C264</f>
        <v>0</v>
      </c>
      <c r="H264" s="421">
        <f>H262*C264</f>
        <v>0</v>
      </c>
      <c r="I264" s="421">
        <f>I262*C264</f>
        <v>0</v>
      </c>
      <c r="J264" s="421">
        <f>J262*C264</f>
        <v>0</v>
      </c>
      <c r="K264" s="424">
        <f t="shared" si="31"/>
        <v>0</v>
      </c>
    </row>
    <row r="265" spans="2:13" x14ac:dyDescent="0.25">
      <c r="B265" s="389" t="s">
        <v>1861</v>
      </c>
      <c r="C265" s="423">
        <v>1</v>
      </c>
      <c r="D265" s="421">
        <f>D262*C265</f>
        <v>0</v>
      </c>
      <c r="E265" s="421">
        <f>E262*C265</f>
        <v>0</v>
      </c>
      <c r="F265" s="421">
        <f>F262*C265</f>
        <v>0</v>
      </c>
      <c r="G265" s="421">
        <f>G262*C265</f>
        <v>0</v>
      </c>
      <c r="H265" s="421">
        <f>H262*C265</f>
        <v>0</v>
      </c>
      <c r="I265" s="421">
        <f>I262*C265</f>
        <v>0</v>
      </c>
      <c r="J265" s="421">
        <f>J262*C265</f>
        <v>0</v>
      </c>
      <c r="K265" s="424">
        <f t="shared" si="31"/>
        <v>0</v>
      </c>
    </row>
    <row r="266" spans="2:13" x14ac:dyDescent="0.25">
      <c r="B266" s="389" t="s">
        <v>1826</v>
      </c>
      <c r="C266" s="423">
        <v>1</v>
      </c>
      <c r="D266" s="421">
        <f>D262*C266</f>
        <v>0</v>
      </c>
      <c r="E266" s="421">
        <f>E262*C266</f>
        <v>0</v>
      </c>
      <c r="F266" s="421">
        <f>F262*C266</f>
        <v>0</v>
      </c>
      <c r="G266" s="421">
        <f>G262*C266</f>
        <v>0</v>
      </c>
      <c r="H266" s="421">
        <f>H262*C266</f>
        <v>0</v>
      </c>
      <c r="I266" s="421">
        <f>I262*C266</f>
        <v>0</v>
      </c>
      <c r="J266" s="421">
        <f>J262*C266</f>
        <v>0</v>
      </c>
      <c r="K266" s="424">
        <f t="shared" si="31"/>
        <v>0</v>
      </c>
    </row>
    <row r="267" spans="2:13" x14ac:dyDescent="0.25">
      <c r="B267" s="389"/>
      <c r="C267" s="423"/>
      <c r="D267" s="421">
        <f>D262*C267</f>
        <v>0</v>
      </c>
      <c r="E267" s="421">
        <f>E262*C267</f>
        <v>0</v>
      </c>
      <c r="F267" s="421">
        <f>F262*C267</f>
        <v>0</v>
      </c>
      <c r="G267" s="421">
        <f>G262*C267</f>
        <v>0</v>
      </c>
      <c r="H267" s="421">
        <f>H262*C267</f>
        <v>0</v>
      </c>
      <c r="I267" s="421">
        <f>I262*C267</f>
        <v>0</v>
      </c>
      <c r="J267" s="421">
        <f>J262*C267</f>
        <v>0</v>
      </c>
      <c r="K267" s="424">
        <f t="shared" si="31"/>
        <v>0</v>
      </c>
    </row>
    <row r="268" spans="2:13" ht="15.75" thickBot="1" x14ac:dyDescent="0.3"/>
    <row r="269" spans="2:13" ht="15.75" thickBot="1" x14ac:dyDescent="0.3">
      <c r="B269" s="410">
        <v>6410050</v>
      </c>
      <c r="C269" s="411"/>
      <c r="D269" s="407" t="s">
        <v>548</v>
      </c>
      <c r="E269" s="408" t="s">
        <v>549</v>
      </c>
      <c r="F269" s="408" t="s">
        <v>550</v>
      </c>
      <c r="G269" s="408" t="s">
        <v>551</v>
      </c>
      <c r="H269" s="408" t="s">
        <v>552</v>
      </c>
      <c r="I269" s="408" t="s">
        <v>553</v>
      </c>
      <c r="J269" s="408" t="s">
        <v>554</v>
      </c>
      <c r="K269" s="408" t="s">
        <v>555</v>
      </c>
      <c r="M269" s="426" t="s">
        <v>656</v>
      </c>
    </row>
    <row r="270" spans="2:13" ht="15.75" thickBot="1" x14ac:dyDescent="0.3">
      <c r="B270" s="414" t="s">
        <v>556</v>
      </c>
      <c r="C270" s="415" t="s">
        <v>620</v>
      </c>
      <c r="D270" s="416">
        <f>IF(ISERROR(VLOOKUP(B269,'MD Usage'!$A$1:$W$5000,3,FALSE)),0,VLOOKUP(B269,'MD Usage'!$A$1:$W$5000,3,FALSE))</f>
        <v>0</v>
      </c>
      <c r="E270" s="416">
        <f>IF(ISERROR(VLOOKUP(B269,'MD Usage'!$A$1:$W$5000,5,FALSE)),0,VLOOKUP(B269,'MD Usage'!$A$1:$W$5000,5,FALSE))</f>
        <v>0</v>
      </c>
      <c r="F270" s="416">
        <f>IF(ISERROR(VLOOKUP(B269,'MD Usage'!$A$1:$W$5000,7,FALSE)),0,VLOOKUP(B269,'MD Usage'!$A$1:$W$5000,7,FALSE))</f>
        <v>0</v>
      </c>
      <c r="G270" s="416">
        <f>IF(ISERROR(VLOOKUP(B269,'MD Usage'!$A$1:$W$5000,9,FALSE)),0,VLOOKUP(B269,'MD Usage'!$A$1:$W$5000,9,FALSE))</f>
        <v>0</v>
      </c>
      <c r="H270" s="416">
        <f>IF(ISERROR(VLOOKUP(B269,'MD Usage'!$A$1:$W$5000,11,FALSE)),0,VLOOKUP(B269,'MD Usage'!$A$1:$W$5000,11,FALSE))</f>
        <v>0</v>
      </c>
      <c r="I270" s="416">
        <f>IF(ISERROR(VLOOKUP(B269,'MD Usage'!A1:R2000,13,FALSE)),0,VLOOKUP(B269,'MD Usage'!A1:R2000,13,FALSE))</f>
        <v>1</v>
      </c>
      <c r="J270" s="416">
        <f>IF(ISERROR(VLOOKUP(B269,'MD Usage'!A1:R2000,15,FALSE)),0,VLOOKUP(B269,'MD Usage'!A1:R2000,15,FALSE))</f>
        <v>1</v>
      </c>
      <c r="K270" s="418">
        <f t="shared" ref="K270:K275" si="32">SUM(D270:J270)</f>
        <v>2</v>
      </c>
    </row>
    <row r="271" spans="2:13" ht="15" customHeight="1" x14ac:dyDescent="0.25">
      <c r="B271" s="383" t="s">
        <v>587</v>
      </c>
      <c r="C271" s="420">
        <v>6</v>
      </c>
      <c r="D271" s="421">
        <f>D270*C271</f>
        <v>0</v>
      </c>
      <c r="E271" s="421">
        <f>E270*C271</f>
        <v>0</v>
      </c>
      <c r="F271" s="421">
        <f>F270*C271</f>
        <v>0</v>
      </c>
      <c r="G271" s="421">
        <f>G270*C271</f>
        <v>0</v>
      </c>
      <c r="H271" s="421">
        <f>H270*C271</f>
        <v>0</v>
      </c>
      <c r="I271" s="421">
        <f>I270*C271</f>
        <v>6</v>
      </c>
      <c r="J271" s="421">
        <f>J270*C271</f>
        <v>6</v>
      </c>
      <c r="K271" s="422">
        <f t="shared" si="32"/>
        <v>12</v>
      </c>
    </row>
    <row r="272" spans="2:13" x14ac:dyDescent="0.25">
      <c r="B272" s="389" t="s">
        <v>59</v>
      </c>
      <c r="C272" s="423">
        <v>0.5</v>
      </c>
      <c r="D272" s="421">
        <f>D270*C272</f>
        <v>0</v>
      </c>
      <c r="E272" s="421">
        <f>E270*C272</f>
        <v>0</v>
      </c>
      <c r="F272" s="421">
        <f>F270*C272</f>
        <v>0</v>
      </c>
      <c r="G272" s="421">
        <f>G270*C272</f>
        <v>0</v>
      </c>
      <c r="H272" s="421">
        <f>H270*C272</f>
        <v>0</v>
      </c>
      <c r="I272" s="421">
        <f>I270*C272</f>
        <v>0.5</v>
      </c>
      <c r="J272" s="421">
        <f>J270*C272</f>
        <v>0.5</v>
      </c>
      <c r="K272" s="424">
        <f t="shared" si="32"/>
        <v>1</v>
      </c>
    </row>
    <row r="273" spans="2:13" x14ac:dyDescent="0.25">
      <c r="B273" s="389" t="s">
        <v>71</v>
      </c>
      <c r="C273" s="423">
        <v>2</v>
      </c>
      <c r="D273" s="421">
        <f>D270*C273</f>
        <v>0</v>
      </c>
      <c r="E273" s="421">
        <f>E270*C273</f>
        <v>0</v>
      </c>
      <c r="F273" s="421">
        <f>F270*C273</f>
        <v>0</v>
      </c>
      <c r="G273" s="421">
        <f>G270*C273</f>
        <v>0</v>
      </c>
      <c r="H273" s="421">
        <f>H270*C273</f>
        <v>0</v>
      </c>
      <c r="I273" s="421">
        <f>I270*C273</f>
        <v>2</v>
      </c>
      <c r="J273" s="421">
        <f>J270*C273</f>
        <v>2</v>
      </c>
      <c r="K273" s="424">
        <f t="shared" si="32"/>
        <v>4</v>
      </c>
    </row>
    <row r="274" spans="2:13" x14ac:dyDescent="0.25">
      <c r="B274" s="389"/>
      <c r="C274" s="423"/>
      <c r="D274" s="421">
        <f>D270*C274</f>
        <v>0</v>
      </c>
      <c r="E274" s="421">
        <f>E270*C274</f>
        <v>0</v>
      </c>
      <c r="F274" s="421">
        <f>F270*C274</f>
        <v>0</v>
      </c>
      <c r="G274" s="421">
        <f>G270*C274</f>
        <v>0</v>
      </c>
      <c r="H274" s="421">
        <f>H270*C274</f>
        <v>0</v>
      </c>
      <c r="I274" s="421">
        <f>I270*C274</f>
        <v>0</v>
      </c>
      <c r="J274" s="421">
        <f>J270*C274</f>
        <v>0</v>
      </c>
      <c r="K274" s="424">
        <f t="shared" si="32"/>
        <v>0</v>
      </c>
    </row>
    <row r="275" spans="2:13" x14ac:dyDescent="0.25">
      <c r="B275" s="389"/>
      <c r="C275" s="423"/>
      <c r="D275" s="421">
        <f>D270*C275</f>
        <v>0</v>
      </c>
      <c r="E275" s="421">
        <f>E270*C275</f>
        <v>0</v>
      </c>
      <c r="F275" s="421">
        <f>F270*C275</f>
        <v>0</v>
      </c>
      <c r="G275" s="421">
        <f>G270*C275</f>
        <v>0</v>
      </c>
      <c r="H275" s="421">
        <f>H270*C275</f>
        <v>0</v>
      </c>
      <c r="I275" s="421">
        <f>I270*C275</f>
        <v>0</v>
      </c>
      <c r="J275" s="421">
        <f>J270*C275</f>
        <v>0</v>
      </c>
      <c r="K275" s="424">
        <f t="shared" si="32"/>
        <v>0</v>
      </c>
    </row>
    <row r="276" spans="2:13" ht="15.75" thickBot="1" x14ac:dyDescent="0.3"/>
    <row r="277" spans="2:13" ht="15.75" thickBot="1" x14ac:dyDescent="0.3">
      <c r="B277" s="410">
        <v>6410104</v>
      </c>
      <c r="C277" s="411"/>
      <c r="D277" s="407" t="s">
        <v>548</v>
      </c>
      <c r="E277" s="408" t="s">
        <v>549</v>
      </c>
      <c r="F277" s="408" t="s">
        <v>550</v>
      </c>
      <c r="G277" s="408" t="s">
        <v>551</v>
      </c>
      <c r="H277" s="408" t="s">
        <v>552</v>
      </c>
      <c r="I277" s="408" t="s">
        <v>553</v>
      </c>
      <c r="J277" s="408" t="s">
        <v>554</v>
      </c>
      <c r="K277" s="408" t="s">
        <v>555</v>
      </c>
      <c r="M277" s="416" t="s">
        <v>1913</v>
      </c>
    </row>
    <row r="278" spans="2:13" ht="15" customHeight="1" thickBot="1" x14ac:dyDescent="0.3">
      <c r="B278" s="414" t="s">
        <v>556</v>
      </c>
      <c r="C278" s="415" t="s">
        <v>620</v>
      </c>
      <c r="D278" s="416">
        <f>IF(ISERROR(VLOOKUP(B277,'MD Usage'!$A$1:$W$5000,3,FALSE)),0,VLOOKUP(B277,'MD Usage'!$A$1:$W$5000,3,FALSE))</f>
        <v>18</v>
      </c>
      <c r="E278" s="416">
        <f>IF(ISERROR(VLOOKUP(B277,'MD Usage'!$A$1:$W$5000,5,FALSE)),0,VLOOKUP(B277,'MD Usage'!$A$1:$W$5000,5,FALSE))</f>
        <v>18</v>
      </c>
      <c r="F278" s="416">
        <f>IF(ISERROR(VLOOKUP(B277,'MD Usage'!$A$1:$W$5000,7,FALSE)),0,VLOOKUP(B277,'MD Usage'!$A$1:$W$5000,7,FALSE))</f>
        <v>41</v>
      </c>
      <c r="G278" s="416">
        <f>IF(ISERROR(VLOOKUP(B277,'MD Usage'!$A$1:$W$5000,9,FALSE)),0,VLOOKUP(B277,'MD Usage'!$A$1:$W$5000,9,FALSE))</f>
        <v>21</v>
      </c>
      <c r="H278" s="416">
        <f>IF(ISERROR(VLOOKUP(B277,'MD Usage'!$A$1:$W$5000,11,FALSE)),0,VLOOKUP(B277,'MD Usage'!$A$1:$W$5000,11,FALSE))</f>
        <v>71</v>
      </c>
      <c r="I278" s="416">
        <f>IF(ISERROR(VLOOKUP(B277,'MD Usage'!A1:R2000,13,FALSE)),0,VLOOKUP(B277,'MD Usage'!A1:R2000,13,FALSE))</f>
        <v>93</v>
      </c>
      <c r="J278" s="416">
        <f>IF(ISERROR(VLOOKUP(B277,'MD Usage'!A1:R2000,15,FALSE)),0,VLOOKUP(B277,'MD Usage'!A1:R2000,15,FALSE))</f>
        <v>28</v>
      </c>
      <c r="K278" s="418">
        <f t="shared" ref="K278:K283" si="33">SUM(D278:J278)</f>
        <v>290</v>
      </c>
    </row>
    <row r="279" spans="2:13" x14ac:dyDescent="0.25">
      <c r="B279" s="383" t="s">
        <v>587</v>
      </c>
      <c r="C279" s="420">
        <v>6</v>
      </c>
      <c r="D279" s="421">
        <f>D278*C279</f>
        <v>108</v>
      </c>
      <c r="E279" s="421">
        <f>E278*C279</f>
        <v>108</v>
      </c>
      <c r="F279" s="421">
        <f>F278*C279</f>
        <v>246</v>
      </c>
      <c r="G279" s="421">
        <f>G278*C279</f>
        <v>126</v>
      </c>
      <c r="H279" s="421">
        <f>H278*C279</f>
        <v>426</v>
      </c>
      <c r="I279" s="421">
        <f>I278*C279</f>
        <v>558</v>
      </c>
      <c r="J279" s="421">
        <f>J278*C279</f>
        <v>168</v>
      </c>
      <c r="K279" s="422">
        <f t="shared" si="33"/>
        <v>1740</v>
      </c>
    </row>
    <row r="280" spans="2:13" x14ac:dyDescent="0.25">
      <c r="B280" s="389" t="s">
        <v>59</v>
      </c>
      <c r="C280" s="423">
        <v>0.5</v>
      </c>
      <c r="D280" s="421">
        <f>D278*C280</f>
        <v>9</v>
      </c>
      <c r="E280" s="421">
        <f>E278*C280</f>
        <v>9</v>
      </c>
      <c r="F280" s="421">
        <f>F278*C280</f>
        <v>20.5</v>
      </c>
      <c r="G280" s="421">
        <f>G278*C280</f>
        <v>10.5</v>
      </c>
      <c r="H280" s="421">
        <f>H278*C280</f>
        <v>35.5</v>
      </c>
      <c r="I280" s="421">
        <f>I278*C280</f>
        <v>46.5</v>
      </c>
      <c r="J280" s="421">
        <f>J278*C280</f>
        <v>14</v>
      </c>
      <c r="K280" s="424">
        <f t="shared" si="33"/>
        <v>145</v>
      </c>
    </row>
    <row r="281" spans="2:13" x14ac:dyDescent="0.25">
      <c r="B281" s="389" t="s">
        <v>71</v>
      </c>
      <c r="C281" s="423">
        <v>2</v>
      </c>
      <c r="D281" s="421">
        <f>D278*C281</f>
        <v>36</v>
      </c>
      <c r="E281" s="421">
        <f>E278*C281</f>
        <v>36</v>
      </c>
      <c r="F281" s="421">
        <f>F278*C281</f>
        <v>82</v>
      </c>
      <c r="G281" s="421">
        <f>G278*C281</f>
        <v>42</v>
      </c>
      <c r="H281" s="421">
        <f>H278*C281</f>
        <v>142</v>
      </c>
      <c r="I281" s="421">
        <f>I278*C281</f>
        <v>186</v>
      </c>
      <c r="J281" s="421">
        <f>J278*C281</f>
        <v>56</v>
      </c>
      <c r="K281" s="424">
        <f t="shared" si="33"/>
        <v>580</v>
      </c>
    </row>
    <row r="282" spans="2:13" x14ac:dyDescent="0.25">
      <c r="B282" s="389"/>
      <c r="C282" s="423"/>
      <c r="D282" s="421">
        <f>D278*C282</f>
        <v>0</v>
      </c>
      <c r="E282" s="421">
        <f>E278*C282</f>
        <v>0</v>
      </c>
      <c r="F282" s="421">
        <f>F278*C282</f>
        <v>0</v>
      </c>
      <c r="G282" s="421">
        <f>G278*C282</f>
        <v>0</v>
      </c>
      <c r="H282" s="421">
        <f>H278*C282</f>
        <v>0</v>
      </c>
      <c r="I282" s="421">
        <f>I278*C282</f>
        <v>0</v>
      </c>
      <c r="J282" s="421">
        <f>J278*C282</f>
        <v>0</v>
      </c>
      <c r="K282" s="424">
        <f t="shared" si="33"/>
        <v>0</v>
      </c>
    </row>
    <row r="283" spans="2:13" x14ac:dyDescent="0.25">
      <c r="B283" s="389"/>
      <c r="C283" s="423"/>
      <c r="D283" s="421">
        <f>D278*C283</f>
        <v>0</v>
      </c>
      <c r="E283" s="421">
        <f>E278*C283</f>
        <v>0</v>
      </c>
      <c r="F283" s="421">
        <f>F278*C283</f>
        <v>0</v>
      </c>
      <c r="G283" s="421">
        <f>G278*C283</f>
        <v>0</v>
      </c>
      <c r="H283" s="421">
        <f>H278*C283</f>
        <v>0</v>
      </c>
      <c r="I283" s="421">
        <f>I278*C283</f>
        <v>0</v>
      </c>
      <c r="J283" s="421">
        <f>J278*C283</f>
        <v>0</v>
      </c>
      <c r="K283" s="424">
        <f t="shared" si="33"/>
        <v>0</v>
      </c>
    </row>
    <row r="284" spans="2:13" ht="15.75" thickBot="1" x14ac:dyDescent="0.3"/>
    <row r="285" spans="2:13" ht="15" customHeight="1" thickBot="1" x14ac:dyDescent="0.3">
      <c r="B285" s="410">
        <v>6410106</v>
      </c>
      <c r="C285" s="411"/>
      <c r="D285" s="407" t="s">
        <v>548</v>
      </c>
      <c r="E285" s="408" t="s">
        <v>549</v>
      </c>
      <c r="F285" s="408" t="s">
        <v>550</v>
      </c>
      <c r="G285" s="408" t="s">
        <v>551</v>
      </c>
      <c r="H285" s="408" t="s">
        <v>552</v>
      </c>
      <c r="I285" s="408" t="s">
        <v>553</v>
      </c>
      <c r="J285" s="408" t="s">
        <v>554</v>
      </c>
      <c r="K285" s="408" t="s">
        <v>555</v>
      </c>
      <c r="M285" s="426" t="s">
        <v>1914</v>
      </c>
    </row>
    <row r="286" spans="2:13" ht="15.75" thickBot="1" x14ac:dyDescent="0.3">
      <c r="B286" s="414" t="s">
        <v>556</v>
      </c>
      <c r="C286" s="415" t="s">
        <v>620</v>
      </c>
      <c r="D286" s="416">
        <f>IF(ISERROR(VLOOKUP(B285,'MD Usage'!$A$1:$W$5000,3,FALSE)),0,VLOOKUP(B285,'MD Usage'!$A$1:$W$5000,3,FALSE))</f>
        <v>1</v>
      </c>
      <c r="E286" s="416">
        <f>IF(ISERROR(VLOOKUP(B285,'MD Usage'!$A$1:$W$5000,5,FALSE)),0,VLOOKUP(B285,'MD Usage'!$A$1:$W$5000,5,FALSE))</f>
        <v>0</v>
      </c>
      <c r="F286" s="416">
        <f>IF(ISERROR(VLOOKUP(B285,'MD Usage'!$A$1:$W$5000,7,FALSE)),0,VLOOKUP(B285,'MD Usage'!$A$1:$W$5000,7,FALSE))</f>
        <v>3</v>
      </c>
      <c r="G286" s="416">
        <f>IF(ISERROR(VLOOKUP(B285,'MD Usage'!$A$1:$W$5000,9,FALSE)),0,VLOOKUP(B285,'MD Usage'!$A$1:$W$5000,9,FALSE))</f>
        <v>2</v>
      </c>
      <c r="H286" s="416">
        <f>IF(ISERROR(VLOOKUP(B285,'MD Usage'!$A$1:$W$5000,11,FALSE)),0,VLOOKUP(B285,'MD Usage'!$A$1:$W$5000,11,FALSE))</f>
        <v>2</v>
      </c>
      <c r="I286" s="416">
        <f>IF(ISERROR(VLOOKUP(B285,'MD Usage'!A1:R2000,13,FALSE)),0,VLOOKUP(B285,'MD Usage'!A1:R2000,13,FALSE))</f>
        <v>9</v>
      </c>
      <c r="J286" s="416">
        <f>IF(ISERROR(VLOOKUP(B285,'MD Usage'!A1:R2000,15,FALSE)),0,VLOOKUP(B285,'MD Usage'!A1:R2000,15,FALSE))</f>
        <v>3</v>
      </c>
      <c r="K286" s="418">
        <f t="shared" ref="K286:K291" si="34">SUM(D286:J286)</f>
        <v>20</v>
      </c>
    </row>
    <row r="287" spans="2:13" x14ac:dyDescent="0.25">
      <c r="B287" s="383" t="s">
        <v>587</v>
      </c>
      <c r="C287" s="420">
        <v>6</v>
      </c>
      <c r="D287" s="421">
        <f>D286*C287</f>
        <v>6</v>
      </c>
      <c r="E287" s="421">
        <f>E286*C287</f>
        <v>0</v>
      </c>
      <c r="F287" s="421">
        <f>F286*C287</f>
        <v>18</v>
      </c>
      <c r="G287" s="421">
        <f>G286*C287</f>
        <v>12</v>
      </c>
      <c r="H287" s="421">
        <f>H286*C287</f>
        <v>12</v>
      </c>
      <c r="I287" s="421">
        <f>I286*C287</f>
        <v>54</v>
      </c>
      <c r="J287" s="421">
        <f>J286*C287</f>
        <v>18</v>
      </c>
      <c r="K287" s="422">
        <f t="shared" si="34"/>
        <v>120</v>
      </c>
    </row>
    <row r="288" spans="2:13" x14ac:dyDescent="0.25">
      <c r="B288" s="389" t="s">
        <v>59</v>
      </c>
      <c r="C288" s="423">
        <v>0.5</v>
      </c>
      <c r="D288" s="421">
        <f>D286*C288</f>
        <v>0.5</v>
      </c>
      <c r="E288" s="421">
        <f>E286*C288</f>
        <v>0</v>
      </c>
      <c r="F288" s="421">
        <f>F286*C288</f>
        <v>1.5</v>
      </c>
      <c r="G288" s="421">
        <f>G286*C288</f>
        <v>1</v>
      </c>
      <c r="H288" s="421">
        <f>H286*C288</f>
        <v>1</v>
      </c>
      <c r="I288" s="421">
        <f>I286*C288</f>
        <v>4.5</v>
      </c>
      <c r="J288" s="421">
        <f>J286*C288</f>
        <v>1.5</v>
      </c>
      <c r="K288" s="424">
        <f t="shared" si="34"/>
        <v>10</v>
      </c>
    </row>
    <row r="289" spans="2:13" x14ac:dyDescent="0.25">
      <c r="B289" s="389" t="s">
        <v>71</v>
      </c>
      <c r="C289" s="423">
        <v>2</v>
      </c>
      <c r="D289" s="421">
        <f>D286*C289</f>
        <v>2</v>
      </c>
      <c r="E289" s="421">
        <f>E286*C289</f>
        <v>0</v>
      </c>
      <c r="F289" s="421">
        <f>F286*C289</f>
        <v>6</v>
      </c>
      <c r="G289" s="421">
        <f>G286*C289</f>
        <v>4</v>
      </c>
      <c r="H289" s="421">
        <f>H286*C289</f>
        <v>4</v>
      </c>
      <c r="I289" s="421">
        <f>I286*C289</f>
        <v>18</v>
      </c>
      <c r="J289" s="421">
        <f>J286*C289</f>
        <v>6</v>
      </c>
      <c r="K289" s="424">
        <f t="shared" si="34"/>
        <v>40</v>
      </c>
    </row>
    <row r="290" spans="2:13" x14ac:dyDescent="0.25">
      <c r="B290" s="389"/>
      <c r="C290" s="423"/>
      <c r="D290" s="421">
        <f>D286*C290</f>
        <v>0</v>
      </c>
      <c r="E290" s="421">
        <f>E286*C290</f>
        <v>0</v>
      </c>
      <c r="F290" s="421">
        <f>F286*C290</f>
        <v>0</v>
      </c>
      <c r="G290" s="421">
        <f>G286*C290</f>
        <v>0</v>
      </c>
      <c r="H290" s="421">
        <f>H286*C290</f>
        <v>0</v>
      </c>
      <c r="I290" s="421">
        <f>I286*C290</f>
        <v>0</v>
      </c>
      <c r="J290" s="421">
        <f>J286*C290</f>
        <v>0</v>
      </c>
      <c r="K290" s="424">
        <f t="shared" si="34"/>
        <v>0</v>
      </c>
    </row>
    <row r="291" spans="2:13" x14ac:dyDescent="0.25">
      <c r="B291" s="389"/>
      <c r="C291" s="423"/>
      <c r="D291" s="421">
        <f>D286*C291</f>
        <v>0</v>
      </c>
      <c r="E291" s="421">
        <f>E286*C291</f>
        <v>0</v>
      </c>
      <c r="F291" s="421">
        <f>F286*C291</f>
        <v>0</v>
      </c>
      <c r="G291" s="421">
        <f>G286*C291</f>
        <v>0</v>
      </c>
      <c r="H291" s="421">
        <f>H286*C291</f>
        <v>0</v>
      </c>
      <c r="I291" s="421">
        <f>I286*C291</f>
        <v>0</v>
      </c>
      <c r="J291" s="421">
        <f>J286*C291</f>
        <v>0</v>
      </c>
      <c r="K291" s="424">
        <f t="shared" si="34"/>
        <v>0</v>
      </c>
    </row>
    <row r="292" spans="2:13" ht="15" customHeight="1" thickBot="1" x14ac:dyDescent="0.3"/>
    <row r="293" spans="2:13" ht="15.75" thickBot="1" x14ac:dyDescent="0.3">
      <c r="B293" s="432">
        <v>6410013</v>
      </c>
      <c r="C293" s="411"/>
      <c r="D293" s="407" t="s">
        <v>548</v>
      </c>
      <c r="E293" s="408" t="s">
        <v>549</v>
      </c>
      <c r="F293" s="408" t="s">
        <v>550</v>
      </c>
      <c r="G293" s="408" t="s">
        <v>551</v>
      </c>
      <c r="H293" s="408" t="s">
        <v>552</v>
      </c>
      <c r="I293" s="408" t="s">
        <v>553</v>
      </c>
      <c r="J293" s="408" t="s">
        <v>554</v>
      </c>
      <c r="K293" s="408" t="s">
        <v>555</v>
      </c>
      <c r="M293" s="426" t="s">
        <v>657</v>
      </c>
    </row>
    <row r="294" spans="2:13" ht="15.75" thickBot="1" x14ac:dyDescent="0.3">
      <c r="B294" s="414" t="s">
        <v>556</v>
      </c>
      <c r="C294" s="415" t="s">
        <v>620</v>
      </c>
      <c r="D294" s="416">
        <f>IF(ISERROR(VLOOKUP(B293,'MD Usage'!$A$1:$W$5000,3,FALSE)),0,VLOOKUP(B293,'MD Usage'!$A$1:$W$5000,3,FALSE))</f>
        <v>0</v>
      </c>
      <c r="E294" s="416">
        <f>IF(ISERROR(VLOOKUP(B293,'MD Usage'!$A$1:$W$5000,5,FALSE)),0,VLOOKUP(B293,'MD Usage'!$A$1:$W$5000,5,FALSE))</f>
        <v>1</v>
      </c>
      <c r="F294" s="416">
        <f>IF(ISERROR(VLOOKUP(B293,'MD Usage'!$A$1:$W$5000,7,FALSE)),0,VLOOKUP(B293,'MD Usage'!$A$1:$W$5000,7,FALSE))</f>
        <v>2</v>
      </c>
      <c r="G294" s="416">
        <f>IF(ISERROR(VLOOKUP(B293,'MD Usage'!$A$1:$W$5000,9,FALSE)),0,VLOOKUP(B293,'MD Usage'!$A$1:$W$5000,9,FALSE))</f>
        <v>0</v>
      </c>
      <c r="H294" s="416">
        <f>IF(ISERROR(VLOOKUP(B293,'MD Usage'!$A$1:$W$5000,11,FALSE)),0,VLOOKUP(B293,'MD Usage'!$A$1:$W$5000,11,FALSE))</f>
        <v>1</v>
      </c>
      <c r="I294" s="416">
        <f>IF(ISERROR(VLOOKUP(B293,'MD Usage'!A1:R2000,13,FALSE)),0,VLOOKUP(B293,'MD Usage'!A1:R2000,13,FALSE))</f>
        <v>4</v>
      </c>
      <c r="J294" s="416">
        <f>IF(ISERROR(VLOOKUP(B293,'MD Usage'!A1:R2000,15,FALSE)),0,VLOOKUP(B293,'MD Usage'!A1:R2000,15,FALSE))</f>
        <v>1</v>
      </c>
      <c r="K294" s="418">
        <f t="shared" ref="K294:K299" si="35">SUM(D294:J294)</f>
        <v>9</v>
      </c>
    </row>
    <row r="295" spans="2:13" x14ac:dyDescent="0.25">
      <c r="B295" s="383" t="s">
        <v>587</v>
      </c>
      <c r="C295" s="420">
        <v>6</v>
      </c>
      <c r="D295" s="421">
        <f>D294*C295</f>
        <v>0</v>
      </c>
      <c r="E295" s="421">
        <f>E294*C295</f>
        <v>6</v>
      </c>
      <c r="F295" s="421">
        <f>F294*C295</f>
        <v>12</v>
      </c>
      <c r="G295" s="421">
        <f>G294*C295</f>
        <v>0</v>
      </c>
      <c r="H295" s="421">
        <f>H294*C295</f>
        <v>6</v>
      </c>
      <c r="I295" s="421">
        <f>I294*C295</f>
        <v>24</v>
      </c>
      <c r="J295" s="421">
        <f>J294*C295</f>
        <v>6</v>
      </c>
      <c r="K295" s="422">
        <f t="shared" si="35"/>
        <v>54</v>
      </c>
    </row>
    <row r="296" spans="2:13" x14ac:dyDescent="0.25">
      <c r="B296" s="389" t="s">
        <v>59</v>
      </c>
      <c r="C296" s="423">
        <v>0.5</v>
      </c>
      <c r="D296" s="421">
        <f>D294*C296</f>
        <v>0</v>
      </c>
      <c r="E296" s="421">
        <f>E294*C296</f>
        <v>0.5</v>
      </c>
      <c r="F296" s="421">
        <f>F294*C296</f>
        <v>1</v>
      </c>
      <c r="G296" s="421">
        <f>G294*C296</f>
        <v>0</v>
      </c>
      <c r="H296" s="421">
        <f>H294*C296</f>
        <v>0.5</v>
      </c>
      <c r="I296" s="421">
        <f>I294*C296</f>
        <v>2</v>
      </c>
      <c r="J296" s="421">
        <f>J294*C296</f>
        <v>0.5</v>
      </c>
      <c r="K296" s="424">
        <f t="shared" si="35"/>
        <v>4.5</v>
      </c>
    </row>
    <row r="297" spans="2:13" x14ac:dyDescent="0.25">
      <c r="B297" s="389" t="s">
        <v>71</v>
      </c>
      <c r="C297" s="423">
        <v>2</v>
      </c>
      <c r="D297" s="421">
        <f>D294*C297</f>
        <v>0</v>
      </c>
      <c r="E297" s="421">
        <f>E294*C297</f>
        <v>2</v>
      </c>
      <c r="F297" s="421">
        <f>F294*C297</f>
        <v>4</v>
      </c>
      <c r="G297" s="421">
        <f>G294*C297</f>
        <v>0</v>
      </c>
      <c r="H297" s="421">
        <f>H294*C297</f>
        <v>2</v>
      </c>
      <c r="I297" s="421">
        <f>I294*C297</f>
        <v>8</v>
      </c>
      <c r="J297" s="421">
        <f>J294*C297</f>
        <v>2</v>
      </c>
      <c r="K297" s="424">
        <f t="shared" si="35"/>
        <v>18</v>
      </c>
    </row>
    <row r="298" spans="2:13" x14ac:dyDescent="0.25">
      <c r="B298" s="389" t="s">
        <v>1861</v>
      </c>
      <c r="C298" s="423">
        <v>1</v>
      </c>
      <c r="D298" s="421">
        <f>D294*C298</f>
        <v>0</v>
      </c>
      <c r="E298" s="421">
        <f>E294*C298</f>
        <v>1</v>
      </c>
      <c r="F298" s="421">
        <f>F294*C298</f>
        <v>2</v>
      </c>
      <c r="G298" s="421">
        <f>G294*C298</f>
        <v>0</v>
      </c>
      <c r="H298" s="421">
        <f>H294*C298</f>
        <v>1</v>
      </c>
      <c r="I298" s="421">
        <f>I294*C298</f>
        <v>4</v>
      </c>
      <c r="J298" s="421">
        <f>J294*C298</f>
        <v>1</v>
      </c>
      <c r="K298" s="424">
        <f t="shared" si="35"/>
        <v>9</v>
      </c>
    </row>
    <row r="299" spans="2:13" ht="15" customHeight="1" x14ac:dyDescent="0.25">
      <c r="B299" s="389" t="s">
        <v>1826</v>
      </c>
      <c r="C299" s="423">
        <v>1</v>
      </c>
      <c r="D299" s="421">
        <f>D294*C299</f>
        <v>0</v>
      </c>
      <c r="E299" s="421">
        <f>E294*C299</f>
        <v>1</v>
      </c>
      <c r="F299" s="421">
        <f>F294*C299</f>
        <v>2</v>
      </c>
      <c r="G299" s="421">
        <f>G294*C299</f>
        <v>0</v>
      </c>
      <c r="H299" s="421">
        <f>H294*C299</f>
        <v>1</v>
      </c>
      <c r="I299" s="421">
        <f>I294*C299</f>
        <v>4</v>
      </c>
      <c r="J299" s="421">
        <f>J294*C299</f>
        <v>1</v>
      </c>
      <c r="K299" s="424">
        <f t="shared" si="35"/>
        <v>9</v>
      </c>
    </row>
    <row r="300" spans="2:13" ht="15.75" thickBot="1" x14ac:dyDescent="0.3"/>
    <row r="301" spans="2:13" ht="15.75" thickBot="1" x14ac:dyDescent="0.3">
      <c r="B301" s="432">
        <v>6410054</v>
      </c>
      <c r="C301" s="411"/>
      <c r="D301" s="407" t="s">
        <v>548</v>
      </c>
      <c r="E301" s="408" t="s">
        <v>549</v>
      </c>
      <c r="F301" s="408" t="s">
        <v>550</v>
      </c>
      <c r="G301" s="408" t="s">
        <v>551</v>
      </c>
      <c r="H301" s="408" t="s">
        <v>552</v>
      </c>
      <c r="I301" s="408" t="s">
        <v>553</v>
      </c>
      <c r="J301" s="408" t="s">
        <v>554</v>
      </c>
      <c r="K301" s="408" t="s">
        <v>555</v>
      </c>
      <c r="M301" s="426" t="s">
        <v>658</v>
      </c>
    </row>
    <row r="302" spans="2:13" ht="15.75" thickBot="1" x14ac:dyDescent="0.3">
      <c r="B302" s="414" t="s">
        <v>556</v>
      </c>
      <c r="C302" s="415" t="s">
        <v>620</v>
      </c>
      <c r="D302" s="416">
        <f>IF(ISERROR(VLOOKUP(B301,'MD Usage'!$A$1:$W$5000,3,FALSE)),0,VLOOKUP(B301,'MD Usage'!$A$1:$W$5000,3,FALSE))</f>
        <v>0</v>
      </c>
      <c r="E302" s="416">
        <f>IF(ISERROR(VLOOKUP(B301,'MD Usage'!$A$1:$W$5000,5,FALSE)),0,VLOOKUP(B301,'MD Usage'!$A$1:$W$5000,5,FALSE))</f>
        <v>0</v>
      </c>
      <c r="F302" s="416">
        <f>IF(ISERROR(VLOOKUP(B301,'MD Usage'!$A$1:$W$5000,7,FALSE)),0,VLOOKUP(B301,'MD Usage'!$A$1:$W$5000,7,FALSE))</f>
        <v>1</v>
      </c>
      <c r="G302" s="416">
        <f>IF(ISERROR(VLOOKUP(B301,'MD Usage'!$A$1:$W$5000,9,FALSE)),0,VLOOKUP(B301,'MD Usage'!$A$1:$W$5000,9,FALSE))</f>
        <v>0</v>
      </c>
      <c r="H302" s="416">
        <f>IF(ISERROR(VLOOKUP(B301,'MD Usage'!$A$1:$W$5000,11,FALSE)),0,VLOOKUP(B301,'MD Usage'!$A$1:$W$5000,11,FALSE))</f>
        <v>0</v>
      </c>
      <c r="I302" s="416">
        <f>IF(ISERROR(VLOOKUP(B301,'MD Usage'!A1:R2000,13,FALSE)),0,VLOOKUP(B301,'MD Usage'!A1:R2000,13,FALSE))</f>
        <v>1</v>
      </c>
      <c r="J302" s="416">
        <f>IF(ISERROR(VLOOKUP(B301,'MD Usage'!A1:R2000,15,FALSE)),0,VLOOKUP(B301,'MD Usage'!A1:R2000,15,FALSE))</f>
        <v>0</v>
      </c>
      <c r="K302" s="418">
        <f t="shared" ref="K302:K307" si="36">SUM(D302:J302)</f>
        <v>2</v>
      </c>
    </row>
    <row r="303" spans="2:13" x14ac:dyDescent="0.25">
      <c r="B303" s="383" t="s">
        <v>587</v>
      </c>
      <c r="C303" s="420">
        <v>6</v>
      </c>
      <c r="D303" s="421">
        <f>D302*C303</f>
        <v>0</v>
      </c>
      <c r="E303" s="421">
        <f>E302*C303</f>
        <v>0</v>
      </c>
      <c r="F303" s="421">
        <f>F302*C303</f>
        <v>6</v>
      </c>
      <c r="G303" s="421">
        <f>G302*C303</f>
        <v>0</v>
      </c>
      <c r="H303" s="421">
        <f>H302*C303</f>
        <v>0</v>
      </c>
      <c r="I303" s="421">
        <f>I302*C303</f>
        <v>6</v>
      </c>
      <c r="J303" s="421">
        <f>J302*C303</f>
        <v>0</v>
      </c>
      <c r="K303" s="422">
        <f t="shared" si="36"/>
        <v>12</v>
      </c>
    </row>
    <row r="304" spans="2:13" x14ac:dyDescent="0.25">
      <c r="B304" s="389" t="s">
        <v>59</v>
      </c>
      <c r="C304" s="423">
        <v>1</v>
      </c>
      <c r="D304" s="421">
        <f>D302*C304</f>
        <v>0</v>
      </c>
      <c r="E304" s="421">
        <f>E302*C304</f>
        <v>0</v>
      </c>
      <c r="F304" s="421">
        <f>F302*C304</f>
        <v>1</v>
      </c>
      <c r="G304" s="421">
        <f>G302*C304</f>
        <v>0</v>
      </c>
      <c r="H304" s="421">
        <f>H302*C304</f>
        <v>0</v>
      </c>
      <c r="I304" s="421">
        <f>I302*C304</f>
        <v>1</v>
      </c>
      <c r="J304" s="421">
        <f>J302*C304</f>
        <v>0</v>
      </c>
      <c r="K304" s="424">
        <f t="shared" si="36"/>
        <v>2</v>
      </c>
    </row>
    <row r="305" spans="2:13" x14ac:dyDescent="0.25">
      <c r="B305" s="389" t="s">
        <v>71</v>
      </c>
      <c r="C305" s="423">
        <v>2</v>
      </c>
      <c r="D305" s="421">
        <f>D302*C305</f>
        <v>0</v>
      </c>
      <c r="E305" s="421">
        <f>E302*C305</f>
        <v>0</v>
      </c>
      <c r="F305" s="421">
        <f>F302*C305</f>
        <v>2</v>
      </c>
      <c r="G305" s="421">
        <f>G302*C305</f>
        <v>0</v>
      </c>
      <c r="H305" s="421">
        <f>H302*C305</f>
        <v>0</v>
      </c>
      <c r="I305" s="421">
        <f>I302*C305</f>
        <v>2</v>
      </c>
      <c r="J305" s="421">
        <f>J302*C305</f>
        <v>0</v>
      </c>
      <c r="K305" s="424">
        <f t="shared" si="36"/>
        <v>4</v>
      </c>
    </row>
    <row r="306" spans="2:13" ht="15" customHeight="1" x14ac:dyDescent="0.25">
      <c r="B306" s="389" t="s">
        <v>602</v>
      </c>
      <c r="C306" s="423">
        <v>1</v>
      </c>
      <c r="D306" s="421">
        <f>D302*C306</f>
        <v>0</v>
      </c>
      <c r="E306" s="421">
        <f>E302*C306</f>
        <v>0</v>
      </c>
      <c r="F306" s="421">
        <f>F302*C306</f>
        <v>1</v>
      </c>
      <c r="G306" s="421">
        <f>G302*C306</f>
        <v>0</v>
      </c>
      <c r="H306" s="421">
        <f>H302*C306</f>
        <v>0</v>
      </c>
      <c r="I306" s="421">
        <f>I302*C306</f>
        <v>1</v>
      </c>
      <c r="J306" s="421">
        <f>J302*C306</f>
        <v>0</v>
      </c>
      <c r="K306" s="424">
        <f t="shared" si="36"/>
        <v>2</v>
      </c>
    </row>
    <row r="307" spans="2:13" x14ac:dyDescent="0.25">
      <c r="B307" s="389"/>
      <c r="C307" s="423"/>
      <c r="D307" s="421">
        <f>D302*C307</f>
        <v>0</v>
      </c>
      <c r="E307" s="421">
        <f>E302*C307</f>
        <v>0</v>
      </c>
      <c r="F307" s="421">
        <f>F302*C307</f>
        <v>0</v>
      </c>
      <c r="G307" s="421">
        <f>G302*C307</f>
        <v>0</v>
      </c>
      <c r="H307" s="421">
        <f>H302*C307</f>
        <v>0</v>
      </c>
      <c r="I307" s="421">
        <f>I302*C307</f>
        <v>0</v>
      </c>
      <c r="J307" s="421">
        <f>J302*C307</f>
        <v>0</v>
      </c>
      <c r="K307" s="424">
        <f t="shared" si="36"/>
        <v>0</v>
      </c>
    </row>
    <row r="308" spans="2:13" ht="15.75" thickBot="1" x14ac:dyDescent="0.3"/>
    <row r="309" spans="2:13" ht="15.75" thickBot="1" x14ac:dyDescent="0.3">
      <c r="B309" s="432">
        <v>6480327</v>
      </c>
      <c r="C309" s="411"/>
      <c r="D309" s="407" t="s">
        <v>548</v>
      </c>
      <c r="E309" s="408" t="s">
        <v>549</v>
      </c>
      <c r="F309" s="408" t="s">
        <v>550</v>
      </c>
      <c r="G309" s="408" t="s">
        <v>551</v>
      </c>
      <c r="H309" s="408" t="s">
        <v>552</v>
      </c>
      <c r="I309" s="408" t="s">
        <v>553</v>
      </c>
      <c r="J309" s="408" t="s">
        <v>554</v>
      </c>
      <c r="K309" s="408" t="s">
        <v>555</v>
      </c>
      <c r="M309" s="414" t="s">
        <v>659</v>
      </c>
    </row>
    <row r="310" spans="2:13" ht="15.75" thickBot="1" x14ac:dyDescent="0.3">
      <c r="B310" s="414" t="s">
        <v>556</v>
      </c>
      <c r="C310" s="415" t="s">
        <v>620</v>
      </c>
      <c r="D310" s="416">
        <f>IF(ISERROR(VLOOKUP(B309,'MD Usage'!$A$1:$W$5000,3,FALSE)),0,VLOOKUP(B309,'MD Usage'!$A$1:$W$5000,3,FALSE))</f>
        <v>0</v>
      </c>
      <c r="E310" s="416">
        <f>IF(ISERROR(VLOOKUP(B309,'MD Usage'!$A$1:$W$5000,5,FALSE)),0,VLOOKUP(B309,'MD Usage'!$A$1:$W$5000,5,FALSE))</f>
        <v>0</v>
      </c>
      <c r="F310" s="416">
        <f>IF(ISERROR(VLOOKUP(B309,'MD Usage'!$A$1:$W$5000,7,FALSE)),0,VLOOKUP(B309,'MD Usage'!$A$1:$W$5000,7,FALSE))</f>
        <v>0</v>
      </c>
      <c r="G310" s="416">
        <f>IF(ISERROR(VLOOKUP(B309,'MD Usage'!$A$1:$W$5000,9,FALSE)),0,VLOOKUP(B309,'MD Usage'!$A$1:$W$5000,9,FALSE))</f>
        <v>0</v>
      </c>
      <c r="H310" s="416">
        <f>IF(ISERROR(VLOOKUP(B309,'MD Usage'!$A$1:$W$5000,11,FALSE)),0,VLOOKUP(B309,'MD Usage'!$A$1:$W$5000,11,FALSE))</f>
        <v>0</v>
      </c>
      <c r="I310" s="416">
        <f>IF(ISERROR(VLOOKUP(B309,'MD Usage'!A1:R2000,13,FALSE)),0,VLOOKUP(B309,'MD Usage'!A1:R2000,13,FALSE))</f>
        <v>0</v>
      </c>
      <c r="J310" s="416">
        <f>IF(ISERROR(VLOOKUP(B309,'MD Usage'!A1:R2000,15,FALSE)),0,VLOOKUP(B309,'MD Usage'!A1:R2000,15,FALSE))</f>
        <v>0</v>
      </c>
      <c r="K310" s="418">
        <f>SUM(D310:J310)</f>
        <v>0</v>
      </c>
    </row>
    <row r="311" spans="2:13" x14ac:dyDescent="0.25">
      <c r="B311" s="383" t="s">
        <v>587</v>
      </c>
      <c r="C311" s="420">
        <v>6</v>
      </c>
      <c r="D311" s="421">
        <f>D310*C311</f>
        <v>0</v>
      </c>
      <c r="E311" s="421">
        <f>E310*C311</f>
        <v>0</v>
      </c>
      <c r="F311" s="421">
        <f>F310*C311</f>
        <v>0</v>
      </c>
      <c r="G311" s="421">
        <f>G310*C311</f>
        <v>0</v>
      </c>
      <c r="H311" s="421">
        <f>H310*C311</f>
        <v>0</v>
      </c>
      <c r="I311" s="421">
        <f>I310*C311</f>
        <v>0</v>
      </c>
      <c r="J311" s="421">
        <f>J310*C311</f>
        <v>0</v>
      </c>
      <c r="K311" s="422">
        <f>SUM(D311:J311)</f>
        <v>0</v>
      </c>
    </row>
    <row r="312" spans="2:13" x14ac:dyDescent="0.25">
      <c r="B312" s="389" t="s">
        <v>59</v>
      </c>
      <c r="C312" s="423">
        <v>1</v>
      </c>
      <c r="D312" s="421">
        <f>D310*C312</f>
        <v>0</v>
      </c>
      <c r="E312" s="421">
        <f>E310*C312</f>
        <v>0</v>
      </c>
      <c r="F312" s="421">
        <f>F310*C312</f>
        <v>0</v>
      </c>
      <c r="G312" s="421">
        <f>G310*C312</f>
        <v>0</v>
      </c>
      <c r="H312" s="421">
        <f>H310*C312</f>
        <v>0</v>
      </c>
      <c r="I312" s="421">
        <f>I310*C312</f>
        <v>0</v>
      </c>
      <c r="J312" s="421">
        <f>J310*C312</f>
        <v>0</v>
      </c>
      <c r="K312" s="424">
        <f>SUM(D312:J312)</f>
        <v>0</v>
      </c>
    </row>
    <row r="313" spans="2:13" ht="15" customHeight="1" x14ac:dyDescent="0.25">
      <c r="B313" s="389" t="s">
        <v>71</v>
      </c>
      <c r="C313" s="423">
        <v>2</v>
      </c>
      <c r="D313" s="421">
        <f>D310*C313</f>
        <v>0</v>
      </c>
      <c r="E313" s="421">
        <f>E310*C313</f>
        <v>0</v>
      </c>
      <c r="F313" s="421">
        <f>F310*C313</f>
        <v>0</v>
      </c>
      <c r="G313" s="421">
        <f>G310*C313</f>
        <v>0</v>
      </c>
      <c r="H313" s="421">
        <f>H310*C313</f>
        <v>0</v>
      </c>
      <c r="I313" s="421">
        <f>I310*C313</f>
        <v>0</v>
      </c>
      <c r="J313" s="421">
        <f>J310*C313</f>
        <v>0</v>
      </c>
      <c r="K313" s="424">
        <f>SUM(D313:J313)</f>
        <v>0</v>
      </c>
    </row>
    <row r="314" spans="2:13" x14ac:dyDescent="0.25">
      <c r="B314" s="389" t="s">
        <v>602</v>
      </c>
      <c r="C314" s="423">
        <v>1</v>
      </c>
      <c r="D314" s="421">
        <f>D310*C314</f>
        <v>0</v>
      </c>
      <c r="E314" s="421">
        <f>E310*C314</f>
        <v>0</v>
      </c>
      <c r="F314" s="421">
        <f>F310*C314</f>
        <v>0</v>
      </c>
      <c r="G314" s="421">
        <f>G310*C314</f>
        <v>0</v>
      </c>
      <c r="H314" s="421">
        <f>H310*C314</f>
        <v>0</v>
      </c>
      <c r="I314" s="421">
        <f>I310*C314</f>
        <v>0</v>
      </c>
      <c r="J314" s="421">
        <f>J310*C314</f>
        <v>0</v>
      </c>
      <c r="K314" s="424">
        <f>SUM(D314:J314)</f>
        <v>0</v>
      </c>
    </row>
    <row r="315" spans="2:13" ht="15.75" thickBot="1" x14ac:dyDescent="0.3"/>
    <row r="316" spans="2:13" ht="15.75" thickBot="1" x14ac:dyDescent="0.3">
      <c r="B316" s="432">
        <v>5</v>
      </c>
      <c r="C316" s="411"/>
      <c r="D316" s="407" t="s">
        <v>548</v>
      </c>
      <c r="E316" s="408" t="s">
        <v>549</v>
      </c>
      <c r="F316" s="408" t="s">
        <v>550</v>
      </c>
      <c r="G316" s="408" t="s">
        <v>551</v>
      </c>
      <c r="H316" s="408" t="s">
        <v>552</v>
      </c>
      <c r="I316" s="408" t="s">
        <v>553</v>
      </c>
      <c r="J316" s="408" t="s">
        <v>554</v>
      </c>
      <c r="K316" s="408" t="s">
        <v>555</v>
      </c>
      <c r="M316" s="414" t="s">
        <v>660</v>
      </c>
    </row>
    <row r="317" spans="2:13" ht="15.75" thickBot="1" x14ac:dyDescent="0.3">
      <c r="B317" s="414" t="s">
        <v>556</v>
      </c>
      <c r="C317" s="415" t="s">
        <v>620</v>
      </c>
      <c r="D317" s="416">
        <f>IF(ISERROR(VLOOKUP(B316,'MD Usage'!$A$1:$W$5000,3,FALSE)),0,VLOOKUP(B316,'MD Usage'!$A$1:$W$5000,3,FALSE))</f>
        <v>0</v>
      </c>
      <c r="E317" s="416">
        <f>IF(ISERROR(VLOOKUP(B316,'MD Usage'!$A$1:$W$5000,5,FALSE)),0,VLOOKUP(B316,'MD Usage'!$A$1:$W$5000,5,FALSE))</f>
        <v>0</v>
      </c>
      <c r="F317" s="416">
        <f>IF(ISERROR(VLOOKUP(B316,'MD Usage'!$A$1:$W$5000,7,FALSE)),0,VLOOKUP(B316,'MD Usage'!$A$1:$W$5000,7,FALSE))</f>
        <v>0</v>
      </c>
      <c r="G317" s="416">
        <f>IF(ISERROR(VLOOKUP(B316,'MD Usage'!$A$1:$W$5000,9,FALSE)),0,VLOOKUP(B316,'MD Usage'!$A$1:$W$5000,9,FALSE))</f>
        <v>0</v>
      </c>
      <c r="H317" s="416">
        <f>IF(ISERROR(VLOOKUP(B316,'MD Usage'!$A$1:$W$5000,11,FALSE)),0,VLOOKUP(B316,'MD Usage'!$A$1:$W$5000,11,FALSE))</f>
        <v>0</v>
      </c>
      <c r="I317" s="416">
        <f>IF(ISERROR(VLOOKUP(B316,'MD Usage'!A1:R2000,13,FALSE)),0,VLOOKUP(B316,'MD Usage'!A1:R2000,13,FALSE))</f>
        <v>0</v>
      </c>
      <c r="J317" s="416">
        <f>IF(ISERROR(VLOOKUP(B316,'MD Usage'!A1:R2000,15,FALSE)),0,VLOOKUP(B316,'MD Usage'!A1:R2000,15,FALSE))</f>
        <v>0</v>
      </c>
      <c r="K317" s="418">
        <f>SUM(D317:J317)</f>
        <v>0</v>
      </c>
    </row>
    <row r="318" spans="2:13" x14ac:dyDescent="0.25">
      <c r="B318" s="383" t="s">
        <v>587</v>
      </c>
      <c r="C318" s="420">
        <v>6</v>
      </c>
      <c r="D318" s="421">
        <f>D317*C318</f>
        <v>0</v>
      </c>
      <c r="E318" s="421">
        <f>E317*C318</f>
        <v>0</v>
      </c>
      <c r="F318" s="421">
        <f>F317*C318</f>
        <v>0</v>
      </c>
      <c r="G318" s="421">
        <f>G317*C318</f>
        <v>0</v>
      </c>
      <c r="H318" s="421">
        <f>H317*C318</f>
        <v>0</v>
      </c>
      <c r="I318" s="421">
        <f>I317*C318</f>
        <v>0</v>
      </c>
      <c r="J318" s="421">
        <f>J317*C318</f>
        <v>0</v>
      </c>
      <c r="K318" s="422">
        <f>SUM(D318:J318)</f>
        <v>0</v>
      </c>
    </row>
    <row r="319" spans="2:13" x14ac:dyDescent="0.25">
      <c r="B319" s="389" t="s">
        <v>59</v>
      </c>
      <c r="C319" s="423">
        <v>0.5</v>
      </c>
      <c r="D319" s="421">
        <f>D317*C319</f>
        <v>0</v>
      </c>
      <c r="E319" s="421">
        <f>E317*C319</f>
        <v>0</v>
      </c>
      <c r="F319" s="421">
        <f>F317*C319</f>
        <v>0</v>
      </c>
      <c r="G319" s="421">
        <f>G317*C319</f>
        <v>0</v>
      </c>
      <c r="H319" s="421">
        <f>H317*C319</f>
        <v>0</v>
      </c>
      <c r="I319" s="421">
        <f>I317*C319</f>
        <v>0</v>
      </c>
      <c r="J319" s="421">
        <f>J317*C319</f>
        <v>0</v>
      </c>
      <c r="K319" s="424">
        <f>SUM(D319:J319)</f>
        <v>0</v>
      </c>
    </row>
    <row r="320" spans="2:13" ht="15" customHeight="1" x14ac:dyDescent="0.25">
      <c r="B320" s="389" t="s">
        <v>71</v>
      </c>
      <c r="C320" s="423">
        <v>2</v>
      </c>
      <c r="D320" s="421">
        <f>D317*C320</f>
        <v>0</v>
      </c>
      <c r="E320" s="421">
        <f>E317*C320</f>
        <v>0</v>
      </c>
      <c r="F320" s="421">
        <f>F317*C320</f>
        <v>0</v>
      </c>
      <c r="G320" s="421">
        <f>G317*C320</f>
        <v>0</v>
      </c>
      <c r="H320" s="421">
        <f>H317*C320</f>
        <v>0</v>
      </c>
      <c r="I320" s="421">
        <f>I317*C320</f>
        <v>0</v>
      </c>
      <c r="J320" s="421">
        <f>J317*C320</f>
        <v>0</v>
      </c>
      <c r="K320" s="424">
        <f>SUM(D320:J320)</f>
        <v>0</v>
      </c>
    </row>
    <row r="321" spans="2:13" x14ac:dyDescent="0.25">
      <c r="B321" s="389" t="s">
        <v>602</v>
      </c>
      <c r="C321" s="423">
        <v>1</v>
      </c>
      <c r="D321" s="421">
        <f>D317*C321</f>
        <v>0</v>
      </c>
      <c r="E321" s="421">
        <f>E317*C321</f>
        <v>0</v>
      </c>
      <c r="F321" s="421">
        <f>F317*C321</f>
        <v>0</v>
      </c>
      <c r="G321" s="421">
        <f>G317*C321</f>
        <v>0</v>
      </c>
      <c r="H321" s="421">
        <f>H317*C321</f>
        <v>0</v>
      </c>
      <c r="I321" s="421">
        <f>I317*C321</f>
        <v>0</v>
      </c>
      <c r="J321" s="421">
        <f>J317*C321</f>
        <v>0</v>
      </c>
      <c r="K321" s="424">
        <f>SUM(D321:J321)</f>
        <v>0</v>
      </c>
    </row>
    <row r="322" spans="2:13" ht="15.75" thickBot="1" x14ac:dyDescent="0.3"/>
    <row r="323" spans="2:13" ht="15.75" thickBot="1" x14ac:dyDescent="0.3">
      <c r="B323" s="432">
        <v>6480204</v>
      </c>
      <c r="C323" s="411"/>
      <c r="D323" s="407" t="s">
        <v>548</v>
      </c>
      <c r="E323" s="408" t="s">
        <v>549</v>
      </c>
      <c r="F323" s="408" t="s">
        <v>550</v>
      </c>
      <c r="G323" s="408" t="s">
        <v>551</v>
      </c>
      <c r="H323" s="408" t="s">
        <v>552</v>
      </c>
      <c r="I323" s="408" t="s">
        <v>553</v>
      </c>
      <c r="J323" s="408" t="s">
        <v>554</v>
      </c>
      <c r="K323" s="408" t="s">
        <v>555</v>
      </c>
      <c r="M323" s="414" t="s">
        <v>661</v>
      </c>
    </row>
    <row r="324" spans="2:13" ht="15.75" thickBot="1" x14ac:dyDescent="0.3">
      <c r="B324" s="414" t="s">
        <v>556</v>
      </c>
      <c r="C324" s="415" t="s">
        <v>620</v>
      </c>
      <c r="D324" s="416">
        <f>IF(ISERROR(VLOOKUP(B323,'MD Usage'!$A$1:$W$5000,3,FALSE)),0,VLOOKUP(B323,'MD Usage'!$A$1:$W$5000,3,FALSE))</f>
        <v>0</v>
      </c>
      <c r="E324" s="416">
        <f>IF(ISERROR(VLOOKUP(B323,'MD Usage'!$A$1:$W$5000,5,FALSE)),0,VLOOKUP(B323,'MD Usage'!$A$1:$W$5000,5,FALSE))</f>
        <v>0</v>
      </c>
      <c r="F324" s="416">
        <f>IF(ISERROR(VLOOKUP(B323,'MD Usage'!$A$1:$W$5000,7,FALSE)),0,VLOOKUP(B323,'MD Usage'!$A$1:$W$5000,7,FALSE))</f>
        <v>0</v>
      </c>
      <c r="G324" s="416">
        <f>IF(ISERROR(VLOOKUP(B323,'MD Usage'!$A$1:$W$5000,9,FALSE)),0,VLOOKUP(B323,'MD Usage'!$A$1:$W$5000,9,FALSE))</f>
        <v>0</v>
      </c>
      <c r="H324" s="416">
        <f>IF(ISERROR(VLOOKUP(B323,'MD Usage'!$A$1:$W$5000,11,FALSE)),0,VLOOKUP(B323,'MD Usage'!$A$1:$W$5000,11,FALSE))</f>
        <v>0</v>
      </c>
      <c r="I324" s="416">
        <f>IF(ISERROR(VLOOKUP(B323,'MD Usage'!A1:R2000,13,FALSE)),0,VLOOKUP(B323,'MD Usage'!A1:R2000,13,FALSE))</f>
        <v>1</v>
      </c>
      <c r="J324" s="416">
        <f>IF(ISERROR(VLOOKUP(B323,'MD Usage'!A1:R2000,15,FALSE)),0,VLOOKUP(B323,'MD Usage'!A1:R2000,15,FALSE))</f>
        <v>0</v>
      </c>
      <c r="K324" s="418">
        <f>SUM(D324:J324)</f>
        <v>1</v>
      </c>
    </row>
    <row r="325" spans="2:13" x14ac:dyDescent="0.25">
      <c r="B325" s="419" t="s">
        <v>587</v>
      </c>
      <c r="C325" s="420">
        <v>4</v>
      </c>
      <c r="D325" s="421">
        <f>D324*C325</f>
        <v>0</v>
      </c>
      <c r="E325" s="421">
        <f>E324*C325</f>
        <v>0</v>
      </c>
      <c r="F325" s="421">
        <f>F324*C325</f>
        <v>0</v>
      </c>
      <c r="G325" s="421">
        <f>G324*C325</f>
        <v>0</v>
      </c>
      <c r="H325" s="421">
        <f>H324*C325</f>
        <v>0</v>
      </c>
      <c r="I325" s="421">
        <f>I324*C325</f>
        <v>4</v>
      </c>
      <c r="J325" s="421">
        <f>J324*C325</f>
        <v>0</v>
      </c>
      <c r="K325" s="422">
        <f>SUM(D325:J325)</f>
        <v>4</v>
      </c>
    </row>
    <row r="326" spans="2:13" x14ac:dyDescent="0.25">
      <c r="B326" s="389" t="s">
        <v>59</v>
      </c>
      <c r="C326" s="423">
        <v>0.25</v>
      </c>
      <c r="D326" s="421">
        <f>D324*C326</f>
        <v>0</v>
      </c>
      <c r="E326" s="421">
        <f>E324*C326</f>
        <v>0</v>
      </c>
      <c r="F326" s="421">
        <f>F324*C326</f>
        <v>0</v>
      </c>
      <c r="G326" s="421">
        <f>G324*C326</f>
        <v>0</v>
      </c>
      <c r="H326" s="421">
        <f>H324*C326</f>
        <v>0</v>
      </c>
      <c r="I326" s="421">
        <f>I324*C326</f>
        <v>0.25</v>
      </c>
      <c r="J326" s="421">
        <f>J324*C326</f>
        <v>0</v>
      </c>
      <c r="K326" s="424">
        <f>SUM(D326:J326)</f>
        <v>0.25</v>
      </c>
    </row>
    <row r="327" spans="2:13" ht="15" customHeight="1" x14ac:dyDescent="0.25">
      <c r="B327" s="389" t="s">
        <v>71</v>
      </c>
      <c r="C327" s="423">
        <v>1.5</v>
      </c>
      <c r="D327" s="421">
        <f>D324*C327</f>
        <v>0</v>
      </c>
      <c r="E327" s="421">
        <f>E324*C327</f>
        <v>0</v>
      </c>
      <c r="F327" s="421">
        <f>F324*C327</f>
        <v>0</v>
      </c>
      <c r="G327" s="421">
        <f>G324*C327</f>
        <v>0</v>
      </c>
      <c r="H327" s="421">
        <f>H324*C327</f>
        <v>0</v>
      </c>
      <c r="I327" s="421">
        <f>I324*C327</f>
        <v>1.5</v>
      </c>
      <c r="J327" s="421">
        <f>J324*C327</f>
        <v>0</v>
      </c>
      <c r="K327" s="424">
        <f>SUM(D327:J327)</f>
        <v>1.5</v>
      </c>
    </row>
    <row r="328" spans="2:13" x14ac:dyDescent="0.25">
      <c r="B328" s="389" t="s">
        <v>600</v>
      </c>
      <c r="C328" s="423">
        <v>1</v>
      </c>
      <c r="D328" s="421">
        <f>D324*C328</f>
        <v>0</v>
      </c>
      <c r="E328" s="421">
        <f>E324*C328</f>
        <v>0</v>
      </c>
      <c r="F328" s="421">
        <f>F324*C328</f>
        <v>0</v>
      </c>
      <c r="G328" s="421">
        <f>G324*C328</f>
        <v>0</v>
      </c>
      <c r="H328" s="421">
        <f>H324*C328</f>
        <v>0</v>
      </c>
      <c r="I328" s="421">
        <f>I324*C328</f>
        <v>1</v>
      </c>
      <c r="J328" s="421">
        <f>J324*C328</f>
        <v>0</v>
      </c>
      <c r="K328" s="424">
        <f>SUM(D328:J328)</f>
        <v>1</v>
      </c>
    </row>
    <row r="329" spans="2:13" ht="15.75" thickBot="1" x14ac:dyDescent="0.3"/>
    <row r="330" spans="2:13" ht="15.75" thickBot="1" x14ac:dyDescent="0.3">
      <c r="B330" s="432">
        <v>6480052</v>
      </c>
      <c r="C330" s="411"/>
      <c r="D330" s="407" t="s">
        <v>548</v>
      </c>
      <c r="E330" s="408" t="s">
        <v>549</v>
      </c>
      <c r="F330" s="408" t="s">
        <v>550</v>
      </c>
      <c r="G330" s="408" t="s">
        <v>551</v>
      </c>
      <c r="H330" s="408" t="s">
        <v>552</v>
      </c>
      <c r="I330" s="408" t="s">
        <v>553</v>
      </c>
      <c r="J330" s="408" t="s">
        <v>554</v>
      </c>
      <c r="K330" s="408" t="s">
        <v>555</v>
      </c>
      <c r="M330" s="414" t="s">
        <v>662</v>
      </c>
    </row>
    <row r="331" spans="2:13" ht="15.75" thickBot="1" x14ac:dyDescent="0.3">
      <c r="B331" s="414" t="s">
        <v>556</v>
      </c>
      <c r="C331" s="415" t="s">
        <v>620</v>
      </c>
      <c r="D331" s="416">
        <f>IF(ISERROR(VLOOKUP(B330,'MD Usage'!$A$1:$W$5000,3,FALSE)),0,VLOOKUP(B330,'MD Usage'!$A$1:$W$5000,3,FALSE))</f>
        <v>0</v>
      </c>
      <c r="E331" s="416">
        <f>IF(ISERROR(VLOOKUP(B330,'MD Usage'!$A$1:$W$5000,5,FALSE)),0,VLOOKUP(B330,'MD Usage'!$A$1:$W$5000,5,FALSE))</f>
        <v>1</v>
      </c>
      <c r="F331" s="416">
        <f>IF(ISERROR(VLOOKUP(B330,'MD Usage'!$A$1:$W$5000,7,FALSE)),0,VLOOKUP(B330,'MD Usage'!$A$1:$W$5000,7,FALSE))</f>
        <v>1</v>
      </c>
      <c r="G331" s="416">
        <f>IF(ISERROR(VLOOKUP(B330,'MD Usage'!$A$1:$W$5000,9,FALSE)),0,VLOOKUP(B330,'MD Usage'!$A$1:$W$5000,9,FALSE))</f>
        <v>0</v>
      </c>
      <c r="H331" s="416">
        <f>IF(ISERROR(VLOOKUP(B330,'MD Usage'!$A$1:$W$5000,11,FALSE)),0,VLOOKUP(B330,'MD Usage'!$A$1:$W$5000,11,FALSE))</f>
        <v>2</v>
      </c>
      <c r="I331" s="416">
        <f>IF(ISERROR(VLOOKUP(B330,'MD Usage'!A1:R2000,13,FALSE)),0,VLOOKUP(B330,'MD Usage'!A1:R2000,13,FALSE))</f>
        <v>7</v>
      </c>
      <c r="J331" s="416">
        <f>IF(ISERROR(VLOOKUP(B330,'MD Usage'!A1:R2000,15,FALSE)),0,VLOOKUP(B330,'MD Usage'!A1:R2000,15,FALSE))</f>
        <v>3</v>
      </c>
      <c r="K331" s="418">
        <f>SUM(D331:J331)</f>
        <v>14</v>
      </c>
    </row>
    <row r="332" spans="2:13" x14ac:dyDescent="0.25">
      <c r="B332" s="419" t="s">
        <v>587</v>
      </c>
      <c r="C332" s="420">
        <v>4</v>
      </c>
      <c r="D332" s="421">
        <f>D331*C332</f>
        <v>0</v>
      </c>
      <c r="E332" s="421">
        <f>E331*C332</f>
        <v>4</v>
      </c>
      <c r="F332" s="421">
        <f>F331*C332</f>
        <v>4</v>
      </c>
      <c r="G332" s="421">
        <f>G331*C332</f>
        <v>0</v>
      </c>
      <c r="H332" s="421">
        <f>H331*C332</f>
        <v>8</v>
      </c>
      <c r="I332" s="421">
        <f>I331*C332</f>
        <v>28</v>
      </c>
      <c r="J332" s="421">
        <f>J331*C332</f>
        <v>12</v>
      </c>
      <c r="K332" s="422">
        <f>SUM(D332:J332)</f>
        <v>56</v>
      </c>
    </row>
    <row r="333" spans="2:13" x14ac:dyDescent="0.25">
      <c r="B333" s="389" t="s">
        <v>59</v>
      </c>
      <c r="C333" s="423">
        <v>0.25</v>
      </c>
      <c r="D333" s="421">
        <f>D331*C333</f>
        <v>0</v>
      </c>
      <c r="E333" s="421">
        <f>E331*C333</f>
        <v>0.25</v>
      </c>
      <c r="F333" s="421">
        <f>F331*C333</f>
        <v>0.25</v>
      </c>
      <c r="G333" s="421">
        <f>G331*C333</f>
        <v>0</v>
      </c>
      <c r="H333" s="421">
        <f>H331*C333</f>
        <v>0.5</v>
      </c>
      <c r="I333" s="421">
        <f>I331*C333</f>
        <v>1.75</v>
      </c>
      <c r="J333" s="421">
        <f>J331*C333</f>
        <v>0.75</v>
      </c>
      <c r="K333" s="424">
        <f>SUM(D333:J333)</f>
        <v>3.5</v>
      </c>
    </row>
    <row r="334" spans="2:13" ht="15" customHeight="1" x14ac:dyDescent="0.25">
      <c r="B334" s="389" t="s">
        <v>71</v>
      </c>
      <c r="C334" s="423">
        <v>1.5</v>
      </c>
      <c r="D334" s="421">
        <f>D331*C334</f>
        <v>0</v>
      </c>
      <c r="E334" s="421">
        <f>E331*C334</f>
        <v>1.5</v>
      </c>
      <c r="F334" s="421">
        <f>F331*C334</f>
        <v>1.5</v>
      </c>
      <c r="G334" s="421">
        <f>G331*C334</f>
        <v>0</v>
      </c>
      <c r="H334" s="421">
        <f>H331*C334</f>
        <v>3</v>
      </c>
      <c r="I334" s="421">
        <f>I331*C334</f>
        <v>10.5</v>
      </c>
      <c r="J334" s="421">
        <f>J331*C334</f>
        <v>4.5</v>
      </c>
      <c r="K334" s="424">
        <f>SUM(D334:J334)</f>
        <v>21</v>
      </c>
    </row>
    <row r="335" spans="2:13" x14ac:dyDescent="0.25">
      <c r="B335" s="389" t="s">
        <v>600</v>
      </c>
      <c r="C335" s="423">
        <v>1</v>
      </c>
      <c r="D335" s="421">
        <f>D331*C335</f>
        <v>0</v>
      </c>
      <c r="E335" s="421">
        <f>E331*C335</f>
        <v>1</v>
      </c>
      <c r="F335" s="421">
        <f>F331*C335</f>
        <v>1</v>
      </c>
      <c r="G335" s="421">
        <f>G331*C335</f>
        <v>0</v>
      </c>
      <c r="H335" s="421">
        <f>H331*C335</f>
        <v>2</v>
      </c>
      <c r="I335" s="421">
        <f>I331*C335</f>
        <v>7</v>
      </c>
      <c r="J335" s="421">
        <f>J331*C335</f>
        <v>3</v>
      </c>
      <c r="K335" s="424">
        <f>SUM(D335:J335)</f>
        <v>14</v>
      </c>
    </row>
    <row r="336" spans="2:13" ht="15.75" thickBot="1" x14ac:dyDescent="0.3"/>
    <row r="337" spans="2:13" ht="15.75" thickBot="1" x14ac:dyDescent="0.3">
      <c r="B337" s="432">
        <v>6480224</v>
      </c>
      <c r="C337" s="411"/>
      <c r="D337" s="407" t="s">
        <v>548</v>
      </c>
      <c r="E337" s="408" t="s">
        <v>549</v>
      </c>
      <c r="F337" s="408" t="s">
        <v>550</v>
      </c>
      <c r="G337" s="408" t="s">
        <v>551</v>
      </c>
      <c r="H337" s="408" t="s">
        <v>552</v>
      </c>
      <c r="I337" s="408" t="s">
        <v>553</v>
      </c>
      <c r="J337" s="408" t="s">
        <v>554</v>
      </c>
      <c r="K337" s="408" t="s">
        <v>555</v>
      </c>
      <c r="M337" s="414" t="s">
        <v>663</v>
      </c>
    </row>
    <row r="338" spans="2:13" ht="15.75" thickBot="1" x14ac:dyDescent="0.3">
      <c r="B338" s="414" t="s">
        <v>556</v>
      </c>
      <c r="C338" s="415" t="s">
        <v>620</v>
      </c>
      <c r="D338" s="416">
        <f>IF(ISERROR(VLOOKUP(B337,'MD Usage'!$A$1:$W$5000,3,FALSE)),0,VLOOKUP(B337,'MD Usage'!$A$1:$W$5000,3,FALSE))</f>
        <v>2</v>
      </c>
      <c r="E338" s="416">
        <f>IF(ISERROR(VLOOKUP(B337,'MD Usage'!$A$1:$W$5000,5,FALSE)),0,VLOOKUP(B337,'MD Usage'!$A$1:$W$5000,5,FALSE))</f>
        <v>10</v>
      </c>
      <c r="F338" s="416">
        <f>IF(ISERROR(VLOOKUP(B337,'MD Usage'!$A$1:$W$5000,7,FALSE)),0,VLOOKUP(B337,'MD Usage'!$A$1:$W$5000,7,FALSE))</f>
        <v>7</v>
      </c>
      <c r="G338" s="416">
        <f>IF(ISERROR(VLOOKUP(B337,'MD Usage'!$A$1:$W$5000,9,FALSE)),0,VLOOKUP(B337,'MD Usage'!$A$1:$W$5000,9,FALSE))</f>
        <v>2</v>
      </c>
      <c r="H338" s="416">
        <f>IF(ISERROR(VLOOKUP(B337,'MD Usage'!$A$1:$W$5000,11,FALSE)),0,VLOOKUP(B337,'MD Usage'!$A$1:$W$5000,11,FALSE))</f>
        <v>13</v>
      </c>
      <c r="I338" s="416">
        <f>IF(ISERROR(VLOOKUP($B$337,'MD Usage'!A1:R2000,13,FALSE)),0,VLOOKUP($B$337,'MD Usage'!A1:R2000,13,FALSE))</f>
        <v>13</v>
      </c>
      <c r="J338" s="416">
        <f>IF(ISERROR(VLOOKUP(B337,'MD Usage'!A1:R2000,15,FALSE)),0,VLOOKUP(B337,'MD Usage'!A1:R2000,15,FALSE))</f>
        <v>10</v>
      </c>
      <c r="K338" s="418">
        <f>SUM(D338:J338)</f>
        <v>57</v>
      </c>
    </row>
    <row r="339" spans="2:13" x14ac:dyDescent="0.25">
      <c r="B339" s="419" t="s">
        <v>587</v>
      </c>
      <c r="C339" s="420">
        <v>4</v>
      </c>
      <c r="D339" s="421">
        <f>D338*C339</f>
        <v>8</v>
      </c>
      <c r="E339" s="421">
        <f>E338*C339</f>
        <v>40</v>
      </c>
      <c r="F339" s="421">
        <f>F338*C339</f>
        <v>28</v>
      </c>
      <c r="G339" s="421">
        <f>G338*C339</f>
        <v>8</v>
      </c>
      <c r="H339" s="421">
        <f>H338*C339</f>
        <v>52</v>
      </c>
      <c r="I339" s="421">
        <f>I338*C339</f>
        <v>52</v>
      </c>
      <c r="J339" s="421">
        <f>J338*C339</f>
        <v>40</v>
      </c>
      <c r="K339" s="422">
        <f>SUM(D339:J339)</f>
        <v>228</v>
      </c>
    </row>
    <row r="340" spans="2:13" x14ac:dyDescent="0.25">
      <c r="B340" s="389" t="s">
        <v>59</v>
      </c>
      <c r="C340" s="423">
        <v>0.25</v>
      </c>
      <c r="D340" s="421">
        <f>D338*C340</f>
        <v>0.5</v>
      </c>
      <c r="E340" s="421">
        <f>E338*C340</f>
        <v>2.5</v>
      </c>
      <c r="F340" s="421">
        <f>F338*C340</f>
        <v>1.75</v>
      </c>
      <c r="G340" s="421">
        <f>G338*C340</f>
        <v>0.5</v>
      </c>
      <c r="H340" s="421">
        <f>H338*C340</f>
        <v>3.25</v>
      </c>
      <c r="I340" s="421">
        <f>I338*C340</f>
        <v>3.25</v>
      </c>
      <c r="J340" s="421">
        <f>J338*C340</f>
        <v>2.5</v>
      </c>
      <c r="K340" s="424">
        <f>SUM(D340:J340)</f>
        <v>14.25</v>
      </c>
    </row>
    <row r="341" spans="2:13" x14ac:dyDescent="0.25">
      <c r="B341" s="389" t="s">
        <v>71</v>
      </c>
      <c r="C341" s="423">
        <v>1.5</v>
      </c>
      <c r="D341" s="421">
        <f>D338*C341</f>
        <v>3</v>
      </c>
      <c r="E341" s="421">
        <f>E338*C341</f>
        <v>15</v>
      </c>
      <c r="F341" s="421">
        <f>F338*C341</f>
        <v>10.5</v>
      </c>
      <c r="G341" s="421">
        <f>G338*C341</f>
        <v>3</v>
      </c>
      <c r="H341" s="421">
        <f>H338*C341</f>
        <v>19.5</v>
      </c>
      <c r="I341" s="421">
        <f>I338*C341</f>
        <v>19.5</v>
      </c>
      <c r="J341" s="421">
        <f>J338*C341</f>
        <v>15</v>
      </c>
      <c r="K341" s="424">
        <f>SUM(D341:J341)</f>
        <v>85.5</v>
      </c>
    </row>
    <row r="342" spans="2:13" ht="15" customHeight="1" x14ac:dyDescent="0.25">
      <c r="B342" s="389" t="s">
        <v>600</v>
      </c>
      <c r="C342" s="423">
        <v>1</v>
      </c>
      <c r="D342" s="421">
        <f>D338*C342</f>
        <v>2</v>
      </c>
      <c r="E342" s="421">
        <f>E338*C342</f>
        <v>10</v>
      </c>
      <c r="F342" s="421">
        <f>F338*C342</f>
        <v>7</v>
      </c>
      <c r="G342" s="421">
        <f>G338*C342</f>
        <v>2</v>
      </c>
      <c r="H342" s="421">
        <f>H338*C342</f>
        <v>13</v>
      </c>
      <c r="I342" s="421">
        <f>I338*C342</f>
        <v>13</v>
      </c>
      <c r="J342" s="421">
        <f>J338*C342</f>
        <v>10</v>
      </c>
      <c r="K342" s="424">
        <f>SUM(D342:J342)</f>
        <v>57</v>
      </c>
    </row>
    <row r="343" spans="2:13" ht="15.75" thickBot="1" x14ac:dyDescent="0.3"/>
    <row r="344" spans="2:13" ht="15.75" thickBot="1" x14ac:dyDescent="0.3">
      <c r="B344" s="432">
        <v>5</v>
      </c>
      <c r="C344" s="411"/>
      <c r="D344" s="407" t="s">
        <v>548</v>
      </c>
      <c r="E344" s="408" t="s">
        <v>549</v>
      </c>
      <c r="F344" s="408" t="s">
        <v>550</v>
      </c>
      <c r="G344" s="408" t="s">
        <v>551</v>
      </c>
      <c r="H344" s="408" t="s">
        <v>552</v>
      </c>
      <c r="I344" s="408" t="s">
        <v>553</v>
      </c>
      <c r="J344" s="408" t="s">
        <v>554</v>
      </c>
      <c r="K344" s="408" t="s">
        <v>555</v>
      </c>
      <c r="M344" s="414" t="s">
        <v>664</v>
      </c>
    </row>
    <row r="345" spans="2:13" ht="15.75" thickBot="1" x14ac:dyDescent="0.3">
      <c r="B345" s="414" t="s">
        <v>556</v>
      </c>
      <c r="C345" s="415" t="s">
        <v>620</v>
      </c>
      <c r="D345" s="416">
        <f>IF(ISERROR(VLOOKUP(B344,'MD Usage'!$A$1:$W$5000,3,FALSE)),0,VLOOKUP(B344,'MD Usage'!$A$1:$W$5000,3,FALSE))</f>
        <v>0</v>
      </c>
      <c r="E345" s="416">
        <f>IF(ISERROR(VLOOKUP(B344,'MD Usage'!$A$1:$W$5000,5,FALSE)),0,VLOOKUP(B344,'MD Usage'!$A$1:$W$5000,5,FALSE))</f>
        <v>0</v>
      </c>
      <c r="F345" s="416">
        <f>IF(ISERROR(VLOOKUP(B344,'MD Usage'!$A$1:$W$5000,7,FALSE)),0,VLOOKUP(B344,'MD Usage'!$A$1:$W$5000,7,FALSE))</f>
        <v>0</v>
      </c>
      <c r="G345" s="416">
        <f>IF(ISERROR(VLOOKUP(B344,'MD Usage'!$A$1:$W$5000,9,FALSE)),0,VLOOKUP(B344,'MD Usage'!$A$1:$W$5000,9,FALSE))</f>
        <v>0</v>
      </c>
      <c r="H345" s="416">
        <f>IF(ISERROR(VLOOKUP(B344,'MD Usage'!$A$1:$W$5000,11,FALSE)),0,VLOOKUP(B344,'MD Usage'!$A$1:$W$5000,11,FALSE))</f>
        <v>0</v>
      </c>
      <c r="I345" s="416">
        <f>IF(ISERROR(VLOOKUP(B344,'MD Usage'!A1:R2000,13,FALSE)),0,VLOOKUP(B344,'MD Usage'!A1:R2000,13,FALSE))</f>
        <v>0</v>
      </c>
      <c r="J345" s="416">
        <f>IF(ISERROR(VLOOKUP(B344,'MD Usage'!A1:R2000,15,FALSE)),0,VLOOKUP(B344,'MD Usage'!A1:R2000,15,FALSE))</f>
        <v>0</v>
      </c>
      <c r="K345" s="418">
        <f t="shared" ref="K345:K350" si="37">SUM(D345:J345)</f>
        <v>0</v>
      </c>
    </row>
    <row r="346" spans="2:13" x14ac:dyDescent="0.25">
      <c r="B346" s="419" t="s">
        <v>587</v>
      </c>
      <c r="C346" s="420">
        <v>4</v>
      </c>
      <c r="D346" s="421">
        <f>D345*C346</f>
        <v>0</v>
      </c>
      <c r="E346" s="421">
        <f>E345*C346</f>
        <v>0</v>
      </c>
      <c r="F346" s="421">
        <f>F345*C346</f>
        <v>0</v>
      </c>
      <c r="G346" s="421">
        <f>G345*C346</f>
        <v>0</v>
      </c>
      <c r="H346" s="421">
        <f>H345*C346</f>
        <v>0</v>
      </c>
      <c r="I346" s="421">
        <f>I345*C346</f>
        <v>0</v>
      </c>
      <c r="J346" s="421">
        <f>J345*C346</f>
        <v>0</v>
      </c>
      <c r="K346" s="422">
        <f t="shared" si="37"/>
        <v>0</v>
      </c>
    </row>
    <row r="347" spans="2:13" x14ac:dyDescent="0.25">
      <c r="B347" s="389" t="s">
        <v>59</v>
      </c>
      <c r="C347" s="423">
        <v>0.25</v>
      </c>
      <c r="D347" s="421">
        <f>D345*C347</f>
        <v>0</v>
      </c>
      <c r="E347" s="421">
        <f>E345*C347</f>
        <v>0</v>
      </c>
      <c r="F347" s="421">
        <f>F345*C347</f>
        <v>0</v>
      </c>
      <c r="G347" s="421">
        <f>G345*C347</f>
        <v>0</v>
      </c>
      <c r="H347" s="421">
        <f>H345*C347</f>
        <v>0</v>
      </c>
      <c r="I347" s="421">
        <f>I345*C347</f>
        <v>0</v>
      </c>
      <c r="J347" s="421">
        <f>J345*C347</f>
        <v>0</v>
      </c>
      <c r="K347" s="424">
        <f t="shared" si="37"/>
        <v>0</v>
      </c>
    </row>
    <row r="348" spans="2:13" x14ac:dyDescent="0.25">
      <c r="B348" s="389" t="s">
        <v>71</v>
      </c>
      <c r="C348" s="423">
        <v>1.5</v>
      </c>
      <c r="D348" s="421">
        <f>D345*C348</f>
        <v>0</v>
      </c>
      <c r="E348" s="421">
        <f>E345*C348</f>
        <v>0</v>
      </c>
      <c r="F348" s="421">
        <f>F345*C348</f>
        <v>0</v>
      </c>
      <c r="G348" s="421">
        <f>G345*C348</f>
        <v>0</v>
      </c>
      <c r="H348" s="421">
        <f>H345*C348</f>
        <v>0</v>
      </c>
      <c r="I348" s="421">
        <f>I345*C348</f>
        <v>0</v>
      </c>
      <c r="J348" s="421">
        <f>J345*C348</f>
        <v>0</v>
      </c>
      <c r="K348" s="424">
        <f t="shared" si="37"/>
        <v>0</v>
      </c>
    </row>
    <row r="349" spans="2:13" ht="15" customHeight="1" x14ac:dyDescent="0.25">
      <c r="B349" s="389"/>
      <c r="C349" s="423"/>
      <c r="D349" s="421">
        <f>D345*C349</f>
        <v>0</v>
      </c>
      <c r="E349" s="421">
        <f>E345*C349</f>
        <v>0</v>
      </c>
      <c r="F349" s="421">
        <f>F345*C349</f>
        <v>0</v>
      </c>
      <c r="G349" s="421">
        <f>G345*C349</f>
        <v>0</v>
      </c>
      <c r="H349" s="421">
        <f>H345*C349</f>
        <v>0</v>
      </c>
      <c r="I349" s="421">
        <f>I345*C349</f>
        <v>0</v>
      </c>
      <c r="J349" s="421">
        <f>J345*C349</f>
        <v>0</v>
      </c>
      <c r="K349" s="424">
        <f t="shared" si="37"/>
        <v>0</v>
      </c>
    </row>
    <row r="350" spans="2:13" x14ac:dyDescent="0.25">
      <c r="B350" s="389"/>
      <c r="C350" s="423"/>
      <c r="D350" s="421">
        <f>D345*C350</f>
        <v>0</v>
      </c>
      <c r="E350" s="421">
        <f>E345*C350</f>
        <v>0</v>
      </c>
      <c r="F350" s="421">
        <f>F345*C350</f>
        <v>0</v>
      </c>
      <c r="G350" s="421">
        <f>G345*C350</f>
        <v>0</v>
      </c>
      <c r="H350" s="421">
        <f>H345*C350</f>
        <v>0</v>
      </c>
      <c r="I350" s="421">
        <f>I345*C350</f>
        <v>0</v>
      </c>
      <c r="J350" s="421">
        <f>J345*C350</f>
        <v>0</v>
      </c>
      <c r="K350" s="424">
        <f t="shared" si="37"/>
        <v>0</v>
      </c>
    </row>
    <row r="351" spans="2:13" ht="15.75" thickBot="1" x14ac:dyDescent="0.3"/>
    <row r="352" spans="2:13" ht="15.75" thickBot="1" x14ac:dyDescent="0.3">
      <c r="B352" s="432">
        <v>5</v>
      </c>
      <c r="C352" s="411"/>
      <c r="D352" s="407" t="s">
        <v>548</v>
      </c>
      <c r="E352" s="408" t="s">
        <v>549</v>
      </c>
      <c r="F352" s="408" t="s">
        <v>550</v>
      </c>
      <c r="G352" s="408" t="s">
        <v>551</v>
      </c>
      <c r="H352" s="408" t="s">
        <v>552</v>
      </c>
      <c r="I352" s="408" t="s">
        <v>553</v>
      </c>
      <c r="J352" s="408" t="s">
        <v>554</v>
      </c>
      <c r="K352" s="408" t="s">
        <v>555</v>
      </c>
      <c r="M352" s="414" t="s">
        <v>665</v>
      </c>
    </row>
    <row r="353" spans="2:13" ht="15.75" thickBot="1" x14ac:dyDescent="0.3">
      <c r="B353" s="414" t="s">
        <v>556</v>
      </c>
      <c r="C353" s="415" t="s">
        <v>620</v>
      </c>
      <c r="D353" s="416">
        <f>IF(ISERROR(VLOOKUP(B352,'MD Usage'!$A$1:$W$5000,3,FALSE)),0,VLOOKUP(B352,'MD Usage'!$A$1:$W$5000,3,FALSE))</f>
        <v>0</v>
      </c>
      <c r="E353" s="416">
        <f>IF(ISERROR(VLOOKUP(B352,'MD Usage'!$A$1:$W$5000,5,FALSE)),0,VLOOKUP(B352,'MD Usage'!$A$1:$W$5000,5,FALSE))</f>
        <v>0</v>
      </c>
      <c r="F353" s="416">
        <f>IF(ISERROR(VLOOKUP(B352,'MD Usage'!$A$1:$W$5000,7,FALSE)),0,VLOOKUP(B352,'MD Usage'!$A$1:$W$5000,7,FALSE))</f>
        <v>0</v>
      </c>
      <c r="G353" s="416">
        <f>IF(ISERROR(VLOOKUP(B352,'MD Usage'!$A$1:$W$5000,9,FALSE)),0,VLOOKUP(B352,'MD Usage'!$A$1:$W$5000,9,FALSE))</f>
        <v>0</v>
      </c>
      <c r="H353" s="416">
        <f>IF(ISERROR(VLOOKUP(B352,'MD Usage'!$A$1:$W$5000,11,FALSE)),0,VLOOKUP(B352,'MD Usage'!$A$1:$W$5000,11,FALSE))</f>
        <v>0</v>
      </c>
      <c r="I353" s="416">
        <f>IF(ISERROR(VLOOKUP(B352,'MD Usage'!A1:R2000,13,FALSE)),0,VLOOKUP(B352,'MD Usage'!A1:R2000,13,FALSE))</f>
        <v>0</v>
      </c>
      <c r="J353" s="416">
        <f>IF(ISERROR(VLOOKUP(B352,'MD Usage'!A1:R2000,15,FALSE)),0,VLOOKUP(B352,'MD Usage'!A1:R2000,15,FALSE))</f>
        <v>0</v>
      </c>
      <c r="K353" s="418">
        <f t="shared" ref="K353:K358" si="38">SUM(D353:J353)</f>
        <v>0</v>
      </c>
    </row>
    <row r="354" spans="2:13" x14ac:dyDescent="0.25">
      <c r="B354" s="383" t="s">
        <v>587</v>
      </c>
      <c r="C354" s="420">
        <v>6</v>
      </c>
      <c r="D354" s="421">
        <f>D353*C354</f>
        <v>0</v>
      </c>
      <c r="E354" s="421">
        <f>E353*C354</f>
        <v>0</v>
      </c>
      <c r="F354" s="421">
        <f>F353*C354</f>
        <v>0</v>
      </c>
      <c r="G354" s="421">
        <f>G353*C354</f>
        <v>0</v>
      </c>
      <c r="H354" s="421">
        <f>H353*C354</f>
        <v>0</v>
      </c>
      <c r="I354" s="421">
        <f>I353*C354</f>
        <v>0</v>
      </c>
      <c r="J354" s="421">
        <f>J353*C354</f>
        <v>0</v>
      </c>
      <c r="K354" s="422">
        <f t="shared" si="38"/>
        <v>0</v>
      </c>
    </row>
    <row r="355" spans="2:13" x14ac:dyDescent="0.25">
      <c r="B355" s="389" t="s">
        <v>59</v>
      </c>
      <c r="C355" s="423">
        <v>0.5</v>
      </c>
      <c r="D355" s="421">
        <f>D353*C355</f>
        <v>0</v>
      </c>
      <c r="E355" s="421">
        <f>E353*C355</f>
        <v>0</v>
      </c>
      <c r="F355" s="421">
        <f>F353*C355</f>
        <v>0</v>
      </c>
      <c r="G355" s="421">
        <f>G353*C355</f>
        <v>0</v>
      </c>
      <c r="H355" s="421">
        <f>H353*C355</f>
        <v>0</v>
      </c>
      <c r="I355" s="421">
        <f>I353*C355</f>
        <v>0</v>
      </c>
      <c r="J355" s="421">
        <f>J353*C355</f>
        <v>0</v>
      </c>
      <c r="K355" s="424">
        <f t="shared" si="38"/>
        <v>0</v>
      </c>
    </row>
    <row r="356" spans="2:13" x14ac:dyDescent="0.25">
      <c r="B356" s="389" t="s">
        <v>71</v>
      </c>
      <c r="C356" s="423">
        <v>2</v>
      </c>
      <c r="D356" s="421">
        <f>D353*C356</f>
        <v>0</v>
      </c>
      <c r="E356" s="421">
        <f>E353*C356</f>
        <v>0</v>
      </c>
      <c r="F356" s="421">
        <f>F353*C356</f>
        <v>0</v>
      </c>
      <c r="G356" s="421">
        <f>G353*C356</f>
        <v>0</v>
      </c>
      <c r="H356" s="421">
        <f>H353*C356</f>
        <v>0</v>
      </c>
      <c r="I356" s="421">
        <f>I353*C356</f>
        <v>0</v>
      </c>
      <c r="J356" s="421">
        <f>J353*C356</f>
        <v>0</v>
      </c>
      <c r="K356" s="424">
        <f t="shared" si="38"/>
        <v>0</v>
      </c>
    </row>
    <row r="357" spans="2:13" x14ac:dyDescent="0.25">
      <c r="B357" s="389"/>
      <c r="C357" s="423"/>
      <c r="D357" s="421">
        <f>D354*C357</f>
        <v>0</v>
      </c>
      <c r="E357" s="421">
        <f>E354*C357</f>
        <v>0</v>
      </c>
      <c r="F357" s="421">
        <f>F354*C357</f>
        <v>0</v>
      </c>
      <c r="G357" s="421">
        <f>G354*C357</f>
        <v>0</v>
      </c>
      <c r="H357" s="421">
        <f>H354*C357</f>
        <v>0</v>
      </c>
      <c r="I357" s="421">
        <f>I354*C357</f>
        <v>0</v>
      </c>
      <c r="J357" s="421">
        <f>J354*C357</f>
        <v>0</v>
      </c>
      <c r="K357" s="424">
        <f t="shared" si="38"/>
        <v>0</v>
      </c>
    </row>
    <row r="358" spans="2:13" ht="15" customHeight="1" x14ac:dyDescent="0.25">
      <c r="B358" s="389"/>
      <c r="C358" s="423"/>
      <c r="D358" s="421">
        <f>D353*C358</f>
        <v>0</v>
      </c>
      <c r="E358" s="421">
        <f>E353*C358</f>
        <v>0</v>
      </c>
      <c r="F358" s="421">
        <f>F353*C358</f>
        <v>0</v>
      </c>
      <c r="G358" s="421">
        <f>G353*C358</f>
        <v>0</v>
      </c>
      <c r="H358" s="421">
        <f>H353*C358</f>
        <v>0</v>
      </c>
      <c r="I358" s="421">
        <f>I353*C358</f>
        <v>0</v>
      </c>
      <c r="J358" s="421">
        <f>J353*C358</f>
        <v>0</v>
      </c>
      <c r="K358" s="424">
        <f t="shared" si="38"/>
        <v>0</v>
      </c>
    </row>
    <row r="359" spans="2:13" ht="15.75" thickBot="1" x14ac:dyDescent="0.3"/>
    <row r="360" spans="2:13" ht="15.75" thickBot="1" x14ac:dyDescent="0.3">
      <c r="B360" s="433">
        <v>5</v>
      </c>
      <c r="C360" s="411"/>
      <c r="D360" s="407" t="s">
        <v>548</v>
      </c>
      <c r="E360" s="408" t="s">
        <v>549</v>
      </c>
      <c r="F360" s="408" t="s">
        <v>550</v>
      </c>
      <c r="G360" s="408" t="s">
        <v>551</v>
      </c>
      <c r="H360" s="408" t="s">
        <v>552</v>
      </c>
      <c r="I360" s="408" t="s">
        <v>553</v>
      </c>
      <c r="J360" s="408" t="s">
        <v>554</v>
      </c>
      <c r="K360" s="408" t="s">
        <v>555</v>
      </c>
      <c r="M360" s="426" t="s">
        <v>665</v>
      </c>
    </row>
    <row r="361" spans="2:13" ht="15.75" thickBot="1" x14ac:dyDescent="0.3">
      <c r="B361" s="414" t="s">
        <v>556</v>
      </c>
      <c r="C361" s="415" t="s">
        <v>620</v>
      </c>
      <c r="D361" s="416">
        <f>IF(ISERROR(VLOOKUP(B360,'MD Usage'!$A$1:$W$5000,3,FALSE)),0,VLOOKUP(B360,'MD Usage'!$A$1:$W$5000,3,FALSE))</f>
        <v>0</v>
      </c>
      <c r="E361" s="416">
        <f>IF(ISERROR(VLOOKUP(B360,'MD Usage'!$A$1:$W$5000,5,FALSE)),0,VLOOKUP(B360,'MD Usage'!$A$1:$W$5000,5,FALSE))</f>
        <v>0</v>
      </c>
      <c r="F361" s="416">
        <f>IF(ISERROR(VLOOKUP(B360,'MD Usage'!$A$1:$W$5000,7,FALSE)),0,VLOOKUP(B360,'MD Usage'!$A$1:$W$5000,7,FALSE))</f>
        <v>0</v>
      </c>
      <c r="G361" s="416">
        <f>IF(ISERROR(VLOOKUP(B360,'MD Usage'!$A$1:$W$5000,9,FALSE)),0,VLOOKUP(B360,'MD Usage'!$A$1:$W$5000,9,FALSE))</f>
        <v>0</v>
      </c>
      <c r="H361" s="416">
        <f>IF(ISERROR(VLOOKUP(B360,'MD Usage'!$A$1:$W$5000,11,FALSE)),0,VLOOKUP(B360,'MD Usage'!$A$1:$W$5000,11,FALSE))</f>
        <v>0</v>
      </c>
      <c r="I361" s="416">
        <f>IF(ISERROR(VLOOKUP(B360,'MD Usage'!A1:R2000,13,FALSE)),0,VLOOKUP(B360,'MD Usage'!A1:R2000,13,FALSE))</f>
        <v>0</v>
      </c>
      <c r="J361" s="416">
        <f>IF(ISERROR(VLOOKUP(B360,'MD Usage'!A1:R2000,15,FALSE)),0,VLOOKUP(B360,'MD Usage'!A1:R2000,15,FALSE))</f>
        <v>0</v>
      </c>
      <c r="K361" s="418">
        <f>SUM(D361:J361)</f>
        <v>0</v>
      </c>
    </row>
    <row r="362" spans="2:13" x14ac:dyDescent="0.25">
      <c r="B362" s="383" t="s">
        <v>587</v>
      </c>
      <c r="C362" s="420">
        <v>6</v>
      </c>
      <c r="D362" s="421">
        <f>D361*C362</f>
        <v>0</v>
      </c>
      <c r="E362" s="421">
        <f>E361*C362</f>
        <v>0</v>
      </c>
      <c r="F362" s="421">
        <f>F361*C362</f>
        <v>0</v>
      </c>
      <c r="G362" s="421">
        <f>G361*C362</f>
        <v>0</v>
      </c>
      <c r="H362" s="421">
        <f>H361*C362</f>
        <v>0</v>
      </c>
      <c r="I362" s="421">
        <f>I361*C362</f>
        <v>0</v>
      </c>
      <c r="J362" s="421">
        <f>J361*C362</f>
        <v>0</v>
      </c>
      <c r="K362" s="422">
        <f>SUM(D362:J362)</f>
        <v>0</v>
      </c>
    </row>
    <row r="363" spans="2:13" x14ac:dyDescent="0.25">
      <c r="B363" s="389" t="s">
        <v>59</v>
      </c>
      <c r="C363" s="423">
        <v>0.5</v>
      </c>
      <c r="D363" s="421">
        <f>D361*C363</f>
        <v>0</v>
      </c>
      <c r="E363" s="421">
        <f>E361*C363</f>
        <v>0</v>
      </c>
      <c r="F363" s="421">
        <f>F361*C363</f>
        <v>0</v>
      </c>
      <c r="G363" s="421">
        <f>G361*C363</f>
        <v>0</v>
      </c>
      <c r="H363" s="421">
        <f>H361*C363</f>
        <v>0</v>
      </c>
      <c r="I363" s="421">
        <f>I361*C363</f>
        <v>0</v>
      </c>
      <c r="J363" s="421">
        <f>J361*C363</f>
        <v>0</v>
      </c>
      <c r="K363" s="424">
        <f>SUM(D363:J363)</f>
        <v>0</v>
      </c>
    </row>
    <row r="364" spans="2:13" x14ac:dyDescent="0.25">
      <c r="B364" s="389" t="s">
        <v>71</v>
      </c>
      <c r="C364" s="423">
        <v>2</v>
      </c>
      <c r="D364" s="421">
        <f>D361*C364</f>
        <v>0</v>
      </c>
      <c r="E364" s="421">
        <f>E361*C364</f>
        <v>0</v>
      </c>
      <c r="F364" s="421">
        <f>F361*C364</f>
        <v>0</v>
      </c>
      <c r="G364" s="421">
        <f>G361*C364</f>
        <v>0</v>
      </c>
      <c r="H364" s="421">
        <f>H361*C364</f>
        <v>0</v>
      </c>
      <c r="I364" s="421">
        <f>I361*C364</f>
        <v>0</v>
      </c>
      <c r="J364" s="421">
        <f>J361*C364</f>
        <v>0</v>
      </c>
      <c r="K364" s="424">
        <f>SUM(D364:J364)</f>
        <v>0</v>
      </c>
    </row>
    <row r="365" spans="2:13" ht="15" customHeight="1" x14ac:dyDescent="0.25">
      <c r="B365" s="389"/>
      <c r="C365" s="423"/>
      <c r="D365" s="421">
        <f>D361*C365</f>
        <v>0</v>
      </c>
      <c r="E365" s="421">
        <f>E361*C365</f>
        <v>0</v>
      </c>
      <c r="F365" s="421">
        <f>F361*C365</f>
        <v>0</v>
      </c>
      <c r="G365" s="421">
        <f>G361*C365</f>
        <v>0</v>
      </c>
      <c r="H365" s="421">
        <f>H361*C365</f>
        <v>0</v>
      </c>
      <c r="I365" s="421">
        <f>I361*C365</f>
        <v>0</v>
      </c>
      <c r="J365" s="421">
        <f>J361*C365</f>
        <v>0</v>
      </c>
      <c r="K365" s="424">
        <f>SUM(D365:J365)</f>
        <v>0</v>
      </c>
    </row>
    <row r="366" spans="2:13" ht="15.75" thickBot="1" x14ac:dyDescent="0.3"/>
    <row r="367" spans="2:13" ht="15.75" thickBot="1" x14ac:dyDescent="0.3">
      <c r="B367" s="432">
        <v>5</v>
      </c>
      <c r="C367" s="411"/>
      <c r="D367" s="407" t="s">
        <v>548</v>
      </c>
      <c r="E367" s="408" t="s">
        <v>549</v>
      </c>
      <c r="F367" s="408" t="s">
        <v>550</v>
      </c>
      <c r="G367" s="408" t="s">
        <v>551</v>
      </c>
      <c r="H367" s="408" t="s">
        <v>552</v>
      </c>
      <c r="I367" s="408" t="s">
        <v>553</v>
      </c>
      <c r="J367" s="408" t="s">
        <v>554</v>
      </c>
      <c r="K367" s="408" t="s">
        <v>555</v>
      </c>
      <c r="M367" s="426" t="s">
        <v>666</v>
      </c>
    </row>
    <row r="368" spans="2:13" ht="15.75" thickBot="1" x14ac:dyDescent="0.3">
      <c r="B368" s="414" t="s">
        <v>556</v>
      </c>
      <c r="C368" s="415" t="s">
        <v>620</v>
      </c>
      <c r="D368" s="416">
        <f>IF(ISERROR(VLOOKUP(B367,'MD Usage'!$A$1:$W$5000,3,FALSE)),0,VLOOKUP(B367,'MD Usage'!$A$1:$W$5000,3,FALSE))</f>
        <v>0</v>
      </c>
      <c r="E368" s="416">
        <f>IF(ISERROR(VLOOKUP(B367,'MD Usage'!$A$1:$W$5000,5,FALSE)),0,VLOOKUP(B367,'MD Usage'!$A$1:$W$5000,5,FALSE))</f>
        <v>0</v>
      </c>
      <c r="F368" s="416">
        <f>IF(ISERROR(VLOOKUP(B367,'MD Usage'!$A$1:$W$5000,7,FALSE)),0,VLOOKUP(B367,'MD Usage'!$A$1:$W$5000,7,FALSE))</f>
        <v>0</v>
      </c>
      <c r="G368" s="416">
        <f>IF(ISERROR(VLOOKUP(B367,'MD Usage'!$A$1:$W$5000,9,FALSE)),0,VLOOKUP(B367,'MD Usage'!$A$1:$W$5000,9,FALSE))</f>
        <v>0</v>
      </c>
      <c r="H368" s="416">
        <f>IF(ISERROR(VLOOKUP(B367,'MD Usage'!$A$1:$W$5000,11,FALSE)),0,VLOOKUP(B367,'MD Usage'!$A$1:$W$5000,11,FALSE))</f>
        <v>0</v>
      </c>
      <c r="I368" s="416">
        <f>IF(ISERROR(VLOOKUP(B367,'MD Usage'!A1:R2000,13,FALSE)),0,VLOOKUP(B367,'MD Usage'!A1:R2000,13,FALSE))</f>
        <v>0</v>
      </c>
      <c r="J368" s="416">
        <f>IF(ISERROR(VLOOKUP(B367,'MD Usage'!A1:R2000,15,FALSE)),0,VLOOKUP(B367,'MD Usage'!A1:R2000,15,FALSE))</f>
        <v>0</v>
      </c>
      <c r="K368" s="418">
        <f>SUM(D368:J368)</f>
        <v>0</v>
      </c>
    </row>
    <row r="369" spans="1:19" x14ac:dyDescent="0.25">
      <c r="B369" s="419" t="s">
        <v>588</v>
      </c>
      <c r="C369" s="420">
        <v>6</v>
      </c>
      <c r="D369" s="421">
        <f>D368*C369</f>
        <v>0</v>
      </c>
      <c r="E369" s="421">
        <f>E368*C369</f>
        <v>0</v>
      </c>
      <c r="F369" s="421">
        <f>F368*C369</f>
        <v>0</v>
      </c>
      <c r="G369" s="421">
        <f>G368*C369</f>
        <v>0</v>
      </c>
      <c r="H369" s="421">
        <f>H368*C369</f>
        <v>0</v>
      </c>
      <c r="I369" s="421">
        <f>I368*C369</f>
        <v>0</v>
      </c>
      <c r="J369" s="421">
        <f>J368*C369</f>
        <v>0</v>
      </c>
      <c r="K369" s="422">
        <f>SUM(D369:J369)</f>
        <v>0</v>
      </c>
    </row>
    <row r="370" spans="1:19" x14ac:dyDescent="0.25">
      <c r="B370" s="389" t="s">
        <v>590</v>
      </c>
      <c r="C370" s="423">
        <v>1.5</v>
      </c>
      <c r="D370" s="421">
        <f>D368*C370</f>
        <v>0</v>
      </c>
      <c r="E370" s="421">
        <f>E368*C370</f>
        <v>0</v>
      </c>
      <c r="F370" s="421">
        <f>F368*C370</f>
        <v>0</v>
      </c>
      <c r="G370" s="421">
        <f>G368*C370</f>
        <v>0</v>
      </c>
      <c r="H370" s="421">
        <f>H368*C370</f>
        <v>0</v>
      </c>
      <c r="I370" s="421">
        <f>I368*C370</f>
        <v>0</v>
      </c>
      <c r="J370" s="421">
        <f>J368*C370</f>
        <v>0</v>
      </c>
      <c r="K370" s="424">
        <f>SUM(D370:J370)</f>
        <v>0</v>
      </c>
    </row>
    <row r="371" spans="1:19" x14ac:dyDescent="0.25">
      <c r="B371" s="389"/>
      <c r="C371" s="423"/>
      <c r="D371" s="421">
        <f>D368*C371</f>
        <v>0</v>
      </c>
      <c r="E371" s="421">
        <f>E368*C371</f>
        <v>0</v>
      </c>
      <c r="F371" s="421">
        <f>F368*C371</f>
        <v>0</v>
      </c>
      <c r="G371" s="421">
        <f>G368*C371</f>
        <v>0</v>
      </c>
      <c r="H371" s="421">
        <f>H368*C371</f>
        <v>0</v>
      </c>
      <c r="I371" s="421">
        <f>I368*C371</f>
        <v>0</v>
      </c>
      <c r="J371" s="421">
        <f>J368*C371</f>
        <v>0</v>
      </c>
      <c r="K371" s="424">
        <f>SUM(D371:J371)</f>
        <v>0</v>
      </c>
    </row>
    <row r="372" spans="1:19" ht="15" customHeight="1" x14ac:dyDescent="0.25">
      <c r="B372" s="389"/>
      <c r="C372" s="423"/>
      <c r="D372" s="421">
        <f>D368*C372</f>
        <v>0</v>
      </c>
      <c r="E372" s="421">
        <f>E368*C372</f>
        <v>0</v>
      </c>
      <c r="F372" s="421">
        <f>F368*C372</f>
        <v>0</v>
      </c>
      <c r="G372" s="421">
        <f>G368*C372</f>
        <v>0</v>
      </c>
      <c r="H372" s="421">
        <f>H368*C372</f>
        <v>0</v>
      </c>
      <c r="I372" s="421">
        <f>I368*C372</f>
        <v>0</v>
      </c>
      <c r="J372" s="421">
        <f>J368*C372</f>
        <v>0</v>
      </c>
      <c r="K372" s="424">
        <f>SUM(D372:J372)</f>
        <v>0</v>
      </c>
    </row>
    <row r="373" spans="1:19" ht="15.75" thickBot="1" x14ac:dyDescent="0.3"/>
    <row r="374" spans="1:19" ht="15.75" thickBot="1" x14ac:dyDescent="0.3">
      <c r="B374" s="432"/>
      <c r="C374" s="411"/>
      <c r="D374" s="407" t="s">
        <v>548</v>
      </c>
      <c r="E374" s="408" t="s">
        <v>549</v>
      </c>
      <c r="F374" s="408" t="s">
        <v>550</v>
      </c>
      <c r="G374" s="408" t="s">
        <v>551</v>
      </c>
      <c r="H374" s="408" t="s">
        <v>552</v>
      </c>
      <c r="I374" s="408" t="s">
        <v>553</v>
      </c>
      <c r="J374" s="408" t="s">
        <v>554</v>
      </c>
      <c r="K374" s="408" t="s">
        <v>555</v>
      </c>
      <c r="M374" s="426" t="s">
        <v>666</v>
      </c>
    </row>
    <row r="375" spans="1:19" ht="15.75" thickBot="1" x14ac:dyDescent="0.3">
      <c r="B375" s="414" t="s">
        <v>556</v>
      </c>
      <c r="C375" s="415" t="s">
        <v>620</v>
      </c>
      <c r="D375" s="416">
        <f>IF(ISERROR(VLOOKUP(B374,'MD Usage'!$A$1:$W$5000,3,FALSE)),0,VLOOKUP(B374,'MD Usage'!$A$1:$W$5000,3,FALSE))</f>
        <v>0</v>
      </c>
      <c r="E375" s="416">
        <f>IF(ISERROR(VLOOKUP(B374,'MD Usage'!$A$1:$W$5000,5,FALSE)),0,VLOOKUP(B374,'MD Usage'!$A$1:$W$5000,5,FALSE))</f>
        <v>0</v>
      </c>
      <c r="F375" s="416">
        <f>IF(ISERROR(VLOOKUP(B374,'MD Usage'!$A$1:$W$5000,7,FALSE)),0,VLOOKUP(B374,'MD Usage'!$A$1:$W$5000,7,FALSE))</f>
        <v>0</v>
      </c>
      <c r="G375" s="416">
        <f>IF(ISERROR(VLOOKUP(B374,'MD Usage'!$A$1:$W$5000,9,FALSE)),0,VLOOKUP(B374,'MD Usage'!$A$1:$W$5000,9,FALSE))</f>
        <v>0</v>
      </c>
      <c r="H375" s="416">
        <f>IF(ISERROR(VLOOKUP(B374,'MD Usage'!$A$1:$W$5000,11,FALSE)),0,VLOOKUP(B374,'MD Usage'!$A$1:$W$5000,11,FALSE))</f>
        <v>0</v>
      </c>
      <c r="I375" s="416">
        <f>IF(ISERROR(VLOOKUP(B374,'MD Usage'!A1:R2000,13,FALSE)),0,VLOOKUP(B374,'MD Usage'!A1:R2000,13,FALSE))</f>
        <v>0</v>
      </c>
      <c r="J375" s="416">
        <f>IF(ISERROR(VLOOKUP(B374,'MD Usage'!A1:R2000,15,FALSE)),0,VLOOKUP(B374,'MD Usage'!A1:R2000,15,FALSE))</f>
        <v>0</v>
      </c>
      <c r="K375" s="418">
        <f>SUM(D375:J375)</f>
        <v>0</v>
      </c>
    </row>
    <row r="376" spans="1:19" x14ac:dyDescent="0.25">
      <c r="B376" s="419" t="s">
        <v>588</v>
      </c>
      <c r="C376" s="420">
        <v>6</v>
      </c>
      <c r="D376" s="421">
        <f>D375*C376</f>
        <v>0</v>
      </c>
      <c r="E376" s="421">
        <f>E375*C376</f>
        <v>0</v>
      </c>
      <c r="F376" s="421">
        <f>F375*C376</f>
        <v>0</v>
      </c>
      <c r="G376" s="421">
        <f>G375*C376</f>
        <v>0</v>
      </c>
      <c r="H376" s="421">
        <f>H375*C376</f>
        <v>0</v>
      </c>
      <c r="I376" s="421">
        <f>I375*C376</f>
        <v>0</v>
      </c>
      <c r="J376" s="421">
        <f>J375*C376</f>
        <v>0</v>
      </c>
      <c r="K376" s="422">
        <f>SUM(D376:J376)</f>
        <v>0</v>
      </c>
    </row>
    <row r="377" spans="1:19" x14ac:dyDescent="0.25">
      <c r="B377" s="389" t="s">
        <v>590</v>
      </c>
      <c r="C377" s="423">
        <v>1.5</v>
      </c>
      <c r="D377" s="421">
        <f>D375*C377</f>
        <v>0</v>
      </c>
      <c r="E377" s="421">
        <f>E375*C377</f>
        <v>0</v>
      </c>
      <c r="F377" s="421">
        <f>F375*C377</f>
        <v>0</v>
      </c>
      <c r="G377" s="421">
        <f>G375*C377</f>
        <v>0</v>
      </c>
      <c r="H377" s="421">
        <f>H375*C377</f>
        <v>0</v>
      </c>
      <c r="I377" s="421">
        <f>I375*C377</f>
        <v>0</v>
      </c>
      <c r="J377" s="421">
        <f>J375*C377</f>
        <v>0</v>
      </c>
      <c r="K377" s="424">
        <f>SUM(D377:J377)</f>
        <v>0</v>
      </c>
    </row>
    <row r="378" spans="1:19" x14ac:dyDescent="0.25">
      <c r="B378" s="389"/>
      <c r="C378" s="423"/>
      <c r="D378" s="421">
        <f>D375*C378</f>
        <v>0</v>
      </c>
      <c r="E378" s="421">
        <f>E375*C378</f>
        <v>0</v>
      </c>
      <c r="F378" s="421">
        <f>F375*C378</f>
        <v>0</v>
      </c>
      <c r="G378" s="421">
        <f>G375*C378</f>
        <v>0</v>
      </c>
      <c r="H378" s="421">
        <f>H375*C378</f>
        <v>0</v>
      </c>
      <c r="I378" s="421">
        <f>I375*C378</f>
        <v>0</v>
      </c>
      <c r="J378" s="421">
        <f>J375*C378</f>
        <v>0</v>
      </c>
      <c r="K378" s="424">
        <f>SUM(D378:J378)</f>
        <v>0</v>
      </c>
    </row>
    <row r="379" spans="1:19" ht="15" customHeight="1" x14ac:dyDescent="0.25">
      <c r="B379" s="389"/>
      <c r="C379" s="423"/>
      <c r="D379" s="421">
        <f>D375*C379</f>
        <v>0</v>
      </c>
      <c r="E379" s="421">
        <f>E375*C379</f>
        <v>0</v>
      </c>
      <c r="F379" s="421">
        <f>F375*C379</f>
        <v>0</v>
      </c>
      <c r="G379" s="421">
        <f>G375*C379</f>
        <v>0</v>
      </c>
      <c r="H379" s="421">
        <f>H375*C379</f>
        <v>0</v>
      </c>
      <c r="I379" s="421">
        <f>I375*C379</f>
        <v>0</v>
      </c>
      <c r="J379" s="421">
        <f>J375*C379</f>
        <v>0</v>
      </c>
      <c r="K379" s="424">
        <f>SUM(D379:J379)</f>
        <v>0</v>
      </c>
    </row>
    <row r="380" spans="1:19" ht="15.75" thickBot="1" x14ac:dyDescent="0.3">
      <c r="A380" s="840" t="s">
        <v>609</v>
      </c>
      <c r="B380" s="840"/>
      <c r="C380" s="840"/>
      <c r="D380" s="840"/>
      <c r="E380" s="840"/>
      <c r="F380" s="840"/>
      <c r="G380" s="840"/>
      <c r="H380" s="840"/>
      <c r="I380" s="840"/>
      <c r="J380" s="840"/>
      <c r="K380" s="840"/>
      <c r="L380" s="840"/>
      <c r="M380" s="840"/>
      <c r="N380" s="840"/>
      <c r="O380" s="840"/>
      <c r="P380" s="840"/>
      <c r="Q380" s="840"/>
      <c r="R380" s="840"/>
      <c r="S380" s="840"/>
    </row>
    <row r="381" spans="1:19" ht="15.75" thickBot="1" x14ac:dyDescent="0.3">
      <c r="B381" s="432">
        <v>6430226</v>
      </c>
      <c r="C381" s="411"/>
      <c r="D381" s="407" t="s">
        <v>548</v>
      </c>
      <c r="E381" s="408" t="s">
        <v>549</v>
      </c>
      <c r="F381" s="408" t="s">
        <v>550</v>
      </c>
      <c r="G381" s="408" t="s">
        <v>551</v>
      </c>
      <c r="H381" s="408" t="s">
        <v>552</v>
      </c>
      <c r="I381" s="408" t="s">
        <v>553</v>
      </c>
      <c r="J381" s="408" t="s">
        <v>554</v>
      </c>
      <c r="K381" s="408" t="s">
        <v>555</v>
      </c>
      <c r="M381" s="426" t="s">
        <v>667</v>
      </c>
    </row>
    <row r="382" spans="1:19" ht="15.75" thickBot="1" x14ac:dyDescent="0.3">
      <c r="B382" s="414" t="s">
        <v>556</v>
      </c>
      <c r="C382" s="415" t="s">
        <v>620</v>
      </c>
      <c r="D382" s="416">
        <f>IF(ISERROR(VLOOKUP(B381,'MD Usage'!$A$1:$W$5000,3,FALSE)),0,VLOOKUP(B381,'MD Usage'!$A$1:$W$5000,3,FALSE))</f>
        <v>2</v>
      </c>
      <c r="E382" s="416">
        <f>IF(ISERROR(VLOOKUP(B381,'MD Usage'!$A$1:$W$5000,5,FALSE)),0,VLOOKUP(B381,'MD Usage'!$A$1:$W$5000,5,FALSE))</f>
        <v>1</v>
      </c>
      <c r="F382" s="416">
        <f>IF(ISERROR(VLOOKUP(B381,'MD Usage'!$A$1:$W$5000,7,FALSE)),0,VLOOKUP(B381,'MD Usage'!$A$1:$W$5000,7,FALSE))</f>
        <v>1</v>
      </c>
      <c r="G382" s="416">
        <f>IF(ISERROR(VLOOKUP(B381,'MD Usage'!$A$1:$W$5000,9,FALSE)),0,VLOOKUP(B381,'MD Usage'!$A$1:$W$5000,9,FALSE))</f>
        <v>0</v>
      </c>
      <c r="H382" s="416">
        <f>IF(ISERROR(VLOOKUP(B381,'MD Usage'!$A$1:$W$5000,11,FALSE)),0,VLOOKUP(B381,'MD Usage'!$A$1:$W$5000,11,FALSE))</f>
        <v>4</v>
      </c>
      <c r="I382" s="416">
        <f>IF(ISERROR(VLOOKUP(B381,'MD Usage'!A1:R2000,13,FALSE)),0,VLOOKUP(B381,'MD Usage'!A1:R2000,13,FALSE))</f>
        <v>2</v>
      </c>
      <c r="J382" s="416">
        <f>IF(ISERROR(VLOOKUP(B381,'MD Usage'!A1:R2000,15,FALSE)),0,VLOOKUP(B381,'MD Usage'!A1:R1000,15,FALSE))</f>
        <v>2</v>
      </c>
      <c r="K382" s="418">
        <f>SUM(D382:J382)</f>
        <v>12</v>
      </c>
    </row>
    <row r="383" spans="1:19" x14ac:dyDescent="0.25">
      <c r="B383" s="419" t="s">
        <v>565</v>
      </c>
      <c r="C383" s="420">
        <v>1</v>
      </c>
      <c r="D383" s="421">
        <f>D382*C383</f>
        <v>2</v>
      </c>
      <c r="E383" s="421">
        <f>E382*C383</f>
        <v>1</v>
      </c>
      <c r="F383" s="421">
        <f>F382*C383</f>
        <v>1</v>
      </c>
      <c r="G383" s="421">
        <f>G382*C383</f>
        <v>0</v>
      </c>
      <c r="H383" s="421">
        <f>H382*C383</f>
        <v>4</v>
      </c>
      <c r="I383" s="421">
        <f>I382*C383</f>
        <v>2</v>
      </c>
      <c r="J383" s="421">
        <f>J382*C383</f>
        <v>2</v>
      </c>
      <c r="K383" s="422">
        <f>SUM(D383:J383)</f>
        <v>12</v>
      </c>
    </row>
    <row r="384" spans="1:19" x14ac:dyDescent="0.25">
      <c r="B384" s="389" t="s">
        <v>65</v>
      </c>
      <c r="C384" s="423">
        <v>2</v>
      </c>
      <c r="D384" s="421">
        <f>D382*C384</f>
        <v>4</v>
      </c>
      <c r="E384" s="421">
        <f>E382*C384</f>
        <v>2</v>
      </c>
      <c r="F384" s="421">
        <f>F382*C384</f>
        <v>2</v>
      </c>
      <c r="G384" s="421">
        <f>G382*C384</f>
        <v>0</v>
      </c>
      <c r="H384" s="421">
        <f>H382*C384</f>
        <v>8</v>
      </c>
      <c r="I384" s="421">
        <f>I382*C384</f>
        <v>4</v>
      </c>
      <c r="J384" s="421">
        <f>J382*C384</f>
        <v>4</v>
      </c>
      <c r="K384" s="424">
        <f>SUM(D384:J384)</f>
        <v>24</v>
      </c>
    </row>
    <row r="385" spans="2:13" x14ac:dyDescent="0.25">
      <c r="B385" s="389" t="s">
        <v>1912</v>
      </c>
      <c r="C385" s="423">
        <v>1</v>
      </c>
      <c r="D385" s="421">
        <f>D382*C385</f>
        <v>2</v>
      </c>
      <c r="E385" s="421">
        <f>E382*C385</f>
        <v>1</v>
      </c>
      <c r="F385" s="421">
        <f>F382*C385</f>
        <v>1</v>
      </c>
      <c r="G385" s="421">
        <f>G382*C385</f>
        <v>0</v>
      </c>
      <c r="H385" s="421">
        <f>H382*C385</f>
        <v>4</v>
      </c>
      <c r="I385" s="421">
        <f>I382*C385</f>
        <v>2</v>
      </c>
      <c r="J385" s="421">
        <f>J382*C385</f>
        <v>2</v>
      </c>
      <c r="K385" s="424">
        <f>SUM(D385:J385)</f>
        <v>12</v>
      </c>
    </row>
    <row r="386" spans="2:13" ht="15" customHeight="1" x14ac:dyDescent="0.25">
      <c r="B386" s="389"/>
      <c r="C386" s="423"/>
      <c r="D386" s="421">
        <f>D382*C386</f>
        <v>0</v>
      </c>
      <c r="E386" s="421">
        <f>E382*C386</f>
        <v>0</v>
      </c>
      <c r="F386" s="421">
        <f>F382*C386</f>
        <v>0</v>
      </c>
      <c r="G386" s="421">
        <f>G382*C386</f>
        <v>0</v>
      </c>
      <c r="H386" s="421">
        <f>H382*C386</f>
        <v>0</v>
      </c>
      <c r="I386" s="421">
        <f>I382*C386</f>
        <v>0</v>
      </c>
      <c r="J386" s="421">
        <f>J382*C386</f>
        <v>0</v>
      </c>
      <c r="K386" s="424">
        <f>SUM(D386:J386)</f>
        <v>0</v>
      </c>
    </row>
    <row r="387" spans="2:13" ht="15.75" thickBot="1" x14ac:dyDescent="0.3"/>
    <row r="388" spans="2:13" ht="15.75" thickBot="1" x14ac:dyDescent="0.3">
      <c r="B388" s="432">
        <v>6430227</v>
      </c>
      <c r="C388" s="411"/>
      <c r="D388" s="407" t="s">
        <v>548</v>
      </c>
      <c r="E388" s="408" t="s">
        <v>549</v>
      </c>
      <c r="F388" s="408" t="s">
        <v>550</v>
      </c>
      <c r="G388" s="408" t="s">
        <v>551</v>
      </c>
      <c r="H388" s="408" t="s">
        <v>552</v>
      </c>
      <c r="I388" s="408" t="s">
        <v>553</v>
      </c>
      <c r="J388" s="408" t="s">
        <v>554</v>
      </c>
      <c r="K388" s="408" t="s">
        <v>555</v>
      </c>
      <c r="M388" s="426" t="s">
        <v>668</v>
      </c>
    </row>
    <row r="389" spans="2:13" ht="15.75" thickBot="1" x14ac:dyDescent="0.3">
      <c r="B389" s="414" t="s">
        <v>556</v>
      </c>
      <c r="C389" s="415" t="s">
        <v>620</v>
      </c>
      <c r="D389" s="416">
        <f>IF(ISERROR(VLOOKUP(B388,'MD Usage'!$A$1:$W$5000,3,FALSE)),0,VLOOKUP(B388,'MD Usage'!$A$1:$W$5000,3,FALSE))</f>
        <v>0</v>
      </c>
      <c r="E389" s="416">
        <f>IF(ISERROR(VLOOKUP(B388,'MD Usage'!$A$1:$W$5000,5,FALSE)),0,VLOOKUP(B388,'MD Usage'!$A$1:$W$5000,5,FALSE))</f>
        <v>0</v>
      </c>
      <c r="F389" s="416">
        <f>IF(ISERROR(VLOOKUP(B388,'MD Usage'!$A$1:$W$5000,7,FALSE)),0,VLOOKUP(B388,'MD Usage'!$A$1:$W$5000,7,FALSE))</f>
        <v>0</v>
      </c>
      <c r="G389" s="416">
        <f>IF(ISERROR(VLOOKUP(B388,'MD Usage'!$A$1:$W$5000,9,FALSE)),0,VLOOKUP(B388,'MD Usage'!$A$1:$W$5000,9,FALSE))</f>
        <v>0</v>
      </c>
      <c r="H389" s="416">
        <f>IF(ISERROR(VLOOKUP(B388,'MD Usage'!$A$1:$W$5000,11,FALSE)),0,VLOOKUP(B388,'MD Usage'!$A$1:$W$5000,11,FALSE))</f>
        <v>0</v>
      </c>
      <c r="I389" s="416">
        <f>IF(ISERROR(VLOOKUP(B388,'MD Usage'!A1:R2000,13,FALSE)),0,VLOOKUP(B388,'MD Usage'!A1:R2000,13,FALSE))</f>
        <v>0</v>
      </c>
      <c r="J389" s="416">
        <f>IF(ISERROR(VLOOKUP(B388,'MD Usage'!A1:R2000,15,FALSE)),0,VLOOKUP(B388,'MD Usage'!A1:R2000,15,FALSE))</f>
        <v>0</v>
      </c>
      <c r="K389" s="418">
        <f>SUM(D389:J389)</f>
        <v>0</v>
      </c>
    </row>
    <row r="390" spans="2:13" x14ac:dyDescent="0.25">
      <c r="B390" s="419" t="s">
        <v>565</v>
      </c>
      <c r="C390" s="420">
        <v>1</v>
      </c>
      <c r="D390" s="421">
        <f>D389*C390</f>
        <v>0</v>
      </c>
      <c r="E390" s="421">
        <f>E389*C390</f>
        <v>0</v>
      </c>
      <c r="F390" s="421">
        <f>F389*C390</f>
        <v>0</v>
      </c>
      <c r="G390" s="421">
        <f>G389*C390</f>
        <v>0</v>
      </c>
      <c r="H390" s="421">
        <f>H389*C390</f>
        <v>0</v>
      </c>
      <c r="I390" s="421">
        <f>I389*C390</f>
        <v>0</v>
      </c>
      <c r="J390" s="421">
        <f>J389*C390</f>
        <v>0</v>
      </c>
      <c r="K390" s="422">
        <f>SUM(D390:J390)</f>
        <v>0</v>
      </c>
    </row>
    <row r="391" spans="2:13" x14ac:dyDescent="0.25">
      <c r="B391" s="389" t="s">
        <v>65</v>
      </c>
      <c r="C391" s="423">
        <v>4</v>
      </c>
      <c r="D391" s="421">
        <f>D389*C391</f>
        <v>0</v>
      </c>
      <c r="E391" s="421">
        <f>E389*C391</f>
        <v>0</v>
      </c>
      <c r="F391" s="421">
        <f>F389*C391</f>
        <v>0</v>
      </c>
      <c r="G391" s="421">
        <f>G389*C391</f>
        <v>0</v>
      </c>
      <c r="H391" s="421">
        <f>H389*C391</f>
        <v>0</v>
      </c>
      <c r="I391" s="421">
        <f>I389*C391</f>
        <v>0</v>
      </c>
      <c r="J391" s="421">
        <f>J389*C391</f>
        <v>0</v>
      </c>
      <c r="K391" s="424">
        <f>SUM(D391:J391)</f>
        <v>0</v>
      </c>
    </row>
    <row r="392" spans="2:13" x14ac:dyDescent="0.25">
      <c r="B392" s="389" t="s">
        <v>1912</v>
      </c>
      <c r="C392" s="423">
        <v>1</v>
      </c>
      <c r="D392" s="421">
        <f>D389*C392</f>
        <v>0</v>
      </c>
      <c r="E392" s="421">
        <f>E389*C392</f>
        <v>0</v>
      </c>
      <c r="F392" s="421">
        <f>F389*C392</f>
        <v>0</v>
      </c>
      <c r="G392" s="421">
        <f>G389*C392</f>
        <v>0</v>
      </c>
      <c r="H392" s="421">
        <f>H389*C392</f>
        <v>0</v>
      </c>
      <c r="I392" s="421">
        <f>I389*C392</f>
        <v>0</v>
      </c>
      <c r="J392" s="421">
        <f>J389*C392</f>
        <v>0</v>
      </c>
      <c r="K392" s="424">
        <f>SUM(D392:J392)</f>
        <v>0</v>
      </c>
    </row>
    <row r="393" spans="2:13" ht="15" customHeight="1" x14ac:dyDescent="0.25">
      <c r="B393" s="389"/>
      <c r="C393" s="423"/>
      <c r="D393" s="421">
        <f>D389*C393</f>
        <v>0</v>
      </c>
      <c r="E393" s="421">
        <f>E389*C393</f>
        <v>0</v>
      </c>
      <c r="F393" s="421">
        <f>F389*C393</f>
        <v>0</v>
      </c>
      <c r="G393" s="421">
        <f>G389*C393</f>
        <v>0</v>
      </c>
      <c r="H393" s="421">
        <f>H389*C393</f>
        <v>0</v>
      </c>
      <c r="I393" s="421">
        <f>I389*C393</f>
        <v>0</v>
      </c>
      <c r="J393" s="421">
        <f>J389*C393</f>
        <v>0</v>
      </c>
      <c r="K393" s="424">
        <f>SUM(D393:J393)</f>
        <v>0</v>
      </c>
    </row>
    <row r="394" spans="2:13" ht="15.75" thickBot="1" x14ac:dyDescent="0.3"/>
    <row r="395" spans="2:13" ht="15.75" thickBot="1" x14ac:dyDescent="0.3">
      <c r="B395" s="432">
        <v>6430022</v>
      </c>
      <c r="C395" s="411"/>
      <c r="D395" s="407" t="s">
        <v>548</v>
      </c>
      <c r="E395" s="408" t="s">
        <v>549</v>
      </c>
      <c r="F395" s="408" t="s">
        <v>550</v>
      </c>
      <c r="G395" s="408" t="s">
        <v>551</v>
      </c>
      <c r="H395" s="408" t="s">
        <v>552</v>
      </c>
      <c r="I395" s="408" t="s">
        <v>553</v>
      </c>
      <c r="J395" s="408" t="s">
        <v>554</v>
      </c>
      <c r="K395" s="408" t="s">
        <v>555</v>
      </c>
      <c r="M395" s="414" t="s">
        <v>669</v>
      </c>
    </row>
    <row r="396" spans="2:13" ht="15.75" thickBot="1" x14ac:dyDescent="0.3">
      <c r="B396" s="414" t="s">
        <v>556</v>
      </c>
      <c r="C396" s="415" t="s">
        <v>620</v>
      </c>
      <c r="D396" s="416">
        <f>IF(ISERROR(VLOOKUP(B395,'MD Usage'!$A$1:$W$5000,3,FALSE)),0,VLOOKUP(B395,'MD Usage'!$A$1:$W$5000,3,FALSE))</f>
        <v>0</v>
      </c>
      <c r="E396" s="416">
        <f>IF(ISERROR(VLOOKUP(B395,'MD Usage'!$A$1:$W$5000,5,FALSE)),0,VLOOKUP(B395,'MD Usage'!$A$1:$W$5000,5,FALSE))</f>
        <v>0</v>
      </c>
      <c r="F396" s="416">
        <f>IF(ISERROR(VLOOKUP(B395,'MD Usage'!$A$1:$W$5000,7,FALSE)),0,VLOOKUP(B395,'MD Usage'!$A$1:$W$5000,7,FALSE))</f>
        <v>0</v>
      </c>
      <c r="G396" s="416">
        <f>IF(ISERROR(VLOOKUP(B395,'MD Usage'!$A$1:$W$5000,9,FALSE)),0,VLOOKUP(B395,'MD Usage'!$A$1:$W$5000,9,FALSE))</f>
        <v>0</v>
      </c>
      <c r="H396" s="416">
        <f>IF(ISERROR(VLOOKUP(B395,'MD Usage'!$A$1:$W$5000,11,FALSE)),0,VLOOKUP(B395,'MD Usage'!$A$1:$W$5000,11,FALSE))</f>
        <v>0</v>
      </c>
      <c r="I396" s="416">
        <f>IF(ISERROR(VLOOKUP(B395,'MD Usage'!A1:R2000,13,FALSE)),0,VLOOKUP(B395,'MD Usage'!A1:R2000,13,FALSE))</f>
        <v>0</v>
      </c>
      <c r="J396" s="416">
        <f>IF(ISERROR(VLOOKUP(B395,'MD Usage'!A1:R2000,15,FALSE)),0,VLOOKUP(B395,'MD Usage'!A1:R2000,15,FALSE))</f>
        <v>0</v>
      </c>
      <c r="K396" s="418">
        <f>SUM(D396:J396)</f>
        <v>0</v>
      </c>
    </row>
    <row r="397" spans="2:13" x14ac:dyDescent="0.25">
      <c r="B397" s="419" t="s">
        <v>565</v>
      </c>
      <c r="C397" s="420">
        <v>1</v>
      </c>
      <c r="D397" s="421">
        <f>D396*C397</f>
        <v>0</v>
      </c>
      <c r="E397" s="421">
        <f>E396*C397</f>
        <v>0</v>
      </c>
      <c r="F397" s="421">
        <f>F396*C397</f>
        <v>0</v>
      </c>
      <c r="G397" s="421">
        <f>G396*C397</f>
        <v>0</v>
      </c>
      <c r="H397" s="421">
        <f>H396*C397</f>
        <v>0</v>
      </c>
      <c r="I397" s="421">
        <f>I396*C397</f>
        <v>0</v>
      </c>
      <c r="J397" s="421">
        <f>J396*C397</f>
        <v>0</v>
      </c>
      <c r="K397" s="422">
        <f>SUM(D397:J397)</f>
        <v>0</v>
      </c>
    </row>
    <row r="398" spans="2:13" x14ac:dyDescent="0.25">
      <c r="B398" s="389" t="s">
        <v>822</v>
      </c>
      <c r="C398" s="423">
        <v>1</v>
      </c>
      <c r="D398" s="421">
        <f>D396*C398</f>
        <v>0</v>
      </c>
      <c r="E398" s="421">
        <f>E396*C398</f>
        <v>0</v>
      </c>
      <c r="F398" s="421">
        <f>F396*C398</f>
        <v>0</v>
      </c>
      <c r="G398" s="421">
        <f>G396*C398</f>
        <v>0</v>
      </c>
      <c r="H398" s="421">
        <f>H396*C398</f>
        <v>0</v>
      </c>
      <c r="I398" s="421">
        <f>I396*C398</f>
        <v>0</v>
      </c>
      <c r="J398" s="421">
        <f>J396*C398</f>
        <v>0</v>
      </c>
      <c r="K398" s="424">
        <f>SUM(D398:J398)</f>
        <v>0</v>
      </c>
    </row>
    <row r="399" spans="2:13" x14ac:dyDescent="0.25">
      <c r="B399" s="389" t="s">
        <v>1912</v>
      </c>
      <c r="C399" s="423">
        <v>1</v>
      </c>
      <c r="D399" s="421">
        <f>D396*C399</f>
        <v>0</v>
      </c>
      <c r="E399" s="421">
        <f>E396*C399</f>
        <v>0</v>
      </c>
      <c r="F399" s="421">
        <f>F396*C399</f>
        <v>0</v>
      </c>
      <c r="G399" s="421">
        <f>G396*C399</f>
        <v>0</v>
      </c>
      <c r="H399" s="421">
        <f>H396*C399</f>
        <v>0</v>
      </c>
      <c r="I399" s="421">
        <f>I396*C399</f>
        <v>0</v>
      </c>
      <c r="J399" s="421">
        <f>J396*C399</f>
        <v>0</v>
      </c>
      <c r="K399" s="424">
        <f>SUM(D399:J399)</f>
        <v>0</v>
      </c>
    </row>
    <row r="400" spans="2:13" ht="15" customHeight="1" x14ac:dyDescent="0.25">
      <c r="B400" s="389" t="s">
        <v>1863</v>
      </c>
      <c r="C400" s="423">
        <v>1</v>
      </c>
      <c r="D400" s="421">
        <f>D396*C400</f>
        <v>0</v>
      </c>
      <c r="E400" s="421">
        <f>E396*C400</f>
        <v>0</v>
      </c>
      <c r="F400" s="421">
        <f>F396*C400</f>
        <v>0</v>
      </c>
      <c r="G400" s="421">
        <f>G396*C400</f>
        <v>0</v>
      </c>
      <c r="H400" s="421">
        <f>H396*C400</f>
        <v>0</v>
      </c>
      <c r="I400" s="421">
        <f>I396*C400</f>
        <v>0</v>
      </c>
      <c r="J400" s="421">
        <f>J396*C400</f>
        <v>0</v>
      </c>
      <c r="K400" s="424">
        <f>SUM(D400:J400)</f>
        <v>0</v>
      </c>
    </row>
    <row r="401" spans="2:13" ht="15.75" thickBot="1" x14ac:dyDescent="0.3"/>
    <row r="402" spans="2:13" ht="15.75" thickBot="1" x14ac:dyDescent="0.3">
      <c r="B402" s="432">
        <v>6430006</v>
      </c>
      <c r="C402" s="411"/>
      <c r="D402" s="407" t="s">
        <v>548</v>
      </c>
      <c r="E402" s="408" t="s">
        <v>549</v>
      </c>
      <c r="F402" s="408" t="s">
        <v>550</v>
      </c>
      <c r="G402" s="408" t="s">
        <v>551</v>
      </c>
      <c r="H402" s="408" t="s">
        <v>552</v>
      </c>
      <c r="I402" s="408" t="s">
        <v>553</v>
      </c>
      <c r="J402" s="408" t="s">
        <v>554</v>
      </c>
      <c r="K402" s="408" t="s">
        <v>555</v>
      </c>
      <c r="M402" s="414" t="s">
        <v>670</v>
      </c>
    </row>
    <row r="403" spans="2:13" ht="15.75" thickBot="1" x14ac:dyDescent="0.3">
      <c r="B403" s="414" t="s">
        <v>556</v>
      </c>
      <c r="C403" s="415" t="s">
        <v>620</v>
      </c>
      <c r="D403" s="416">
        <f>IF(ISERROR(VLOOKUP(B402,'MD Usage'!$A$1:$W$5000,3,FALSE)),0,VLOOKUP(B402,'MD Usage'!$A$1:$W$5000,3,FALSE))</f>
        <v>1</v>
      </c>
      <c r="E403" s="416">
        <f>IF(ISERROR(VLOOKUP(B402,'MD Usage'!$A$1:$W$5000,5,FALSE)),0,VLOOKUP(B402,'MD Usage'!$A$1:$W$5000,5,FALSE))</f>
        <v>0</v>
      </c>
      <c r="F403" s="416">
        <f>IF(ISERROR(VLOOKUP(B402,'MD Usage'!$A$1:$W$5000,7,FALSE)),0,VLOOKUP(B402,'MD Usage'!$A$1:$W$5000,7,FALSE))</f>
        <v>1</v>
      </c>
      <c r="G403" s="416">
        <f>IF(ISERROR(VLOOKUP(B402,'MD Usage'!$A$1:$W$5000,9,FALSE)),0,VLOOKUP(B402,'MD Usage'!$A$1:$W$5000,9,FALSE))</f>
        <v>0</v>
      </c>
      <c r="H403" s="416">
        <f>IF(ISERROR(VLOOKUP(B402,'MD Usage'!$A$1:$W$5000,11,FALSE)),0,VLOOKUP(B402,'MD Usage'!$A$1:$W$5000,11,FALSE))</f>
        <v>6</v>
      </c>
      <c r="I403" s="416">
        <f>IF(ISERROR(VLOOKUP(B402,'MD Usage'!A1:R2000,13,FALSE)),0,VLOOKUP(B402,'MD Usage'!A1:R2000,13,FALSE))</f>
        <v>5</v>
      </c>
      <c r="J403" s="416">
        <f>IF(ISERROR(VLOOKUP(B402,'MD Usage'!A1:R2000,15,FALSE)),0,VLOOKUP(B402,'MD Usage'!A1:R2000,15,FALSE))</f>
        <v>0</v>
      </c>
      <c r="K403" s="418">
        <f>SUM(D403:J403)</f>
        <v>13</v>
      </c>
    </row>
    <row r="404" spans="2:13" x14ac:dyDescent="0.25">
      <c r="B404" s="419" t="s">
        <v>565</v>
      </c>
      <c r="C404" s="420">
        <v>1</v>
      </c>
      <c r="D404" s="421">
        <f>D403*C404</f>
        <v>1</v>
      </c>
      <c r="E404" s="421">
        <f>E403*C404</f>
        <v>0</v>
      </c>
      <c r="F404" s="421">
        <f>F403*C404</f>
        <v>1</v>
      </c>
      <c r="G404" s="421">
        <f>G403*C404</f>
        <v>0</v>
      </c>
      <c r="H404" s="421">
        <f>H403*C404</f>
        <v>6</v>
      </c>
      <c r="I404" s="421">
        <f>I403*C404</f>
        <v>5</v>
      </c>
      <c r="J404" s="421">
        <f>J403*C404</f>
        <v>0</v>
      </c>
      <c r="K404" s="422">
        <f>SUM(D404:J404)</f>
        <v>13</v>
      </c>
    </row>
    <row r="405" spans="2:13" x14ac:dyDescent="0.25">
      <c r="B405" s="389" t="s">
        <v>822</v>
      </c>
      <c r="C405" s="423">
        <v>1</v>
      </c>
      <c r="D405" s="421">
        <f>D403*C405</f>
        <v>1</v>
      </c>
      <c r="E405" s="421">
        <f>E403*C405</f>
        <v>0</v>
      </c>
      <c r="F405" s="421">
        <f>F403*C405</f>
        <v>1</v>
      </c>
      <c r="G405" s="421">
        <f>G403*C405</f>
        <v>0</v>
      </c>
      <c r="H405" s="421">
        <f>H403*C405</f>
        <v>6</v>
      </c>
      <c r="I405" s="421">
        <f>I403*C405</f>
        <v>5</v>
      </c>
      <c r="J405" s="421">
        <f>J403*C405</f>
        <v>0</v>
      </c>
      <c r="K405" s="424">
        <f>SUM(D405:J405)</f>
        <v>13</v>
      </c>
    </row>
    <row r="406" spans="2:13" x14ac:dyDescent="0.25">
      <c r="B406" s="389" t="s">
        <v>1912</v>
      </c>
      <c r="C406" s="423">
        <v>1</v>
      </c>
      <c r="D406" s="421">
        <f>D403*C406</f>
        <v>1</v>
      </c>
      <c r="E406" s="421">
        <f>E403*C406</f>
        <v>0</v>
      </c>
      <c r="F406" s="421">
        <f>F403*C406</f>
        <v>1</v>
      </c>
      <c r="G406" s="421">
        <f>G403*C406</f>
        <v>0</v>
      </c>
      <c r="H406" s="421">
        <f>H403*C406</f>
        <v>6</v>
      </c>
      <c r="I406" s="421">
        <f>I403*C406</f>
        <v>5</v>
      </c>
      <c r="J406" s="421">
        <f>J403*C406</f>
        <v>0</v>
      </c>
      <c r="K406" s="424">
        <f>SUM(D406:J406)</f>
        <v>13</v>
      </c>
    </row>
    <row r="407" spans="2:13" ht="15" customHeight="1" x14ac:dyDescent="0.25">
      <c r="B407" s="389" t="s">
        <v>1863</v>
      </c>
      <c r="C407" s="423">
        <v>1</v>
      </c>
      <c r="D407" s="421">
        <f>D403*C407</f>
        <v>1</v>
      </c>
      <c r="E407" s="421">
        <f>E403*C407</f>
        <v>0</v>
      </c>
      <c r="F407" s="421">
        <f>F403*C407</f>
        <v>1</v>
      </c>
      <c r="G407" s="421">
        <f>G403*C407</f>
        <v>0</v>
      </c>
      <c r="H407" s="421">
        <f>H403*C407</f>
        <v>6</v>
      </c>
      <c r="I407" s="421">
        <f>I403*C407</f>
        <v>5</v>
      </c>
      <c r="J407" s="421">
        <f>J403*C407</f>
        <v>0</v>
      </c>
      <c r="K407" s="424">
        <f>SUM(D407:J407)</f>
        <v>13</v>
      </c>
    </row>
    <row r="408" spans="2:13" ht="15.75" thickBot="1" x14ac:dyDescent="0.3"/>
    <row r="409" spans="2:13" ht="15.75" thickBot="1" x14ac:dyDescent="0.3">
      <c r="B409" s="432">
        <v>6430003</v>
      </c>
      <c r="C409" s="411"/>
      <c r="D409" s="407" t="s">
        <v>548</v>
      </c>
      <c r="E409" s="408" t="s">
        <v>549</v>
      </c>
      <c r="F409" s="408" t="s">
        <v>550</v>
      </c>
      <c r="G409" s="408" t="s">
        <v>551</v>
      </c>
      <c r="H409" s="408" t="s">
        <v>552</v>
      </c>
      <c r="I409" s="408" t="s">
        <v>553</v>
      </c>
      <c r="J409" s="408" t="s">
        <v>554</v>
      </c>
      <c r="K409" s="408" t="s">
        <v>555</v>
      </c>
      <c r="M409" s="426" t="s">
        <v>1837</v>
      </c>
    </row>
    <row r="410" spans="2:13" ht="15.75" thickBot="1" x14ac:dyDescent="0.3">
      <c r="B410" s="414" t="s">
        <v>556</v>
      </c>
      <c r="C410" s="415" t="s">
        <v>620</v>
      </c>
      <c r="D410" s="416">
        <f>IF(ISERROR(VLOOKUP(B409,'MD Usage'!$A$1:$W$5000,3,FALSE)),0,VLOOKUP(B409,'MD Usage'!$A$1:$W$5000,3,FALSE))</f>
        <v>0</v>
      </c>
      <c r="E410" s="416">
        <f>IF(ISERROR(VLOOKUP(B409,'MD Usage'!$A$1:$W$5000,5,FALSE)),0,VLOOKUP(B409,'MD Usage'!$A$1:$W$5000,5,FALSE))</f>
        <v>0</v>
      </c>
      <c r="F410" s="416">
        <f>IF(ISERROR(VLOOKUP(B409,'MD Usage'!$A$1:$W$5000,7,FALSE)),0,VLOOKUP(B409,'MD Usage'!$A$1:$W$5000,7,FALSE))</f>
        <v>0</v>
      </c>
      <c r="G410" s="416">
        <f>IF(ISERROR(VLOOKUP(B409,'MD Usage'!$A$1:$W$5000,9,FALSE)),0,VLOOKUP(B409,'MD Usage'!$A$1:$W$5000,9,FALSE))</f>
        <v>0</v>
      </c>
      <c r="H410" s="416">
        <f>IF(ISERROR(VLOOKUP(B409,'MD Usage'!$A$1:$W$5000,11,FALSE)),0,VLOOKUP(B409,'MD Usage'!$A$1:$W$5000,11,FALSE))</f>
        <v>1</v>
      </c>
      <c r="I410" s="416">
        <f>IF(ISERROR(VLOOKUP(B409,'MD Usage'!A1:R2000,13,FALSE)),0,VLOOKUP(B409,'MD Usage'!A1:R2000,13,FALSE))</f>
        <v>0</v>
      </c>
      <c r="J410" s="416">
        <f>IF(ISERROR(VLOOKUP(B409,'MD Usage'!A1:R2000,15,FALSE)),0,VLOOKUP(B409,'MD Usage'!A1:R2000,15,FALSE))</f>
        <v>0</v>
      </c>
      <c r="K410" s="418">
        <f>SUM(D410:J410)</f>
        <v>1</v>
      </c>
    </row>
    <row r="411" spans="2:13" x14ac:dyDescent="0.25">
      <c r="B411" s="419" t="s">
        <v>566</v>
      </c>
      <c r="C411" s="420">
        <v>1</v>
      </c>
      <c r="D411" s="421">
        <f>D410*C411</f>
        <v>0</v>
      </c>
      <c r="E411" s="421">
        <f>E410*C411</f>
        <v>0</v>
      </c>
      <c r="F411" s="421">
        <f>F410*C411</f>
        <v>0</v>
      </c>
      <c r="G411" s="421">
        <f>G410*C411</f>
        <v>0</v>
      </c>
      <c r="H411" s="421">
        <f>H410*C411</f>
        <v>1</v>
      </c>
      <c r="I411" s="421">
        <f>I410*C411</f>
        <v>0</v>
      </c>
      <c r="J411" s="421">
        <f>J410*C411</f>
        <v>0</v>
      </c>
      <c r="K411" s="422">
        <f>SUM(D411:J411)</f>
        <v>1</v>
      </c>
    </row>
    <row r="412" spans="2:13" x14ac:dyDescent="0.25">
      <c r="B412" s="389" t="s">
        <v>1912</v>
      </c>
      <c r="C412" s="423">
        <v>1</v>
      </c>
      <c r="D412" s="421">
        <f>D410*C412</f>
        <v>0</v>
      </c>
      <c r="E412" s="421">
        <f>E410*C412</f>
        <v>0</v>
      </c>
      <c r="F412" s="421">
        <f>F410*C412</f>
        <v>0</v>
      </c>
      <c r="G412" s="421">
        <f>G410*C412</f>
        <v>0</v>
      </c>
      <c r="H412" s="421">
        <f>H410*C412</f>
        <v>1</v>
      </c>
      <c r="I412" s="421">
        <f>I410*C412</f>
        <v>0</v>
      </c>
      <c r="J412" s="421">
        <f>J410*C412</f>
        <v>0</v>
      </c>
      <c r="K412" s="424">
        <f>SUM(D412:J412)</f>
        <v>1</v>
      </c>
    </row>
    <row r="413" spans="2:13" x14ac:dyDescent="0.25">
      <c r="B413" s="389"/>
      <c r="C413" s="423"/>
      <c r="D413" s="421">
        <f>D410*C413</f>
        <v>0</v>
      </c>
      <c r="E413" s="421">
        <f>E410*C413</f>
        <v>0</v>
      </c>
      <c r="F413" s="421">
        <f>F410*C413</f>
        <v>0</v>
      </c>
      <c r="G413" s="421">
        <f>G410*C413</f>
        <v>0</v>
      </c>
      <c r="H413" s="421">
        <f>H410*C413</f>
        <v>0</v>
      </c>
      <c r="I413" s="421">
        <f>I410*C413</f>
        <v>0</v>
      </c>
      <c r="J413" s="421">
        <f>J410*C413</f>
        <v>0</v>
      </c>
      <c r="K413" s="424">
        <f>SUM(D413:J413)</f>
        <v>0</v>
      </c>
    </row>
    <row r="414" spans="2:13" ht="15" customHeight="1" x14ac:dyDescent="0.25">
      <c r="B414" s="389"/>
      <c r="C414" s="423"/>
      <c r="D414" s="421">
        <f>D410*C414</f>
        <v>0</v>
      </c>
      <c r="E414" s="421">
        <f>E410*C414</f>
        <v>0</v>
      </c>
      <c r="F414" s="421">
        <f>F410*C414</f>
        <v>0</v>
      </c>
      <c r="G414" s="421">
        <f>G410*C414</f>
        <v>0</v>
      </c>
      <c r="H414" s="421">
        <f>H410*C414</f>
        <v>0</v>
      </c>
      <c r="I414" s="421">
        <f>I410*C414</f>
        <v>0</v>
      </c>
      <c r="J414" s="421">
        <f>J410*C414</f>
        <v>0</v>
      </c>
      <c r="K414" s="424">
        <f>SUM(D414:J414)</f>
        <v>0</v>
      </c>
    </row>
    <row r="415" spans="2:13" ht="15.75" thickBot="1" x14ac:dyDescent="0.3"/>
    <row r="416" spans="2:13" ht="15.75" thickBot="1" x14ac:dyDescent="0.3">
      <c r="B416" s="432">
        <v>6430274</v>
      </c>
      <c r="C416" s="411"/>
      <c r="D416" s="407" t="s">
        <v>548</v>
      </c>
      <c r="E416" s="408" t="s">
        <v>549</v>
      </c>
      <c r="F416" s="408" t="s">
        <v>550</v>
      </c>
      <c r="G416" s="408" t="s">
        <v>551</v>
      </c>
      <c r="H416" s="408" t="s">
        <v>552</v>
      </c>
      <c r="I416" s="408" t="s">
        <v>553</v>
      </c>
      <c r="J416" s="408" t="s">
        <v>554</v>
      </c>
      <c r="K416" s="408" t="s">
        <v>555</v>
      </c>
      <c r="M416" s="426" t="s">
        <v>1838</v>
      </c>
    </row>
    <row r="417" spans="2:13" ht="15.75" thickBot="1" x14ac:dyDescent="0.3">
      <c r="B417" s="414" t="s">
        <v>556</v>
      </c>
      <c r="C417" s="415" t="s">
        <v>620</v>
      </c>
      <c r="D417" s="416">
        <f>IF(ISERROR(VLOOKUP(B416,'MD Usage'!$A$1:$W$5000,3,FALSE)),0,VLOOKUP(B416,'MD Usage'!$A$1:$W$5000,3,FALSE))</f>
        <v>0</v>
      </c>
      <c r="E417" s="416">
        <f>IF(ISERROR(VLOOKUP(B416,'MD Usage'!$A$1:$W$5000,5,FALSE)),0,VLOOKUP(B416,'MD Usage'!$A$1:$W$5000,5,FALSE))</f>
        <v>0</v>
      </c>
      <c r="F417" s="416">
        <f>IF(ISERROR(VLOOKUP(B416,'MD Usage'!$A$1:$W$5000,7,FALSE)),0,VLOOKUP(B416,'MD Usage'!$A$1:$W$5000,7,FALSE))</f>
        <v>1</v>
      </c>
      <c r="G417" s="416">
        <f>IF(ISERROR(VLOOKUP(B416,'MD Usage'!$A$1:$W$5000,9,FALSE)),0,VLOOKUP(B416,'MD Usage'!$A$1:$W$5000,9,FALSE))</f>
        <v>0</v>
      </c>
      <c r="H417" s="416">
        <f>IF(ISERROR(VLOOKUP(B416,'MD Usage'!$A$1:$W$5000,11,FALSE)),0,VLOOKUP(B416,'MD Usage'!$A$1:$W$5000,11,FALSE))</f>
        <v>0</v>
      </c>
      <c r="I417" s="416">
        <f>IF(ISERROR(VLOOKUP(B416,'MD Usage'!A1:R2000,13,FALSE)),0,VLOOKUP(B416,'MD Usage'!A1:R2000,13,FALSE))</f>
        <v>0</v>
      </c>
      <c r="J417" s="416">
        <f>IF(ISERROR(VLOOKUP(B416,'MD Usage'!A1:R2000,15,FALSE)),0,VLOOKUP(B416,'MD Usage'!A1:R2000,15,FALSE))</f>
        <v>0</v>
      </c>
      <c r="K417" s="418">
        <f>SUM(D417:J417)</f>
        <v>1</v>
      </c>
    </row>
    <row r="418" spans="2:13" x14ac:dyDescent="0.25">
      <c r="B418" s="419" t="s">
        <v>566</v>
      </c>
      <c r="C418" s="420">
        <v>1</v>
      </c>
      <c r="D418" s="421">
        <f>D417*C418</f>
        <v>0</v>
      </c>
      <c r="E418" s="421">
        <f>E417*C418</f>
        <v>0</v>
      </c>
      <c r="F418" s="421">
        <f>F417*C418</f>
        <v>1</v>
      </c>
      <c r="G418" s="421">
        <f>G417*C418</f>
        <v>0</v>
      </c>
      <c r="H418" s="421">
        <f>H417*C418</f>
        <v>0</v>
      </c>
      <c r="I418" s="421">
        <f>I417*C418</f>
        <v>0</v>
      </c>
      <c r="J418" s="421">
        <f>J417*C418</f>
        <v>0</v>
      </c>
      <c r="K418" s="422">
        <f>SUM(D418:J418)</f>
        <v>1</v>
      </c>
    </row>
    <row r="419" spans="2:13" x14ac:dyDescent="0.25">
      <c r="B419" s="389" t="s">
        <v>65</v>
      </c>
      <c r="C419" s="423">
        <v>4</v>
      </c>
      <c r="D419" s="421">
        <f>D417*C419</f>
        <v>0</v>
      </c>
      <c r="E419" s="421">
        <f>E417*C419</f>
        <v>0</v>
      </c>
      <c r="F419" s="421">
        <f>F417*C419</f>
        <v>4</v>
      </c>
      <c r="G419" s="421">
        <f>G417*C419</f>
        <v>0</v>
      </c>
      <c r="H419" s="421">
        <f>H417*C419</f>
        <v>0</v>
      </c>
      <c r="I419" s="421">
        <f>I417*C419</f>
        <v>0</v>
      </c>
      <c r="J419" s="421">
        <f>J417*C419</f>
        <v>0</v>
      </c>
      <c r="K419" s="424">
        <f>SUM(D419:J419)</f>
        <v>4</v>
      </c>
    </row>
    <row r="420" spans="2:13" x14ac:dyDescent="0.25">
      <c r="B420" s="389" t="s">
        <v>1912</v>
      </c>
      <c r="C420" s="423">
        <v>1</v>
      </c>
      <c r="D420" s="421">
        <f>D417*C420</f>
        <v>0</v>
      </c>
      <c r="E420" s="421">
        <f>E417*C420</f>
        <v>0</v>
      </c>
      <c r="F420" s="421">
        <f>F417*C420</f>
        <v>1</v>
      </c>
      <c r="G420" s="421">
        <f>G417*C420</f>
        <v>0</v>
      </c>
      <c r="H420" s="421">
        <f>H417*C420</f>
        <v>0</v>
      </c>
      <c r="I420" s="421">
        <f>I417*C420</f>
        <v>0</v>
      </c>
      <c r="J420" s="421">
        <f>J417*C420</f>
        <v>0</v>
      </c>
      <c r="K420" s="424">
        <f>SUM(D420:J420)</f>
        <v>1</v>
      </c>
    </row>
    <row r="421" spans="2:13" ht="15" customHeight="1" x14ac:dyDescent="0.25">
      <c r="B421" s="389"/>
      <c r="C421" s="423"/>
      <c r="D421" s="421">
        <f>D417*C421</f>
        <v>0</v>
      </c>
      <c r="E421" s="421">
        <f>E417*C421</f>
        <v>0</v>
      </c>
      <c r="F421" s="421">
        <f>F417*C421</f>
        <v>0</v>
      </c>
      <c r="G421" s="421">
        <f>G417*C421</f>
        <v>0</v>
      </c>
      <c r="H421" s="421">
        <f>H417*C421</f>
        <v>0</v>
      </c>
      <c r="I421" s="421">
        <f>I417*C421</f>
        <v>0</v>
      </c>
      <c r="J421" s="421">
        <f>J417*C421</f>
        <v>0</v>
      </c>
      <c r="K421" s="424">
        <f>SUM(D421:J421)</f>
        <v>0</v>
      </c>
    </row>
    <row r="422" spans="2:13" ht="15.75" thickBot="1" x14ac:dyDescent="0.3"/>
    <row r="423" spans="2:13" ht="15.75" thickBot="1" x14ac:dyDescent="0.3">
      <c r="B423" s="432">
        <v>6430428</v>
      </c>
      <c r="C423" s="411"/>
      <c r="D423" s="407" t="s">
        <v>548</v>
      </c>
      <c r="E423" s="408" t="s">
        <v>549</v>
      </c>
      <c r="F423" s="408" t="s">
        <v>550</v>
      </c>
      <c r="G423" s="408" t="s">
        <v>551</v>
      </c>
      <c r="H423" s="408" t="s">
        <v>552</v>
      </c>
      <c r="I423" s="408" t="s">
        <v>553</v>
      </c>
      <c r="J423" s="408" t="s">
        <v>554</v>
      </c>
      <c r="K423" s="408" t="s">
        <v>555</v>
      </c>
      <c r="M423" s="426" t="s">
        <v>671</v>
      </c>
    </row>
    <row r="424" spans="2:13" ht="15.75" thickBot="1" x14ac:dyDescent="0.3">
      <c r="B424" s="414" t="s">
        <v>556</v>
      </c>
      <c r="C424" s="415" t="s">
        <v>620</v>
      </c>
      <c r="D424" s="416">
        <f>IF(ISERROR(VLOOKUP(B423,'MD Usage'!$A$1:$W$5000,3,FALSE)),0,VLOOKUP(B423,'MD Usage'!$A$1:$W$5000,3,FALSE))</f>
        <v>0</v>
      </c>
      <c r="E424" s="416">
        <f>IF(ISERROR(VLOOKUP(B423,'MD Usage'!$A$1:$W$5000,5,FALSE)),0,VLOOKUP(B423,'MD Usage'!$A$1:$W$5000,5,FALSE))</f>
        <v>0</v>
      </c>
      <c r="F424" s="416">
        <f>IF(ISERROR(VLOOKUP(B423,'MD Usage'!$A$1:$W$5000,7,FALSE)),0,VLOOKUP(B423,'MD Usage'!$A$1:$W$5000,7,FALSE))</f>
        <v>0</v>
      </c>
      <c r="G424" s="416">
        <f>IF(ISERROR(VLOOKUP(B423,'MD Usage'!$A$1:$W$5000,9,FALSE)),0,VLOOKUP(B423,'MD Usage'!$A$1:$W$5000,9,FALSE))</f>
        <v>0</v>
      </c>
      <c r="H424" s="416">
        <f>IF(ISERROR(VLOOKUP(B423,'MD Usage'!$A$1:$W$5000,11,FALSE)),0,VLOOKUP(B423,'MD Usage'!$A$1:$W$5000,11,FALSE))</f>
        <v>0</v>
      </c>
      <c r="I424" s="416">
        <f>IF(ISERROR(VLOOKUP(B423,'MD Usage'!A1:R2000,13,FALSE)),0,VLOOKUP(B423,'MD Usage'!A1:R2000,13,FALSE))</f>
        <v>0</v>
      </c>
      <c r="J424" s="416">
        <f>IF(ISERROR(VLOOKUP(B423,'MD Usage'!A1:R2000,15,FALSE)),0,VLOOKUP(B423,'MD Usage'!A1:R2000,15,FALSE))</f>
        <v>0</v>
      </c>
      <c r="K424" s="418">
        <f>SUM(D424:J424)</f>
        <v>0</v>
      </c>
    </row>
    <row r="425" spans="2:13" x14ac:dyDescent="0.25">
      <c r="B425" s="419" t="s">
        <v>565</v>
      </c>
      <c r="C425" s="420">
        <v>1</v>
      </c>
      <c r="D425" s="421">
        <f>D424*C425</f>
        <v>0</v>
      </c>
      <c r="E425" s="421">
        <f>E424*C425</f>
        <v>0</v>
      </c>
      <c r="F425" s="421">
        <f>F424*C425</f>
        <v>0</v>
      </c>
      <c r="G425" s="421">
        <f>G424*C425</f>
        <v>0</v>
      </c>
      <c r="H425" s="421">
        <f>H424*C425</f>
        <v>0</v>
      </c>
      <c r="I425" s="421">
        <f>I424*C425</f>
        <v>0</v>
      </c>
      <c r="J425" s="421">
        <f>J424*C425</f>
        <v>0</v>
      </c>
      <c r="K425" s="422">
        <f>SUM(D425:J425)</f>
        <v>0</v>
      </c>
    </row>
    <row r="426" spans="2:13" x14ac:dyDescent="0.25">
      <c r="B426" s="389" t="s">
        <v>1912</v>
      </c>
      <c r="C426" s="423">
        <v>1</v>
      </c>
      <c r="D426" s="421">
        <f>D424*C426</f>
        <v>0</v>
      </c>
      <c r="E426" s="421">
        <f>E424*C426</f>
        <v>0</v>
      </c>
      <c r="F426" s="421">
        <f>F424*C426</f>
        <v>0</v>
      </c>
      <c r="G426" s="421">
        <f>G424*C426</f>
        <v>0</v>
      </c>
      <c r="H426" s="421">
        <f>H424*C426</f>
        <v>0</v>
      </c>
      <c r="I426" s="421">
        <f>I424*C426</f>
        <v>0</v>
      </c>
      <c r="J426" s="421">
        <f>J424*C426</f>
        <v>0</v>
      </c>
      <c r="K426" s="424">
        <f>SUM(D426:J426)</f>
        <v>0</v>
      </c>
    </row>
    <row r="427" spans="2:13" x14ac:dyDescent="0.25">
      <c r="B427" s="389"/>
      <c r="C427" s="423"/>
      <c r="D427" s="421">
        <f>D424*C427</f>
        <v>0</v>
      </c>
      <c r="E427" s="421">
        <f>E424*C427</f>
        <v>0</v>
      </c>
      <c r="F427" s="421">
        <f>F424*C427</f>
        <v>0</v>
      </c>
      <c r="G427" s="421">
        <f>G424*C427</f>
        <v>0</v>
      </c>
      <c r="H427" s="421">
        <f>H424*C427</f>
        <v>0</v>
      </c>
      <c r="I427" s="421">
        <f>I424*C427</f>
        <v>0</v>
      </c>
      <c r="J427" s="421">
        <f>J424*C427</f>
        <v>0</v>
      </c>
      <c r="K427" s="424">
        <f>SUM(D427:J427)</f>
        <v>0</v>
      </c>
    </row>
    <row r="428" spans="2:13" ht="15" customHeight="1" x14ac:dyDescent="0.25">
      <c r="B428" s="389"/>
      <c r="C428" s="423"/>
      <c r="D428" s="421">
        <f>D424*C428</f>
        <v>0</v>
      </c>
      <c r="E428" s="421">
        <f>E424*C428</f>
        <v>0</v>
      </c>
      <c r="F428" s="421">
        <f>F424*C428</f>
        <v>0</v>
      </c>
      <c r="G428" s="421">
        <f>G424*C428</f>
        <v>0</v>
      </c>
      <c r="H428" s="421">
        <f>H424*C428</f>
        <v>0</v>
      </c>
      <c r="I428" s="421">
        <f>I424*C428</f>
        <v>0</v>
      </c>
      <c r="J428" s="421">
        <f>J424*C428</f>
        <v>0</v>
      </c>
      <c r="K428" s="424">
        <f>SUM(D428:J428)</f>
        <v>0</v>
      </c>
    </row>
    <row r="429" spans="2:13" ht="15.75" thickBot="1" x14ac:dyDescent="0.3"/>
    <row r="430" spans="2:13" ht="15.75" thickBot="1" x14ac:dyDescent="0.3">
      <c r="B430" s="432">
        <v>6430249</v>
      </c>
      <c r="C430" s="411"/>
      <c r="D430" s="407" t="s">
        <v>548</v>
      </c>
      <c r="E430" s="408" t="s">
        <v>549</v>
      </c>
      <c r="F430" s="408" t="s">
        <v>550</v>
      </c>
      <c r="G430" s="408" t="s">
        <v>551</v>
      </c>
      <c r="H430" s="408" t="s">
        <v>552</v>
      </c>
      <c r="I430" s="408" t="s">
        <v>553</v>
      </c>
      <c r="J430" s="408" t="s">
        <v>554</v>
      </c>
      <c r="K430" s="408" t="s">
        <v>555</v>
      </c>
      <c r="M430" s="426" t="s">
        <v>672</v>
      </c>
    </row>
    <row r="431" spans="2:13" ht="15.75" thickBot="1" x14ac:dyDescent="0.3">
      <c r="B431" s="414" t="s">
        <v>556</v>
      </c>
      <c r="C431" s="415" t="s">
        <v>620</v>
      </c>
      <c r="D431" s="416">
        <f>IF(ISERROR(VLOOKUP(B430,'MD Usage'!$A$1:$W$5000,3,FALSE)),0,VLOOKUP(B430,'MD Usage'!$A$1:$W$5000,3,FALSE))</f>
        <v>0</v>
      </c>
      <c r="E431" s="416">
        <f>IF(ISERROR(VLOOKUP(B430,'MD Usage'!$A$1:$W$5000,5,FALSE)),0,VLOOKUP(B430,'MD Usage'!$A$1:$W$5000,5,FALSE))</f>
        <v>0</v>
      </c>
      <c r="F431" s="416">
        <f>IF(ISERROR(VLOOKUP(B430,'MD Usage'!$A$1:$W$5000,7,FALSE)),0,VLOOKUP(B430,'MD Usage'!$A$1:$W$5000,7,FALSE))</f>
        <v>0</v>
      </c>
      <c r="G431" s="416">
        <f>IF(ISERROR(VLOOKUP(B430,'MD Usage'!$A$1:$W$5000,9,FALSE)),0,VLOOKUP(B430,'MD Usage'!$A$1:$W$5000,9,FALSE))</f>
        <v>0</v>
      </c>
      <c r="H431" s="416">
        <f>IF(ISERROR(VLOOKUP(B430,'MD Usage'!$A$1:$W$5000,11,FALSE)),0,VLOOKUP(B430,'MD Usage'!$A$1:$W$5000,11,FALSE))</f>
        <v>0</v>
      </c>
      <c r="I431" s="416">
        <f>IF(ISERROR(VLOOKUP(B430,'MD Usage'!A1:R2000,13,FALSE)),0,VLOOKUP(B430,'MD Usage'!A1:R2000,13,FALSE))</f>
        <v>0</v>
      </c>
      <c r="J431" s="416">
        <f>IF(ISERROR(VLOOKUP(B430,'MD Usage'!A1:R2000,15,FALSE)),0,VLOOKUP(B430,'MD Usage'!A1:R2000,15,FALSE))</f>
        <v>0</v>
      </c>
      <c r="K431" s="418">
        <f>SUM(D431:J431)</f>
        <v>0</v>
      </c>
    </row>
    <row r="432" spans="2:13" x14ac:dyDescent="0.25">
      <c r="B432" s="419" t="s">
        <v>565</v>
      </c>
      <c r="C432" s="420">
        <v>1</v>
      </c>
      <c r="D432" s="421">
        <f>D431*C432</f>
        <v>0</v>
      </c>
      <c r="E432" s="421">
        <f>E431*C432</f>
        <v>0</v>
      </c>
      <c r="F432" s="421">
        <f>F431*C432</f>
        <v>0</v>
      </c>
      <c r="G432" s="421">
        <f>G431*C432</f>
        <v>0</v>
      </c>
      <c r="H432" s="421">
        <f>H431*C432</f>
        <v>0</v>
      </c>
      <c r="I432" s="421">
        <f>I431*C432</f>
        <v>0</v>
      </c>
      <c r="J432" s="421">
        <f>J431*C432</f>
        <v>0</v>
      </c>
      <c r="K432" s="422">
        <f>SUM(D432:J432)</f>
        <v>0</v>
      </c>
    </row>
    <row r="433" spans="2:13" x14ac:dyDescent="0.25">
      <c r="B433" s="389" t="s">
        <v>65</v>
      </c>
      <c r="C433" s="423">
        <v>2</v>
      </c>
      <c r="D433" s="421">
        <f>D431*C433</f>
        <v>0</v>
      </c>
      <c r="E433" s="421">
        <f>E431*C433</f>
        <v>0</v>
      </c>
      <c r="F433" s="421">
        <f>F431*C433</f>
        <v>0</v>
      </c>
      <c r="G433" s="421">
        <f>G431*C433</f>
        <v>0</v>
      </c>
      <c r="H433" s="421">
        <f>H431*C433</f>
        <v>0</v>
      </c>
      <c r="I433" s="421">
        <f>I431*C433</f>
        <v>0</v>
      </c>
      <c r="J433" s="421">
        <f>J431*C433</f>
        <v>0</v>
      </c>
      <c r="K433" s="424">
        <f>SUM(D433:J433)</f>
        <v>0</v>
      </c>
    </row>
    <row r="434" spans="2:13" x14ac:dyDescent="0.25">
      <c r="B434" s="389" t="s">
        <v>1912</v>
      </c>
      <c r="C434" s="423">
        <v>1</v>
      </c>
      <c r="D434" s="421">
        <f>D431*C434</f>
        <v>0</v>
      </c>
      <c r="E434" s="421">
        <f>E431*C434</f>
        <v>0</v>
      </c>
      <c r="F434" s="421">
        <f>F431*C434</f>
        <v>0</v>
      </c>
      <c r="G434" s="421">
        <f>G431*C434</f>
        <v>0</v>
      </c>
      <c r="H434" s="421">
        <f>H431*C434</f>
        <v>0</v>
      </c>
      <c r="I434" s="421">
        <f>I431*C434</f>
        <v>0</v>
      </c>
      <c r="J434" s="421">
        <f>J431*C434</f>
        <v>0</v>
      </c>
      <c r="K434" s="424">
        <f>SUM(D434:J434)</f>
        <v>0</v>
      </c>
    </row>
    <row r="435" spans="2:13" ht="15" customHeight="1" x14ac:dyDescent="0.25">
      <c r="B435" s="389"/>
      <c r="C435" s="423"/>
      <c r="D435" s="421">
        <f>D431*C435</f>
        <v>0</v>
      </c>
      <c r="E435" s="421">
        <f>E431*C435</f>
        <v>0</v>
      </c>
      <c r="F435" s="421">
        <f>F431*C435</f>
        <v>0</v>
      </c>
      <c r="G435" s="421">
        <f>G431*C435</f>
        <v>0</v>
      </c>
      <c r="H435" s="421">
        <f>H431*C435</f>
        <v>0</v>
      </c>
      <c r="I435" s="421">
        <f>I431*C435</f>
        <v>0</v>
      </c>
      <c r="J435" s="421">
        <f>J431*C435</f>
        <v>0</v>
      </c>
      <c r="K435" s="424">
        <f>SUM(D435:J435)</f>
        <v>0</v>
      </c>
    </row>
    <row r="436" spans="2:13" ht="15.75" thickBot="1" x14ac:dyDescent="0.3"/>
    <row r="437" spans="2:13" ht="15.75" thickBot="1" x14ac:dyDescent="0.3">
      <c r="B437" s="432">
        <v>6436026</v>
      </c>
      <c r="C437" s="411"/>
      <c r="D437" s="407" t="s">
        <v>548</v>
      </c>
      <c r="E437" s="408" t="s">
        <v>549</v>
      </c>
      <c r="F437" s="408" t="s">
        <v>550</v>
      </c>
      <c r="G437" s="408" t="s">
        <v>551</v>
      </c>
      <c r="H437" s="408" t="s">
        <v>552</v>
      </c>
      <c r="I437" s="408" t="s">
        <v>553</v>
      </c>
      <c r="J437" s="408" t="s">
        <v>554</v>
      </c>
      <c r="K437" s="408" t="s">
        <v>555</v>
      </c>
      <c r="M437" s="414" t="s">
        <v>673</v>
      </c>
    </row>
    <row r="438" spans="2:13" ht="15.75" thickBot="1" x14ac:dyDescent="0.3">
      <c r="B438" s="414" t="s">
        <v>556</v>
      </c>
      <c r="C438" s="415" t="s">
        <v>620</v>
      </c>
      <c r="D438" s="416">
        <f>IF(ISERROR(VLOOKUP(B437,'MD Usage'!$A$1:$W$5000,3,FALSE)),0,VLOOKUP(B437,'MD Usage'!$A$1:$W$5000,3,FALSE))</f>
        <v>0</v>
      </c>
      <c r="E438" s="416">
        <f>IF(ISERROR(VLOOKUP(B437,'MD Usage'!$A$1:$W$5000,5,FALSE)),0,VLOOKUP(B437,'MD Usage'!$A$1:$W$5000,5,FALSE))</f>
        <v>0</v>
      </c>
      <c r="F438" s="416">
        <f>IF(ISERROR(VLOOKUP(B437,'MD Usage'!$A$1:$W$5000,7,FALSE)),0,VLOOKUP(B437,'MD Usage'!$A$1:$W$5000,7,FALSE))</f>
        <v>0</v>
      </c>
      <c r="G438" s="416">
        <f>IF(ISERROR(VLOOKUP(B437,'MD Usage'!$A$1:$W$5000,9,FALSE)),0,VLOOKUP(B437,'MD Usage'!$A$1:$W$5000,9,FALSE))</f>
        <v>0</v>
      </c>
      <c r="H438" s="416">
        <f>IF(ISERROR(VLOOKUP(B437,'MD Usage'!$A$1:$W$5000,11,FALSE)),0,VLOOKUP(B437,'MD Usage'!$A$1:$W$5000,11,FALSE))</f>
        <v>0</v>
      </c>
      <c r="I438" s="416">
        <f>IF(ISERROR(VLOOKUP(B437,'MD Usage'!A1:R2000,13,FALSE)),0,VLOOKUP(B437,'MD Usage'!A1:R2000,13,FALSE))</f>
        <v>0</v>
      </c>
      <c r="J438" s="416">
        <f>IF(ISERROR(VLOOKUP(B437,'MD Usage'!A1:R2000,15,FALSE)),0,VLOOKUP(B437,'MD Usage'!A1:R2000,15,FALSE))</f>
        <v>0</v>
      </c>
      <c r="K438" s="418">
        <f t="shared" ref="K438:K443" si="39">SUM(D438:J438)</f>
        <v>0</v>
      </c>
    </row>
    <row r="439" spans="2:13" x14ac:dyDescent="0.25">
      <c r="B439" s="419" t="s">
        <v>566</v>
      </c>
      <c r="C439" s="420">
        <v>1</v>
      </c>
      <c r="D439" s="421">
        <f>D438*C439</f>
        <v>0</v>
      </c>
      <c r="E439" s="421">
        <f>E438*C439</f>
        <v>0</v>
      </c>
      <c r="F439" s="421">
        <f>F438*C439</f>
        <v>0</v>
      </c>
      <c r="G439" s="421">
        <f>G438*C439</f>
        <v>0</v>
      </c>
      <c r="H439" s="421">
        <f>H438*C439</f>
        <v>0</v>
      </c>
      <c r="I439" s="421">
        <f>I438*C439</f>
        <v>0</v>
      </c>
      <c r="J439" s="421">
        <f>J438*C439</f>
        <v>0</v>
      </c>
      <c r="K439" s="422">
        <f t="shared" si="39"/>
        <v>0</v>
      </c>
    </row>
    <row r="440" spans="2:13" x14ac:dyDescent="0.25">
      <c r="B440" s="389" t="s">
        <v>65</v>
      </c>
      <c r="C440" s="423">
        <v>4</v>
      </c>
      <c r="D440" s="421">
        <f>D438*C440</f>
        <v>0</v>
      </c>
      <c r="E440" s="421">
        <f>E438*C440</f>
        <v>0</v>
      </c>
      <c r="F440" s="421">
        <f>F438*C440</f>
        <v>0</v>
      </c>
      <c r="G440" s="421">
        <f>G438*C440</f>
        <v>0</v>
      </c>
      <c r="H440" s="421">
        <f>H438*C440</f>
        <v>0</v>
      </c>
      <c r="I440" s="421">
        <f>I438*C440</f>
        <v>0</v>
      </c>
      <c r="J440" s="421">
        <f>J438*C440</f>
        <v>0</v>
      </c>
      <c r="K440" s="424">
        <f t="shared" si="39"/>
        <v>0</v>
      </c>
    </row>
    <row r="441" spans="2:13" x14ac:dyDescent="0.25">
      <c r="B441" s="389" t="s">
        <v>1912</v>
      </c>
      <c r="C441" s="423">
        <v>1</v>
      </c>
      <c r="D441" s="421">
        <f>D438*C441</f>
        <v>0</v>
      </c>
      <c r="E441" s="421">
        <f>E438*C441</f>
        <v>0</v>
      </c>
      <c r="F441" s="421">
        <f>F438*C441</f>
        <v>0</v>
      </c>
      <c r="G441" s="421">
        <f>G438*C441</f>
        <v>0</v>
      </c>
      <c r="H441" s="421">
        <f>H438*C441</f>
        <v>0</v>
      </c>
      <c r="I441" s="421">
        <f>I438*C441</f>
        <v>0</v>
      </c>
      <c r="J441" s="421">
        <f>J438*C441</f>
        <v>0</v>
      </c>
      <c r="K441" s="424">
        <f t="shared" si="39"/>
        <v>0</v>
      </c>
    </row>
    <row r="442" spans="2:13" ht="15" customHeight="1" x14ac:dyDescent="0.25">
      <c r="B442" s="389"/>
      <c r="C442" s="423"/>
      <c r="D442" s="421">
        <f>D439*C442</f>
        <v>0</v>
      </c>
      <c r="E442" s="421">
        <f>E439*C442</f>
        <v>0</v>
      </c>
      <c r="F442" s="421">
        <f>F439*C442</f>
        <v>0</v>
      </c>
      <c r="G442" s="421">
        <f>G439*C442</f>
        <v>0</v>
      </c>
      <c r="H442" s="421">
        <f>H439*C442</f>
        <v>0</v>
      </c>
      <c r="I442" s="421">
        <f>I439*C442</f>
        <v>0</v>
      </c>
      <c r="J442" s="421">
        <f>J439*C442</f>
        <v>0</v>
      </c>
      <c r="K442" s="424">
        <f t="shared" si="39"/>
        <v>0</v>
      </c>
    </row>
    <row r="443" spans="2:13" x14ac:dyDescent="0.25">
      <c r="B443" s="389"/>
      <c r="C443" s="423"/>
      <c r="D443" s="421">
        <f>D438*C443</f>
        <v>0</v>
      </c>
      <c r="E443" s="421">
        <f>E438*C443</f>
        <v>0</v>
      </c>
      <c r="F443" s="421">
        <f>F438*C443</f>
        <v>0</v>
      </c>
      <c r="G443" s="421">
        <f>G438*C443</f>
        <v>0</v>
      </c>
      <c r="H443" s="421">
        <f>H438*C443</f>
        <v>0</v>
      </c>
      <c r="I443" s="421">
        <f>I438*C443</f>
        <v>0</v>
      </c>
      <c r="J443" s="421">
        <f>J438*C443</f>
        <v>0</v>
      </c>
      <c r="K443" s="424">
        <f t="shared" si="39"/>
        <v>0</v>
      </c>
    </row>
    <row r="444" spans="2:13" ht="15.75" thickBot="1" x14ac:dyDescent="0.3"/>
    <row r="445" spans="2:13" ht="15.75" thickBot="1" x14ac:dyDescent="0.3">
      <c r="B445" s="432">
        <v>6490667</v>
      </c>
      <c r="C445" s="411"/>
      <c r="D445" s="407" t="s">
        <v>548</v>
      </c>
      <c r="E445" s="408" t="s">
        <v>549</v>
      </c>
      <c r="F445" s="408" t="s">
        <v>550</v>
      </c>
      <c r="G445" s="408" t="s">
        <v>551</v>
      </c>
      <c r="H445" s="408" t="s">
        <v>552</v>
      </c>
      <c r="I445" s="408" t="s">
        <v>553</v>
      </c>
      <c r="J445" s="408" t="s">
        <v>554</v>
      </c>
      <c r="K445" s="408" t="s">
        <v>555</v>
      </c>
      <c r="M445" s="414" t="s">
        <v>674</v>
      </c>
    </row>
    <row r="446" spans="2:13" ht="15.75" thickBot="1" x14ac:dyDescent="0.3">
      <c r="B446" s="414" t="s">
        <v>556</v>
      </c>
      <c r="C446" s="415" t="s">
        <v>620</v>
      </c>
      <c r="D446" s="416">
        <f>IF(ISERROR(VLOOKUP(B445,'MD Usage'!$A$1:$W$5000,3,FALSE)),0,VLOOKUP(B445,'MD Usage'!$A$1:$W$5000,3,FALSE))</f>
        <v>1</v>
      </c>
      <c r="E446" s="416">
        <f>IF(ISERROR(VLOOKUP(B445,'MD Usage'!$A$1:$W$5000,5,FALSE)),0,VLOOKUP(B445,'MD Usage'!$A$1:$W$5000,5,FALSE))</f>
        <v>0</v>
      </c>
      <c r="F446" s="416">
        <f>IF(ISERROR(VLOOKUP(B445,'MD Usage'!$A$1:$W$5000,7,FALSE)),0,VLOOKUP(B445,'MD Usage'!$A$1:$W$5000,7,FALSE))</f>
        <v>0</v>
      </c>
      <c r="G446" s="416">
        <f>IF(ISERROR(VLOOKUP(B445,'MD Usage'!$A$1:$W$5000,9,FALSE)),0,VLOOKUP(B445,'MD Usage'!$A$1:$W$5000,9,FALSE))</f>
        <v>1</v>
      </c>
      <c r="H446" s="416">
        <f>IF(ISERROR(VLOOKUP(B445,'MD Usage'!$A$1:$W$5000,11,FALSE)),0,VLOOKUP(B445,'MD Usage'!$A$1:$W$5000,11,FALSE))</f>
        <v>1</v>
      </c>
      <c r="I446" s="416">
        <f>IF(ISERROR(VLOOKUP(B445,'MD Usage'!A1:R2000,13,FALSE)),0,VLOOKUP(B445,'MD Usage'!A1:R2000,13,FALSE))</f>
        <v>3</v>
      </c>
      <c r="J446" s="416">
        <f>IF(ISERROR(VLOOKUP(B445,'MD Usage'!A1:R2000,15,FALSE)),0,VLOOKUP(B445,'MD Usage'!A1:R2000,15,FALSE))</f>
        <v>0</v>
      </c>
      <c r="K446" s="418">
        <f>SUM(D446:J446)</f>
        <v>6</v>
      </c>
    </row>
    <row r="447" spans="2:13" x14ac:dyDescent="0.25">
      <c r="B447" s="419" t="s">
        <v>565</v>
      </c>
      <c r="C447" s="420">
        <v>1</v>
      </c>
      <c r="D447" s="421">
        <f>D446*C447</f>
        <v>1</v>
      </c>
      <c r="E447" s="421">
        <f>E446*C447</f>
        <v>0</v>
      </c>
      <c r="F447" s="421">
        <f>F446*C447</f>
        <v>0</v>
      </c>
      <c r="G447" s="421">
        <f>G446*C447</f>
        <v>1</v>
      </c>
      <c r="H447" s="421">
        <f>H446*C447</f>
        <v>1</v>
      </c>
      <c r="I447" s="421">
        <f>I446*C447</f>
        <v>3</v>
      </c>
      <c r="J447" s="421">
        <f>J446*C447</f>
        <v>0</v>
      </c>
      <c r="K447" s="422">
        <f>SUM(D447:J447)</f>
        <v>6</v>
      </c>
    </row>
    <row r="448" spans="2:13" x14ac:dyDescent="0.25">
      <c r="B448" s="389"/>
      <c r="C448" s="423"/>
      <c r="D448" s="421">
        <f>D446*C448</f>
        <v>0</v>
      </c>
      <c r="E448" s="421">
        <f>E446*C448</f>
        <v>0</v>
      </c>
      <c r="F448" s="421">
        <f>F446*C448</f>
        <v>0</v>
      </c>
      <c r="G448" s="421">
        <f>G446*C448</f>
        <v>0</v>
      </c>
      <c r="H448" s="421">
        <f>H446*C448</f>
        <v>0</v>
      </c>
      <c r="I448" s="421">
        <f>I446*C448</f>
        <v>0</v>
      </c>
      <c r="J448" s="421">
        <f>J446*C448</f>
        <v>0</v>
      </c>
      <c r="K448" s="424">
        <f>SUM(D448:J448)</f>
        <v>0</v>
      </c>
    </row>
    <row r="449" spans="2:13" ht="15" customHeight="1" x14ac:dyDescent="0.25">
      <c r="B449" s="389"/>
      <c r="C449" s="423"/>
      <c r="D449" s="421">
        <f>D446*C449</f>
        <v>0</v>
      </c>
      <c r="E449" s="421">
        <f>E446*C449</f>
        <v>0</v>
      </c>
      <c r="F449" s="421">
        <f>F446*C449</f>
        <v>0</v>
      </c>
      <c r="G449" s="421">
        <f>G446*C449</f>
        <v>0</v>
      </c>
      <c r="H449" s="421">
        <f>H446*C449</f>
        <v>0</v>
      </c>
      <c r="I449" s="421">
        <f>I446*C449</f>
        <v>0</v>
      </c>
      <c r="J449" s="421">
        <f>J446*C449</f>
        <v>0</v>
      </c>
      <c r="K449" s="424">
        <f>SUM(D449:J449)</f>
        <v>0</v>
      </c>
    </row>
    <row r="450" spans="2:13" x14ac:dyDescent="0.25">
      <c r="B450" s="389"/>
      <c r="C450" s="423"/>
      <c r="D450" s="421">
        <f>D446*C450</f>
        <v>0</v>
      </c>
      <c r="E450" s="421">
        <f>E446*C450</f>
        <v>0</v>
      </c>
      <c r="F450" s="421">
        <f>F446*C450</f>
        <v>0</v>
      </c>
      <c r="G450" s="421">
        <f>G446*C450</f>
        <v>0</v>
      </c>
      <c r="H450" s="421">
        <f>H446*C450</f>
        <v>0</v>
      </c>
      <c r="I450" s="421">
        <f>I446*C450</f>
        <v>0</v>
      </c>
      <c r="J450" s="421">
        <f>J446*C450</f>
        <v>0</v>
      </c>
      <c r="K450" s="424">
        <f>SUM(D450:J450)</f>
        <v>0</v>
      </c>
    </row>
    <row r="451" spans="2:13" ht="15.75" thickBot="1" x14ac:dyDescent="0.3"/>
    <row r="452" spans="2:13" ht="15.75" thickBot="1" x14ac:dyDescent="0.3">
      <c r="B452" s="432">
        <v>6436002</v>
      </c>
      <c r="C452" s="411"/>
      <c r="D452" s="407" t="s">
        <v>548</v>
      </c>
      <c r="E452" s="408" t="s">
        <v>549</v>
      </c>
      <c r="F452" s="408" t="s">
        <v>550</v>
      </c>
      <c r="G452" s="408" t="s">
        <v>551</v>
      </c>
      <c r="H452" s="408" t="s">
        <v>552</v>
      </c>
      <c r="I452" s="408" t="s">
        <v>553</v>
      </c>
      <c r="J452" s="408" t="s">
        <v>554</v>
      </c>
      <c r="K452" s="408" t="s">
        <v>555</v>
      </c>
      <c r="M452" s="426" t="s">
        <v>675</v>
      </c>
    </row>
    <row r="453" spans="2:13" ht="15.75" thickBot="1" x14ac:dyDescent="0.3">
      <c r="B453" s="432">
        <v>6436002</v>
      </c>
      <c r="C453" s="415" t="s">
        <v>620</v>
      </c>
      <c r="D453" s="416">
        <f>IF(ISERROR(VLOOKUP(B452,'MD Usage'!$A$1:$W$5000,3,FALSE)),0,VLOOKUP(B452,'MD Usage'!$A$1:$W$5000,3,FALSE))</f>
        <v>0</v>
      </c>
      <c r="E453" s="416">
        <f>IF(ISERROR(VLOOKUP(B452,'MD Usage'!$A$1:$W$5000,5,FALSE)),0,VLOOKUP(B452,'MD Usage'!$A$1:$W$5000,5,FALSE))</f>
        <v>0</v>
      </c>
      <c r="F453" s="416">
        <f>IF(ISERROR(VLOOKUP(B452,'MD Usage'!$A$1:$W$5000,7,FALSE)),0,VLOOKUP(B452,'MD Usage'!$A$1:$W$5000,7,FALSE))</f>
        <v>0</v>
      </c>
      <c r="G453" s="416">
        <f>IF(ISERROR(VLOOKUP(B452,'MD Usage'!$A$1:$W$5000,9,FALSE)),0,VLOOKUP(B452,'MD Usage'!$A$1:$W$5000,9,FALSE))</f>
        <v>0</v>
      </c>
      <c r="H453" s="416">
        <f>IF(ISERROR(VLOOKUP(B452,'MD Usage'!$A$1:$W$5000,11,FALSE)),0,VLOOKUP(B452,'MD Usage'!$A$1:$W$5000,11,FALSE))</f>
        <v>1</v>
      </c>
      <c r="I453" s="416">
        <f>IF(ISERROR(VLOOKUP(B452,'MD Usage'!A1:R2000,13,FALSE)),0,VLOOKUP(B452,'MD Usage'!A1:R2000,13,FALSE))</f>
        <v>0</v>
      </c>
      <c r="J453" s="416">
        <f>IF(ISERROR(VLOOKUP(B452,'MD Usage'!A1:R2000,15,FALSE)),0,VLOOKUP(B452,'MD Usage'!A1:R2000,15,FALSE))</f>
        <v>0</v>
      </c>
      <c r="K453" s="418">
        <f t="shared" ref="K453:K458" si="40">SUM(D453:J453)</f>
        <v>1</v>
      </c>
    </row>
    <row r="454" spans="2:13" x14ac:dyDescent="0.25">
      <c r="B454" s="419" t="s">
        <v>565</v>
      </c>
      <c r="C454" s="420">
        <v>1</v>
      </c>
      <c r="D454" s="421">
        <f>D453*C454</f>
        <v>0</v>
      </c>
      <c r="E454" s="421">
        <f>E453*C454</f>
        <v>0</v>
      </c>
      <c r="F454" s="421">
        <f>F453*C454</f>
        <v>0</v>
      </c>
      <c r="G454" s="421">
        <f>G453*C454</f>
        <v>0</v>
      </c>
      <c r="H454" s="421">
        <f>H453*C454</f>
        <v>1</v>
      </c>
      <c r="I454" s="421">
        <f>I453*C454</f>
        <v>0</v>
      </c>
      <c r="J454" s="421">
        <f>J453*C454</f>
        <v>0</v>
      </c>
      <c r="K454" s="422">
        <f t="shared" si="40"/>
        <v>1</v>
      </c>
    </row>
    <row r="455" spans="2:13" x14ac:dyDescent="0.25">
      <c r="B455" s="389"/>
      <c r="C455" s="423"/>
      <c r="D455" s="421">
        <f>D453*C455</f>
        <v>0</v>
      </c>
      <c r="E455" s="421">
        <f>E453*C455</f>
        <v>0</v>
      </c>
      <c r="F455" s="421">
        <f>F453*C455</f>
        <v>0</v>
      </c>
      <c r="G455" s="421">
        <f>G453*C455</f>
        <v>0</v>
      </c>
      <c r="H455" s="421">
        <f>H453*C455</f>
        <v>0</v>
      </c>
      <c r="I455" s="421">
        <f>I453*C455</f>
        <v>0</v>
      </c>
      <c r="J455" s="421">
        <f>J453*C455</f>
        <v>0</v>
      </c>
      <c r="K455" s="424">
        <f t="shared" si="40"/>
        <v>0</v>
      </c>
    </row>
    <row r="456" spans="2:13" ht="15" customHeight="1" x14ac:dyDescent="0.25">
      <c r="B456" s="389"/>
      <c r="C456" s="423"/>
      <c r="D456" s="421">
        <f>D453*C456</f>
        <v>0</v>
      </c>
      <c r="E456" s="421">
        <f>E453*C456</f>
        <v>0</v>
      </c>
      <c r="F456" s="421">
        <f>F453*C456</f>
        <v>0</v>
      </c>
      <c r="G456" s="421">
        <f>G453*C456</f>
        <v>0</v>
      </c>
      <c r="H456" s="421">
        <f>H453*C456</f>
        <v>0</v>
      </c>
      <c r="I456" s="421">
        <f>I453*C456</f>
        <v>0</v>
      </c>
      <c r="J456" s="421">
        <f>J453*C456</f>
        <v>0</v>
      </c>
      <c r="K456" s="424">
        <f t="shared" si="40"/>
        <v>0</v>
      </c>
    </row>
    <row r="457" spans="2:13" x14ac:dyDescent="0.25">
      <c r="B457" s="389"/>
      <c r="C457" s="423"/>
      <c r="D457" s="421">
        <f>D454*C457</f>
        <v>0</v>
      </c>
      <c r="E457" s="421">
        <f>E454*C457</f>
        <v>0</v>
      </c>
      <c r="F457" s="421">
        <f>F454*C457</f>
        <v>0</v>
      </c>
      <c r="G457" s="421">
        <f>G454*C457</f>
        <v>0</v>
      </c>
      <c r="H457" s="421">
        <f>H454*C457</f>
        <v>0</v>
      </c>
      <c r="I457" s="421">
        <f>I454*C457</f>
        <v>0</v>
      </c>
      <c r="J457" s="421">
        <f>J454*C457</f>
        <v>0</v>
      </c>
      <c r="K457" s="424">
        <f t="shared" si="40"/>
        <v>0</v>
      </c>
    </row>
    <row r="458" spans="2:13" x14ac:dyDescent="0.25">
      <c r="B458" s="389"/>
      <c r="C458" s="423"/>
      <c r="D458" s="421">
        <f>D453*C458</f>
        <v>0</v>
      </c>
      <c r="E458" s="421">
        <f>E453*C458</f>
        <v>0</v>
      </c>
      <c r="F458" s="421">
        <f>F453*C458</f>
        <v>0</v>
      </c>
      <c r="G458" s="421">
        <f>G453*C458</f>
        <v>0</v>
      </c>
      <c r="H458" s="421">
        <f>H453*C458</f>
        <v>0</v>
      </c>
      <c r="I458" s="421">
        <f>I453*C458</f>
        <v>0</v>
      </c>
      <c r="J458" s="421">
        <f>J453*C458</f>
        <v>0</v>
      </c>
      <c r="K458" s="424">
        <f t="shared" si="40"/>
        <v>0</v>
      </c>
    </row>
    <row r="459" spans="2:13" ht="15.75" thickBot="1" x14ac:dyDescent="0.3"/>
    <row r="460" spans="2:13" ht="15.75" thickBot="1" x14ac:dyDescent="0.3">
      <c r="B460" s="414">
        <v>6430409</v>
      </c>
      <c r="C460" s="411"/>
      <c r="D460" s="407" t="s">
        <v>548</v>
      </c>
      <c r="E460" s="408" t="s">
        <v>549</v>
      </c>
      <c r="F460" s="408" t="s">
        <v>550</v>
      </c>
      <c r="G460" s="408" t="s">
        <v>551</v>
      </c>
      <c r="H460" s="408" t="s">
        <v>552</v>
      </c>
      <c r="I460" s="408" t="s">
        <v>553</v>
      </c>
      <c r="J460" s="408" t="s">
        <v>554</v>
      </c>
      <c r="K460" s="408" t="s">
        <v>555</v>
      </c>
      <c r="M460" s="426" t="s">
        <v>676</v>
      </c>
    </row>
    <row r="461" spans="2:13" ht="15.75" thickBot="1" x14ac:dyDescent="0.3">
      <c r="B461" s="414" t="s">
        <v>556</v>
      </c>
      <c r="C461" s="415" t="s">
        <v>620</v>
      </c>
      <c r="D461" s="416">
        <f>IF(ISERROR(VLOOKUP(B460,'MD Usage'!$A$1:$W$5000,3,FALSE)),0,VLOOKUP(B460,'MD Usage'!$A$1:$W$5000,3,FALSE))</f>
        <v>5</v>
      </c>
      <c r="E461" s="416">
        <f>IF(ISERROR(VLOOKUP(B460,'MD Usage'!$A$1:$W$5000,5,FALSE)),0,VLOOKUP(B460,'MD Usage'!$A$1:$W$5000,5,FALSE))</f>
        <v>0</v>
      </c>
      <c r="F461" s="416">
        <f>IF(ISERROR(VLOOKUP(B460,'MD Usage'!$A$1:$W$5000,7,FALSE)),0,VLOOKUP(B460,'MD Usage'!$A$1:$W$5000,7,FALSE))</f>
        <v>0</v>
      </c>
      <c r="G461" s="416">
        <f>IF(ISERROR(VLOOKUP(B460,'MD Usage'!$A$1:$W$5000,9,FALSE)),0,VLOOKUP(B460,'MD Usage'!$A$1:$W$5000,9,FALSE))</f>
        <v>1</v>
      </c>
      <c r="H461" s="416">
        <f>IF(ISERROR(VLOOKUP(B460,'MD Usage'!$A$1:$W$5000,11,FALSE)),0,VLOOKUP(B460,'MD Usage'!$A$1:$W$5000,11,FALSE))</f>
        <v>2</v>
      </c>
      <c r="I461" s="416">
        <f>IF(ISERROR(VLOOKUP(B460,'MD Usage'!A1:R2000,13,FALSE)),0,VLOOKUP(B460,'MD Usage'!A1:R2000,13,FALSE))</f>
        <v>6</v>
      </c>
      <c r="J461" s="416">
        <f>IF(ISERROR(VLOOKUP(B460,'MD Usage'!A1:R2000,15,FALSE)),0,VLOOKUP(B460,'MD Usage'!A1:R2000,15,FALSE))</f>
        <v>3</v>
      </c>
      <c r="K461" s="418">
        <f>SUM(D461:J461)</f>
        <v>17</v>
      </c>
    </row>
    <row r="462" spans="2:13" x14ac:dyDescent="0.25">
      <c r="B462" s="419" t="s">
        <v>565</v>
      </c>
      <c r="C462" s="420">
        <v>1</v>
      </c>
      <c r="D462" s="421">
        <f>D461*C462</f>
        <v>5</v>
      </c>
      <c r="E462" s="421">
        <f>E461*C462</f>
        <v>0</v>
      </c>
      <c r="F462" s="421">
        <f>F461*C462</f>
        <v>0</v>
      </c>
      <c r="G462" s="421">
        <f>G461*C462</f>
        <v>1</v>
      </c>
      <c r="H462" s="421">
        <f>H461*C462</f>
        <v>2</v>
      </c>
      <c r="I462" s="421">
        <f>I461*C462</f>
        <v>6</v>
      </c>
      <c r="J462" s="421">
        <f>J461*C462</f>
        <v>3</v>
      </c>
      <c r="K462" s="422">
        <f>SUM(D462:J462)</f>
        <v>17</v>
      </c>
    </row>
    <row r="463" spans="2:13" ht="15" customHeight="1" x14ac:dyDescent="0.25">
      <c r="B463" s="389" t="s">
        <v>65</v>
      </c>
      <c r="C463" s="423">
        <v>2</v>
      </c>
      <c r="D463" s="421">
        <f>D461*C463</f>
        <v>10</v>
      </c>
      <c r="E463" s="421">
        <f>E461*C463</f>
        <v>0</v>
      </c>
      <c r="F463" s="421">
        <f>F461*C463</f>
        <v>0</v>
      </c>
      <c r="G463" s="421">
        <f>G461*C463</f>
        <v>2</v>
      </c>
      <c r="H463" s="421">
        <f>H461*C463</f>
        <v>4</v>
      </c>
      <c r="I463" s="421">
        <f>I461*C463</f>
        <v>12</v>
      </c>
      <c r="J463" s="421">
        <f>J461*C463</f>
        <v>6</v>
      </c>
      <c r="K463" s="424">
        <f>SUM(D463:J463)</f>
        <v>34</v>
      </c>
    </row>
    <row r="464" spans="2:13" x14ac:dyDescent="0.25">
      <c r="B464" s="389" t="s">
        <v>1912</v>
      </c>
      <c r="C464" s="423">
        <v>1</v>
      </c>
      <c r="D464" s="421">
        <f>D461*C464</f>
        <v>5</v>
      </c>
      <c r="E464" s="421">
        <f>E461*C464</f>
        <v>0</v>
      </c>
      <c r="F464" s="421">
        <f>F461*C464</f>
        <v>0</v>
      </c>
      <c r="G464" s="421">
        <f>G461*C464</f>
        <v>1</v>
      </c>
      <c r="H464" s="421">
        <f>H461*C464</f>
        <v>2</v>
      </c>
      <c r="I464" s="421">
        <f>I461*C464</f>
        <v>6</v>
      </c>
      <c r="J464" s="421">
        <f>J461*C464</f>
        <v>3</v>
      </c>
      <c r="K464" s="424">
        <f>SUM(D464:J464)</f>
        <v>17</v>
      </c>
    </row>
    <row r="465" spans="2:13" x14ac:dyDescent="0.25">
      <c r="B465" s="389" t="s">
        <v>578</v>
      </c>
      <c r="C465" s="423">
        <v>2</v>
      </c>
      <c r="D465" s="421">
        <f>D461*C465</f>
        <v>10</v>
      </c>
      <c r="E465" s="421">
        <f>E461*C465</f>
        <v>0</v>
      </c>
      <c r="F465" s="421">
        <f>F461*C465</f>
        <v>0</v>
      </c>
      <c r="G465" s="421">
        <f>G461*C465</f>
        <v>2</v>
      </c>
      <c r="H465" s="421">
        <f>H461*C465</f>
        <v>4</v>
      </c>
      <c r="I465" s="421">
        <f>I461*C465</f>
        <v>12</v>
      </c>
      <c r="J465" s="421">
        <f>J461*C465</f>
        <v>6</v>
      </c>
      <c r="K465" s="424">
        <f>SUM(D465:J465)</f>
        <v>34</v>
      </c>
    </row>
    <row r="466" spans="2:13" ht="15.75" thickBot="1" x14ac:dyDescent="0.3"/>
    <row r="467" spans="2:13" ht="15.75" thickBot="1" x14ac:dyDescent="0.3">
      <c r="B467" s="432">
        <v>6430408</v>
      </c>
      <c r="C467" s="411"/>
      <c r="D467" s="407" t="s">
        <v>548</v>
      </c>
      <c r="E467" s="408" t="s">
        <v>549</v>
      </c>
      <c r="F467" s="408" t="s">
        <v>550</v>
      </c>
      <c r="G467" s="408" t="s">
        <v>551</v>
      </c>
      <c r="H467" s="408" t="s">
        <v>552</v>
      </c>
      <c r="I467" s="408" t="s">
        <v>553</v>
      </c>
      <c r="J467" s="408" t="s">
        <v>554</v>
      </c>
      <c r="K467" s="408" t="s">
        <v>555</v>
      </c>
      <c r="M467" s="414" t="s">
        <v>677</v>
      </c>
    </row>
    <row r="468" spans="2:13" ht="15.75" thickBot="1" x14ac:dyDescent="0.3">
      <c r="B468" s="414" t="s">
        <v>556</v>
      </c>
      <c r="C468" s="415" t="s">
        <v>620</v>
      </c>
      <c r="D468" s="416">
        <f>IF(ISERROR(VLOOKUP(B467,'MD Usage'!$A$1:$W$5000,3,FALSE)),0,VLOOKUP(B467,'MD Usage'!$A$1:$W$5000,3,FALSE))</f>
        <v>0</v>
      </c>
      <c r="E468" s="416">
        <f>IF(ISERROR(VLOOKUP(B467,'MD Usage'!$A$1:$W$5000,5,FALSE)),0,VLOOKUP(B467,'MD Usage'!$A$1:$W$5000,5,FALSE))</f>
        <v>0</v>
      </c>
      <c r="F468" s="416">
        <f>IF(ISERROR(VLOOKUP(B467,'MD Usage'!$A$1:$W$5000,7,FALSE)),0,VLOOKUP(B467,'MD Usage'!$A$1:$W$5000,7,FALSE))</f>
        <v>0</v>
      </c>
      <c r="G468" s="416">
        <f>IF(ISERROR(VLOOKUP(B467,'MD Usage'!$A$1:$W$5000,9,FALSE)),0,VLOOKUP(B467,'MD Usage'!$A$1:$W$5000,9,FALSE))</f>
        <v>0</v>
      </c>
      <c r="H468" s="416">
        <f>IF(ISERROR(VLOOKUP(B467,'MD Usage'!$A$1:$W$5000,11,FALSE)),0,VLOOKUP(B467,'MD Usage'!$A$1:$W$5000,11,FALSE))</f>
        <v>0</v>
      </c>
      <c r="I468" s="416">
        <f>IF(ISERROR(VLOOKUP(B467,'MD Usage'!A1:R2000,13,FALSE)),0,VLOOKUP(B467,'MD Usage'!A1:R2000,13,FALSE))</f>
        <v>0</v>
      </c>
      <c r="J468" s="416">
        <f>IF(ISERROR(VLOOKUP(B467,'MD Usage'!A1:R2000,15,FALSE)),0,VLOOKUP(B467,'MD Usage'!A1:R2000,15,FALSE))</f>
        <v>0</v>
      </c>
      <c r="K468" s="418">
        <f>SUM(D468:J468)</f>
        <v>0</v>
      </c>
    </row>
    <row r="469" spans="2:13" x14ac:dyDescent="0.25">
      <c r="B469" s="419" t="s">
        <v>565</v>
      </c>
      <c r="C469" s="420">
        <v>1</v>
      </c>
      <c r="D469" s="421">
        <f>D468*C469</f>
        <v>0</v>
      </c>
      <c r="E469" s="421">
        <f>E468*C469</f>
        <v>0</v>
      </c>
      <c r="F469" s="421">
        <f>F468*C469</f>
        <v>0</v>
      </c>
      <c r="G469" s="421">
        <f>G468*C469</f>
        <v>0</v>
      </c>
      <c r="H469" s="421">
        <f>H468*C469</f>
        <v>0</v>
      </c>
      <c r="I469" s="421">
        <f>I468*C469</f>
        <v>0</v>
      </c>
      <c r="J469" s="421">
        <f>J468*C469</f>
        <v>0</v>
      </c>
      <c r="K469" s="422">
        <f>SUM(D469:J469)</f>
        <v>0</v>
      </c>
    </row>
    <row r="470" spans="2:13" ht="15" customHeight="1" x14ac:dyDescent="0.25">
      <c r="B470" s="389" t="s">
        <v>65</v>
      </c>
      <c r="C470" s="423">
        <v>2</v>
      </c>
      <c r="D470" s="421">
        <f>D468*C470</f>
        <v>0</v>
      </c>
      <c r="E470" s="421">
        <f>E468*C470</f>
        <v>0</v>
      </c>
      <c r="F470" s="421">
        <f>F468*C470</f>
        <v>0</v>
      </c>
      <c r="G470" s="421">
        <f>G468*C470</f>
        <v>0</v>
      </c>
      <c r="H470" s="421">
        <f>H468*C470</f>
        <v>0</v>
      </c>
      <c r="I470" s="421">
        <f>I468*C470</f>
        <v>0</v>
      </c>
      <c r="J470" s="421">
        <f>J468*C470</f>
        <v>0</v>
      </c>
      <c r="K470" s="424">
        <f>SUM(D470:J470)</f>
        <v>0</v>
      </c>
    </row>
    <row r="471" spans="2:13" x14ac:dyDescent="0.25">
      <c r="B471" s="389" t="s">
        <v>1912</v>
      </c>
      <c r="C471" s="423">
        <v>1</v>
      </c>
      <c r="D471" s="421">
        <f>D468*C471</f>
        <v>0</v>
      </c>
      <c r="E471" s="421">
        <f>E468*C471</f>
        <v>0</v>
      </c>
      <c r="F471" s="421">
        <f>F468*C471</f>
        <v>0</v>
      </c>
      <c r="G471" s="421">
        <f>G468*C471</f>
        <v>0</v>
      </c>
      <c r="H471" s="421">
        <f>H468*C471</f>
        <v>0</v>
      </c>
      <c r="I471" s="421">
        <f>I468*C471</f>
        <v>0</v>
      </c>
      <c r="J471" s="421">
        <f>J468*C471</f>
        <v>0</v>
      </c>
      <c r="K471" s="424">
        <f>SUM(D471:J471)</f>
        <v>0</v>
      </c>
    </row>
    <row r="472" spans="2:13" x14ac:dyDescent="0.25">
      <c r="B472" s="389" t="s">
        <v>578</v>
      </c>
      <c r="C472" s="423">
        <v>2</v>
      </c>
      <c r="D472" s="421">
        <f>D468*C472</f>
        <v>0</v>
      </c>
      <c r="E472" s="421">
        <f>E468*C472</f>
        <v>0</v>
      </c>
      <c r="F472" s="421">
        <f>F468*C472</f>
        <v>0</v>
      </c>
      <c r="G472" s="421">
        <f>G468*C472</f>
        <v>0</v>
      </c>
      <c r="H472" s="421">
        <f>H468*C472</f>
        <v>0</v>
      </c>
      <c r="I472" s="421">
        <f>I468*C472</f>
        <v>0</v>
      </c>
      <c r="J472" s="421">
        <f>J468*C472</f>
        <v>0</v>
      </c>
      <c r="K472" s="424">
        <f>SUM(D472:J472)</f>
        <v>0</v>
      </c>
    </row>
    <row r="473" spans="2:13" ht="15.75" thickBot="1" x14ac:dyDescent="0.3"/>
    <row r="474" spans="2:13" ht="15.75" thickBot="1" x14ac:dyDescent="0.3">
      <c r="B474" s="432">
        <v>6430410</v>
      </c>
      <c r="C474" s="411"/>
      <c r="D474" s="407" t="s">
        <v>548</v>
      </c>
      <c r="E474" s="408" t="s">
        <v>549</v>
      </c>
      <c r="F474" s="408" t="s">
        <v>550</v>
      </c>
      <c r="G474" s="408" t="s">
        <v>551</v>
      </c>
      <c r="H474" s="408" t="s">
        <v>552</v>
      </c>
      <c r="I474" s="408" t="s">
        <v>553</v>
      </c>
      <c r="J474" s="408" t="s">
        <v>554</v>
      </c>
      <c r="K474" s="408" t="s">
        <v>555</v>
      </c>
      <c r="M474" s="414" t="s">
        <v>678</v>
      </c>
    </row>
    <row r="475" spans="2:13" ht="15.75" thickBot="1" x14ac:dyDescent="0.3">
      <c r="B475" s="414" t="s">
        <v>556</v>
      </c>
      <c r="C475" s="415" t="s">
        <v>620</v>
      </c>
      <c r="D475" s="416">
        <f>IF(ISERROR(VLOOKUP(B474,'MD Usage'!$A$1:$W$5000,3,FALSE)),0,VLOOKUP(B474,'MD Usage'!$A$1:$W$5000,3,FALSE))</f>
        <v>0</v>
      </c>
      <c r="E475" s="416">
        <f>IF(ISERROR(VLOOKUP(B474,'MD Usage'!$A$1:$W$5000,5,FALSE)),0,VLOOKUP(B474,'MD Usage'!$A$1:$W$5000,5,FALSE))</f>
        <v>1</v>
      </c>
      <c r="F475" s="416">
        <f>IF(ISERROR(VLOOKUP(B474,'MD Usage'!$A$1:$W$5000,7,FALSE)),0,VLOOKUP(B474,'MD Usage'!$A$1:$W$5000,7,FALSE))</f>
        <v>0</v>
      </c>
      <c r="G475" s="416">
        <f>IF(ISERROR(VLOOKUP(B474,'MD Usage'!$A$1:$W$5000,9,FALSE)),0,VLOOKUP(B474,'MD Usage'!$A$1:$W$5000,9,FALSE))</f>
        <v>0</v>
      </c>
      <c r="H475" s="416">
        <f>IF(ISERROR(VLOOKUP(B474,'MD Usage'!$A$1:$W$5000,11,FALSE)),0,VLOOKUP(B474,'MD Usage'!$A$1:$W$5000,11,FALSE))</f>
        <v>1</v>
      </c>
      <c r="I475" s="416">
        <f>IF(ISERROR(VLOOKUP(B474,'MD Usage'!A1:R2000,13,FALSE)),0,VLOOKUP(B474,'MD Usage'!A1:R2000,13,FALSE))</f>
        <v>0</v>
      </c>
      <c r="J475" s="416">
        <f>IF(ISERROR(VLOOKUP(B474,'MD Usage'!A1:R2000,15,FALSE)),0,VLOOKUP(B474,'MD Usage'!A1:R2000,15,FALSE))</f>
        <v>0</v>
      </c>
      <c r="K475" s="418">
        <f>SUM(D475:J475)</f>
        <v>2</v>
      </c>
    </row>
    <row r="476" spans="2:13" x14ac:dyDescent="0.25">
      <c r="B476" s="419" t="s">
        <v>565</v>
      </c>
      <c r="C476" s="420">
        <v>1</v>
      </c>
      <c r="D476" s="421">
        <f>D475*C476</f>
        <v>0</v>
      </c>
      <c r="E476" s="421">
        <f>E475*C476</f>
        <v>1</v>
      </c>
      <c r="F476" s="421">
        <f>F475*C476</f>
        <v>0</v>
      </c>
      <c r="G476" s="421">
        <f>G475*C476</f>
        <v>0</v>
      </c>
      <c r="H476" s="421">
        <f>H475*C476</f>
        <v>1</v>
      </c>
      <c r="I476" s="421">
        <f>I475*C476</f>
        <v>0</v>
      </c>
      <c r="J476" s="421">
        <f>J475*C476</f>
        <v>0</v>
      </c>
      <c r="K476" s="422">
        <f>SUM(D476:J476)</f>
        <v>2</v>
      </c>
    </row>
    <row r="477" spans="2:13" ht="15" customHeight="1" x14ac:dyDescent="0.25">
      <c r="B477" s="389" t="s">
        <v>65</v>
      </c>
      <c r="C477" s="423">
        <v>2</v>
      </c>
      <c r="D477" s="421">
        <f>D475*C477</f>
        <v>0</v>
      </c>
      <c r="E477" s="421">
        <f>E475*C477</f>
        <v>2</v>
      </c>
      <c r="F477" s="421">
        <f>F475*C477</f>
        <v>0</v>
      </c>
      <c r="G477" s="421">
        <f>G475*C477</f>
        <v>0</v>
      </c>
      <c r="H477" s="421">
        <f>H475*C477</f>
        <v>2</v>
      </c>
      <c r="I477" s="421">
        <f>I475*C477</f>
        <v>0</v>
      </c>
      <c r="J477" s="421">
        <f>J475*C477</f>
        <v>0</v>
      </c>
      <c r="K477" s="424">
        <f>SUM(D477:J477)</f>
        <v>4</v>
      </c>
    </row>
    <row r="478" spans="2:13" x14ac:dyDescent="0.25">
      <c r="B478" s="389" t="s">
        <v>1912</v>
      </c>
      <c r="C478" s="423">
        <v>1</v>
      </c>
      <c r="D478" s="421">
        <f>D475*C478</f>
        <v>0</v>
      </c>
      <c r="E478" s="421">
        <f>E475*C478</f>
        <v>1</v>
      </c>
      <c r="F478" s="421">
        <f>F475*C478</f>
        <v>0</v>
      </c>
      <c r="G478" s="421">
        <f>G475*C478</f>
        <v>0</v>
      </c>
      <c r="H478" s="421">
        <f>H475*C478</f>
        <v>1</v>
      </c>
      <c r="I478" s="421">
        <f>I475*C478</f>
        <v>0</v>
      </c>
      <c r="J478" s="421">
        <f>J475*C478</f>
        <v>0</v>
      </c>
      <c r="K478" s="424">
        <f>SUM(D478:J478)</f>
        <v>2</v>
      </c>
    </row>
    <row r="479" spans="2:13" x14ac:dyDescent="0.25">
      <c r="B479" s="389" t="s">
        <v>578</v>
      </c>
      <c r="C479" s="423">
        <v>2</v>
      </c>
      <c r="D479" s="421">
        <f>D475*C479</f>
        <v>0</v>
      </c>
      <c r="E479" s="421">
        <f>E475*C479</f>
        <v>2</v>
      </c>
      <c r="F479" s="421">
        <f>F475*C479</f>
        <v>0</v>
      </c>
      <c r="G479" s="421">
        <f>G475*C479</f>
        <v>0</v>
      </c>
      <c r="H479" s="421">
        <f>H475*C479</f>
        <v>2</v>
      </c>
      <c r="I479" s="421">
        <f>I475*C479</f>
        <v>0</v>
      </c>
      <c r="J479" s="421">
        <f>J475*C479</f>
        <v>0</v>
      </c>
      <c r="K479" s="424">
        <f>SUM(D479:J479)</f>
        <v>4</v>
      </c>
    </row>
    <row r="480" spans="2:13" ht="15.75" thickBot="1" x14ac:dyDescent="0.3"/>
    <row r="481" spans="2:13" ht="15.75" thickBot="1" x14ac:dyDescent="0.3">
      <c r="B481" s="432">
        <v>5</v>
      </c>
      <c r="C481" s="411"/>
      <c r="D481" s="407" t="s">
        <v>548</v>
      </c>
      <c r="E481" s="408" t="s">
        <v>549</v>
      </c>
      <c r="F481" s="408" t="s">
        <v>550</v>
      </c>
      <c r="G481" s="408" t="s">
        <v>551</v>
      </c>
      <c r="H481" s="408" t="s">
        <v>552</v>
      </c>
      <c r="I481" s="408" t="s">
        <v>553</v>
      </c>
      <c r="J481" s="408" t="s">
        <v>554</v>
      </c>
      <c r="K481" s="408" t="s">
        <v>555</v>
      </c>
      <c r="M481" s="426" t="s">
        <v>679</v>
      </c>
    </row>
    <row r="482" spans="2:13" ht="15.75" thickBot="1" x14ac:dyDescent="0.3">
      <c r="B482" s="414" t="s">
        <v>556</v>
      </c>
      <c r="C482" s="415" t="s">
        <v>620</v>
      </c>
      <c r="D482" s="416">
        <f>IF(ISERROR(VLOOKUP(B481,'MD Usage'!$A$1:$W$5000,3,FALSE)),0,VLOOKUP(B481,'MD Usage'!$A$1:$W$5000,3,FALSE))</f>
        <v>0</v>
      </c>
      <c r="E482" s="416">
        <f>IF(ISERROR(VLOOKUP(B481,'MD Usage'!$A$1:$W$5000,5,FALSE)),0,VLOOKUP(B481,'MD Usage'!$A$1:$W$5000,5,FALSE))</f>
        <v>0</v>
      </c>
      <c r="F482" s="416">
        <f>IF(ISERROR(VLOOKUP(B481,'MD Usage'!$A$1:$W$5000,7,FALSE)),0,VLOOKUP(B481,'MD Usage'!$A$1:$W$5000,7,FALSE))</f>
        <v>0</v>
      </c>
      <c r="G482" s="416">
        <f>IF(ISERROR(VLOOKUP(B481,'MD Usage'!$A$1:$W$5000,9,FALSE)),0,VLOOKUP(B481,'MD Usage'!$A$1:$W$5000,9,FALSE))</f>
        <v>0</v>
      </c>
      <c r="H482" s="416">
        <f>IF(ISERROR(VLOOKUP(B481,'MD Usage'!$A$1:$W$5000,11,FALSE)),0,VLOOKUP(B481,'MD Usage'!$A$1:$W$5000,11,FALSE))</f>
        <v>0</v>
      </c>
      <c r="I482" s="416">
        <f>IF(ISERROR(VLOOKUP(B481,'MD Usage'!A1:R2000,13,FALSE)),0,VLOOKUP(B481,'MD Usage'!A1:R2000,13,FALSE))</f>
        <v>0</v>
      </c>
      <c r="J482" s="416">
        <f>IF(ISERROR(VLOOKUP(B481,'MD Usage'!A1:R2000,15,FALSE)),0,VLOOKUP(B481,'MD Usage'!A1:R2000,15,FALSE))</f>
        <v>0</v>
      </c>
      <c r="K482" s="418">
        <f>SUM(D482:J482)</f>
        <v>0</v>
      </c>
    </row>
    <row r="483" spans="2:13" x14ac:dyDescent="0.25">
      <c r="B483" s="419" t="s">
        <v>565</v>
      </c>
      <c r="C483" s="420">
        <v>1</v>
      </c>
      <c r="D483" s="421">
        <f>D482*C483</f>
        <v>0</v>
      </c>
      <c r="E483" s="421">
        <f>E482*C483</f>
        <v>0</v>
      </c>
      <c r="F483" s="421">
        <f>F482*C483</f>
        <v>0</v>
      </c>
      <c r="G483" s="421">
        <f>G482*C483</f>
        <v>0</v>
      </c>
      <c r="H483" s="421">
        <f>H482*C483</f>
        <v>0</v>
      </c>
      <c r="I483" s="421">
        <f>I482*C483</f>
        <v>0</v>
      </c>
      <c r="J483" s="421">
        <f>J482*C483</f>
        <v>0</v>
      </c>
      <c r="K483" s="422">
        <f>SUM(D483:J483)</f>
        <v>0</v>
      </c>
    </row>
    <row r="484" spans="2:13" ht="15" customHeight="1" x14ac:dyDescent="0.25">
      <c r="B484" s="389" t="s">
        <v>65</v>
      </c>
      <c r="C484" s="423">
        <v>2</v>
      </c>
      <c r="D484" s="421">
        <f>D482*C484</f>
        <v>0</v>
      </c>
      <c r="E484" s="421">
        <f>E482*C484</f>
        <v>0</v>
      </c>
      <c r="F484" s="421">
        <f>F482*C484</f>
        <v>0</v>
      </c>
      <c r="G484" s="421">
        <f>G482*C484</f>
        <v>0</v>
      </c>
      <c r="H484" s="421">
        <f>H482*C484</f>
        <v>0</v>
      </c>
      <c r="I484" s="421">
        <f>I482*C484</f>
        <v>0</v>
      </c>
      <c r="J484" s="421">
        <f>J482*C484</f>
        <v>0</v>
      </c>
      <c r="K484" s="424">
        <f>SUM(D484:J484)</f>
        <v>0</v>
      </c>
    </row>
    <row r="485" spans="2:13" x14ac:dyDescent="0.25">
      <c r="B485" s="389" t="s">
        <v>1912</v>
      </c>
      <c r="C485" s="423">
        <v>1</v>
      </c>
      <c r="D485" s="421">
        <f>D482*C485</f>
        <v>0</v>
      </c>
      <c r="E485" s="421">
        <f>E482*C485</f>
        <v>0</v>
      </c>
      <c r="F485" s="421">
        <f>F482*C485</f>
        <v>0</v>
      </c>
      <c r="G485" s="421">
        <f>G482*C485</f>
        <v>0</v>
      </c>
      <c r="H485" s="421">
        <f>H482*C485</f>
        <v>0</v>
      </c>
      <c r="I485" s="421">
        <f>I482*C485</f>
        <v>0</v>
      </c>
      <c r="J485" s="421">
        <f>J482*C485</f>
        <v>0</v>
      </c>
      <c r="K485" s="424">
        <f>SUM(D485:J485)</f>
        <v>0</v>
      </c>
    </row>
    <row r="486" spans="2:13" x14ac:dyDescent="0.25">
      <c r="B486" s="389" t="s">
        <v>578</v>
      </c>
      <c r="C486" s="423">
        <v>2</v>
      </c>
      <c r="D486" s="421">
        <f>D482*C486</f>
        <v>0</v>
      </c>
      <c r="E486" s="421">
        <f>E482*C486</f>
        <v>0</v>
      </c>
      <c r="F486" s="421">
        <f>F482*C486</f>
        <v>0</v>
      </c>
      <c r="G486" s="421">
        <f>G482*C486</f>
        <v>0</v>
      </c>
      <c r="H486" s="421">
        <f>H482*C486</f>
        <v>0</v>
      </c>
      <c r="I486" s="421">
        <f>I482*C486</f>
        <v>0</v>
      </c>
      <c r="J486" s="421">
        <f>J482*C486</f>
        <v>0</v>
      </c>
      <c r="K486" s="424">
        <f>SUM(D486:J486)</f>
        <v>0</v>
      </c>
    </row>
    <row r="487" spans="2:13" ht="15.75" thickBot="1" x14ac:dyDescent="0.3"/>
    <row r="488" spans="2:13" ht="15.75" thickBot="1" x14ac:dyDescent="0.3">
      <c r="B488" s="414">
        <v>6436121</v>
      </c>
      <c r="C488" s="411"/>
      <c r="D488" s="407" t="s">
        <v>548</v>
      </c>
      <c r="E488" s="408" t="s">
        <v>549</v>
      </c>
      <c r="F488" s="408" t="s">
        <v>550</v>
      </c>
      <c r="G488" s="408" t="s">
        <v>551</v>
      </c>
      <c r="H488" s="408" t="s">
        <v>552</v>
      </c>
      <c r="I488" s="408" t="s">
        <v>553</v>
      </c>
      <c r="J488" s="408" t="s">
        <v>554</v>
      </c>
      <c r="K488" s="408" t="s">
        <v>555</v>
      </c>
      <c r="M488" s="426" t="s">
        <v>680</v>
      </c>
    </row>
    <row r="489" spans="2:13" ht="15.75" thickBot="1" x14ac:dyDescent="0.3">
      <c r="B489" s="414" t="s">
        <v>556</v>
      </c>
      <c r="C489" s="415" t="s">
        <v>620</v>
      </c>
      <c r="D489" s="416">
        <f>IF(ISERROR(VLOOKUP(B488,'MD Usage'!$A$1:$W$5000,3,FALSE)),0,VLOOKUP(B488,'MD Usage'!$A$1:$W$5000,3,FALSE))</f>
        <v>0</v>
      </c>
      <c r="E489" s="416">
        <f>IF(ISERROR(VLOOKUP(B488,'MD Usage'!$A$1:$W$5000,5,FALSE)),0,VLOOKUP(B488,'MD Usage'!$A$1:$W$5000,5,FALSE))</f>
        <v>0</v>
      </c>
      <c r="F489" s="416">
        <f>IF(ISERROR(VLOOKUP(B488,'MD Usage'!$A$1:$W$5000,7,FALSE)),0,VLOOKUP(B488,'MD Usage'!$A$1:$W$5000,7,FALSE))</f>
        <v>0</v>
      </c>
      <c r="G489" s="416">
        <f>IF(ISERROR(VLOOKUP(B488,'MD Usage'!$A$1:$W$5000,9,FALSE)),0,VLOOKUP(B488,'MD Usage'!$A$1:$W$5000,9,FALSE))</f>
        <v>0</v>
      </c>
      <c r="H489" s="416">
        <f>IF(ISERROR(VLOOKUP(B488,'MD Usage'!$A$1:$W$5000,11,FALSE)),0,VLOOKUP(B488,'MD Usage'!$A$1:$W$5000,11,FALSE))</f>
        <v>0</v>
      </c>
      <c r="I489" s="416">
        <f>IF(ISERROR(VLOOKUP(B488,'MD Usage'!A1:R2000,13,FALSE)),0,VLOOKUP(B488,'MD Usage'!A1:R2000,13,FALSE))</f>
        <v>0</v>
      </c>
      <c r="J489" s="416">
        <f>IF(ISERROR(VLOOKUP(B488,'MD Usage'!A1:R2000,15,FALSE)),0,VLOOKUP(B488,'MD Usage'!A1:R2000,15,FALSE))</f>
        <v>0</v>
      </c>
      <c r="K489" s="418">
        <f>SUM(D489:J489)</f>
        <v>0</v>
      </c>
    </row>
    <row r="490" spans="2:13" x14ac:dyDescent="0.25">
      <c r="B490" s="419" t="s">
        <v>917</v>
      </c>
      <c r="C490" s="420">
        <v>1</v>
      </c>
      <c r="D490" s="421">
        <f>D489*C490</f>
        <v>0</v>
      </c>
      <c r="E490" s="421">
        <f>E489*C490</f>
        <v>0</v>
      </c>
      <c r="F490" s="421">
        <f>F489*C490</f>
        <v>0</v>
      </c>
      <c r="G490" s="421">
        <f>G489*C490</f>
        <v>0</v>
      </c>
      <c r="H490" s="421">
        <f>H489*C490</f>
        <v>0</v>
      </c>
      <c r="I490" s="421">
        <f>I489*C490</f>
        <v>0</v>
      </c>
      <c r="J490" s="421">
        <f>J489*C490</f>
        <v>0</v>
      </c>
      <c r="K490" s="422">
        <f>SUM(D490:J490)</f>
        <v>0</v>
      </c>
    </row>
    <row r="491" spans="2:13" ht="15" customHeight="1" x14ac:dyDescent="0.25">
      <c r="B491" s="389" t="s">
        <v>65</v>
      </c>
      <c r="C491" s="423">
        <v>1.5</v>
      </c>
      <c r="D491" s="421">
        <f>D489*C491</f>
        <v>0</v>
      </c>
      <c r="E491" s="421">
        <f>E489*C491</f>
        <v>0</v>
      </c>
      <c r="F491" s="421">
        <f>F489*C491</f>
        <v>0</v>
      </c>
      <c r="G491" s="421">
        <f>G489*C491</f>
        <v>0</v>
      </c>
      <c r="H491" s="421">
        <f>H489*C491</f>
        <v>0</v>
      </c>
      <c r="I491" s="421">
        <f>I489*C491</f>
        <v>0</v>
      </c>
      <c r="J491" s="421">
        <f>J489*C491</f>
        <v>0</v>
      </c>
      <c r="K491" s="424">
        <f>SUM(D491:J491)</f>
        <v>0</v>
      </c>
    </row>
    <row r="492" spans="2:13" x14ac:dyDescent="0.25">
      <c r="B492" s="389" t="s">
        <v>1912</v>
      </c>
      <c r="C492" s="423">
        <v>0.5</v>
      </c>
      <c r="D492" s="421">
        <f>D489*C492</f>
        <v>0</v>
      </c>
      <c r="E492" s="421">
        <f>E489*C492</f>
        <v>0</v>
      </c>
      <c r="F492" s="421">
        <f>F489*C492</f>
        <v>0</v>
      </c>
      <c r="G492" s="421">
        <f>G489*C492</f>
        <v>0</v>
      </c>
      <c r="H492" s="421">
        <f>H489*C492</f>
        <v>0</v>
      </c>
      <c r="I492" s="421">
        <f>I489*C492</f>
        <v>0</v>
      </c>
      <c r="J492" s="421">
        <f>J489*C492</f>
        <v>0</v>
      </c>
      <c r="K492" s="424">
        <f>SUM(D492:J492)</f>
        <v>0</v>
      </c>
    </row>
    <row r="493" spans="2:13" x14ac:dyDescent="0.25">
      <c r="B493" s="389"/>
      <c r="C493" s="423"/>
      <c r="D493" s="421">
        <f>D489*C493</f>
        <v>0</v>
      </c>
      <c r="E493" s="421">
        <f>E489*C493</f>
        <v>0</v>
      </c>
      <c r="F493" s="421">
        <f>F489*C493</f>
        <v>0</v>
      </c>
      <c r="G493" s="421">
        <f>G489*C493</f>
        <v>0</v>
      </c>
      <c r="H493" s="421">
        <f>H489*C493</f>
        <v>0</v>
      </c>
      <c r="I493" s="421">
        <f>I489*C493</f>
        <v>0</v>
      </c>
      <c r="J493" s="421">
        <f>J489*C493</f>
        <v>0</v>
      </c>
      <c r="K493" s="424">
        <f>SUM(D493:J493)</f>
        <v>0</v>
      </c>
    </row>
    <row r="494" spans="2:13" ht="15.75" thickBot="1" x14ac:dyDescent="0.3"/>
    <row r="495" spans="2:13" ht="15.75" thickBot="1" x14ac:dyDescent="0.3">
      <c r="B495" s="432">
        <v>6460191</v>
      </c>
      <c r="C495" s="411"/>
      <c r="D495" s="407" t="s">
        <v>548</v>
      </c>
      <c r="E495" s="408" t="s">
        <v>549</v>
      </c>
      <c r="F495" s="408" t="s">
        <v>550</v>
      </c>
      <c r="G495" s="408" t="s">
        <v>551</v>
      </c>
      <c r="H495" s="408" t="s">
        <v>552</v>
      </c>
      <c r="I495" s="408" t="s">
        <v>553</v>
      </c>
      <c r="J495" s="408" t="s">
        <v>554</v>
      </c>
      <c r="K495" s="408" t="s">
        <v>555</v>
      </c>
      <c r="M495" s="414" t="s">
        <v>681</v>
      </c>
    </row>
    <row r="496" spans="2:13" ht="15.75" thickBot="1" x14ac:dyDescent="0.3">
      <c r="B496" s="414" t="s">
        <v>556</v>
      </c>
      <c r="C496" s="415" t="s">
        <v>620</v>
      </c>
      <c r="D496" s="416">
        <f>IF(ISERROR(VLOOKUP(B495,'MD Usage'!$A$1:$W$5000,3,FALSE)),0,VLOOKUP(B495,'MD Usage'!$A$1:$W$5000,3,FALSE))</f>
        <v>0</v>
      </c>
      <c r="E496" s="416">
        <f>IF(ISERROR(VLOOKUP(B495,'MD Usage'!$A$1:$W$5000,5,FALSE)),0,VLOOKUP(B495,'MD Usage'!$A$1:$W$5000,5,FALSE))</f>
        <v>1</v>
      </c>
      <c r="F496" s="416">
        <f>IF(ISERROR(VLOOKUP(B495,'MD Usage'!$A$1:$W$5000,7,FALSE)),0,VLOOKUP(B495,'MD Usage'!$A$1:$W$5000,7,FALSE))</f>
        <v>0</v>
      </c>
      <c r="G496" s="416">
        <f>IF(ISERROR(VLOOKUP(B495,'MD Usage'!$A$1:$W$5000,9,FALSE)),0,VLOOKUP(B495,'MD Usage'!$A$1:$W$5000,9,FALSE))</f>
        <v>0</v>
      </c>
      <c r="H496" s="416">
        <f>IF(ISERROR(VLOOKUP(B495,'MD Usage'!$A$1:$W$5000,11,FALSE)),0,VLOOKUP(B495,'MD Usage'!$A$1:$W$5000,11,FALSE))</f>
        <v>5</v>
      </c>
      <c r="I496" s="416">
        <f>IF(ISERROR(VLOOKUP(B495,'MD Usage'!A1:R2000,13,FALSE)),0,VLOOKUP(B495,'MD Usage'!A1:R2000,13,FALSE))</f>
        <v>3</v>
      </c>
      <c r="J496" s="416">
        <f>IF(ISERROR(VLOOKUP(B495,'MD Usage'!A1:R2000,15,FALSE)),0,VLOOKUP(B495,'MD Usage'!A1:R2000,15,FALSE))</f>
        <v>1</v>
      </c>
      <c r="K496" s="418">
        <f>SUM(D496:J496)</f>
        <v>10</v>
      </c>
    </row>
    <row r="497" spans="2:13" x14ac:dyDescent="0.25">
      <c r="B497" s="419" t="s">
        <v>917</v>
      </c>
      <c r="C497" s="420">
        <v>1</v>
      </c>
      <c r="D497" s="421">
        <f>D496*C497</f>
        <v>0</v>
      </c>
      <c r="E497" s="421">
        <f>E496*C497</f>
        <v>1</v>
      </c>
      <c r="F497" s="421">
        <f>F496*C497</f>
        <v>0</v>
      </c>
      <c r="G497" s="421">
        <f>G496*C497</f>
        <v>0</v>
      </c>
      <c r="H497" s="421">
        <f>H496*C497</f>
        <v>5</v>
      </c>
      <c r="I497" s="421">
        <f>I496*C497</f>
        <v>3</v>
      </c>
      <c r="J497" s="421">
        <f>J496*C497</f>
        <v>1</v>
      </c>
      <c r="K497" s="422">
        <f>SUM(D497:J497)</f>
        <v>10</v>
      </c>
    </row>
    <row r="498" spans="2:13" ht="15" customHeight="1" x14ac:dyDescent="0.25">
      <c r="B498" s="389" t="s">
        <v>65</v>
      </c>
      <c r="C498" s="423">
        <v>1.5</v>
      </c>
      <c r="D498" s="421">
        <f>D496*C498</f>
        <v>0</v>
      </c>
      <c r="E498" s="421">
        <f>E496*C498</f>
        <v>1.5</v>
      </c>
      <c r="F498" s="421">
        <f>F496*C498</f>
        <v>0</v>
      </c>
      <c r="G498" s="421">
        <f>G496*C498</f>
        <v>0</v>
      </c>
      <c r="H498" s="421">
        <f>H496*C498</f>
        <v>7.5</v>
      </c>
      <c r="I498" s="421">
        <f>I496*C498</f>
        <v>4.5</v>
      </c>
      <c r="J498" s="421">
        <f>J496*C498</f>
        <v>1.5</v>
      </c>
      <c r="K498" s="424">
        <f>SUM(D498:J498)</f>
        <v>15</v>
      </c>
    </row>
    <row r="499" spans="2:13" x14ac:dyDescent="0.25">
      <c r="B499" s="389" t="s">
        <v>1912</v>
      </c>
      <c r="C499" s="423">
        <v>0.5</v>
      </c>
      <c r="D499" s="421">
        <f>D496*C499</f>
        <v>0</v>
      </c>
      <c r="E499" s="421">
        <f>E496*C499</f>
        <v>0.5</v>
      </c>
      <c r="F499" s="421">
        <f>F496*C499</f>
        <v>0</v>
      </c>
      <c r="G499" s="421">
        <f>G496*C499</f>
        <v>0</v>
      </c>
      <c r="H499" s="421">
        <f>H496*C499</f>
        <v>2.5</v>
      </c>
      <c r="I499" s="421">
        <f>I496*C499</f>
        <v>1.5</v>
      </c>
      <c r="J499" s="421">
        <f>J496*C499</f>
        <v>0.5</v>
      </c>
      <c r="K499" s="424">
        <f>SUM(D499:J499)</f>
        <v>5</v>
      </c>
    </row>
    <row r="500" spans="2:13" x14ac:dyDescent="0.25">
      <c r="B500" s="389"/>
      <c r="C500" s="423"/>
      <c r="D500" s="421">
        <f>D496*C500</f>
        <v>0</v>
      </c>
      <c r="E500" s="421">
        <f>E496*C500</f>
        <v>0</v>
      </c>
      <c r="F500" s="421">
        <f>F496*C500</f>
        <v>0</v>
      </c>
      <c r="G500" s="421">
        <f>G496*C500</f>
        <v>0</v>
      </c>
      <c r="H500" s="421">
        <f>H496*C500</f>
        <v>0</v>
      </c>
      <c r="I500" s="421">
        <f>I496*C500</f>
        <v>0</v>
      </c>
      <c r="J500" s="421">
        <f>J496*C500</f>
        <v>0</v>
      </c>
      <c r="K500" s="424">
        <f>SUM(D500:J500)</f>
        <v>0</v>
      </c>
    </row>
    <row r="501" spans="2:13" ht="15.75" thickBot="1" x14ac:dyDescent="0.3"/>
    <row r="502" spans="2:13" ht="15.75" thickBot="1" x14ac:dyDescent="0.3">
      <c r="B502" s="432">
        <v>6400365</v>
      </c>
      <c r="C502" s="411"/>
      <c r="D502" s="407" t="s">
        <v>548</v>
      </c>
      <c r="E502" s="408" t="s">
        <v>549</v>
      </c>
      <c r="F502" s="408" t="s">
        <v>550</v>
      </c>
      <c r="G502" s="408" t="s">
        <v>551</v>
      </c>
      <c r="H502" s="408" t="s">
        <v>552</v>
      </c>
      <c r="I502" s="408" t="s">
        <v>553</v>
      </c>
      <c r="J502" s="408" t="s">
        <v>554</v>
      </c>
      <c r="K502" s="408" t="s">
        <v>555</v>
      </c>
      <c r="M502" s="414" t="s">
        <v>1917</v>
      </c>
    </row>
    <row r="503" spans="2:13" ht="15.75" thickBot="1" x14ac:dyDescent="0.3">
      <c r="B503" s="414" t="s">
        <v>556</v>
      </c>
      <c r="C503" s="415" t="s">
        <v>620</v>
      </c>
      <c r="D503" s="416">
        <f>IF(ISERROR(VLOOKUP(B502,'MD Usage'!$A$1:$W$5000,3,FALSE)),0,VLOOKUP(B502,'MD Usage'!$A$1:$W$5000,3,FALSE))</f>
        <v>0</v>
      </c>
      <c r="E503" s="416">
        <f>IF(ISERROR(VLOOKUP(B502,'MD Usage'!$A$1:$W$5000,5,FALSE)),0,VLOOKUP(B502,'MD Usage'!$A$1:$W$5000,5,FALSE))</f>
        <v>0</v>
      </c>
      <c r="F503" s="416">
        <f>IF(ISERROR(VLOOKUP(B502,'MD Usage'!$A$1:$W$5000,7,FALSE)),0,VLOOKUP(B502,'MD Usage'!$A$1:$W$5000,7,FALSE))</f>
        <v>0</v>
      </c>
      <c r="G503" s="416">
        <f>IF(ISERROR(VLOOKUP(B502,'MD Usage'!$A$1:$W$5000,9,FALSE)),0,VLOOKUP(B502,'MD Usage'!$A$1:$W$5000,9,FALSE))</f>
        <v>1</v>
      </c>
      <c r="H503" s="416">
        <f>IF(ISERROR(VLOOKUP(B502,'MD Usage'!$A$1:$W$5000,11,FALSE)),0,VLOOKUP(B502,'MD Usage'!$A$1:$W$5000,11,FALSE))</f>
        <v>0</v>
      </c>
      <c r="I503" s="416">
        <f>IF(ISERROR(VLOOKUP(B502,'MD Usage'!A1:R2000,13,FALSE)),0,VLOOKUP(B502,'MD Usage'!A1:R2000,13,FALSE))</f>
        <v>1</v>
      </c>
      <c r="J503" s="416">
        <f>IF(ISERROR(VLOOKUP(B502,'MD Usage'!A1:R2000,15,FALSE)),0,VLOOKUP(B502,'MD Usage'!A1:R2000,15,FALSE))</f>
        <v>0</v>
      </c>
      <c r="K503" s="418">
        <f>SUM(D503:J503)</f>
        <v>2</v>
      </c>
    </row>
    <row r="504" spans="2:13" x14ac:dyDescent="0.25">
      <c r="B504" s="419" t="s">
        <v>917</v>
      </c>
      <c r="C504" s="420">
        <v>1</v>
      </c>
      <c r="D504" s="421">
        <f>D503*C504</f>
        <v>0</v>
      </c>
      <c r="E504" s="421">
        <f>E503*C504</f>
        <v>0</v>
      </c>
      <c r="F504" s="421">
        <f>F503*C504</f>
        <v>0</v>
      </c>
      <c r="G504" s="421">
        <f>G503*C504</f>
        <v>1</v>
      </c>
      <c r="H504" s="421">
        <f>H503*C504</f>
        <v>0</v>
      </c>
      <c r="I504" s="421">
        <f>I503*C504</f>
        <v>1</v>
      </c>
      <c r="J504" s="421">
        <f>J503*C504</f>
        <v>0</v>
      </c>
      <c r="K504" s="422">
        <f>SUM(D504:J504)</f>
        <v>2</v>
      </c>
    </row>
    <row r="505" spans="2:13" ht="15" customHeight="1" x14ac:dyDescent="0.25">
      <c r="B505" s="389" t="s">
        <v>343</v>
      </c>
      <c r="C505" s="423">
        <v>1</v>
      </c>
      <c r="D505" s="421">
        <f>D503*C505</f>
        <v>0</v>
      </c>
      <c r="E505" s="421">
        <f>E503*C505</f>
        <v>0</v>
      </c>
      <c r="F505" s="421">
        <f>F503*C505</f>
        <v>0</v>
      </c>
      <c r="G505" s="421">
        <f>G503*C505</f>
        <v>1</v>
      </c>
      <c r="H505" s="421">
        <f>H503*C505</f>
        <v>0</v>
      </c>
      <c r="I505" s="421">
        <f>I503*C505</f>
        <v>1</v>
      </c>
      <c r="J505" s="421">
        <f>J503*C505</f>
        <v>0</v>
      </c>
      <c r="K505" s="424">
        <f>SUM(D505:J505)</f>
        <v>2</v>
      </c>
    </row>
    <row r="506" spans="2:13" x14ac:dyDescent="0.25">
      <c r="B506" s="389" t="s">
        <v>1912</v>
      </c>
      <c r="C506" s="423">
        <v>1</v>
      </c>
      <c r="D506" s="421">
        <f>D503*C506</f>
        <v>0</v>
      </c>
      <c r="E506" s="421">
        <f>E503*C506</f>
        <v>0</v>
      </c>
      <c r="F506" s="421">
        <f>F503*C506</f>
        <v>0</v>
      </c>
      <c r="G506" s="421">
        <f>G503*C506</f>
        <v>1</v>
      </c>
      <c r="H506" s="421">
        <f>H503*C506</f>
        <v>0</v>
      </c>
      <c r="I506" s="421">
        <f>I503*C506</f>
        <v>1</v>
      </c>
      <c r="J506" s="421">
        <f>J503*C506</f>
        <v>0</v>
      </c>
      <c r="K506" s="424">
        <f>SUM(D506:J506)</f>
        <v>2</v>
      </c>
    </row>
    <row r="507" spans="2:13" x14ac:dyDescent="0.25">
      <c r="B507" s="389" t="s">
        <v>1915</v>
      </c>
      <c r="C507" s="423">
        <v>1</v>
      </c>
      <c r="D507" s="421">
        <f>D503*C507</f>
        <v>0</v>
      </c>
      <c r="E507" s="421">
        <f>E503*C507</f>
        <v>0</v>
      </c>
      <c r="F507" s="421">
        <f>F503*C507</f>
        <v>0</v>
      </c>
      <c r="G507" s="421">
        <f>G503*C507</f>
        <v>1</v>
      </c>
      <c r="H507" s="421">
        <f>H503*C507</f>
        <v>0</v>
      </c>
      <c r="I507" s="421">
        <f>I503*C507</f>
        <v>1</v>
      </c>
      <c r="J507" s="421">
        <f>J503*C507</f>
        <v>0</v>
      </c>
      <c r="K507" s="424">
        <f>SUM(D507:J507)</f>
        <v>2</v>
      </c>
    </row>
    <row r="508" spans="2:13" ht="15.75" thickBot="1" x14ac:dyDescent="0.3"/>
    <row r="509" spans="2:13" ht="15.75" thickBot="1" x14ac:dyDescent="0.3">
      <c r="B509" s="434">
        <v>6430418</v>
      </c>
      <c r="C509" s="411"/>
      <c r="D509" s="407" t="s">
        <v>548</v>
      </c>
      <c r="E509" s="408" t="s">
        <v>549</v>
      </c>
      <c r="F509" s="408" t="s">
        <v>550</v>
      </c>
      <c r="G509" s="408" t="s">
        <v>551</v>
      </c>
      <c r="H509" s="408" t="s">
        <v>552</v>
      </c>
      <c r="I509" s="408" t="s">
        <v>553</v>
      </c>
      <c r="J509" s="408" t="s">
        <v>554</v>
      </c>
      <c r="K509" s="408" t="s">
        <v>555</v>
      </c>
      <c r="M509" s="435" t="s">
        <v>1818</v>
      </c>
    </row>
    <row r="510" spans="2:13" ht="15.75" thickBot="1" x14ac:dyDescent="0.3">
      <c r="B510" s="414" t="s">
        <v>556</v>
      </c>
      <c r="C510" s="415" t="s">
        <v>620</v>
      </c>
      <c r="D510" s="416">
        <f>IF(ISERROR(VLOOKUP(B509,'MD Usage'!$A$1:$W$5000,3,FALSE)),0,VLOOKUP(B509,'MD Usage'!$A$1:$W$5000,3,FALSE))</f>
        <v>1</v>
      </c>
      <c r="E510" s="416">
        <f>IF(ISERROR(VLOOKUP(B509,'MD Usage'!$A$1:$W$5000,5,FALSE)),0,VLOOKUP(B509,'MD Usage'!$A$1:$W$5000,5,FALSE))</f>
        <v>0</v>
      </c>
      <c r="F510" s="416">
        <f>IF(ISERROR(VLOOKUP(B509,'MD Usage'!$A$1:$W$5000,7,FALSE)),0,VLOOKUP(B509,'MD Usage'!$A$1:$W$5000,7,FALSE))</f>
        <v>0</v>
      </c>
      <c r="G510" s="416">
        <f>IF(ISERROR(VLOOKUP(B509,'MD Usage'!$A$1:$W$5000,9,FALSE)),0,VLOOKUP(B509,'MD Usage'!$A$1:$W$5000,9,FALSE))</f>
        <v>0</v>
      </c>
      <c r="H510" s="416">
        <f>IF(ISERROR(VLOOKUP(B509,'MD Usage'!$A$1:$W$5000,11,FALSE)),0,VLOOKUP(B509,'MD Usage'!$A$1:$W$5000,11,FALSE))</f>
        <v>2</v>
      </c>
      <c r="I510" s="416">
        <f>IF(ISERROR(VLOOKUP(B509,'MD Usage'!A1:R2000,13,FALSE)),0,VLOOKUP(B509,'MD Usage'!A1:R2000,13,FALSE))</f>
        <v>1</v>
      </c>
      <c r="J510" s="416">
        <f>IF(ISERROR(VLOOKUP(B509,'MD Usage'!A1:R2000,15,FALSE)),0,VLOOKUP(B509,'MD Usage'!A1:R2000,15,FALSE))</f>
        <v>2</v>
      </c>
      <c r="K510" s="418">
        <f>SUM(D510:J510)</f>
        <v>6</v>
      </c>
    </row>
    <row r="511" spans="2:13" x14ac:dyDescent="0.25">
      <c r="B511" s="419" t="s">
        <v>565</v>
      </c>
      <c r="C511" s="420">
        <v>1</v>
      </c>
      <c r="D511" s="421">
        <f>D510*C511</f>
        <v>1</v>
      </c>
      <c r="E511" s="421">
        <f>E510*C511</f>
        <v>0</v>
      </c>
      <c r="F511" s="421">
        <f>F510*C511</f>
        <v>0</v>
      </c>
      <c r="G511" s="421">
        <f>G510*C511</f>
        <v>0</v>
      </c>
      <c r="H511" s="421">
        <f>H510*C511</f>
        <v>2</v>
      </c>
      <c r="I511" s="421">
        <f>I510*C511</f>
        <v>1</v>
      </c>
      <c r="J511" s="421">
        <f>J510*C511</f>
        <v>2</v>
      </c>
      <c r="K511" s="422">
        <f>SUM(D511:J511)</f>
        <v>6</v>
      </c>
    </row>
    <row r="512" spans="2:13" ht="15" customHeight="1" x14ac:dyDescent="0.25">
      <c r="B512" s="389" t="s">
        <v>1912</v>
      </c>
      <c r="C512" s="423">
        <v>1</v>
      </c>
      <c r="D512" s="421">
        <f>D510*C512</f>
        <v>1</v>
      </c>
      <c r="E512" s="421">
        <f>E510*C512</f>
        <v>0</v>
      </c>
      <c r="F512" s="421">
        <f>F510*C512</f>
        <v>0</v>
      </c>
      <c r="G512" s="421">
        <f>G510*C512</f>
        <v>0</v>
      </c>
      <c r="H512" s="421">
        <f>H510*C512</f>
        <v>2</v>
      </c>
      <c r="I512" s="421">
        <f>I510*C512</f>
        <v>1</v>
      </c>
      <c r="J512" s="421">
        <f>J510*C512</f>
        <v>2</v>
      </c>
      <c r="K512" s="424">
        <f>SUM(D512:J512)</f>
        <v>6</v>
      </c>
    </row>
    <row r="513" spans="1:19" x14ac:dyDescent="0.25">
      <c r="B513" s="389" t="s">
        <v>822</v>
      </c>
      <c r="C513" s="423">
        <v>1</v>
      </c>
      <c r="D513" s="421">
        <f>D510*C513</f>
        <v>1</v>
      </c>
      <c r="E513" s="421">
        <f>E510*C513</f>
        <v>0</v>
      </c>
      <c r="F513" s="421">
        <f>F510*C513</f>
        <v>0</v>
      </c>
      <c r="G513" s="421">
        <f>G510*C513</f>
        <v>0</v>
      </c>
      <c r="H513" s="421">
        <f>H510*C513</f>
        <v>2</v>
      </c>
      <c r="I513" s="421">
        <f>I510*C513</f>
        <v>1</v>
      </c>
      <c r="J513" s="421">
        <f>J510*C513</f>
        <v>2</v>
      </c>
      <c r="K513" s="424">
        <f>SUM(D513:J513)</f>
        <v>6</v>
      </c>
    </row>
    <row r="514" spans="1:19" x14ac:dyDescent="0.25">
      <c r="B514" s="389"/>
      <c r="C514" s="423"/>
      <c r="D514" s="421">
        <f>D510*C514</f>
        <v>0</v>
      </c>
      <c r="E514" s="421">
        <f>E510*C514</f>
        <v>0</v>
      </c>
      <c r="F514" s="421">
        <f>F510*C514</f>
        <v>0</v>
      </c>
      <c r="G514" s="421">
        <f>G510*C514</f>
        <v>0</v>
      </c>
      <c r="H514" s="421">
        <f>H510*C514</f>
        <v>0</v>
      </c>
      <c r="I514" s="421">
        <f>I510*C514</f>
        <v>0</v>
      </c>
      <c r="J514" s="421">
        <f>J510*C514</f>
        <v>0</v>
      </c>
      <c r="K514" s="424">
        <f>SUM(D514:J514)</f>
        <v>0</v>
      </c>
    </row>
    <row r="515" spans="1:19" ht="15.75" thickBot="1" x14ac:dyDescent="0.3">
      <c r="A515" s="842" t="s">
        <v>683</v>
      </c>
      <c r="B515" s="842"/>
      <c r="C515" s="842"/>
      <c r="D515" s="842"/>
      <c r="E515" s="842"/>
      <c r="F515" s="842"/>
      <c r="G515" s="842"/>
      <c r="H515" s="842"/>
      <c r="I515" s="842"/>
      <c r="J515" s="842"/>
      <c r="K515" s="842"/>
      <c r="L515" s="842"/>
      <c r="M515" s="842"/>
      <c r="N515" s="842"/>
      <c r="O515" s="842"/>
      <c r="P515" s="842"/>
      <c r="Q515" s="842"/>
      <c r="R515" s="842"/>
      <c r="S515" s="842"/>
    </row>
    <row r="516" spans="1:19" ht="15.75" thickBot="1" x14ac:dyDescent="0.3">
      <c r="B516" s="434">
        <v>6440413</v>
      </c>
      <c r="C516" s="411"/>
      <c r="D516" s="407" t="s">
        <v>548</v>
      </c>
      <c r="E516" s="408" t="s">
        <v>549</v>
      </c>
      <c r="F516" s="408" t="s">
        <v>550</v>
      </c>
      <c r="G516" s="408" t="s">
        <v>551</v>
      </c>
      <c r="H516" s="408" t="s">
        <v>552</v>
      </c>
      <c r="I516" s="408" t="s">
        <v>553</v>
      </c>
      <c r="J516" s="408" t="s">
        <v>554</v>
      </c>
      <c r="K516" s="408" t="s">
        <v>555</v>
      </c>
      <c r="M516" s="435" t="s">
        <v>684</v>
      </c>
    </row>
    <row r="517" spans="1:19" ht="15.75" thickBot="1" x14ac:dyDescent="0.3">
      <c r="B517" s="414" t="s">
        <v>556</v>
      </c>
      <c r="C517" s="415" t="s">
        <v>620</v>
      </c>
      <c r="D517" s="416">
        <f>IF(ISERROR(VLOOKUP(B516,'MD Usage'!$A$1:$W$5000,3,FALSE)),0,VLOOKUP(B516,'MD Usage'!$A$1:$W$5000,3,FALSE))</f>
        <v>0</v>
      </c>
      <c r="E517" s="416">
        <f>IF(ISERROR(VLOOKUP(B516,'MD Usage'!$A$1:$W$5000,5,FALSE)),0,VLOOKUP(B516,'MD Usage'!$A$1:$W$5000,5,FALSE))</f>
        <v>0</v>
      </c>
      <c r="F517" s="416">
        <f>IF(ISERROR(VLOOKUP(B516,'MD Usage'!$A$1:$W$5000,7,FALSE)),0,VLOOKUP(B516,'MD Usage'!$A$1:$W$5000,7,FALSE))</f>
        <v>1</v>
      </c>
      <c r="G517" s="416">
        <f>IF(ISERROR(VLOOKUP(B516,'MD Usage'!$A$1:$W$5000,9,FALSE)),0,VLOOKUP(B516,'MD Usage'!$A$1:$W$5000,9,FALSE))</f>
        <v>0</v>
      </c>
      <c r="H517" s="416">
        <f>IF(ISERROR(VLOOKUP(B516,'MD Usage'!$A$1:$W$5000,11,FALSE)),0,VLOOKUP(B516,'MD Usage'!$A$1:$W$5000,11,FALSE))</f>
        <v>1</v>
      </c>
      <c r="I517" s="416">
        <f>IF(ISERROR(VLOOKUP(B516,'MD Usage'!A1:R2000,13,FALSE)),0,VLOOKUP(B516,'MD Usage'!A1:R2000,13,FALSE))</f>
        <v>1</v>
      </c>
      <c r="J517" s="416">
        <f>IF(ISERROR(VLOOKUP(B516,'MD Usage'!A1:R2000,15,FALSE)),0,VLOOKUP(B516,'MD Usage'!A1:R2000,15,FALSE))</f>
        <v>2</v>
      </c>
      <c r="K517" s="418">
        <f>SUM(D517:J517)</f>
        <v>5</v>
      </c>
    </row>
    <row r="518" spans="1:19" x14ac:dyDescent="0.25">
      <c r="B518" s="419" t="s">
        <v>918</v>
      </c>
      <c r="C518" s="420">
        <v>1</v>
      </c>
      <c r="D518" s="421">
        <f>D517*C518</f>
        <v>0</v>
      </c>
      <c r="E518" s="421">
        <f>E517*C518</f>
        <v>0</v>
      </c>
      <c r="F518" s="421">
        <f>F517*C518</f>
        <v>1</v>
      </c>
      <c r="G518" s="421">
        <f>G517*C518</f>
        <v>0</v>
      </c>
      <c r="H518" s="421">
        <f>H517*C518</f>
        <v>1</v>
      </c>
      <c r="I518" s="421">
        <f>I517*C518</f>
        <v>1</v>
      </c>
      <c r="J518" s="421">
        <f>J517*C518</f>
        <v>2</v>
      </c>
      <c r="K518" s="422">
        <f>SUM(D518:J518)</f>
        <v>5</v>
      </c>
    </row>
    <row r="519" spans="1:19" ht="15" customHeight="1" x14ac:dyDescent="0.25">
      <c r="B519" s="389" t="s">
        <v>926</v>
      </c>
      <c r="C519" s="423">
        <v>1</v>
      </c>
      <c r="D519" s="421">
        <f>D517*C519</f>
        <v>0</v>
      </c>
      <c r="E519" s="421">
        <f>E517*C519</f>
        <v>0</v>
      </c>
      <c r="F519" s="421">
        <f>F517*C519</f>
        <v>1</v>
      </c>
      <c r="G519" s="421">
        <f>G517*C519</f>
        <v>0</v>
      </c>
      <c r="H519" s="421">
        <f>H517*C519</f>
        <v>1</v>
      </c>
      <c r="I519" s="421">
        <f>I517*C519</f>
        <v>1</v>
      </c>
      <c r="J519" s="421">
        <f>J517*C519</f>
        <v>2</v>
      </c>
      <c r="K519" s="424">
        <f>SUM(D519:J519)</f>
        <v>5</v>
      </c>
    </row>
    <row r="520" spans="1:19" x14ac:dyDescent="0.25">
      <c r="B520" s="389" t="s">
        <v>64</v>
      </c>
      <c r="C520" s="423">
        <v>6</v>
      </c>
      <c r="D520" s="421">
        <f>D517*C520</f>
        <v>0</v>
      </c>
      <c r="E520" s="421">
        <f>E517*C520</f>
        <v>0</v>
      </c>
      <c r="F520" s="421">
        <f>F517*C520</f>
        <v>6</v>
      </c>
      <c r="G520" s="421">
        <f>G517*C520</f>
        <v>0</v>
      </c>
      <c r="H520" s="421">
        <f>H517*C520</f>
        <v>6</v>
      </c>
      <c r="I520" s="421">
        <f>I517*C520</f>
        <v>6</v>
      </c>
      <c r="J520" s="421">
        <f>J517*C520</f>
        <v>12</v>
      </c>
      <c r="K520" s="424">
        <f>SUM(D520:J520)</f>
        <v>30</v>
      </c>
    </row>
    <row r="521" spans="1:19" x14ac:dyDescent="0.25">
      <c r="B521" s="389" t="s">
        <v>342</v>
      </c>
      <c r="C521" s="423">
        <v>2</v>
      </c>
      <c r="D521" s="421">
        <f>D517*C521</f>
        <v>0</v>
      </c>
      <c r="E521" s="421">
        <f>E517*C521</f>
        <v>0</v>
      </c>
      <c r="F521" s="421">
        <f>F517*C521</f>
        <v>2</v>
      </c>
      <c r="G521" s="421">
        <f>G517*C521</f>
        <v>0</v>
      </c>
      <c r="H521" s="421">
        <f>H517*C521</f>
        <v>2</v>
      </c>
      <c r="I521" s="421">
        <f>I517*C521</f>
        <v>2</v>
      </c>
      <c r="J521" s="421">
        <f>J517*C521</f>
        <v>4</v>
      </c>
      <c r="K521" s="424">
        <f>SUM(D521:J521)</f>
        <v>10</v>
      </c>
    </row>
    <row r="522" spans="1:19" ht="15.75" thickBot="1" x14ac:dyDescent="0.3"/>
    <row r="523" spans="1:19" ht="15.75" thickBot="1" x14ac:dyDescent="0.3">
      <c r="B523" s="436">
        <v>6440001</v>
      </c>
      <c r="C523" s="411"/>
      <c r="D523" s="407" t="s">
        <v>548</v>
      </c>
      <c r="E523" s="408" t="s">
        <v>549</v>
      </c>
      <c r="F523" s="408" t="s">
        <v>550</v>
      </c>
      <c r="G523" s="408" t="s">
        <v>551</v>
      </c>
      <c r="H523" s="408" t="s">
        <v>552</v>
      </c>
      <c r="I523" s="408" t="s">
        <v>553</v>
      </c>
      <c r="J523" s="408" t="s">
        <v>554</v>
      </c>
      <c r="K523" s="408" t="s">
        <v>555</v>
      </c>
      <c r="M523" s="437" t="s">
        <v>685</v>
      </c>
    </row>
    <row r="524" spans="1:19" ht="15.75" thickBot="1" x14ac:dyDescent="0.3">
      <c r="B524" s="414" t="s">
        <v>556</v>
      </c>
      <c r="C524" s="415" t="s">
        <v>620</v>
      </c>
      <c r="D524" s="416">
        <f>IF(ISERROR(VLOOKUP(B523,'MD Usage'!$A$1:$W$5000,3,FALSE)),0,VLOOKUP(B523,'MD Usage'!$A$1:$W$5000,3,FALSE))</f>
        <v>1</v>
      </c>
      <c r="E524" s="416">
        <f>IF(ISERROR(VLOOKUP(B523,'MD Usage'!$A$1:$W$5000,5,FALSE)),0,VLOOKUP(B523,'MD Usage'!$A$1:$W$5000,5,FALSE))</f>
        <v>3</v>
      </c>
      <c r="F524" s="416">
        <f>IF(ISERROR(VLOOKUP(B523,'MD Usage'!$A$1:$W$5000,7,FALSE)),0,VLOOKUP(B523,'MD Usage'!$A$1:$W$5000,7,FALSE))</f>
        <v>6</v>
      </c>
      <c r="G524" s="416">
        <f>IF(ISERROR(VLOOKUP(B523,'MD Usage'!$A$1:$W$5000,9,FALSE)),0,VLOOKUP(B523,'MD Usage'!$A$1:$W$5000,9,FALSE))</f>
        <v>3</v>
      </c>
      <c r="H524" s="416">
        <f>IF(ISERROR(VLOOKUP(B523,'MD Usage'!$A$1:$W$5000,11,FALSE)),0,VLOOKUP(B523,'MD Usage'!$A$1:$W$5000,11,FALSE))</f>
        <v>9</v>
      </c>
      <c r="I524" s="416">
        <f>IF(ISERROR(VLOOKUP(B523,'MD Usage'!A1:R2000,13,FALSE)),0,VLOOKUP(B523,'MD Usage'!A1:R2000,13,FALSE))</f>
        <v>14</v>
      </c>
      <c r="J524" s="416">
        <f>IF(ISERROR(VLOOKUP(B523,'MD Usage'!A1:R2000,15,FALSE)),0,VLOOKUP(B523,'MD Usage'!A1:R2000,15,FALSE))</f>
        <v>2</v>
      </c>
      <c r="K524" s="418">
        <f>SUM(D524:J524)</f>
        <v>38</v>
      </c>
    </row>
    <row r="525" spans="1:19" x14ac:dyDescent="0.25">
      <c r="B525" s="419" t="s">
        <v>918</v>
      </c>
      <c r="C525" s="420">
        <v>1</v>
      </c>
      <c r="D525" s="421">
        <f>D524*C525</f>
        <v>1</v>
      </c>
      <c r="E525" s="421">
        <f>E524*C525</f>
        <v>3</v>
      </c>
      <c r="F525" s="421">
        <f>F524*C525</f>
        <v>6</v>
      </c>
      <c r="G525" s="421">
        <f>G524*C525</f>
        <v>3</v>
      </c>
      <c r="H525" s="421">
        <f>H524*C525</f>
        <v>9</v>
      </c>
      <c r="I525" s="421">
        <f>I524*C525</f>
        <v>14</v>
      </c>
      <c r="J525" s="421">
        <f>J524*C525</f>
        <v>2</v>
      </c>
      <c r="K525" s="422">
        <f>SUM(D525:J525)</f>
        <v>38</v>
      </c>
    </row>
    <row r="526" spans="1:19" x14ac:dyDescent="0.25">
      <c r="B526" s="389" t="s">
        <v>926</v>
      </c>
      <c r="C526" s="423">
        <v>1</v>
      </c>
      <c r="D526" s="421">
        <f>D524*C526</f>
        <v>1</v>
      </c>
      <c r="E526" s="421">
        <f>E524*C526</f>
        <v>3</v>
      </c>
      <c r="F526" s="421">
        <f>F524*C526</f>
        <v>6</v>
      </c>
      <c r="G526" s="421">
        <f>G524*C526</f>
        <v>3</v>
      </c>
      <c r="H526" s="421">
        <f>H524*C526</f>
        <v>9</v>
      </c>
      <c r="I526" s="421">
        <f>I524*C526</f>
        <v>14</v>
      </c>
      <c r="J526" s="421">
        <f>J524*C526</f>
        <v>2</v>
      </c>
      <c r="K526" s="424">
        <f>SUM(D526:J526)</f>
        <v>38</v>
      </c>
    </row>
    <row r="527" spans="1:19" ht="15" customHeight="1" x14ac:dyDescent="0.25">
      <c r="B527" s="389" t="s">
        <v>64</v>
      </c>
      <c r="C527" s="423">
        <v>6</v>
      </c>
      <c r="D527" s="421">
        <f>D524*C527</f>
        <v>6</v>
      </c>
      <c r="E527" s="421">
        <f>E524*C527</f>
        <v>18</v>
      </c>
      <c r="F527" s="421">
        <f>F524*C527</f>
        <v>36</v>
      </c>
      <c r="G527" s="421">
        <f>G524*C527</f>
        <v>18</v>
      </c>
      <c r="H527" s="421">
        <f>H524*C527</f>
        <v>54</v>
      </c>
      <c r="I527" s="421">
        <f>I524*C527</f>
        <v>84</v>
      </c>
      <c r="J527" s="421">
        <f>J524*C527</f>
        <v>12</v>
      </c>
      <c r="K527" s="424">
        <f>SUM(D527:J527)</f>
        <v>228</v>
      </c>
    </row>
    <row r="528" spans="1:19" x14ac:dyDescent="0.25">
      <c r="B528" s="389" t="s">
        <v>342</v>
      </c>
      <c r="C528" s="423">
        <v>2</v>
      </c>
      <c r="D528" s="421">
        <f>D524*C528</f>
        <v>2</v>
      </c>
      <c r="E528" s="421">
        <f>E524*C528</f>
        <v>6</v>
      </c>
      <c r="F528" s="421">
        <f>F524*C528</f>
        <v>12</v>
      </c>
      <c r="G528" s="421">
        <f>G524*C528</f>
        <v>6</v>
      </c>
      <c r="H528" s="421">
        <f>H524*C528</f>
        <v>18</v>
      </c>
      <c r="I528" s="421">
        <f>I524*C528</f>
        <v>28</v>
      </c>
      <c r="J528" s="421">
        <f>J524*C528</f>
        <v>4</v>
      </c>
      <c r="K528" s="424">
        <f>SUM(D528:J528)</f>
        <v>76</v>
      </c>
    </row>
    <row r="529" spans="2:13" ht="15.75" thickBot="1" x14ac:dyDescent="0.3"/>
    <row r="530" spans="2:13" ht="15.75" thickBot="1" x14ac:dyDescent="0.3">
      <c r="B530" s="436">
        <v>6440024</v>
      </c>
      <c r="C530" s="411"/>
      <c r="D530" s="407" t="s">
        <v>548</v>
      </c>
      <c r="E530" s="408" t="s">
        <v>549</v>
      </c>
      <c r="F530" s="408" t="s">
        <v>550</v>
      </c>
      <c r="G530" s="408" t="s">
        <v>551</v>
      </c>
      <c r="H530" s="408" t="s">
        <v>552</v>
      </c>
      <c r="I530" s="408" t="s">
        <v>553</v>
      </c>
      <c r="J530" s="408" t="s">
        <v>554</v>
      </c>
      <c r="K530" s="408" t="s">
        <v>555</v>
      </c>
      <c r="M530" s="437" t="s">
        <v>686</v>
      </c>
    </row>
    <row r="531" spans="2:13" ht="15.75" thickBot="1" x14ac:dyDescent="0.3">
      <c r="B531" s="414" t="s">
        <v>556</v>
      </c>
      <c r="C531" s="415" t="s">
        <v>620</v>
      </c>
      <c r="D531" s="416">
        <f>IF(ISERROR(VLOOKUP(B530,'MD Usage'!$A$1:$W$5000,3,FALSE)),0,VLOOKUP(B530,'MD Usage'!$A$1:$W$5000,3,FALSE))</f>
        <v>0</v>
      </c>
      <c r="E531" s="416">
        <f>IF(ISERROR(VLOOKUP(B530,'MD Usage'!$A$1:$W$5000,5,FALSE)),0,VLOOKUP(B530,'MD Usage'!$A$1:$W$5000,5,FALSE))</f>
        <v>0</v>
      </c>
      <c r="F531" s="416">
        <f>IF(ISERROR(VLOOKUP(B530,'MD Usage'!$A$1:$W$5000,7,FALSE)),0,VLOOKUP(B530,'MD Usage'!$A$1:$W$5000,7,FALSE))</f>
        <v>0</v>
      </c>
      <c r="G531" s="416">
        <f>IF(ISERROR(VLOOKUP(B530,'MD Usage'!$A$1:$W$5000,9,FALSE)),0,VLOOKUP(B530,'MD Usage'!$A$1:$W$5000,9,FALSE))</f>
        <v>2</v>
      </c>
      <c r="H531" s="416">
        <f>IF(ISERROR(VLOOKUP(B530,'MD Usage'!$A$1:$W$5000,11,FALSE)),0,VLOOKUP(B530,'MD Usage'!$A$1:$W$5000,11,FALSE))</f>
        <v>3</v>
      </c>
      <c r="I531" s="416">
        <f>IF(ISERROR(VLOOKUP(B530,'MD Usage'!A1:R2000,13,FALSE)),0,VLOOKUP(B530,'MD Usage'!A1:R2000,13,FALSE))</f>
        <v>2</v>
      </c>
      <c r="J531" s="416">
        <f>IF(ISERROR(VLOOKUP(B530,'MD Usage'!A1:R2000,15,FALSE)),0,VLOOKUP(B530,'MD Usage'!A1:R2000,15,FALSE))</f>
        <v>4</v>
      </c>
      <c r="K531" s="418">
        <f>SUM(D531:J531)</f>
        <v>11</v>
      </c>
    </row>
    <row r="532" spans="2:13" x14ac:dyDescent="0.25">
      <c r="B532" s="419" t="s">
        <v>919</v>
      </c>
      <c r="C532" s="420">
        <v>1</v>
      </c>
      <c r="D532" s="421">
        <f>D531*C532</f>
        <v>0</v>
      </c>
      <c r="E532" s="421">
        <f>E531*C532</f>
        <v>0</v>
      </c>
      <c r="F532" s="421">
        <f>F531*C532</f>
        <v>0</v>
      </c>
      <c r="G532" s="421">
        <f>G531*C532</f>
        <v>2</v>
      </c>
      <c r="H532" s="421">
        <f>H531*C532</f>
        <v>3</v>
      </c>
      <c r="I532" s="421">
        <f>I531*C532</f>
        <v>2</v>
      </c>
      <c r="J532" s="421">
        <f>J531*C532</f>
        <v>4</v>
      </c>
      <c r="K532" s="422">
        <f>SUM(D532:J532)</f>
        <v>11</v>
      </c>
    </row>
    <row r="533" spans="2:13" x14ac:dyDescent="0.25">
      <c r="B533" s="389" t="s">
        <v>568</v>
      </c>
      <c r="C533" s="423">
        <v>1</v>
      </c>
      <c r="D533" s="421">
        <f>D531*C533</f>
        <v>0</v>
      </c>
      <c r="E533" s="421">
        <f>E531*C533</f>
        <v>0</v>
      </c>
      <c r="F533" s="421">
        <f>F531*C533</f>
        <v>0</v>
      </c>
      <c r="G533" s="421">
        <f>G531*C533</f>
        <v>2</v>
      </c>
      <c r="H533" s="421">
        <f>H531*C533</f>
        <v>3</v>
      </c>
      <c r="I533" s="421">
        <f>I531*C533</f>
        <v>2</v>
      </c>
      <c r="J533" s="421">
        <f>J531*C533</f>
        <v>4</v>
      </c>
      <c r="K533" s="424">
        <f>SUM(D533:J533)</f>
        <v>11</v>
      </c>
    </row>
    <row r="534" spans="2:13" ht="15" customHeight="1" x14ac:dyDescent="0.25">
      <c r="B534" s="389" t="s">
        <v>64</v>
      </c>
      <c r="C534" s="423">
        <v>3</v>
      </c>
      <c r="D534" s="421">
        <f>D531*C534</f>
        <v>0</v>
      </c>
      <c r="E534" s="421">
        <f>E531*C534</f>
        <v>0</v>
      </c>
      <c r="F534" s="421">
        <f>F531*C534</f>
        <v>0</v>
      </c>
      <c r="G534" s="421">
        <f>G531*C534</f>
        <v>6</v>
      </c>
      <c r="H534" s="421">
        <f>H531*C534</f>
        <v>9</v>
      </c>
      <c r="I534" s="421">
        <f>I531*C534</f>
        <v>6</v>
      </c>
      <c r="J534" s="421">
        <f>J531*C534</f>
        <v>12</v>
      </c>
      <c r="K534" s="424">
        <f>SUM(D534:J534)</f>
        <v>33</v>
      </c>
    </row>
    <row r="535" spans="2:13" x14ac:dyDescent="0.25">
      <c r="B535" s="389" t="s">
        <v>342</v>
      </c>
      <c r="C535" s="423">
        <v>1</v>
      </c>
      <c r="D535" s="421">
        <f>D531*C535</f>
        <v>0</v>
      </c>
      <c r="E535" s="421">
        <f>E531*C535</f>
        <v>0</v>
      </c>
      <c r="F535" s="421">
        <f>F531*C535</f>
        <v>0</v>
      </c>
      <c r="G535" s="421">
        <f>G531*C535</f>
        <v>2</v>
      </c>
      <c r="H535" s="421">
        <f>H531*C535</f>
        <v>3</v>
      </c>
      <c r="I535" s="421">
        <f>I531*C535</f>
        <v>2</v>
      </c>
      <c r="J535" s="421">
        <f>J531*C535</f>
        <v>4</v>
      </c>
      <c r="K535" s="424">
        <f>SUM(D535:J535)</f>
        <v>11</v>
      </c>
    </row>
    <row r="536" spans="2:13" ht="15.75" thickBot="1" x14ac:dyDescent="0.3"/>
    <row r="537" spans="2:13" ht="15.75" thickBot="1" x14ac:dyDescent="0.3">
      <c r="B537" s="436">
        <v>6480268</v>
      </c>
      <c r="C537" s="411"/>
      <c r="D537" s="407" t="s">
        <v>548</v>
      </c>
      <c r="E537" s="408" t="s">
        <v>549</v>
      </c>
      <c r="F537" s="408" t="s">
        <v>550</v>
      </c>
      <c r="G537" s="408" t="s">
        <v>551</v>
      </c>
      <c r="H537" s="408" t="s">
        <v>552</v>
      </c>
      <c r="I537" s="408" t="s">
        <v>553</v>
      </c>
      <c r="J537" s="408" t="s">
        <v>554</v>
      </c>
      <c r="K537" s="408" t="s">
        <v>555</v>
      </c>
      <c r="M537" s="426" t="s">
        <v>687</v>
      </c>
    </row>
    <row r="538" spans="2:13" ht="15.75" thickBot="1" x14ac:dyDescent="0.3">
      <c r="B538" s="414" t="s">
        <v>556</v>
      </c>
      <c r="C538" s="415" t="s">
        <v>620</v>
      </c>
      <c r="D538" s="416">
        <f>IF(ISERROR(VLOOKUP(B537,'MD Usage'!$A$1:$W$5000,3,FALSE)),0,VLOOKUP(B537,'MD Usage'!$A$1:$W$5000,3,FALSE))</f>
        <v>0</v>
      </c>
      <c r="E538" s="416">
        <f>IF(ISERROR(VLOOKUP(B537,'MD Usage'!$A$1:$W$5000,5,FALSE)),0,VLOOKUP(B537,'MD Usage'!$A$1:$W$5000,5,FALSE))</f>
        <v>0</v>
      </c>
      <c r="F538" s="416">
        <f>IF(ISERROR(VLOOKUP(B537,'MD Usage'!$A$1:$W$5000,7,FALSE)),0,VLOOKUP(B537,'MD Usage'!$A$1:$W$5000,7,FALSE))</f>
        <v>1</v>
      </c>
      <c r="G538" s="416">
        <f>IF(ISERROR(VLOOKUP(B537,'MD Usage'!$A$1:$W$5000,9,FALSE)),0,VLOOKUP(B537,'MD Usage'!$A$1:$W$5000,9,FALSE))</f>
        <v>0</v>
      </c>
      <c r="H538" s="416">
        <f>IF(ISERROR(VLOOKUP(B537,'MD Usage'!$A$1:$W$5000,11,FALSE)),0,VLOOKUP(B537,'MD Usage'!$A$1:$W$5000,11,FALSE))</f>
        <v>0</v>
      </c>
      <c r="I538" s="416">
        <f>IF(ISERROR(VLOOKUP(B537,'MD Usage'!A1:R2000,13,FALSE)),0,VLOOKUP(B537,'MD Usage'!A1:R2000,13,FALSE))</f>
        <v>2</v>
      </c>
      <c r="J538" s="416">
        <f>IF(ISERROR(VLOOKUP(B537,'MD Usage'!A1:R2000,15,FALSE)),0,VLOOKUP(B537,'MD Usage'!A1:R2000,15,FALSE))</f>
        <v>0</v>
      </c>
      <c r="K538" s="418">
        <f>SUM(D538:J538)</f>
        <v>3</v>
      </c>
    </row>
    <row r="539" spans="2:13" x14ac:dyDescent="0.25">
      <c r="B539" s="419" t="s">
        <v>918</v>
      </c>
      <c r="C539" s="420">
        <v>2</v>
      </c>
      <c r="D539" s="421">
        <f>D538*C539</f>
        <v>0</v>
      </c>
      <c r="E539" s="421">
        <f>E538*C539</f>
        <v>0</v>
      </c>
      <c r="F539" s="421">
        <f>F538*C539</f>
        <v>2</v>
      </c>
      <c r="G539" s="421">
        <f>G538*C539</f>
        <v>0</v>
      </c>
      <c r="H539" s="421">
        <f>H538*C539</f>
        <v>0</v>
      </c>
      <c r="I539" s="421">
        <f>I538*C539</f>
        <v>4</v>
      </c>
      <c r="J539" s="421">
        <f>J538*C539</f>
        <v>0</v>
      </c>
      <c r="K539" s="422">
        <f>SUM(D539:J539)</f>
        <v>6</v>
      </c>
    </row>
    <row r="540" spans="2:13" x14ac:dyDescent="0.25">
      <c r="B540" s="389" t="s">
        <v>568</v>
      </c>
      <c r="C540" s="423">
        <v>3</v>
      </c>
      <c r="D540" s="421">
        <f>D538*C540</f>
        <v>0</v>
      </c>
      <c r="E540" s="421">
        <f>E538*C540</f>
        <v>0</v>
      </c>
      <c r="F540" s="421">
        <f>F538*C540</f>
        <v>3</v>
      </c>
      <c r="G540" s="421">
        <f>G538*C540</f>
        <v>0</v>
      </c>
      <c r="H540" s="421">
        <f>H538*C540</f>
        <v>0</v>
      </c>
      <c r="I540" s="421">
        <f>I538*C540</f>
        <v>6</v>
      </c>
      <c r="J540" s="421">
        <f>J538*C540</f>
        <v>0</v>
      </c>
      <c r="K540" s="424">
        <f>SUM(D540:J540)</f>
        <v>9</v>
      </c>
    </row>
    <row r="541" spans="2:13" ht="15" customHeight="1" x14ac:dyDescent="0.25">
      <c r="B541" s="389" t="s">
        <v>64</v>
      </c>
      <c r="C541" s="423">
        <v>9</v>
      </c>
      <c r="D541" s="421">
        <f>D538*C541</f>
        <v>0</v>
      </c>
      <c r="E541" s="421">
        <f>E538*C541</f>
        <v>0</v>
      </c>
      <c r="F541" s="421">
        <f>F538*C541</f>
        <v>9</v>
      </c>
      <c r="G541" s="421">
        <f>G538*C541</f>
        <v>0</v>
      </c>
      <c r="H541" s="421">
        <f>H538*C541</f>
        <v>0</v>
      </c>
      <c r="I541" s="421">
        <f>I538*C541</f>
        <v>18</v>
      </c>
      <c r="J541" s="421">
        <f>J538*C541</f>
        <v>0</v>
      </c>
      <c r="K541" s="424">
        <f>SUM(D541:J541)</f>
        <v>27</v>
      </c>
    </row>
    <row r="542" spans="2:13" x14ac:dyDescent="0.25">
      <c r="B542" s="389" t="s">
        <v>342</v>
      </c>
      <c r="C542" s="423">
        <v>8</v>
      </c>
      <c r="D542" s="421">
        <f>D538*C542</f>
        <v>0</v>
      </c>
      <c r="E542" s="421">
        <f>E538*C542</f>
        <v>0</v>
      </c>
      <c r="F542" s="421">
        <f>F538*C542</f>
        <v>8</v>
      </c>
      <c r="G542" s="421">
        <f>G538*C542</f>
        <v>0</v>
      </c>
      <c r="H542" s="421">
        <f>H538*C542</f>
        <v>0</v>
      </c>
      <c r="I542" s="421">
        <f>I538*C542</f>
        <v>16</v>
      </c>
      <c r="J542" s="421">
        <f>J538*C542</f>
        <v>0</v>
      </c>
      <c r="K542" s="424">
        <f>SUM(D542:J542)</f>
        <v>24</v>
      </c>
    </row>
    <row r="543" spans="2:13" ht="15.75" thickBot="1" x14ac:dyDescent="0.3"/>
    <row r="544" spans="2:13" ht="15.75" thickBot="1" x14ac:dyDescent="0.3">
      <c r="B544" s="436">
        <v>6440680</v>
      </c>
      <c r="C544" s="411"/>
      <c r="D544" s="407" t="s">
        <v>548</v>
      </c>
      <c r="E544" s="408" t="s">
        <v>549</v>
      </c>
      <c r="F544" s="408" t="s">
        <v>550</v>
      </c>
      <c r="G544" s="408" t="s">
        <v>551</v>
      </c>
      <c r="H544" s="408" t="s">
        <v>552</v>
      </c>
      <c r="I544" s="408" t="s">
        <v>553</v>
      </c>
      <c r="J544" s="408" t="s">
        <v>554</v>
      </c>
      <c r="K544" s="408" t="s">
        <v>555</v>
      </c>
      <c r="M544" s="437" t="s">
        <v>688</v>
      </c>
    </row>
    <row r="545" spans="2:13" ht="15.75" thickBot="1" x14ac:dyDescent="0.3">
      <c r="B545" s="414" t="s">
        <v>556</v>
      </c>
      <c r="C545" s="415" t="s">
        <v>620</v>
      </c>
      <c r="D545" s="416">
        <f>IF(ISERROR(VLOOKUP(B544,'MD Usage'!$A$1:$W$5000,3,FALSE)),0,VLOOKUP(B544,'MD Usage'!$A$1:$W$5000,3,FALSE))</f>
        <v>0</v>
      </c>
      <c r="E545" s="416">
        <f>IF(ISERROR(VLOOKUP(B544,'MD Usage'!$A$1:$W$5000,5,FALSE)),0,VLOOKUP(B544,'MD Usage'!$A$1:$W$5000,5,FALSE))</f>
        <v>1</v>
      </c>
      <c r="F545" s="416">
        <f>IF(ISERROR(VLOOKUP(B544,'MD Usage'!$A$1:$W$5000,7,FALSE)),0,VLOOKUP(B544,'MD Usage'!$A$1:$W$5000,7,FALSE))</f>
        <v>0</v>
      </c>
      <c r="G545" s="416">
        <f>IF(ISERROR(VLOOKUP(B544,'MD Usage'!$A$1:$W$5000,9,FALSE)),0,VLOOKUP(B544,'MD Usage'!$A$1:$W$5000,9,FALSE))</f>
        <v>1</v>
      </c>
      <c r="H545" s="416">
        <f>IF(ISERROR(VLOOKUP(B544,'MD Usage'!$A$1:$W$5000,11,FALSE)),0,VLOOKUP(B544,'MD Usage'!$A$1:$W$5000,11,FALSE))</f>
        <v>0</v>
      </c>
      <c r="I545" s="416">
        <f>IF(ISERROR(VLOOKUP(B544,'MD Usage'!A1:R2000,13,FALSE)),0,VLOOKUP(B544,'MD Usage'!A1:R2000,13,FALSE))</f>
        <v>1</v>
      </c>
      <c r="J545" s="416">
        <f>IF(ISERROR(VLOOKUP(B544,'MD Usage'!A1:R2000,15,FALSE)),0,VLOOKUP(B544,'MD Usage'!A1:R2000,15,FALSE))</f>
        <v>1</v>
      </c>
      <c r="K545" s="418">
        <f>SUM(D545:J545)</f>
        <v>4</v>
      </c>
    </row>
    <row r="546" spans="2:13" x14ac:dyDescent="0.25">
      <c r="B546" s="419" t="s">
        <v>920</v>
      </c>
      <c r="C546" s="420">
        <v>1</v>
      </c>
      <c r="D546" s="421">
        <f>D545*C546</f>
        <v>0</v>
      </c>
      <c r="E546" s="421">
        <f>E545*C546</f>
        <v>1</v>
      </c>
      <c r="F546" s="421">
        <f>F545*C546</f>
        <v>0</v>
      </c>
      <c r="G546" s="421">
        <f>G545*C546</f>
        <v>1</v>
      </c>
      <c r="H546" s="421">
        <f>H545*C546</f>
        <v>0</v>
      </c>
      <c r="I546" s="421">
        <f>I545*C546</f>
        <v>1</v>
      </c>
      <c r="J546" s="421">
        <f>J545*C546</f>
        <v>1</v>
      </c>
      <c r="K546" s="422">
        <f>SUM(D546:J546)</f>
        <v>4</v>
      </c>
    </row>
    <row r="547" spans="2:13" x14ac:dyDescent="0.25">
      <c r="B547" s="389" t="s">
        <v>593</v>
      </c>
      <c r="C547" s="423">
        <v>6</v>
      </c>
      <c r="D547" s="421">
        <f>D545*C547</f>
        <v>0</v>
      </c>
      <c r="E547" s="421">
        <f>E545*C547</f>
        <v>6</v>
      </c>
      <c r="F547" s="421">
        <f>F545*C547</f>
        <v>0</v>
      </c>
      <c r="G547" s="421">
        <f>G545*C547</f>
        <v>6</v>
      </c>
      <c r="H547" s="421">
        <f>H545*C547</f>
        <v>0</v>
      </c>
      <c r="I547" s="421">
        <f>I545*C547</f>
        <v>6</v>
      </c>
      <c r="J547" s="421">
        <f>J545*C547</f>
        <v>6</v>
      </c>
      <c r="K547" s="424">
        <f>SUM(D547:J547)</f>
        <v>24</v>
      </c>
    </row>
    <row r="548" spans="2:13" ht="15" customHeight="1" x14ac:dyDescent="0.25">
      <c r="B548" s="389" t="s">
        <v>578</v>
      </c>
      <c r="C548" s="423">
        <v>6</v>
      </c>
      <c r="D548" s="421">
        <f>D545*C548</f>
        <v>0</v>
      </c>
      <c r="E548" s="421">
        <f>E545*C548</f>
        <v>6</v>
      </c>
      <c r="F548" s="421">
        <f>F545*C548</f>
        <v>0</v>
      </c>
      <c r="G548" s="421">
        <f>G545*C548</f>
        <v>6</v>
      </c>
      <c r="H548" s="421">
        <f>H545*C548</f>
        <v>0</v>
      </c>
      <c r="I548" s="421">
        <f>I545*C548</f>
        <v>6</v>
      </c>
      <c r="J548" s="421">
        <f>J545*C548</f>
        <v>6</v>
      </c>
      <c r="K548" s="424">
        <f>SUM(D548:J548)</f>
        <v>24</v>
      </c>
    </row>
    <row r="549" spans="2:13" x14ac:dyDescent="0.25">
      <c r="B549" s="389"/>
      <c r="C549" s="423"/>
      <c r="D549" s="421">
        <f>D545*C549</f>
        <v>0</v>
      </c>
      <c r="E549" s="421">
        <f>E545*C549</f>
        <v>0</v>
      </c>
      <c r="F549" s="421">
        <f>F545*C549</f>
        <v>0</v>
      </c>
      <c r="G549" s="421">
        <f>G545*C549</f>
        <v>0</v>
      </c>
      <c r="H549" s="421">
        <f>H545*C549</f>
        <v>0</v>
      </c>
      <c r="I549" s="421">
        <f>I545*C549</f>
        <v>0</v>
      </c>
      <c r="J549" s="421">
        <f>J545*C549</f>
        <v>0</v>
      </c>
      <c r="K549" s="424">
        <f>SUM(D549:J549)</f>
        <v>0</v>
      </c>
    </row>
    <row r="550" spans="2:13" ht="15.75" thickBot="1" x14ac:dyDescent="0.3"/>
    <row r="551" spans="2:13" ht="15.75" thickBot="1" x14ac:dyDescent="0.3">
      <c r="B551" s="437">
        <v>6440678</v>
      </c>
      <c r="C551" s="411"/>
      <c r="D551" s="407" t="s">
        <v>548</v>
      </c>
      <c r="E551" s="408" t="s">
        <v>549</v>
      </c>
      <c r="F551" s="408" t="s">
        <v>550</v>
      </c>
      <c r="G551" s="408" t="s">
        <v>551</v>
      </c>
      <c r="H551" s="408" t="s">
        <v>552</v>
      </c>
      <c r="I551" s="408" t="s">
        <v>553</v>
      </c>
      <c r="J551" s="408" t="s">
        <v>554</v>
      </c>
      <c r="K551" s="408" t="s">
        <v>555</v>
      </c>
      <c r="M551" s="426" t="s">
        <v>689</v>
      </c>
    </row>
    <row r="552" spans="2:13" ht="15.75" thickBot="1" x14ac:dyDescent="0.3">
      <c r="B552" s="414" t="s">
        <v>556</v>
      </c>
      <c r="C552" s="415" t="s">
        <v>620</v>
      </c>
      <c r="D552" s="416">
        <f>IF(ISERROR(VLOOKUP(B551,'MD Usage'!$A$1:$W$5000,3,FALSE)),0,VLOOKUP(B551,'MD Usage'!$A$1:$W$5000,3,FALSE))</f>
        <v>0</v>
      </c>
      <c r="E552" s="416">
        <f>IF(ISERROR(VLOOKUP(B551,'MD Usage'!$A$1:$W$5000,5,FALSE)),0,VLOOKUP(B551,'MD Usage'!$A$1:$W$5000,5,FALSE))</f>
        <v>1</v>
      </c>
      <c r="F552" s="416">
        <f>IF(ISERROR(VLOOKUP(B551,'MD Usage'!$A$1:$W$5000,7,FALSE)),0,VLOOKUP(B551,'MD Usage'!$A$1:$W$5000,7,FALSE))</f>
        <v>1</v>
      </c>
      <c r="G552" s="416">
        <f>IF(ISERROR(VLOOKUP(B551,'MD Usage'!$A$1:$W$5000,9,FALSE)),0,VLOOKUP(B551,'MD Usage'!$A$1:$W$5000,9,FALSE))</f>
        <v>3</v>
      </c>
      <c r="H552" s="416">
        <f>IF(ISERROR(VLOOKUP(B551,'MD Usage'!$A$1:$W$5000,11,FALSE)),0,VLOOKUP(B551,'MD Usage'!$A$1:$W$5000,11,FALSE))</f>
        <v>6</v>
      </c>
      <c r="I552" s="416">
        <f>IF(ISERROR(VLOOKUP(B551,'MD Usage'!A1:R2000,13,FALSE)),0,VLOOKUP(B551,'MD Usage'!A1:R2000,13,FALSE))</f>
        <v>9</v>
      </c>
      <c r="J552" s="416">
        <f>IF(ISERROR(VLOOKUP(B551,'MD Usage'!A1:R2000,15,FALSE)),0,VLOOKUP(B551,'MD Usage'!A1:R2000,15,FALSE))</f>
        <v>1</v>
      </c>
      <c r="K552" s="418">
        <f>SUM(D552:J552)</f>
        <v>21</v>
      </c>
    </row>
    <row r="553" spans="2:13" x14ac:dyDescent="0.25">
      <c r="B553" s="419" t="s">
        <v>920</v>
      </c>
      <c r="C553" s="420">
        <v>1</v>
      </c>
      <c r="D553" s="421">
        <f>D552*C553</f>
        <v>0</v>
      </c>
      <c r="E553" s="421">
        <f>E552*C553</f>
        <v>1</v>
      </c>
      <c r="F553" s="421">
        <f>F552*C553</f>
        <v>1</v>
      </c>
      <c r="G553" s="421">
        <f>G552*C553</f>
        <v>3</v>
      </c>
      <c r="H553" s="421">
        <f>H552*C553</f>
        <v>6</v>
      </c>
      <c r="I553" s="421">
        <f>I552*C553</f>
        <v>9</v>
      </c>
      <c r="J553" s="421">
        <f>J552*C553</f>
        <v>1</v>
      </c>
      <c r="K553" s="422">
        <f>SUM(D553:J553)</f>
        <v>21</v>
      </c>
    </row>
    <row r="554" spans="2:13" x14ac:dyDescent="0.25">
      <c r="B554" s="389" t="s">
        <v>593</v>
      </c>
      <c r="C554" s="423">
        <v>6</v>
      </c>
      <c r="D554" s="421">
        <f>D552*C554</f>
        <v>0</v>
      </c>
      <c r="E554" s="421">
        <f>E552*C554</f>
        <v>6</v>
      </c>
      <c r="F554" s="421">
        <f>F552*C554</f>
        <v>6</v>
      </c>
      <c r="G554" s="421">
        <f>G552*C554</f>
        <v>18</v>
      </c>
      <c r="H554" s="421">
        <f>H552*C554</f>
        <v>36</v>
      </c>
      <c r="I554" s="421">
        <f>I552*C554</f>
        <v>54</v>
      </c>
      <c r="J554" s="421">
        <f>J552*C554</f>
        <v>6</v>
      </c>
      <c r="K554" s="424">
        <f>SUM(D554:J554)</f>
        <v>126</v>
      </c>
    </row>
    <row r="555" spans="2:13" ht="15" customHeight="1" x14ac:dyDescent="0.25">
      <c r="B555" s="389" t="s">
        <v>578</v>
      </c>
      <c r="C555" s="423">
        <v>6</v>
      </c>
      <c r="D555" s="421">
        <f>D552*C555</f>
        <v>0</v>
      </c>
      <c r="E555" s="421">
        <f>E552*C555</f>
        <v>6</v>
      </c>
      <c r="F555" s="421">
        <f>F552*C555</f>
        <v>6</v>
      </c>
      <c r="G555" s="421">
        <f>G552*C555</f>
        <v>18</v>
      </c>
      <c r="H555" s="421">
        <f>H552*C555</f>
        <v>36</v>
      </c>
      <c r="I555" s="421">
        <f>I552*C555</f>
        <v>54</v>
      </c>
      <c r="J555" s="421">
        <f>J552*C555</f>
        <v>6</v>
      </c>
      <c r="K555" s="424">
        <f>SUM(D555:J555)</f>
        <v>126</v>
      </c>
    </row>
    <row r="556" spans="2:13" x14ac:dyDescent="0.25">
      <c r="B556" s="389"/>
      <c r="C556" s="423"/>
      <c r="D556" s="421">
        <f>D552*C556</f>
        <v>0</v>
      </c>
      <c r="E556" s="421">
        <f>E552*C556</f>
        <v>0</v>
      </c>
      <c r="F556" s="421">
        <f>F552*C556</f>
        <v>0</v>
      </c>
      <c r="G556" s="421">
        <f>G552*C556</f>
        <v>0</v>
      </c>
      <c r="H556" s="421">
        <f>H552*C556</f>
        <v>0</v>
      </c>
      <c r="I556" s="421">
        <f>I552*C556</f>
        <v>0</v>
      </c>
      <c r="J556" s="421">
        <f>J552*C556</f>
        <v>0</v>
      </c>
      <c r="K556" s="424">
        <f>SUM(D556:J556)</f>
        <v>0</v>
      </c>
    </row>
    <row r="557" spans="2:13" ht="15.75" thickBot="1" x14ac:dyDescent="0.3"/>
    <row r="558" spans="2:13" ht="15.75" thickBot="1" x14ac:dyDescent="0.3">
      <c r="B558" s="437">
        <v>6440679</v>
      </c>
      <c r="C558" s="411"/>
      <c r="D558" s="407" t="s">
        <v>548</v>
      </c>
      <c r="E558" s="408" t="s">
        <v>549</v>
      </c>
      <c r="F558" s="408" t="s">
        <v>550</v>
      </c>
      <c r="G558" s="408" t="s">
        <v>551</v>
      </c>
      <c r="H558" s="408" t="s">
        <v>552</v>
      </c>
      <c r="I558" s="408" t="s">
        <v>553</v>
      </c>
      <c r="J558" s="408" t="s">
        <v>554</v>
      </c>
      <c r="K558" s="408" t="s">
        <v>555</v>
      </c>
      <c r="M558" s="426" t="s">
        <v>1847</v>
      </c>
    </row>
    <row r="559" spans="2:13" ht="15.75" thickBot="1" x14ac:dyDescent="0.3">
      <c r="B559" s="414" t="s">
        <v>556</v>
      </c>
      <c r="C559" s="415" t="s">
        <v>620</v>
      </c>
      <c r="D559" s="416">
        <f>IF(ISERROR(VLOOKUP(B558,'MD Usage'!$A$1:$W$5000,3,FALSE)),0,VLOOKUP(B558,'MD Usage'!$A$1:$W$5000,3,FALSE))</f>
        <v>0</v>
      </c>
      <c r="E559" s="416">
        <f>IF(ISERROR(VLOOKUP(B558,'MD Usage'!$A$1:$W$5000,5,FALSE)),0,VLOOKUP(B558,'MD Usage'!$A$1:$W$5000,5,FALSE))</f>
        <v>1</v>
      </c>
      <c r="F559" s="416">
        <f>IF(ISERROR(VLOOKUP(B558,'MD Usage'!$A$1:$W$5000,7,FALSE)),0,VLOOKUP(B558,'MD Usage'!$A$1:$W$5000,7,FALSE))</f>
        <v>0</v>
      </c>
      <c r="G559" s="416">
        <f>IF(ISERROR(VLOOKUP(B558,'MD Usage'!$A$1:$W$5000,9,FALSE)),0,VLOOKUP(B558,'MD Usage'!$A$1:$W$5000,9,FALSE))</f>
        <v>0</v>
      </c>
      <c r="H559" s="416">
        <f>IF(ISERROR(VLOOKUP(B558,'MD Usage'!$A$1:$W$5000,11,FALSE)),0,VLOOKUP(B558,'MD Usage'!$A$1:$W$5000,11,FALSE))</f>
        <v>0</v>
      </c>
      <c r="I559" s="416">
        <f>IF(ISERROR(VLOOKUP(B558,'MD Usage'!A1:R2000,13,FALSE)),0,VLOOKUP(B558,'MD Usage'!A1:R2000,13,FALSE))</f>
        <v>0</v>
      </c>
      <c r="J559" s="416">
        <f>IF(ISERROR(VLOOKUP(B558,'MD Usage'!A1:R2000,15,FALSE)),0,VLOOKUP(B558,'MD Usage'!A1:R2000,15,FALSE))</f>
        <v>0</v>
      </c>
      <c r="K559" s="418">
        <f>SUM(D559:J559)</f>
        <v>1</v>
      </c>
    </row>
    <row r="560" spans="2:13" x14ac:dyDescent="0.25">
      <c r="B560" s="419" t="s">
        <v>920</v>
      </c>
      <c r="C560" s="420">
        <v>1</v>
      </c>
      <c r="D560" s="421">
        <f>D559*C560</f>
        <v>0</v>
      </c>
      <c r="E560" s="421">
        <f>E559*C560</f>
        <v>1</v>
      </c>
      <c r="F560" s="421">
        <f>F559*C560</f>
        <v>0</v>
      </c>
      <c r="G560" s="421">
        <f>G559*C560</f>
        <v>0</v>
      </c>
      <c r="H560" s="421">
        <f>H559*C560</f>
        <v>0</v>
      </c>
      <c r="I560" s="421">
        <f>I559*C560</f>
        <v>0</v>
      </c>
      <c r="J560" s="421">
        <f>J559*C560</f>
        <v>0</v>
      </c>
      <c r="K560" s="422">
        <f>SUM(D560:J560)</f>
        <v>1</v>
      </c>
    </row>
    <row r="561" spans="2:13" x14ac:dyDescent="0.25">
      <c r="B561" s="389" t="s">
        <v>593</v>
      </c>
      <c r="C561" s="423">
        <v>6</v>
      </c>
      <c r="D561" s="421">
        <f>D559*C561</f>
        <v>0</v>
      </c>
      <c r="E561" s="421">
        <f>E559*C561</f>
        <v>6</v>
      </c>
      <c r="F561" s="421">
        <f>F559*C561</f>
        <v>0</v>
      </c>
      <c r="G561" s="421">
        <f>G559*C561</f>
        <v>0</v>
      </c>
      <c r="H561" s="421">
        <f>H559*C561</f>
        <v>0</v>
      </c>
      <c r="I561" s="421">
        <f>I559*C561</f>
        <v>0</v>
      </c>
      <c r="J561" s="421">
        <f>J559*C561</f>
        <v>0</v>
      </c>
      <c r="K561" s="424">
        <f>SUM(D561:J561)</f>
        <v>6</v>
      </c>
    </row>
    <row r="562" spans="2:13" ht="15" customHeight="1" x14ac:dyDescent="0.25">
      <c r="B562" s="389" t="s">
        <v>578</v>
      </c>
      <c r="C562" s="423">
        <v>6</v>
      </c>
      <c r="D562" s="421">
        <f>D559*C562</f>
        <v>0</v>
      </c>
      <c r="E562" s="421">
        <f>E559*C562</f>
        <v>6</v>
      </c>
      <c r="F562" s="421">
        <f>F559*C562</f>
        <v>0</v>
      </c>
      <c r="G562" s="421">
        <f>G559*C562</f>
        <v>0</v>
      </c>
      <c r="H562" s="421">
        <f>H559*C562</f>
        <v>0</v>
      </c>
      <c r="I562" s="421">
        <f>I559*C562</f>
        <v>0</v>
      </c>
      <c r="J562" s="421">
        <f>J559*C562</f>
        <v>0</v>
      </c>
      <c r="K562" s="424">
        <f>SUM(D562:J562)</f>
        <v>6</v>
      </c>
    </row>
    <row r="563" spans="2:13" x14ac:dyDescent="0.25">
      <c r="B563" s="389"/>
      <c r="C563" s="423"/>
      <c r="D563" s="421">
        <f>D559*C563</f>
        <v>0</v>
      </c>
      <c r="E563" s="421">
        <f>E559*C563</f>
        <v>0</v>
      </c>
      <c r="F563" s="421">
        <f>F559*C563</f>
        <v>0</v>
      </c>
      <c r="G563" s="421">
        <f>G559*C563</f>
        <v>0</v>
      </c>
      <c r="H563" s="421">
        <f>H559*C563</f>
        <v>0</v>
      </c>
      <c r="I563" s="421">
        <f>I559*C563</f>
        <v>0</v>
      </c>
      <c r="J563" s="421">
        <f>J559*C563</f>
        <v>0</v>
      </c>
      <c r="K563" s="424">
        <f>SUM(D563:J563)</f>
        <v>0</v>
      </c>
    </row>
    <row r="564" spans="2:13" ht="15.75" thickBot="1" x14ac:dyDescent="0.3"/>
    <row r="565" spans="2:13" ht="15.75" thickBot="1" x14ac:dyDescent="0.3">
      <c r="B565" s="436">
        <v>6480266</v>
      </c>
      <c r="C565" s="411"/>
      <c r="D565" s="407" t="s">
        <v>548</v>
      </c>
      <c r="E565" s="408" t="s">
        <v>549</v>
      </c>
      <c r="F565" s="408" t="s">
        <v>550</v>
      </c>
      <c r="G565" s="408" t="s">
        <v>551</v>
      </c>
      <c r="H565" s="408" t="s">
        <v>552</v>
      </c>
      <c r="I565" s="408" t="s">
        <v>553</v>
      </c>
      <c r="J565" s="408" t="s">
        <v>554</v>
      </c>
      <c r="K565" s="408" t="s">
        <v>555</v>
      </c>
      <c r="M565" s="426" t="s">
        <v>690</v>
      </c>
    </row>
    <row r="566" spans="2:13" ht="15.75" thickBot="1" x14ac:dyDescent="0.3">
      <c r="B566" s="414" t="s">
        <v>556</v>
      </c>
      <c r="C566" s="415" t="s">
        <v>620</v>
      </c>
      <c r="D566" s="416">
        <f>IF(ISERROR(VLOOKUP(B565,'MD Usage'!$A$1:$W$5000,3,FALSE)),0,VLOOKUP(B565,'MD Usage'!$A$1:$W$5000,3,FALSE))</f>
        <v>0</v>
      </c>
      <c r="E566" s="416">
        <f>IF(ISERROR(VLOOKUP(B565,'MD Usage'!$A$1:$W$5000,5,FALSE)),0,VLOOKUP(B565,'MD Usage'!$A$1:$W$5000,5,FALSE))</f>
        <v>0</v>
      </c>
      <c r="F566" s="416">
        <f>IF(ISERROR(VLOOKUP(B565,'MD Usage'!$A$1:$W$5000,7,FALSE)),0,VLOOKUP(B565,'MD Usage'!$A$1:$W$5000,7,FALSE))</f>
        <v>0</v>
      </c>
      <c r="G566" s="416">
        <f>IF(ISERROR(VLOOKUP(B565,'MD Usage'!$A$1:$W$5000,9,FALSE)),0,VLOOKUP(B565,'MD Usage'!$A$1:$W$5000,9,FALSE))</f>
        <v>0</v>
      </c>
      <c r="H566" s="416">
        <f>IF(ISERROR(VLOOKUP(B565,'MD Usage'!$A$1:$W$5000,11,FALSE)),0,VLOOKUP(B565,'MD Usage'!$A$1:$W$5000,11,FALSE))</f>
        <v>0</v>
      </c>
      <c r="I566" s="416">
        <f>IF(ISERROR(VLOOKUP(B565,'MD Usage'!A1:R2000,13,FALSE)),0,VLOOKUP(B565,'MD Usage'!A1:R2000,13,FALSE))</f>
        <v>2</v>
      </c>
      <c r="J566" s="416">
        <f>IF(ISERROR(VLOOKUP(B565,'MD Usage'!A1:R2000,15,FALSE)),0,VLOOKUP(B565,'MD Usage'!A1:R2000,15,FALSE))</f>
        <v>0</v>
      </c>
      <c r="K566" s="418">
        <f>SUM(D566:J566)</f>
        <v>2</v>
      </c>
    </row>
    <row r="567" spans="2:13" x14ac:dyDescent="0.25">
      <c r="B567" s="419" t="s">
        <v>920</v>
      </c>
      <c r="C567" s="420">
        <v>2</v>
      </c>
      <c r="D567" s="421">
        <f>D566*C567</f>
        <v>0</v>
      </c>
      <c r="E567" s="421">
        <f>E566*C567</f>
        <v>0</v>
      </c>
      <c r="F567" s="421">
        <f>F566*C567</f>
        <v>0</v>
      </c>
      <c r="G567" s="421">
        <f>G566*C567</f>
        <v>0</v>
      </c>
      <c r="H567" s="421">
        <f>H566*C567</f>
        <v>0</v>
      </c>
      <c r="I567" s="421">
        <f>I566*C567</f>
        <v>4</v>
      </c>
      <c r="J567" s="421">
        <f>J566*C567</f>
        <v>0</v>
      </c>
      <c r="K567" s="422">
        <f>SUM(D567:J567)</f>
        <v>4</v>
      </c>
    </row>
    <row r="568" spans="2:13" x14ac:dyDescent="0.25">
      <c r="B568" s="389" t="s">
        <v>593</v>
      </c>
      <c r="C568" s="423">
        <v>9</v>
      </c>
      <c r="D568" s="421">
        <f>D566*C568</f>
        <v>0</v>
      </c>
      <c r="E568" s="421">
        <f>E566*C568</f>
        <v>0</v>
      </c>
      <c r="F568" s="421">
        <f>F566*C568</f>
        <v>0</v>
      </c>
      <c r="G568" s="421">
        <f>G566*C568</f>
        <v>0</v>
      </c>
      <c r="H568" s="421">
        <f>H566*C568</f>
        <v>0</v>
      </c>
      <c r="I568" s="421">
        <f>I566*C568</f>
        <v>18</v>
      </c>
      <c r="J568" s="421">
        <f>J566*C568</f>
        <v>0</v>
      </c>
      <c r="K568" s="424">
        <f>SUM(D568:J568)</f>
        <v>18</v>
      </c>
    </row>
    <row r="569" spans="2:13" ht="15" customHeight="1" x14ac:dyDescent="0.25">
      <c r="B569" s="389" t="s">
        <v>578</v>
      </c>
      <c r="C569" s="423">
        <v>9</v>
      </c>
      <c r="D569" s="421">
        <f>D566*C569</f>
        <v>0</v>
      </c>
      <c r="E569" s="421">
        <f>E566*C569</f>
        <v>0</v>
      </c>
      <c r="F569" s="421">
        <f>F566*C569</f>
        <v>0</v>
      </c>
      <c r="G569" s="421">
        <f>G566*C569</f>
        <v>0</v>
      </c>
      <c r="H569" s="421">
        <f>H566*C569</f>
        <v>0</v>
      </c>
      <c r="I569" s="421">
        <f>I566*C569</f>
        <v>18</v>
      </c>
      <c r="J569" s="421">
        <f>J566*C569</f>
        <v>0</v>
      </c>
      <c r="K569" s="424">
        <f>SUM(D569:J569)</f>
        <v>18</v>
      </c>
    </row>
    <row r="570" spans="2:13" x14ac:dyDescent="0.25">
      <c r="B570" s="389"/>
      <c r="C570" s="423"/>
      <c r="D570" s="421">
        <f>D566*C570</f>
        <v>0</v>
      </c>
      <c r="E570" s="421">
        <f>E566*C570</f>
        <v>0</v>
      </c>
      <c r="F570" s="421">
        <f>F566*C570</f>
        <v>0</v>
      </c>
      <c r="G570" s="421">
        <f>G566*C570</f>
        <v>0</v>
      </c>
      <c r="H570" s="421">
        <f>H566*C570</f>
        <v>0</v>
      </c>
      <c r="I570" s="421">
        <f>I566*C570</f>
        <v>0</v>
      </c>
      <c r="J570" s="421">
        <f>J566*C570</f>
        <v>0</v>
      </c>
      <c r="K570" s="424">
        <f>SUM(D570:J570)</f>
        <v>0</v>
      </c>
    </row>
    <row r="571" spans="2:13" ht="15.75" thickBot="1" x14ac:dyDescent="0.3"/>
    <row r="572" spans="2:13" ht="15.75" thickBot="1" x14ac:dyDescent="0.3">
      <c r="B572" s="436">
        <v>5</v>
      </c>
      <c r="C572" s="411"/>
      <c r="D572" s="407" t="s">
        <v>548</v>
      </c>
      <c r="E572" s="408" t="s">
        <v>549</v>
      </c>
      <c r="F572" s="408" t="s">
        <v>550</v>
      </c>
      <c r="G572" s="408" t="s">
        <v>551</v>
      </c>
      <c r="H572" s="408" t="s">
        <v>552</v>
      </c>
      <c r="I572" s="408" t="s">
        <v>553</v>
      </c>
      <c r="J572" s="408" t="s">
        <v>554</v>
      </c>
      <c r="K572" s="408" t="s">
        <v>555</v>
      </c>
      <c r="M572" s="426" t="s">
        <v>691</v>
      </c>
    </row>
    <row r="573" spans="2:13" ht="15.75" thickBot="1" x14ac:dyDescent="0.3">
      <c r="B573" s="414" t="s">
        <v>556</v>
      </c>
      <c r="C573" s="415" t="s">
        <v>620</v>
      </c>
      <c r="D573" s="416">
        <f>IF(ISERROR(VLOOKUP(B572,'MD Usage'!$A$1:$W$5000,3,FALSE)),0,VLOOKUP(B572,'MD Usage'!$A$1:$W$5000,3,FALSE))</f>
        <v>0</v>
      </c>
      <c r="E573" s="416">
        <f>IF(ISERROR(VLOOKUP(B572,'MD Usage'!$A$1:$W$5000,5,FALSE)),0,VLOOKUP(B572,'MD Usage'!$A$1:$W$5000,5,FALSE))</f>
        <v>0</v>
      </c>
      <c r="F573" s="416">
        <f>IF(ISERROR(VLOOKUP(B572,'MD Usage'!$A$1:$W$5000,7,FALSE)),0,VLOOKUP(B572,'MD Usage'!$A$1:$W$5000,7,FALSE))</f>
        <v>0</v>
      </c>
      <c r="G573" s="416">
        <f>IF(ISERROR(VLOOKUP(B572,'MD Usage'!$A$1:$W$5000,9,FALSE)),0,VLOOKUP(B572,'MD Usage'!$A$1:$W$5000,9,FALSE))</f>
        <v>0</v>
      </c>
      <c r="H573" s="416">
        <f>IF(ISERROR(VLOOKUP(B572,'MD Usage'!$A$1:$W$5000,11,FALSE)),0,VLOOKUP(B572,'MD Usage'!$A$1:$W$5000,11,FALSE))</f>
        <v>0</v>
      </c>
      <c r="I573" s="416">
        <f>IF(ISERROR(VLOOKUP(B572,'MD Usage'!A1:R2000,13,FALSE)),0,VLOOKUP(B572,'MD Usage'!A1:R2000,13,FALSE))</f>
        <v>0</v>
      </c>
      <c r="J573" s="416">
        <f>IF(ISERROR(VLOOKUP(B572,'MD Usage'!A1:R2000,15,FALSE)),0,VLOOKUP(B572,'MD Usage'!A1:R2000,15,FALSE))</f>
        <v>0</v>
      </c>
      <c r="K573" s="418">
        <f>SUM(D573:J573)</f>
        <v>0</v>
      </c>
    </row>
    <row r="574" spans="2:13" x14ac:dyDescent="0.25">
      <c r="B574" s="419" t="s">
        <v>922</v>
      </c>
      <c r="C574" s="420">
        <v>4</v>
      </c>
      <c r="D574" s="421">
        <f>D573*C574</f>
        <v>0</v>
      </c>
      <c r="E574" s="421">
        <f>E573*C574</f>
        <v>0</v>
      </c>
      <c r="F574" s="421">
        <f>F573*C574</f>
        <v>0</v>
      </c>
      <c r="G574" s="421">
        <f>G573*C574</f>
        <v>0</v>
      </c>
      <c r="H574" s="421">
        <f>H573*C574</f>
        <v>0</v>
      </c>
      <c r="I574" s="421">
        <f>I573*C574</f>
        <v>0</v>
      </c>
      <c r="J574" s="421">
        <f>J573*C574</f>
        <v>0</v>
      </c>
      <c r="K574" s="422">
        <f>SUM(D574:J574)</f>
        <v>0</v>
      </c>
    </row>
    <row r="575" spans="2:13" x14ac:dyDescent="0.25">
      <c r="B575" s="389" t="s">
        <v>593</v>
      </c>
      <c r="C575" s="423">
        <v>24</v>
      </c>
      <c r="D575" s="421">
        <f>D573*C575</f>
        <v>0</v>
      </c>
      <c r="E575" s="421">
        <f>E573*C575</f>
        <v>0</v>
      </c>
      <c r="F575" s="421">
        <f>F573*C575</f>
        <v>0</v>
      </c>
      <c r="G575" s="421">
        <f>G573*C575</f>
        <v>0</v>
      </c>
      <c r="H575" s="421">
        <f>H573*C575</f>
        <v>0</v>
      </c>
      <c r="I575" s="421">
        <f>I573*C575</f>
        <v>0</v>
      </c>
      <c r="J575" s="421">
        <f>J573*C575</f>
        <v>0</v>
      </c>
      <c r="K575" s="424">
        <f>SUM(D575:J575)</f>
        <v>0</v>
      </c>
    </row>
    <row r="576" spans="2:13" x14ac:dyDescent="0.25">
      <c r="B576" s="389" t="s">
        <v>578</v>
      </c>
      <c r="C576" s="423">
        <v>30</v>
      </c>
      <c r="D576" s="421">
        <f>D573*C576</f>
        <v>0</v>
      </c>
      <c r="E576" s="421">
        <f>E573*C576</f>
        <v>0</v>
      </c>
      <c r="F576" s="421">
        <f>F573*C576</f>
        <v>0</v>
      </c>
      <c r="G576" s="421">
        <f>G573*C576</f>
        <v>0</v>
      </c>
      <c r="H576" s="421">
        <f>H573*C576</f>
        <v>0</v>
      </c>
      <c r="I576" s="421">
        <f>I573*C576</f>
        <v>0</v>
      </c>
      <c r="J576" s="421">
        <f>J573*C576</f>
        <v>0</v>
      </c>
      <c r="K576" s="424">
        <f>SUM(D576:J576)</f>
        <v>0</v>
      </c>
    </row>
    <row r="577" spans="2:13" ht="15" customHeight="1" x14ac:dyDescent="0.25">
      <c r="B577" s="389"/>
      <c r="C577" s="423"/>
      <c r="D577" s="421">
        <f>D573*C577</f>
        <v>0</v>
      </c>
      <c r="E577" s="421">
        <f>E573*C577</f>
        <v>0</v>
      </c>
      <c r="F577" s="421">
        <f>F573*C577</f>
        <v>0</v>
      </c>
      <c r="G577" s="421">
        <f>G573*C577</f>
        <v>0</v>
      </c>
      <c r="H577" s="421">
        <f>H573*C577</f>
        <v>0</v>
      </c>
      <c r="I577" s="421">
        <f>I573*C577</f>
        <v>0</v>
      </c>
      <c r="J577" s="421">
        <f>J573*C577</f>
        <v>0</v>
      </c>
      <c r="K577" s="424">
        <f>SUM(D577:J577)</f>
        <v>0</v>
      </c>
    </row>
    <row r="578" spans="2:13" ht="15.75" thickBot="1" x14ac:dyDescent="0.3"/>
    <row r="579" spans="2:13" ht="15.75" thickBot="1" x14ac:dyDescent="0.3">
      <c r="B579" s="437">
        <v>6440787</v>
      </c>
      <c r="C579" s="411"/>
      <c r="D579" s="407" t="s">
        <v>548</v>
      </c>
      <c r="E579" s="408" t="s">
        <v>549</v>
      </c>
      <c r="F579" s="408" t="s">
        <v>550</v>
      </c>
      <c r="G579" s="408" t="s">
        <v>551</v>
      </c>
      <c r="H579" s="408" t="s">
        <v>552</v>
      </c>
      <c r="I579" s="408" t="s">
        <v>553</v>
      </c>
      <c r="J579" s="408" t="s">
        <v>554</v>
      </c>
      <c r="K579" s="408" t="s">
        <v>555</v>
      </c>
      <c r="M579" s="426" t="s">
        <v>692</v>
      </c>
    </row>
    <row r="580" spans="2:13" ht="15.75" thickBot="1" x14ac:dyDescent="0.3">
      <c r="B580" s="414" t="s">
        <v>556</v>
      </c>
      <c r="C580" s="415" t="s">
        <v>620</v>
      </c>
      <c r="D580" s="416">
        <f>IF(ISERROR(VLOOKUP(B579,'MD Usage'!$A$1:$W$5000,3,FALSE)),0,VLOOKUP(B579,'MD Usage'!$A$1:$W$5000,3,FALSE))</f>
        <v>1</v>
      </c>
      <c r="E580" s="416">
        <f>IF(ISERROR(VLOOKUP(B579,'MD Usage'!$A$1:$W$5000,5,FALSE)),0,VLOOKUP(B579,'MD Usage'!$A$1:$W$5000,5,FALSE))</f>
        <v>1</v>
      </c>
      <c r="F580" s="416">
        <f>IF(ISERROR(VLOOKUP(B579,'MD Usage'!$A$1:$W$5000,7,FALSE)),0,VLOOKUP(B579,'MD Usage'!$A$1:$W$5000,7,FALSE))</f>
        <v>1</v>
      </c>
      <c r="G580" s="416">
        <f>IF(ISERROR(VLOOKUP(B579,'MD Usage'!$A$1:$W$5000,9,FALSE)),0,VLOOKUP(B579,'MD Usage'!$A$1:$W$5000,9,FALSE))</f>
        <v>3</v>
      </c>
      <c r="H580" s="416">
        <f>IF(ISERROR(VLOOKUP(B579,'MD Usage'!$A$1:$W$5000,11,FALSE)),0,VLOOKUP(B579,'MD Usage'!$A$1:$W$5000,11,FALSE))</f>
        <v>1</v>
      </c>
      <c r="I580" s="416">
        <f>IF(ISERROR(VLOOKUP(B579,'MD Usage'!A1:R2000,13,FALSE)),0,VLOOKUP(B579,'MD Usage'!A1:R2000,13,FALSE))</f>
        <v>6</v>
      </c>
      <c r="J580" s="416">
        <f>IF(ISERROR(VLOOKUP(B579,'MD Usage'!A1:R2000,15,FALSE)),0,VLOOKUP(B579,'MD Usage'!A1:R2000,15,FALSE))</f>
        <v>2</v>
      </c>
      <c r="K580" s="418">
        <f t="shared" ref="K580:K585" si="41">SUM(D580:J580)</f>
        <v>15</v>
      </c>
    </row>
    <row r="581" spans="2:13" x14ac:dyDescent="0.25">
      <c r="B581" s="419" t="s">
        <v>918</v>
      </c>
      <c r="C581" s="420">
        <v>1</v>
      </c>
      <c r="D581" s="421">
        <f>D580*C581</f>
        <v>1</v>
      </c>
      <c r="E581" s="421">
        <f>E580*C581</f>
        <v>1</v>
      </c>
      <c r="F581" s="421">
        <f>F580*C581</f>
        <v>1</v>
      </c>
      <c r="G581" s="421">
        <f>G580*C581</f>
        <v>3</v>
      </c>
      <c r="H581" s="421">
        <f>H580*C581</f>
        <v>1</v>
      </c>
      <c r="I581" s="421">
        <f>I580*C581</f>
        <v>6</v>
      </c>
      <c r="J581" s="421">
        <f>J580*C581</f>
        <v>2</v>
      </c>
      <c r="K581" s="422">
        <f t="shared" si="41"/>
        <v>15</v>
      </c>
    </row>
    <row r="582" spans="2:13" x14ac:dyDescent="0.25">
      <c r="B582" s="389" t="s">
        <v>463</v>
      </c>
      <c r="C582" s="423">
        <v>4</v>
      </c>
      <c r="D582" s="421">
        <f>D580*C582</f>
        <v>4</v>
      </c>
      <c r="E582" s="421">
        <f>E580*C582</f>
        <v>4</v>
      </c>
      <c r="F582" s="421">
        <f>F580*C582</f>
        <v>4</v>
      </c>
      <c r="G582" s="421">
        <f>G580*C582</f>
        <v>12</v>
      </c>
      <c r="H582" s="421">
        <f>H580*C582</f>
        <v>4</v>
      </c>
      <c r="I582" s="421">
        <f>I580*C582</f>
        <v>24</v>
      </c>
      <c r="J582" s="421">
        <f>J580*C582</f>
        <v>8</v>
      </c>
      <c r="K582" s="424">
        <f t="shared" si="41"/>
        <v>60</v>
      </c>
    </row>
    <row r="583" spans="2:13" x14ac:dyDescent="0.25">
      <c r="B583" s="389" t="s">
        <v>150</v>
      </c>
      <c r="C583" s="423">
        <v>8</v>
      </c>
      <c r="D583" s="421">
        <f>D580*C583</f>
        <v>8</v>
      </c>
      <c r="E583" s="421">
        <f>E580*C583</f>
        <v>8</v>
      </c>
      <c r="F583" s="421">
        <f>F580*C583</f>
        <v>8</v>
      </c>
      <c r="G583" s="421">
        <f>G580*C583</f>
        <v>24</v>
      </c>
      <c r="H583" s="421">
        <f>H580*C583</f>
        <v>8</v>
      </c>
      <c r="I583" s="421">
        <f>I580*C583</f>
        <v>48</v>
      </c>
      <c r="J583" s="421">
        <f>J580*C583</f>
        <v>16</v>
      </c>
      <c r="K583" s="424">
        <f t="shared" si="41"/>
        <v>120</v>
      </c>
    </row>
    <row r="584" spans="2:13" x14ac:dyDescent="0.25">
      <c r="B584" s="389" t="s">
        <v>1886</v>
      </c>
      <c r="C584" s="423">
        <v>1</v>
      </c>
      <c r="D584" s="421">
        <f>D580*C584</f>
        <v>1</v>
      </c>
      <c r="E584" s="421">
        <f>E580*D584</f>
        <v>1</v>
      </c>
      <c r="F584" s="421">
        <f>F580*C584</f>
        <v>1</v>
      </c>
      <c r="G584" s="421">
        <f>G580*C584</f>
        <v>3</v>
      </c>
      <c r="H584" s="421">
        <f>H580*C584</f>
        <v>1</v>
      </c>
      <c r="I584" s="421">
        <f>I580*C584</f>
        <v>6</v>
      </c>
      <c r="J584" s="421">
        <f>J580*C584</f>
        <v>2</v>
      </c>
      <c r="K584" s="424">
        <f t="shared" si="41"/>
        <v>15</v>
      </c>
    </row>
    <row r="585" spans="2:13" ht="15" customHeight="1" x14ac:dyDescent="0.25">
      <c r="B585" s="389" t="s">
        <v>578</v>
      </c>
      <c r="C585" s="423">
        <v>3</v>
      </c>
      <c r="D585" s="421">
        <f>D580*C585</f>
        <v>3</v>
      </c>
      <c r="E585" s="421">
        <f>E580*C585</f>
        <v>3</v>
      </c>
      <c r="F585" s="421">
        <f>F580*C585</f>
        <v>3</v>
      </c>
      <c r="G585" s="421">
        <f>G580*C585</f>
        <v>9</v>
      </c>
      <c r="H585" s="421">
        <f>H580*C585</f>
        <v>3</v>
      </c>
      <c r="I585" s="421">
        <f>I580*C585</f>
        <v>18</v>
      </c>
      <c r="J585" s="421">
        <f>J580*C585</f>
        <v>6</v>
      </c>
      <c r="K585" s="424">
        <f t="shared" si="41"/>
        <v>45</v>
      </c>
    </row>
    <row r="586" spans="2:13" ht="15.75" thickBot="1" x14ac:dyDescent="0.3"/>
    <row r="587" spans="2:13" ht="15.75" thickBot="1" x14ac:dyDescent="0.3">
      <c r="B587" s="437">
        <v>6440028</v>
      </c>
      <c r="C587" s="411"/>
      <c r="D587" s="407" t="s">
        <v>548</v>
      </c>
      <c r="E587" s="408" t="s">
        <v>549</v>
      </c>
      <c r="F587" s="408" t="s">
        <v>550</v>
      </c>
      <c r="G587" s="408" t="s">
        <v>551</v>
      </c>
      <c r="H587" s="408" t="s">
        <v>552</v>
      </c>
      <c r="I587" s="408" t="s">
        <v>553</v>
      </c>
      <c r="J587" s="408" t="s">
        <v>554</v>
      </c>
      <c r="K587" s="408" t="s">
        <v>555</v>
      </c>
      <c r="M587" s="426" t="s">
        <v>693</v>
      </c>
    </row>
    <row r="588" spans="2:13" ht="15.75" thickBot="1" x14ac:dyDescent="0.3">
      <c r="B588" s="414" t="s">
        <v>556</v>
      </c>
      <c r="C588" s="415" t="s">
        <v>620</v>
      </c>
      <c r="D588" s="416">
        <f>IF(ISERROR(VLOOKUP(B587,'MD Usage'!$A$1:$W$5000,3,FALSE)),0,VLOOKUP(B587,'MD Usage'!$A$1:$W$5000,3,FALSE))</f>
        <v>0</v>
      </c>
      <c r="E588" s="416">
        <f>IF(ISERROR(VLOOKUP(B587,'MD Usage'!$A$1:$W$5000,5,FALSE)),0,VLOOKUP(B587,'MD Usage'!$A$1:$W$5000,5,FALSE))</f>
        <v>0</v>
      </c>
      <c r="F588" s="416">
        <f>IF(ISERROR(VLOOKUP(B587,'MD Usage'!$A$1:$W$5000,7,FALSE)),0,VLOOKUP(B587,'MD Usage'!$A$1:$W$5000,7,FALSE))</f>
        <v>0</v>
      </c>
      <c r="G588" s="416">
        <f>IF(ISERROR(VLOOKUP(B587,'MD Usage'!$A$1:$W$5000,9,FALSE)),0,VLOOKUP(B587,'MD Usage'!$A$1:$W$5000,9,FALSE))</f>
        <v>0</v>
      </c>
      <c r="H588" s="416">
        <f>IF(ISERROR(VLOOKUP(B587,'MD Usage'!$A$1:$W$5000,11,FALSE)),0,VLOOKUP(B587,'MD Usage'!$A$1:$W$5000,11,FALSE))</f>
        <v>0</v>
      </c>
      <c r="I588" s="416">
        <f>IF(ISERROR(VLOOKUP(B587,'MD Usage'!A1:R2000,13,FALSE)),0,VLOOKUP(B587,'MD Usage'!A1:R2000,13,FALSE))</f>
        <v>0</v>
      </c>
      <c r="J588" s="416">
        <f>IF(ISERROR(VLOOKUP(B587,'MD Usage'!A1:R2000,15,FALSE)),0,VLOOKUP(B587,'MD Usage'!A1:R2000,15,FALSE))</f>
        <v>0</v>
      </c>
      <c r="K588" s="418">
        <f t="shared" ref="K588:K593" si="42">SUM(D588:J588)</f>
        <v>0</v>
      </c>
    </row>
    <row r="589" spans="2:13" x14ac:dyDescent="0.25">
      <c r="B589" s="419" t="s">
        <v>919</v>
      </c>
      <c r="C589" s="420">
        <v>1</v>
      </c>
      <c r="D589" s="421">
        <f>D588*C589</f>
        <v>0</v>
      </c>
      <c r="E589" s="421">
        <f>E588*C589</f>
        <v>0</v>
      </c>
      <c r="F589" s="421">
        <f>F588*C589</f>
        <v>0</v>
      </c>
      <c r="G589" s="421">
        <f>G588*C589</f>
        <v>0</v>
      </c>
      <c r="H589" s="421">
        <f>H588*C589</f>
        <v>0</v>
      </c>
      <c r="I589" s="421">
        <f>I588*C589</f>
        <v>0</v>
      </c>
      <c r="J589" s="421">
        <f>J588*C589</f>
        <v>0</v>
      </c>
      <c r="K589" s="422">
        <f t="shared" si="42"/>
        <v>0</v>
      </c>
    </row>
    <row r="590" spans="2:13" x14ac:dyDescent="0.25">
      <c r="B590" s="389" t="s">
        <v>463</v>
      </c>
      <c r="C590" s="423">
        <v>3</v>
      </c>
      <c r="D590" s="421">
        <f>D588*C590</f>
        <v>0</v>
      </c>
      <c r="E590" s="421">
        <f>E588*C590</f>
        <v>0</v>
      </c>
      <c r="F590" s="421">
        <f>F588*C590</f>
        <v>0</v>
      </c>
      <c r="G590" s="421">
        <f>G588*C590</f>
        <v>0</v>
      </c>
      <c r="H590" s="421">
        <f>H588*C590</f>
        <v>0</v>
      </c>
      <c r="I590" s="421">
        <f>I588*C590</f>
        <v>0</v>
      </c>
      <c r="J590" s="421">
        <f>J588*C590</f>
        <v>0</v>
      </c>
      <c r="K590" s="424">
        <f t="shared" si="42"/>
        <v>0</v>
      </c>
    </row>
    <row r="591" spans="2:13" x14ac:dyDescent="0.25">
      <c r="B591" s="389" t="s">
        <v>150</v>
      </c>
      <c r="C591" s="423">
        <v>4</v>
      </c>
      <c r="D591" s="421">
        <f>D588*C591</f>
        <v>0</v>
      </c>
      <c r="E591" s="421">
        <f>E588*C591</f>
        <v>0</v>
      </c>
      <c r="F591" s="421">
        <f>F588*C591</f>
        <v>0</v>
      </c>
      <c r="G591" s="421">
        <f>G588*C591</f>
        <v>0</v>
      </c>
      <c r="H591" s="421">
        <f>H588*C591</f>
        <v>0</v>
      </c>
      <c r="I591" s="421">
        <f>I588*C591</f>
        <v>0</v>
      </c>
      <c r="J591" s="421">
        <f>J588*C591</f>
        <v>0</v>
      </c>
      <c r="K591" s="424">
        <f t="shared" si="42"/>
        <v>0</v>
      </c>
    </row>
    <row r="592" spans="2:13" x14ac:dyDescent="0.25">
      <c r="B592" s="389" t="s">
        <v>915</v>
      </c>
      <c r="C592" s="423">
        <v>1.5</v>
      </c>
      <c r="D592" s="421">
        <f>D588*C592</f>
        <v>0</v>
      </c>
      <c r="E592" s="421">
        <f>E588*C592</f>
        <v>0</v>
      </c>
      <c r="F592" s="421">
        <f>F588*C592</f>
        <v>0</v>
      </c>
      <c r="G592" s="421">
        <f>G588*C592</f>
        <v>0</v>
      </c>
      <c r="H592" s="421">
        <f>H588*C592</f>
        <v>0</v>
      </c>
      <c r="I592" s="421">
        <f>I588*C592</f>
        <v>0</v>
      </c>
      <c r="J592" s="421">
        <f>J588*C592</f>
        <v>0</v>
      </c>
      <c r="K592" s="424">
        <f t="shared" si="42"/>
        <v>0</v>
      </c>
    </row>
    <row r="593" spans="2:13" ht="15" customHeight="1" x14ac:dyDescent="0.25">
      <c r="B593" s="389" t="s">
        <v>578</v>
      </c>
      <c r="C593" s="423">
        <v>1.5</v>
      </c>
      <c r="D593" s="421">
        <f>D588*C593</f>
        <v>0</v>
      </c>
      <c r="E593" s="421">
        <f>E588*C593</f>
        <v>0</v>
      </c>
      <c r="F593" s="421">
        <f>F588*C593</f>
        <v>0</v>
      </c>
      <c r="G593" s="421">
        <f>G588*C593</f>
        <v>0</v>
      </c>
      <c r="H593" s="421">
        <f>H588*C593</f>
        <v>0</v>
      </c>
      <c r="I593" s="421">
        <f>I588*C593</f>
        <v>0</v>
      </c>
      <c r="J593" s="421">
        <f>J588*C593</f>
        <v>0</v>
      </c>
      <c r="K593" s="424">
        <f t="shared" si="42"/>
        <v>0</v>
      </c>
    </row>
    <row r="594" spans="2:13" ht="15.75" thickBot="1" x14ac:dyDescent="0.3"/>
    <row r="595" spans="2:13" ht="15.75" thickBot="1" x14ac:dyDescent="0.3">
      <c r="B595" s="437">
        <v>6440788</v>
      </c>
      <c r="C595" s="411"/>
      <c r="D595" s="407" t="s">
        <v>548</v>
      </c>
      <c r="E595" s="408" t="s">
        <v>549</v>
      </c>
      <c r="F595" s="408" t="s">
        <v>550</v>
      </c>
      <c r="G595" s="408" t="s">
        <v>551</v>
      </c>
      <c r="H595" s="408" t="s">
        <v>552</v>
      </c>
      <c r="I595" s="408" t="s">
        <v>553</v>
      </c>
      <c r="J595" s="408" t="s">
        <v>554</v>
      </c>
      <c r="K595" s="408" t="s">
        <v>555</v>
      </c>
      <c r="M595" s="426" t="s">
        <v>694</v>
      </c>
    </row>
    <row r="596" spans="2:13" ht="15.75" thickBot="1" x14ac:dyDescent="0.3">
      <c r="B596" s="414" t="s">
        <v>556</v>
      </c>
      <c r="C596" s="415" t="s">
        <v>620</v>
      </c>
      <c r="D596" s="416">
        <f>IF(ISERROR(VLOOKUP(B595,'MD Usage'!$A$1:$W$5000,3,FALSE)),0,VLOOKUP(B595,'MD Usage'!$A$1:$W$5000,3,FALSE))</f>
        <v>0</v>
      </c>
      <c r="E596" s="416">
        <f>IF(ISERROR(VLOOKUP(B595,'MD Usage'!$A$1:$W$5000,5,FALSE)),0,VLOOKUP(B595,'MD Usage'!$A$1:$W$5000,5,FALSE))</f>
        <v>0</v>
      </c>
      <c r="F596" s="416">
        <f>IF(ISERROR(VLOOKUP(B595,'MD Usage'!$A$1:$W$5000,7,FALSE)),0,VLOOKUP(B595,'MD Usage'!$A$1:$W$5000,7,FALSE))</f>
        <v>0</v>
      </c>
      <c r="G596" s="416">
        <f>IF(ISERROR(VLOOKUP(B595,'MD Usage'!$A$1:$W$5000,9,FALSE)),0,VLOOKUP(B595,'MD Usage'!$A$1:$W$5000,9,FALSE))</f>
        <v>0</v>
      </c>
      <c r="H596" s="416">
        <f>IF(ISERROR(VLOOKUP(B595,'MD Usage'!$A$1:$W$5000,11,FALSE)),0,VLOOKUP(B595,'MD Usage'!$A$1:$W$5000,11,FALSE))</f>
        <v>0</v>
      </c>
      <c r="I596" s="416">
        <f>IF(ISERROR(VLOOKUP(B595,'MD Usage'!A1:R2000,13,FALSE)),0,VLOOKUP(B595,'MD Usage'!A1:R2000,13,FALSE))</f>
        <v>1</v>
      </c>
      <c r="J596" s="416">
        <f>IF(ISERROR(VLOOKUP(B595,'MD Usage'!A1:R2000,15,FALSE)),0,VLOOKUP(B595,'MD Usage'!A1:R2000,15,FALSE))</f>
        <v>1</v>
      </c>
      <c r="K596" s="418">
        <f t="shared" ref="K596:K601" si="43">SUM(D596:J596)</f>
        <v>2</v>
      </c>
    </row>
    <row r="597" spans="2:13" x14ac:dyDescent="0.25">
      <c r="B597" s="419" t="s">
        <v>918</v>
      </c>
      <c r="C597" s="420">
        <v>1</v>
      </c>
      <c r="D597" s="421">
        <f>D596*C597</f>
        <v>0</v>
      </c>
      <c r="E597" s="421">
        <f>E596*C597</f>
        <v>0</v>
      </c>
      <c r="F597" s="421">
        <f>F596*C597</f>
        <v>0</v>
      </c>
      <c r="G597" s="421">
        <f>G596*C597</f>
        <v>0</v>
      </c>
      <c r="H597" s="421">
        <f>H596*C597</f>
        <v>0</v>
      </c>
      <c r="I597" s="421">
        <f>I596*C597</f>
        <v>1</v>
      </c>
      <c r="J597" s="421">
        <f>J596*C597</f>
        <v>1</v>
      </c>
      <c r="K597" s="422">
        <f t="shared" si="43"/>
        <v>2</v>
      </c>
    </row>
    <row r="598" spans="2:13" x14ac:dyDescent="0.25">
      <c r="B598" s="389" t="s">
        <v>463</v>
      </c>
      <c r="C598" s="423">
        <v>4</v>
      </c>
      <c r="D598" s="421">
        <f>D596*C598</f>
        <v>0</v>
      </c>
      <c r="E598" s="421">
        <f>E596*C598</f>
        <v>0</v>
      </c>
      <c r="F598" s="421">
        <f>F596*C598</f>
        <v>0</v>
      </c>
      <c r="G598" s="421">
        <f>G596*C598</f>
        <v>0</v>
      </c>
      <c r="H598" s="421">
        <f>H596*C598</f>
        <v>0</v>
      </c>
      <c r="I598" s="421">
        <f>I596*C598</f>
        <v>4</v>
      </c>
      <c r="J598" s="421">
        <f>J596*C598</f>
        <v>4</v>
      </c>
      <c r="K598" s="424">
        <f t="shared" si="43"/>
        <v>8</v>
      </c>
    </row>
    <row r="599" spans="2:13" x14ac:dyDescent="0.25">
      <c r="B599" s="389" t="s">
        <v>150</v>
      </c>
      <c r="C599" s="423">
        <v>8</v>
      </c>
      <c r="D599" s="421">
        <f>D596*C599</f>
        <v>0</v>
      </c>
      <c r="E599" s="421">
        <f>E596*C599</f>
        <v>0</v>
      </c>
      <c r="F599" s="421">
        <f>F596*C599</f>
        <v>0</v>
      </c>
      <c r="G599" s="421">
        <f>G596*C599</f>
        <v>0</v>
      </c>
      <c r="H599" s="421">
        <f>H596*C599</f>
        <v>0</v>
      </c>
      <c r="I599" s="421">
        <f>I596*C599</f>
        <v>8</v>
      </c>
      <c r="J599" s="421">
        <f>J596*C599</f>
        <v>8</v>
      </c>
      <c r="K599" s="424">
        <f t="shared" si="43"/>
        <v>16</v>
      </c>
    </row>
    <row r="600" spans="2:13" x14ac:dyDescent="0.25">
      <c r="B600" s="389" t="s">
        <v>1886</v>
      </c>
      <c r="C600" s="423">
        <v>1</v>
      </c>
      <c r="D600" s="421">
        <f>D596*C600</f>
        <v>0</v>
      </c>
      <c r="E600" s="421">
        <f>E596*C600</f>
        <v>0</v>
      </c>
      <c r="F600" s="421">
        <f>F596*C600</f>
        <v>0</v>
      </c>
      <c r="G600" s="421">
        <f>G596*C600</f>
        <v>0</v>
      </c>
      <c r="H600" s="421">
        <f>H596*C600</f>
        <v>0</v>
      </c>
      <c r="I600" s="421">
        <f>I596*C600</f>
        <v>1</v>
      </c>
      <c r="J600" s="421">
        <f>J596*C600</f>
        <v>1</v>
      </c>
      <c r="K600" s="424">
        <f t="shared" si="43"/>
        <v>2</v>
      </c>
    </row>
    <row r="601" spans="2:13" x14ac:dyDescent="0.25">
      <c r="B601" s="389" t="s">
        <v>578</v>
      </c>
      <c r="C601" s="423">
        <v>3</v>
      </c>
      <c r="D601" s="421">
        <f>D596*C601</f>
        <v>0</v>
      </c>
      <c r="E601" s="421">
        <f>E596*C601</f>
        <v>0</v>
      </c>
      <c r="F601" s="421">
        <f>F596*C601</f>
        <v>0</v>
      </c>
      <c r="G601" s="421">
        <f>G596*C601</f>
        <v>0</v>
      </c>
      <c r="H601" s="421">
        <f>H596*C601</f>
        <v>0</v>
      </c>
      <c r="I601" s="421">
        <f>I596*C601</f>
        <v>3</v>
      </c>
      <c r="J601" s="421">
        <f>J596*C601</f>
        <v>3</v>
      </c>
      <c r="K601" s="424">
        <f t="shared" si="43"/>
        <v>6</v>
      </c>
    </row>
    <row r="602" spans="2:13" ht="15.75" thickBot="1" x14ac:dyDescent="0.3"/>
    <row r="603" spans="2:13" ht="15" customHeight="1" thickBot="1" x14ac:dyDescent="0.3">
      <c r="B603" s="437">
        <v>6440668</v>
      </c>
      <c r="C603" s="411"/>
      <c r="D603" s="407" t="s">
        <v>548</v>
      </c>
      <c r="E603" s="408" t="s">
        <v>549</v>
      </c>
      <c r="F603" s="408" t="s">
        <v>550</v>
      </c>
      <c r="G603" s="408" t="s">
        <v>551</v>
      </c>
      <c r="H603" s="408" t="s">
        <v>552</v>
      </c>
      <c r="I603" s="408" t="s">
        <v>553</v>
      </c>
      <c r="J603" s="408" t="s">
        <v>554</v>
      </c>
      <c r="K603" s="408" t="s">
        <v>555</v>
      </c>
      <c r="M603" s="426" t="s">
        <v>695</v>
      </c>
    </row>
    <row r="604" spans="2:13" ht="15.75" thickBot="1" x14ac:dyDescent="0.3">
      <c r="B604" s="414" t="s">
        <v>556</v>
      </c>
      <c r="C604" s="415" t="s">
        <v>620</v>
      </c>
      <c r="D604" s="416">
        <f>IF(ISERROR(VLOOKUP(B603,'MD Usage'!$A$1:$W$5000,3,FALSE)),0,VLOOKUP(B603,'MD Usage'!$A$1:$W$5000,3,FALSE))</f>
        <v>2</v>
      </c>
      <c r="E604" s="416">
        <f>IF(ISERROR(VLOOKUP(B603,'MD Usage'!$A$1:$W$5000,5,FALSE)),0,VLOOKUP(B603,'MD Usage'!$A$1:$W$5000,5,FALSE))</f>
        <v>0</v>
      </c>
      <c r="F604" s="416">
        <f>IF(ISERROR(VLOOKUP(B603,'MD Usage'!$A$1:$W$5000,7,FALSE)),0,VLOOKUP(B603,'MD Usage'!$A$1:$W$5000,7,FALSE))</f>
        <v>4</v>
      </c>
      <c r="G604" s="416">
        <f>IF(ISERROR(VLOOKUP(B603,'MD Usage'!$A$1:$W$5000,9,FALSE)),0,VLOOKUP(B603,'MD Usage'!$A$1:$W$5000,9,FALSE))</f>
        <v>0</v>
      </c>
      <c r="H604" s="416">
        <f>IF(ISERROR(VLOOKUP(B603,'MD Usage'!$A$1:$W$5000,11,FALSE)),0,VLOOKUP(B603,'MD Usage'!$A$1:$W$5000,11,FALSE))</f>
        <v>0</v>
      </c>
      <c r="I604" s="416">
        <f>IF(ISERROR(VLOOKUP(B603,'MD Usage'!A1:R2000,13,FALSE)),0,VLOOKUP(B603,'MD Usage'!A1:R2000,13,FALSE))</f>
        <v>4</v>
      </c>
      <c r="J604" s="416">
        <f>IF(ISERROR(VLOOKUP(B603,'MD Usage'!A1:R2000,15,FALSE)),0,VLOOKUP(B603,'MD Usage'!A1:R2000,15,FALSE))</f>
        <v>0</v>
      </c>
      <c r="K604" s="418">
        <f>SUM(D604:J604)</f>
        <v>10</v>
      </c>
    </row>
    <row r="605" spans="2:13" ht="15" customHeight="1" x14ac:dyDescent="0.25">
      <c r="B605" s="419" t="s">
        <v>920</v>
      </c>
      <c r="C605" s="420">
        <v>1</v>
      </c>
      <c r="D605" s="421">
        <f>D604*C605</f>
        <v>2</v>
      </c>
      <c r="E605" s="421">
        <f>E604*C605</f>
        <v>0</v>
      </c>
      <c r="F605" s="421">
        <f>F604*C605</f>
        <v>4</v>
      </c>
      <c r="G605" s="421">
        <f>G604*C605</f>
        <v>0</v>
      </c>
      <c r="H605" s="421">
        <f>H604*C605</f>
        <v>0</v>
      </c>
      <c r="I605" s="421">
        <f>I604*C605</f>
        <v>4</v>
      </c>
      <c r="J605" s="421">
        <f>J604*C605</f>
        <v>0</v>
      </c>
      <c r="K605" s="422">
        <f>SUM(D605:J605)</f>
        <v>10</v>
      </c>
    </row>
    <row r="606" spans="2:13" x14ac:dyDescent="0.25">
      <c r="B606" s="389" t="s">
        <v>579</v>
      </c>
      <c r="C606" s="423">
        <v>2</v>
      </c>
      <c r="D606" s="421">
        <f>D604*C606</f>
        <v>4</v>
      </c>
      <c r="E606" s="421">
        <f>E604*C606</f>
        <v>0</v>
      </c>
      <c r="F606" s="421">
        <f>F604*C606</f>
        <v>8</v>
      </c>
      <c r="G606" s="421">
        <f>G604*C606</f>
        <v>0</v>
      </c>
      <c r="H606" s="421">
        <f>H604*C606</f>
        <v>0</v>
      </c>
      <c r="I606" s="421">
        <f>I604*C606</f>
        <v>8</v>
      </c>
      <c r="J606" s="421">
        <f>J604*C606</f>
        <v>0</v>
      </c>
      <c r="K606" s="424">
        <f>SUM(D606:J606)</f>
        <v>20</v>
      </c>
    </row>
    <row r="607" spans="2:13" x14ac:dyDescent="0.25">
      <c r="B607" s="389" t="s">
        <v>572</v>
      </c>
      <c r="C607" s="423">
        <v>1</v>
      </c>
      <c r="D607" s="421">
        <f>D604*C607</f>
        <v>2</v>
      </c>
      <c r="E607" s="421">
        <f>E604*C607</f>
        <v>0</v>
      </c>
      <c r="F607" s="421">
        <f>F604*C607</f>
        <v>4</v>
      </c>
      <c r="G607" s="421">
        <f>G604*C607</f>
        <v>0</v>
      </c>
      <c r="H607" s="421">
        <f>H604*C607</f>
        <v>0</v>
      </c>
      <c r="I607" s="421">
        <f>I604*C607</f>
        <v>4</v>
      </c>
      <c r="J607" s="421">
        <f>J604*C607</f>
        <v>0</v>
      </c>
      <c r="K607" s="424">
        <f>SUM(D607:J607)</f>
        <v>10</v>
      </c>
    </row>
    <row r="608" spans="2:13" x14ac:dyDescent="0.25">
      <c r="B608" s="389" t="s">
        <v>162</v>
      </c>
      <c r="C608" s="423">
        <v>1</v>
      </c>
      <c r="D608" s="421">
        <f>D604*C608</f>
        <v>2</v>
      </c>
      <c r="E608" s="421">
        <f>E604*C608</f>
        <v>0</v>
      </c>
      <c r="F608" s="421">
        <f>F604*C608</f>
        <v>4</v>
      </c>
      <c r="G608" s="421">
        <f>G604*C608</f>
        <v>0</v>
      </c>
      <c r="H608" s="421">
        <f>H604*C608</f>
        <v>0</v>
      </c>
      <c r="I608" s="421">
        <f>I604*C608</f>
        <v>4</v>
      </c>
      <c r="J608" s="421">
        <f>J604*C608</f>
        <v>0</v>
      </c>
      <c r="K608" s="424">
        <f>SUM(D608:J608)</f>
        <v>10</v>
      </c>
    </row>
    <row r="609" spans="2:13" ht="15.75" thickBot="1" x14ac:dyDescent="0.3"/>
    <row r="610" spans="2:13" ht="15.75" thickBot="1" x14ac:dyDescent="0.3">
      <c r="B610" s="436">
        <v>6440670</v>
      </c>
      <c r="C610" s="411"/>
      <c r="D610" s="407" t="s">
        <v>548</v>
      </c>
      <c r="E610" s="408" t="s">
        <v>549</v>
      </c>
      <c r="F610" s="408" t="s">
        <v>550</v>
      </c>
      <c r="G610" s="408" t="s">
        <v>551</v>
      </c>
      <c r="H610" s="408" t="s">
        <v>552</v>
      </c>
      <c r="I610" s="408" t="s">
        <v>553</v>
      </c>
      <c r="J610" s="408" t="s">
        <v>554</v>
      </c>
      <c r="K610" s="408" t="s">
        <v>555</v>
      </c>
      <c r="M610" s="437" t="s">
        <v>696</v>
      </c>
    </row>
    <row r="611" spans="2:13" ht="15.75" thickBot="1" x14ac:dyDescent="0.3">
      <c r="B611" s="414" t="s">
        <v>556</v>
      </c>
      <c r="C611" s="415" t="s">
        <v>620</v>
      </c>
      <c r="D611" s="416">
        <f>IF(ISERROR(VLOOKUP(B610,'MD Usage'!$A$1:$W$5000,3,FALSE)),0,VLOOKUP(B610,'MD Usage'!$A$1:$W$5000,3,FALSE))</f>
        <v>0</v>
      </c>
      <c r="E611" s="416">
        <f>IF(ISERROR(VLOOKUP(B610,'MD Usage'!$A$1:$W$5000,5,FALSE)),0,VLOOKUP(B610,'MD Usage'!$A$1:$W$5000,5,FALSE))</f>
        <v>0</v>
      </c>
      <c r="F611" s="416">
        <f>IF(ISERROR(VLOOKUP(B610,'MD Usage'!$A$1:$W$5000,7,FALSE)),0,VLOOKUP(B610,'MD Usage'!$A$1:$W$5000,7,FALSE))</f>
        <v>0</v>
      </c>
      <c r="G611" s="416">
        <f>IF(ISERROR(VLOOKUP(B610,'MD Usage'!$A$1:$W$5000,9,FALSE)),0,VLOOKUP(B610,'MD Usage'!$A$1:$W$5000,9,FALSE))</f>
        <v>0</v>
      </c>
      <c r="H611" s="416">
        <f>IF(ISERROR(VLOOKUP(B610,'MD Usage'!$A$1:$W$5000,11,FALSE)),0,VLOOKUP(B610,'MD Usage'!$A$1:$W$5000,11,FALSE))</f>
        <v>0</v>
      </c>
      <c r="I611" s="416">
        <f>IF(ISERROR(VLOOKUP(B610,'MD Usage'!A1:R2000,13,FALSE)),0,VLOOKUP(B610,'MD Usage'!A1:R2000,13,FALSE))</f>
        <v>0</v>
      </c>
      <c r="J611" s="416">
        <f>IF(ISERROR(VLOOKUP(B610,'MD Usage'!A1:R2000,15,FALSE)),0,VLOOKUP(B610,'MD Usage'!A1:R2000,15,FALSE))</f>
        <v>0</v>
      </c>
      <c r="K611" s="418">
        <f>SUM(D611:J611)</f>
        <v>0</v>
      </c>
    </row>
    <row r="612" spans="2:13" ht="15" customHeight="1" x14ac:dyDescent="0.25">
      <c r="B612" s="419" t="s">
        <v>920</v>
      </c>
      <c r="C612" s="420">
        <v>1</v>
      </c>
      <c r="D612" s="421">
        <f>D611*C612</f>
        <v>0</v>
      </c>
      <c r="E612" s="421">
        <f>E611*C612</f>
        <v>0</v>
      </c>
      <c r="F612" s="421">
        <f>F611*C612</f>
        <v>0</v>
      </c>
      <c r="G612" s="421">
        <f>G611*C612</f>
        <v>0</v>
      </c>
      <c r="H612" s="421">
        <f>H611*C612</f>
        <v>0</v>
      </c>
      <c r="I612" s="421">
        <f>I611*C612</f>
        <v>0</v>
      </c>
      <c r="J612" s="421">
        <f>J611*C612</f>
        <v>0</v>
      </c>
      <c r="K612" s="422">
        <f>SUM(D612:J612)</f>
        <v>0</v>
      </c>
    </row>
    <row r="613" spans="2:13" x14ac:dyDescent="0.25">
      <c r="B613" s="389" t="s">
        <v>579</v>
      </c>
      <c r="C613" s="423">
        <v>2</v>
      </c>
      <c r="D613" s="421">
        <f>D611*C613</f>
        <v>0</v>
      </c>
      <c r="E613" s="421">
        <f>E611*C613</f>
        <v>0</v>
      </c>
      <c r="F613" s="421">
        <f>F611*C613</f>
        <v>0</v>
      </c>
      <c r="G613" s="421">
        <f>G611*C613</f>
        <v>0</v>
      </c>
      <c r="H613" s="421">
        <f>H611*C613</f>
        <v>0</v>
      </c>
      <c r="I613" s="421">
        <f>I611*C613</f>
        <v>0</v>
      </c>
      <c r="J613" s="421">
        <f>J611*C613</f>
        <v>0</v>
      </c>
      <c r="K613" s="424">
        <f>SUM(D613:J613)</f>
        <v>0</v>
      </c>
    </row>
    <row r="614" spans="2:13" x14ac:dyDescent="0.25">
      <c r="B614" s="389" t="s">
        <v>572</v>
      </c>
      <c r="C614" s="423">
        <v>1</v>
      </c>
      <c r="D614" s="421">
        <f>D611*C614</f>
        <v>0</v>
      </c>
      <c r="E614" s="421">
        <f>E611*C614</f>
        <v>0</v>
      </c>
      <c r="F614" s="421">
        <f>F611*C614</f>
        <v>0</v>
      </c>
      <c r="G614" s="421">
        <f>G611*C614</f>
        <v>0</v>
      </c>
      <c r="H614" s="421">
        <f>H611*C614</f>
        <v>0</v>
      </c>
      <c r="I614" s="421">
        <f>I611*C614</f>
        <v>0</v>
      </c>
      <c r="J614" s="421">
        <f>J611*C614</f>
        <v>0</v>
      </c>
      <c r="K614" s="424">
        <f>SUM(D614:J614)</f>
        <v>0</v>
      </c>
    </row>
    <row r="615" spans="2:13" x14ac:dyDescent="0.25">
      <c r="B615" s="389" t="s">
        <v>162</v>
      </c>
      <c r="C615" s="423">
        <v>1</v>
      </c>
      <c r="D615" s="421">
        <f>D611*C615</f>
        <v>0</v>
      </c>
      <c r="E615" s="421">
        <f>E611*C615</f>
        <v>0</v>
      </c>
      <c r="F615" s="421">
        <f>F611*C615</f>
        <v>0</v>
      </c>
      <c r="G615" s="421">
        <f>G611*C615</f>
        <v>0</v>
      </c>
      <c r="H615" s="421">
        <f>H611*C615</f>
        <v>0</v>
      </c>
      <c r="I615" s="421">
        <f>I611*C615</f>
        <v>0</v>
      </c>
      <c r="J615" s="421">
        <f>J611*C615</f>
        <v>0</v>
      </c>
      <c r="K615" s="424">
        <f>SUM(D615:J615)</f>
        <v>0</v>
      </c>
    </row>
    <row r="616" spans="2:13" ht="15.75" thickBot="1" x14ac:dyDescent="0.3"/>
    <row r="617" spans="2:13" ht="15.75" thickBot="1" x14ac:dyDescent="0.3">
      <c r="B617" s="437">
        <v>6440026</v>
      </c>
      <c r="C617" s="411"/>
      <c r="D617" s="407" t="s">
        <v>548</v>
      </c>
      <c r="E617" s="408" t="s">
        <v>549</v>
      </c>
      <c r="F617" s="408" t="s">
        <v>550</v>
      </c>
      <c r="G617" s="408" t="s">
        <v>551</v>
      </c>
      <c r="H617" s="408" t="s">
        <v>552</v>
      </c>
      <c r="I617" s="408" t="s">
        <v>553</v>
      </c>
      <c r="J617" s="408" t="s">
        <v>554</v>
      </c>
      <c r="K617" s="408" t="s">
        <v>555</v>
      </c>
      <c r="M617" s="426" t="s">
        <v>697</v>
      </c>
    </row>
    <row r="618" spans="2:13" ht="15.75" thickBot="1" x14ac:dyDescent="0.3">
      <c r="B618" s="414" t="s">
        <v>556</v>
      </c>
      <c r="C618" s="415" t="s">
        <v>620</v>
      </c>
      <c r="D618" s="416">
        <f>IF(ISERROR(VLOOKUP(B617,'MD Usage'!$A$1:$W$5000,3,FALSE)),0,VLOOKUP(B617,'MD Usage'!$A$1:$W$5000,3,FALSE))</f>
        <v>0</v>
      </c>
      <c r="E618" s="416">
        <f>IF(ISERROR(VLOOKUP(B617,'MD Usage'!$A$1:$W$5000,5,FALSE)),0,VLOOKUP(B617,'MD Usage'!$A$1:$W$5000,5,FALSE))</f>
        <v>0</v>
      </c>
      <c r="F618" s="416">
        <f>IF(ISERROR(VLOOKUP(B617,'MD Usage'!$A$1:$W$5000,7,FALSE)),0,VLOOKUP(B617,'MD Usage'!$A$1:$W$5000,7,FALSE))</f>
        <v>0</v>
      </c>
      <c r="G618" s="416">
        <f>IF(ISERROR(VLOOKUP(B617,'MD Usage'!$A$1:$W$5000,9,FALSE)),0,VLOOKUP(B617,'MD Usage'!$A$1:$W$5000,9,FALSE))</f>
        <v>0</v>
      </c>
      <c r="H618" s="416">
        <f>IF(ISERROR(VLOOKUP(B617,'MD Usage'!$A$1:$W$5000,11,FALSE)),0,VLOOKUP(B617,'MD Usage'!$A$1:$W$5000,11,FALSE))</f>
        <v>0</v>
      </c>
      <c r="I618" s="416">
        <f>IF(ISERROR(VLOOKUP(B617,'MD Usage'!A1:R2000,13,FALSE)),0,VLOOKUP(B617,'MD Usage'!A1:R2000,13,FALSE))</f>
        <v>0</v>
      </c>
      <c r="J618" s="416">
        <f>IF(ISERROR(VLOOKUP(B617,'MD Usage'!A1:R2000,15,FALSE)),0,VLOOKUP(B617,'MD Usage'!A1:R2000,15,FALSE))</f>
        <v>0</v>
      </c>
      <c r="K618" s="418">
        <f>SUM(D618:J618)</f>
        <v>0</v>
      </c>
    </row>
    <row r="619" spans="2:13" ht="15" customHeight="1" x14ac:dyDescent="0.25">
      <c r="B619" s="419" t="s">
        <v>921</v>
      </c>
      <c r="C619" s="420">
        <v>1</v>
      </c>
      <c r="D619" s="421">
        <f>D618*C619</f>
        <v>0</v>
      </c>
      <c r="E619" s="421">
        <f>E618*C619</f>
        <v>0</v>
      </c>
      <c r="F619" s="421">
        <f>F618*C619</f>
        <v>0</v>
      </c>
      <c r="G619" s="421">
        <f>G618*C619</f>
        <v>0</v>
      </c>
      <c r="H619" s="421">
        <f>H618*C619</f>
        <v>0</v>
      </c>
      <c r="I619" s="421">
        <f>I618*C619</f>
        <v>0</v>
      </c>
      <c r="J619" s="421">
        <f>J618*C619</f>
        <v>0</v>
      </c>
      <c r="K619" s="422">
        <f>SUM(D619:J619)</f>
        <v>0</v>
      </c>
    </row>
    <row r="620" spans="2:13" x14ac:dyDescent="0.25">
      <c r="B620" s="389" t="s">
        <v>579</v>
      </c>
      <c r="C620" s="423">
        <v>1</v>
      </c>
      <c r="D620" s="421">
        <f>D618*C620</f>
        <v>0</v>
      </c>
      <c r="E620" s="421">
        <f>E618*C620</f>
        <v>0</v>
      </c>
      <c r="F620" s="421">
        <f>F618*C620</f>
        <v>0</v>
      </c>
      <c r="G620" s="421">
        <f>G618*C620</f>
        <v>0</v>
      </c>
      <c r="H620" s="421">
        <f>H618*C620</f>
        <v>0</v>
      </c>
      <c r="I620" s="421">
        <f>I618*C620</f>
        <v>0</v>
      </c>
      <c r="J620" s="421">
        <f>J618*C620</f>
        <v>0</v>
      </c>
      <c r="K620" s="424">
        <f>SUM(D620:J620)</f>
        <v>0</v>
      </c>
    </row>
    <row r="621" spans="2:13" x14ac:dyDescent="0.25">
      <c r="B621" s="389" t="s">
        <v>572</v>
      </c>
      <c r="C621" s="423">
        <v>1</v>
      </c>
      <c r="D621" s="421">
        <f>D618*C621</f>
        <v>0</v>
      </c>
      <c r="E621" s="421">
        <f>E618*C621</f>
        <v>0</v>
      </c>
      <c r="F621" s="421">
        <f>F618*C621</f>
        <v>0</v>
      </c>
      <c r="G621" s="421">
        <f>G618*C621</f>
        <v>0</v>
      </c>
      <c r="H621" s="421">
        <f>H618*C621</f>
        <v>0</v>
      </c>
      <c r="I621" s="421">
        <f>I618*C621</f>
        <v>0</v>
      </c>
      <c r="J621" s="421">
        <f>J618*C621</f>
        <v>0</v>
      </c>
      <c r="K621" s="424">
        <f>SUM(D621:J621)</f>
        <v>0</v>
      </c>
    </row>
    <row r="622" spans="2:13" x14ac:dyDescent="0.25">
      <c r="B622" s="389" t="s">
        <v>162</v>
      </c>
      <c r="C622" s="423">
        <v>0.5</v>
      </c>
      <c r="D622" s="421">
        <f>D618*C622</f>
        <v>0</v>
      </c>
      <c r="E622" s="421">
        <f>E618*C622</f>
        <v>0</v>
      </c>
      <c r="F622" s="421">
        <f>F618*C622</f>
        <v>0</v>
      </c>
      <c r="G622" s="421">
        <f>G618*C622</f>
        <v>0</v>
      </c>
      <c r="H622" s="421">
        <f>H618*C622</f>
        <v>0</v>
      </c>
      <c r="I622" s="421">
        <f>I618*C622</f>
        <v>0</v>
      </c>
      <c r="J622" s="421">
        <f>J618*C622</f>
        <v>0</v>
      </c>
      <c r="K622" s="424">
        <f>SUM(D622:J622)</f>
        <v>0</v>
      </c>
    </row>
    <row r="623" spans="2:13" ht="15.75" thickBot="1" x14ac:dyDescent="0.3"/>
    <row r="624" spans="2:13" ht="15.75" thickBot="1" x14ac:dyDescent="0.3">
      <c r="B624" s="437">
        <v>6440171</v>
      </c>
      <c r="C624" s="411"/>
      <c r="D624" s="407" t="s">
        <v>548</v>
      </c>
      <c r="E624" s="408" t="s">
        <v>549</v>
      </c>
      <c r="F624" s="408" t="s">
        <v>550</v>
      </c>
      <c r="G624" s="408" t="s">
        <v>551</v>
      </c>
      <c r="H624" s="408" t="s">
        <v>552</v>
      </c>
      <c r="I624" s="408" t="s">
        <v>553</v>
      </c>
      <c r="J624" s="408" t="s">
        <v>554</v>
      </c>
      <c r="K624" s="408" t="s">
        <v>555</v>
      </c>
      <c r="M624" s="426" t="s">
        <v>698</v>
      </c>
    </row>
    <row r="625" spans="2:13" ht="15.75" thickBot="1" x14ac:dyDescent="0.3">
      <c r="B625" s="414" t="s">
        <v>556</v>
      </c>
      <c r="C625" s="415" t="s">
        <v>620</v>
      </c>
      <c r="D625" s="416">
        <f>IF(ISERROR(VLOOKUP(B624,'MD Usage'!$A$1:$W$5000,3,FALSE)),0,VLOOKUP(B624,'MD Usage'!$A$1:$W$5000,3,FALSE))</f>
        <v>0</v>
      </c>
      <c r="E625" s="416">
        <f>IF(ISERROR(VLOOKUP(B624,'MD Usage'!$A$1:$W$5000,5,FALSE)),0,VLOOKUP(B624,'MD Usage'!$A$1:$W$5000,5,FALSE))</f>
        <v>3</v>
      </c>
      <c r="F625" s="416">
        <f>IF(ISERROR(VLOOKUP(B624,'MD Usage'!$A$1:$W$5000,7,FALSE)),0,VLOOKUP(B624,'MD Usage'!$A$1:$W$5000,7,FALSE))</f>
        <v>0</v>
      </c>
      <c r="G625" s="416">
        <f>IF(ISERROR(VLOOKUP(B624,'MD Usage'!$A$1:$W$5000,9,FALSE)),0,VLOOKUP(B624,'MD Usage'!$A$1:$W$5000,9,FALSE))</f>
        <v>1</v>
      </c>
      <c r="H625" s="416">
        <f>IF(ISERROR(VLOOKUP(B624,'MD Usage'!$A$1:$W$5000,11,FALSE)),0,VLOOKUP(B624,'MD Usage'!$A$1:$W$5000,11,FALSE))</f>
        <v>3</v>
      </c>
      <c r="I625" s="416">
        <f>IF(ISERROR(VLOOKUP(B624,'MD Usage'!A1:R2000,13,FALSE)),0,VLOOKUP(B624,'MD Usage'!A1:R2000,13,FALSE))</f>
        <v>0</v>
      </c>
      <c r="J625" s="416">
        <f>IF(ISERROR(VLOOKUP(B624,'MD Usage'!A1:R2000,15,FALSE)),0,VLOOKUP(B624,'MD Usage'!A1:R2000,15,FALSE))</f>
        <v>1</v>
      </c>
      <c r="K625" s="418">
        <f>SUM(D625:J625)</f>
        <v>8</v>
      </c>
    </row>
    <row r="626" spans="2:13" ht="15" customHeight="1" x14ac:dyDescent="0.25">
      <c r="B626" s="419" t="s">
        <v>564</v>
      </c>
      <c r="C626" s="420">
        <v>1</v>
      </c>
      <c r="D626" s="421">
        <f>D625*C626</f>
        <v>0</v>
      </c>
      <c r="E626" s="421">
        <f>E625*C626</f>
        <v>3</v>
      </c>
      <c r="F626" s="421">
        <f>F625*C626</f>
        <v>0</v>
      </c>
      <c r="G626" s="421">
        <f>G625*C626</f>
        <v>1</v>
      </c>
      <c r="H626" s="421">
        <f>H625*C626</f>
        <v>3</v>
      </c>
      <c r="I626" s="421">
        <f>I625*C626</f>
        <v>0</v>
      </c>
      <c r="J626" s="421">
        <f>J625*C626</f>
        <v>1</v>
      </c>
      <c r="K626" s="422">
        <f>SUM(D626:J626)</f>
        <v>8</v>
      </c>
    </row>
    <row r="627" spans="2:13" x14ac:dyDescent="0.25">
      <c r="B627" s="389" t="s">
        <v>64</v>
      </c>
      <c r="C627" s="423">
        <v>4</v>
      </c>
      <c r="D627" s="421">
        <f>D625*C627</f>
        <v>0</v>
      </c>
      <c r="E627" s="421">
        <f>E625*C627</f>
        <v>12</v>
      </c>
      <c r="F627" s="421">
        <f>F625*C627</f>
        <v>0</v>
      </c>
      <c r="G627" s="421">
        <f>G625*C627</f>
        <v>4</v>
      </c>
      <c r="H627" s="421">
        <f>H625*C627</f>
        <v>12</v>
      </c>
      <c r="I627" s="421">
        <f>I625*C627</f>
        <v>0</v>
      </c>
      <c r="J627" s="421">
        <f>J625*C627</f>
        <v>4</v>
      </c>
      <c r="K627" s="424">
        <f>SUM(D627:J627)</f>
        <v>32</v>
      </c>
    </row>
    <row r="628" spans="2:13" x14ac:dyDescent="0.25">
      <c r="B628" s="389" t="s">
        <v>578</v>
      </c>
      <c r="C628" s="423">
        <v>2</v>
      </c>
      <c r="D628" s="421">
        <f>D625*C628</f>
        <v>0</v>
      </c>
      <c r="E628" s="421">
        <f>E625*C628</f>
        <v>6</v>
      </c>
      <c r="F628" s="421">
        <f>F625*C628</f>
        <v>0</v>
      </c>
      <c r="G628" s="421">
        <f>G625*C628</f>
        <v>2</v>
      </c>
      <c r="H628" s="421">
        <f>H625*C628</f>
        <v>6</v>
      </c>
      <c r="I628" s="421">
        <f>I625*C628</f>
        <v>0</v>
      </c>
      <c r="J628" s="421">
        <f>J625*C628</f>
        <v>2</v>
      </c>
      <c r="K628" s="424">
        <f>SUM(D628:J628)</f>
        <v>16</v>
      </c>
    </row>
    <row r="629" spans="2:13" x14ac:dyDescent="0.25">
      <c r="B629" s="389" t="s">
        <v>1808</v>
      </c>
      <c r="C629" s="423">
        <v>6</v>
      </c>
      <c r="D629" s="421">
        <f>D625*C629</f>
        <v>0</v>
      </c>
      <c r="E629" s="421">
        <f>E625*C629</f>
        <v>18</v>
      </c>
      <c r="F629" s="421">
        <f>F625*C629</f>
        <v>0</v>
      </c>
      <c r="G629" s="421">
        <f>G625*C629</f>
        <v>6</v>
      </c>
      <c r="H629" s="421">
        <f>H625*C629</f>
        <v>18</v>
      </c>
      <c r="I629" s="421">
        <f>I625*C629</f>
        <v>0</v>
      </c>
      <c r="J629" s="421">
        <f>J625*C629</f>
        <v>6</v>
      </c>
      <c r="K629" s="424">
        <f>SUM(D629:J629)</f>
        <v>48</v>
      </c>
    </row>
    <row r="630" spans="2:13" ht="15.75" thickBot="1" x14ac:dyDescent="0.3"/>
    <row r="631" spans="2:13" ht="15.75" thickBot="1" x14ac:dyDescent="0.3">
      <c r="B631" s="437">
        <v>6440009</v>
      </c>
      <c r="C631" s="411"/>
      <c r="D631" s="407" t="s">
        <v>548</v>
      </c>
      <c r="E631" s="408" t="s">
        <v>549</v>
      </c>
      <c r="F631" s="408" t="s">
        <v>550</v>
      </c>
      <c r="G631" s="408" t="s">
        <v>551</v>
      </c>
      <c r="H631" s="408" t="s">
        <v>552</v>
      </c>
      <c r="I631" s="408" t="s">
        <v>553</v>
      </c>
      <c r="J631" s="408" t="s">
        <v>554</v>
      </c>
      <c r="K631" s="408" t="s">
        <v>555</v>
      </c>
      <c r="M631" s="426" t="s">
        <v>699</v>
      </c>
    </row>
    <row r="632" spans="2:13" ht="15.75" thickBot="1" x14ac:dyDescent="0.3">
      <c r="B632" s="414" t="s">
        <v>556</v>
      </c>
      <c r="C632" s="415" t="s">
        <v>620</v>
      </c>
      <c r="D632" s="416">
        <f>IF(ISERROR(VLOOKUP(B631,'MD Usage'!$A$1:$W$5000,3,FALSE)),0,VLOOKUP(B631,'MD Usage'!$A$1:$W$5000,3,FALSE))</f>
        <v>2</v>
      </c>
      <c r="E632" s="416">
        <f>IF(ISERROR(VLOOKUP(B631,'MD Usage'!$A$1:$W$5000,5,FALSE)),0,VLOOKUP(B631,'MD Usage'!$A$1:$W$5000,5,FALSE))</f>
        <v>2</v>
      </c>
      <c r="F632" s="416">
        <f>IF(ISERROR(VLOOKUP(B631,'MD Usage'!$A$1:$W$5000,7,FALSE)),0,VLOOKUP(B631,'MD Usage'!$A$1:$W$5000,7,FALSE))</f>
        <v>0</v>
      </c>
      <c r="G632" s="416">
        <f>IF(ISERROR(VLOOKUP(B631,'MD Usage'!$A$1:$W$5000,9,FALSE)),0,VLOOKUP(B631,'MD Usage'!$A$1:$W$5000,9,FALSE))</f>
        <v>1</v>
      </c>
      <c r="H632" s="416">
        <f>IF(ISERROR(VLOOKUP(B631,'MD Usage'!$A$1:$W$5000,11,FALSE)),0,VLOOKUP(B631,'MD Usage'!$A$1:$W$5000,11,FALSE))</f>
        <v>9</v>
      </c>
      <c r="I632" s="416">
        <f>IF(ISERROR(VLOOKUP(B631,'MD Usage'!A1:R2000,13,FALSE)),0,VLOOKUP(B631,'MD Usage'!A1:R2000,13,FALSE))</f>
        <v>12</v>
      </c>
      <c r="J632" s="416">
        <f>IF(ISERROR(VLOOKUP(B631,'MD Usage'!A1:R2000,15,FALSE)),0,VLOOKUP(B631,'MD Usage'!A1:R2000,15,FALSE))</f>
        <v>3</v>
      </c>
      <c r="K632" s="418">
        <f>SUM(D632:J632)</f>
        <v>29</v>
      </c>
    </row>
    <row r="633" spans="2:13" ht="15" customHeight="1" x14ac:dyDescent="0.25">
      <c r="B633" s="419" t="s">
        <v>564</v>
      </c>
      <c r="C633" s="420">
        <v>1</v>
      </c>
      <c r="D633" s="421">
        <f>D632*C633</f>
        <v>2</v>
      </c>
      <c r="E633" s="421">
        <f>E632*C633</f>
        <v>2</v>
      </c>
      <c r="F633" s="421">
        <f>F632*C633</f>
        <v>0</v>
      </c>
      <c r="G633" s="421">
        <f>G632*C633</f>
        <v>1</v>
      </c>
      <c r="H633" s="421">
        <f>H632*C633</f>
        <v>9</v>
      </c>
      <c r="I633" s="421">
        <f>I632*C633</f>
        <v>12</v>
      </c>
      <c r="J633" s="421">
        <f>J632*C633</f>
        <v>3</v>
      </c>
      <c r="K633" s="422">
        <f>SUM(D633:J633)</f>
        <v>29</v>
      </c>
    </row>
    <row r="634" spans="2:13" x14ac:dyDescent="0.25">
      <c r="B634" s="389" t="s">
        <v>64</v>
      </c>
      <c r="C634" s="423">
        <v>4</v>
      </c>
      <c r="D634" s="421">
        <f>D632*C634</f>
        <v>8</v>
      </c>
      <c r="E634" s="421">
        <f>E632*C634</f>
        <v>8</v>
      </c>
      <c r="F634" s="421">
        <f>F632*C634</f>
        <v>0</v>
      </c>
      <c r="G634" s="421">
        <f>G632*C634</f>
        <v>4</v>
      </c>
      <c r="H634" s="421">
        <f>H632*C634</f>
        <v>36</v>
      </c>
      <c r="I634" s="421">
        <f>I632*C634</f>
        <v>48</v>
      </c>
      <c r="J634" s="421">
        <f>J632*C634</f>
        <v>12</v>
      </c>
      <c r="K634" s="424">
        <f>SUM(D634:J634)</f>
        <v>116</v>
      </c>
    </row>
    <row r="635" spans="2:13" x14ac:dyDescent="0.25">
      <c r="B635" s="389" t="s">
        <v>578</v>
      </c>
      <c r="C635" s="423">
        <v>2</v>
      </c>
      <c r="D635" s="421">
        <f>D632*C635</f>
        <v>4</v>
      </c>
      <c r="E635" s="421">
        <f>E632*C635</f>
        <v>4</v>
      </c>
      <c r="F635" s="421">
        <f>F632*C635</f>
        <v>0</v>
      </c>
      <c r="G635" s="421">
        <f>G632*C635</f>
        <v>2</v>
      </c>
      <c r="H635" s="421">
        <f>H632*C635</f>
        <v>18</v>
      </c>
      <c r="I635" s="421">
        <f>I632*C635</f>
        <v>24</v>
      </c>
      <c r="J635" s="421">
        <f>J632*C635</f>
        <v>6</v>
      </c>
      <c r="K635" s="424">
        <f>SUM(D635:J635)</f>
        <v>58</v>
      </c>
    </row>
    <row r="636" spans="2:13" x14ac:dyDescent="0.25">
      <c r="B636" s="389" t="s">
        <v>1808</v>
      </c>
      <c r="C636" s="423">
        <v>6</v>
      </c>
      <c r="D636" s="421">
        <f>D632*C636</f>
        <v>12</v>
      </c>
      <c r="E636" s="421">
        <f>E632*C636</f>
        <v>12</v>
      </c>
      <c r="F636" s="421">
        <f>F632*C636</f>
        <v>0</v>
      </c>
      <c r="G636" s="421">
        <f>G632*C636</f>
        <v>6</v>
      </c>
      <c r="H636" s="421">
        <f>H632*C636</f>
        <v>54</v>
      </c>
      <c r="I636" s="421">
        <f>I632*C636</f>
        <v>72</v>
      </c>
      <c r="J636" s="421">
        <f>J632*C636</f>
        <v>18</v>
      </c>
      <c r="K636" s="424">
        <f>SUM(D636:J636)</f>
        <v>174</v>
      </c>
    </row>
    <row r="637" spans="2:13" ht="15.75" thickBot="1" x14ac:dyDescent="0.3"/>
    <row r="638" spans="2:13" ht="15.75" thickBot="1" x14ac:dyDescent="0.3">
      <c r="B638" s="436">
        <v>6440023</v>
      </c>
      <c r="C638" s="411"/>
      <c r="D638" s="407" t="s">
        <v>548</v>
      </c>
      <c r="E638" s="408" t="s">
        <v>549</v>
      </c>
      <c r="F638" s="408" t="s">
        <v>550</v>
      </c>
      <c r="G638" s="408" t="s">
        <v>551</v>
      </c>
      <c r="H638" s="408" t="s">
        <v>552</v>
      </c>
      <c r="I638" s="408" t="s">
        <v>553</v>
      </c>
      <c r="J638" s="408" t="s">
        <v>554</v>
      </c>
      <c r="K638" s="408" t="s">
        <v>555</v>
      </c>
      <c r="M638" s="437" t="s">
        <v>700</v>
      </c>
    </row>
    <row r="639" spans="2:13" ht="15.75" thickBot="1" x14ac:dyDescent="0.3">
      <c r="B639" s="414" t="s">
        <v>556</v>
      </c>
      <c r="C639" s="415" t="s">
        <v>620</v>
      </c>
      <c r="D639" s="416">
        <f>IF(ISERROR(VLOOKUP(B638,'MD Usage'!$A$1:$W$5000,3,FALSE)),0,VLOOKUP(B638,'MD Usage'!$A$1:$W$5000,3,FALSE))</f>
        <v>2</v>
      </c>
      <c r="E639" s="416">
        <f>IF(ISERROR(VLOOKUP(B638,'MD Usage'!$A$1:$W$5000,5,FALSE)),0,VLOOKUP(B638,'MD Usage'!$A$1:$W$5000,5,FALSE))</f>
        <v>0</v>
      </c>
      <c r="F639" s="416">
        <f>IF(ISERROR(VLOOKUP(B638,'MD Usage'!$A$1:$W$5000,7,FALSE)),0,VLOOKUP(B638,'MD Usage'!$A$1:$W$5000,7,FALSE))</f>
        <v>0</v>
      </c>
      <c r="G639" s="416">
        <f>IF(ISERROR(VLOOKUP(B638,'MD Usage'!$A$1:$W$5000,9,FALSE)),0,VLOOKUP(B638,'MD Usage'!$A$1:$W$5000,9,FALSE))</f>
        <v>0</v>
      </c>
      <c r="H639" s="416">
        <f>IF(ISERROR(VLOOKUP(B638,'MD Usage'!$A$1:$W$5000,11,FALSE)),0,VLOOKUP(B638,'MD Usage'!$A$1:$W$5000,11,FALSE))</f>
        <v>1</v>
      </c>
      <c r="I639" s="416">
        <f>IF(ISERROR(VLOOKUP(B638,'MD Usage'!A1:R2000,13,FALSE)),0,VLOOKUP(B638,'MD Usage'!A1:R2000,13,FALSE))</f>
        <v>3</v>
      </c>
      <c r="J639" s="416">
        <f>IF(ISERROR(VLOOKUP(B638,'MD Usage'!A1:R2000,15,FALSE)),0,VLOOKUP(B638,'MD Usage'!A1:R2000,15,FALSE))</f>
        <v>2</v>
      </c>
      <c r="K639" s="418">
        <f>SUM(D639:J639)</f>
        <v>8</v>
      </c>
    </row>
    <row r="640" spans="2:13" ht="15" customHeight="1" x14ac:dyDescent="0.25">
      <c r="B640" s="419" t="s">
        <v>564</v>
      </c>
      <c r="C640" s="420">
        <v>0.5</v>
      </c>
      <c r="D640" s="421">
        <f>D639*C640</f>
        <v>1</v>
      </c>
      <c r="E640" s="421">
        <f>E639*C640</f>
        <v>0</v>
      </c>
      <c r="F640" s="421">
        <f>F639*C640</f>
        <v>0</v>
      </c>
      <c r="G640" s="421">
        <f>G639*C640</f>
        <v>0</v>
      </c>
      <c r="H640" s="421">
        <f>H639*C640</f>
        <v>0.5</v>
      </c>
      <c r="I640" s="421">
        <f>I639*C640</f>
        <v>1.5</v>
      </c>
      <c r="J640" s="421">
        <f>J639*C640</f>
        <v>1</v>
      </c>
      <c r="K640" s="422">
        <f>SUM(D640:J640)</f>
        <v>4</v>
      </c>
    </row>
    <row r="641" spans="2:13" x14ac:dyDescent="0.25">
      <c r="B641" s="389" t="s">
        <v>64</v>
      </c>
      <c r="C641" s="423">
        <v>3</v>
      </c>
      <c r="D641" s="421">
        <f>D639*C641</f>
        <v>6</v>
      </c>
      <c r="E641" s="421">
        <f>E639*C641</f>
        <v>0</v>
      </c>
      <c r="F641" s="421">
        <f>F639*C641</f>
        <v>0</v>
      </c>
      <c r="G641" s="421">
        <f>G639*C641</f>
        <v>0</v>
      </c>
      <c r="H641" s="421">
        <f>H639*C641</f>
        <v>3</v>
      </c>
      <c r="I641" s="421">
        <f>I639*C641</f>
        <v>9</v>
      </c>
      <c r="J641" s="421">
        <f>J639*C641</f>
        <v>6</v>
      </c>
      <c r="K641" s="424">
        <f>SUM(D641:J641)</f>
        <v>24</v>
      </c>
    </row>
    <row r="642" spans="2:13" x14ac:dyDescent="0.25">
      <c r="B642" s="389" t="s">
        <v>578</v>
      </c>
      <c r="C642" s="423">
        <v>1</v>
      </c>
      <c r="D642" s="421">
        <f>D639*C642</f>
        <v>2</v>
      </c>
      <c r="E642" s="421">
        <f>E639*C642</f>
        <v>0</v>
      </c>
      <c r="F642" s="421">
        <f>F639*C642</f>
        <v>0</v>
      </c>
      <c r="G642" s="421">
        <f>G639*C642</f>
        <v>0</v>
      </c>
      <c r="H642" s="421">
        <f>H639*C642</f>
        <v>1</v>
      </c>
      <c r="I642" s="421">
        <f>I639*C642</f>
        <v>3</v>
      </c>
      <c r="J642" s="421">
        <f>J639*C642</f>
        <v>2</v>
      </c>
      <c r="K642" s="424">
        <f>SUM(D642:J642)</f>
        <v>8</v>
      </c>
    </row>
    <row r="643" spans="2:13" x14ac:dyDescent="0.25">
      <c r="B643" s="389" t="s">
        <v>1808</v>
      </c>
      <c r="C643" s="423">
        <v>3</v>
      </c>
      <c r="D643" s="421">
        <f>D639*C643</f>
        <v>6</v>
      </c>
      <c r="E643" s="421">
        <f>E639*C643</f>
        <v>0</v>
      </c>
      <c r="F643" s="421">
        <f>F639*C643</f>
        <v>0</v>
      </c>
      <c r="G643" s="421">
        <f>G639*C643</f>
        <v>0</v>
      </c>
      <c r="H643" s="421">
        <f>H639*C643</f>
        <v>3</v>
      </c>
      <c r="I643" s="421">
        <f>I639*C643</f>
        <v>9</v>
      </c>
      <c r="J643" s="421">
        <f>J639*C643</f>
        <v>6</v>
      </c>
      <c r="K643" s="424">
        <f>SUM(D643:J643)</f>
        <v>24</v>
      </c>
    </row>
    <row r="644" spans="2:13" ht="15.75" thickBot="1" x14ac:dyDescent="0.3"/>
    <row r="645" spans="2:13" ht="15.75" thickBot="1" x14ac:dyDescent="0.3">
      <c r="B645" s="436">
        <v>6440690</v>
      </c>
      <c r="C645" s="411"/>
      <c r="D645" s="407" t="s">
        <v>548</v>
      </c>
      <c r="E645" s="408" t="s">
        <v>549</v>
      </c>
      <c r="F645" s="408" t="s">
        <v>550</v>
      </c>
      <c r="G645" s="408" t="s">
        <v>551</v>
      </c>
      <c r="H645" s="408" t="s">
        <v>552</v>
      </c>
      <c r="I645" s="408" t="s">
        <v>553</v>
      </c>
      <c r="J645" s="408" t="s">
        <v>554</v>
      </c>
      <c r="K645" s="408" t="s">
        <v>555</v>
      </c>
      <c r="M645" s="426" t="s">
        <v>1848</v>
      </c>
    </row>
    <row r="646" spans="2:13" ht="15.75" thickBot="1" x14ac:dyDescent="0.3">
      <c r="B646" s="414" t="s">
        <v>556</v>
      </c>
      <c r="C646" s="415" t="s">
        <v>620</v>
      </c>
      <c r="D646" s="416">
        <f>IF(ISERROR(VLOOKUP(B645,'MD Usage'!$A$1:$W$5000,3,FALSE)),0,VLOOKUP(B645,'MD Usage'!$A$1:$W$5000,3,FALSE))</f>
        <v>0</v>
      </c>
      <c r="E646" s="416">
        <f>IF(ISERROR(VLOOKUP(B645,'MD Usage'!$A$1:$W$5000,5,FALSE)),0,VLOOKUP(B645,'MD Usage'!$A$1:$W$5000,5,FALSE))</f>
        <v>0</v>
      </c>
      <c r="F646" s="416">
        <f>IF(ISERROR(VLOOKUP(B645,'MD Usage'!$A$1:$W$5000,7,FALSE)),0,VLOOKUP(B645,'MD Usage'!$A$1:$W$5000,7,FALSE))</f>
        <v>0</v>
      </c>
      <c r="G646" s="416">
        <f>IF(ISERROR(VLOOKUP(B645,'MD Usage'!$A$1:$W$5000,9,FALSE)),0,VLOOKUP(B645,'MD Usage'!$A$1:$W$5000,9,FALSE))</f>
        <v>1</v>
      </c>
      <c r="H646" s="416">
        <f>IF(ISERROR(VLOOKUP(B645,'MD Usage'!$A$1:$W$5000,11,FALSE)),0,VLOOKUP(B645,'MD Usage'!$A$1:$W$5000,11,FALSE))</f>
        <v>0</v>
      </c>
      <c r="I646" s="416">
        <f>IF(ISERROR(VLOOKUP(B645,'MD Usage'!A1:R2000,13,FALSE)),0,VLOOKUP(B645,'MD Usage'!A1:R2000,13,FALSE))</f>
        <v>0</v>
      </c>
      <c r="J646" s="416">
        <f>IF(ISERROR(VLOOKUP(B645,'MD Usage'!A1:R2000,15,FALSE)),0,VLOOKUP(B645,'MD Usage'!A1:R2000,15,FALSE))</f>
        <v>0</v>
      </c>
      <c r="K646" s="418">
        <f>SUM(D646:J646)</f>
        <v>1</v>
      </c>
    </row>
    <row r="647" spans="2:13" ht="15" customHeight="1" x14ac:dyDescent="0.25">
      <c r="B647" s="419" t="s">
        <v>564</v>
      </c>
      <c r="C647" s="420">
        <v>1</v>
      </c>
      <c r="D647" s="421">
        <f>D646*C647</f>
        <v>0</v>
      </c>
      <c r="E647" s="421">
        <f>E646*C647</f>
        <v>0</v>
      </c>
      <c r="F647" s="421">
        <f>F646*C647</f>
        <v>0</v>
      </c>
      <c r="G647" s="421">
        <f>G646*C647</f>
        <v>1</v>
      </c>
      <c r="H647" s="421">
        <f>H646*C647</f>
        <v>0</v>
      </c>
      <c r="I647" s="421">
        <f>I646*C647</f>
        <v>0</v>
      </c>
      <c r="J647" s="421">
        <f>J646*C647</f>
        <v>0</v>
      </c>
      <c r="K647" s="422">
        <f>SUM(D647:J647)</f>
        <v>1</v>
      </c>
    </row>
    <row r="648" spans="2:13" x14ac:dyDescent="0.25">
      <c r="B648" s="389" t="s">
        <v>64</v>
      </c>
      <c r="C648" s="423">
        <v>4</v>
      </c>
      <c r="D648" s="421">
        <f>D646*C648</f>
        <v>0</v>
      </c>
      <c r="E648" s="421">
        <f>E646*C648</f>
        <v>0</v>
      </c>
      <c r="F648" s="421">
        <f>F646*C648</f>
        <v>0</v>
      </c>
      <c r="G648" s="421">
        <f>G646*C648</f>
        <v>4</v>
      </c>
      <c r="H648" s="421">
        <f>H646*C648</f>
        <v>0</v>
      </c>
      <c r="I648" s="421">
        <f>I646*C648</f>
        <v>0</v>
      </c>
      <c r="J648" s="421">
        <f>J646*C648</f>
        <v>0</v>
      </c>
      <c r="K648" s="424">
        <f>SUM(D648:J648)</f>
        <v>4</v>
      </c>
    </row>
    <row r="649" spans="2:13" x14ac:dyDescent="0.25">
      <c r="B649" s="389" t="s">
        <v>578</v>
      </c>
      <c r="C649" s="423">
        <v>2</v>
      </c>
      <c r="D649" s="421">
        <f>D646*C649</f>
        <v>0</v>
      </c>
      <c r="E649" s="421">
        <f>E646*C649</f>
        <v>0</v>
      </c>
      <c r="F649" s="421">
        <f>F646*C649</f>
        <v>0</v>
      </c>
      <c r="G649" s="421">
        <f>G646*C649</f>
        <v>2</v>
      </c>
      <c r="H649" s="421">
        <f>H646*C649</f>
        <v>0</v>
      </c>
      <c r="I649" s="421">
        <f>I646*C649</f>
        <v>0</v>
      </c>
      <c r="J649" s="421">
        <f>J646*C649</f>
        <v>0</v>
      </c>
      <c r="K649" s="424">
        <f>SUM(D649:J649)</f>
        <v>2</v>
      </c>
    </row>
    <row r="650" spans="2:13" x14ac:dyDescent="0.25">
      <c r="B650" s="389" t="s">
        <v>1808</v>
      </c>
      <c r="C650" s="423">
        <v>6</v>
      </c>
      <c r="D650" s="421">
        <f>D646*C650</f>
        <v>0</v>
      </c>
      <c r="E650" s="421">
        <f>E646*C650</f>
        <v>0</v>
      </c>
      <c r="F650" s="421">
        <f>F646*C650</f>
        <v>0</v>
      </c>
      <c r="G650" s="421">
        <f>G646*C650</f>
        <v>6</v>
      </c>
      <c r="H650" s="421">
        <f>H646*C650</f>
        <v>0</v>
      </c>
      <c r="I650" s="421">
        <f>I646*C650</f>
        <v>0</v>
      </c>
      <c r="J650" s="421">
        <f>J646*C650</f>
        <v>0</v>
      </c>
      <c r="K650" s="424">
        <f>SUM(D650:J650)</f>
        <v>6</v>
      </c>
    </row>
    <row r="651" spans="2:13" ht="15.75" thickBot="1" x14ac:dyDescent="0.3"/>
    <row r="652" spans="2:13" ht="15.75" thickBot="1" x14ac:dyDescent="0.3">
      <c r="B652" s="436">
        <v>6460235</v>
      </c>
      <c r="C652" s="411"/>
      <c r="D652" s="407" t="s">
        <v>548</v>
      </c>
      <c r="E652" s="408" t="s">
        <v>549</v>
      </c>
      <c r="F652" s="408" t="s">
        <v>550</v>
      </c>
      <c r="G652" s="408" t="s">
        <v>551</v>
      </c>
      <c r="H652" s="408" t="s">
        <v>552</v>
      </c>
      <c r="I652" s="408" t="s">
        <v>553</v>
      </c>
      <c r="J652" s="408" t="s">
        <v>554</v>
      </c>
      <c r="K652" s="408" t="s">
        <v>555</v>
      </c>
      <c r="M652" s="426" t="s">
        <v>701</v>
      </c>
    </row>
    <row r="653" spans="2:13" ht="15.75" thickBot="1" x14ac:dyDescent="0.3">
      <c r="B653" s="414" t="s">
        <v>556</v>
      </c>
      <c r="C653" s="415" t="s">
        <v>620</v>
      </c>
      <c r="D653" s="416">
        <f>IF(ISERROR(VLOOKUP(B652,'MD Usage'!$A$1:$W$5000,3,FALSE)),0,VLOOKUP(B652,'MD Usage'!$A$1:$W$5000,3,FALSE))</f>
        <v>0</v>
      </c>
      <c r="E653" s="416">
        <f>IF(ISERROR(VLOOKUP(B652,'MD Usage'!$A$1:$W$5000,5,FALSE)),0,VLOOKUP(B652,'MD Usage'!$A$1:$W$5000,5,FALSE))</f>
        <v>1</v>
      </c>
      <c r="F653" s="416">
        <f>IF(ISERROR(VLOOKUP(B652,'MD Usage'!$A$1:$W$5000,7,FALSE)),0,VLOOKUP(B652,'MD Usage'!$A$1:$W$5000,7,FALSE))</f>
        <v>0</v>
      </c>
      <c r="G653" s="416">
        <f>IF(ISERROR(VLOOKUP(B652,'MD Usage'!$A$1:$W$5000,9,FALSE)),0,VLOOKUP(B652,'MD Usage'!$A$1:$W$5000,9,FALSE))</f>
        <v>0</v>
      </c>
      <c r="H653" s="416">
        <f>IF(ISERROR(VLOOKUP(B652,'MD Usage'!$A$1:$W$5000,11,FALSE)),0,VLOOKUP(B652,'MD Usage'!$A$1:$W$5000,11,FALSE))</f>
        <v>0</v>
      </c>
      <c r="I653" s="416">
        <f>IF(ISERROR(VLOOKUP(B652,'MD Usage'!A1:R2000,13,FALSE)),0,VLOOKUP(B652,'MD Usage'!A1:R2000,13,FALSE))</f>
        <v>0</v>
      </c>
      <c r="J653" s="416">
        <f>IF(ISERROR(VLOOKUP(B652,'MD Usage'!A1:R2000,15,FALSE)),0,VLOOKUP(B652,'MD Usage'!A1:R2000,15,FALSE))</f>
        <v>0</v>
      </c>
      <c r="K653" s="418">
        <f>SUM(D653:J653)</f>
        <v>1</v>
      </c>
    </row>
    <row r="654" spans="2:13" x14ac:dyDescent="0.25">
      <c r="B654" s="419" t="s">
        <v>564</v>
      </c>
      <c r="C654" s="420">
        <v>0.5</v>
      </c>
      <c r="D654" s="421">
        <f>D653*C654</f>
        <v>0</v>
      </c>
      <c r="E654" s="421">
        <f>E653*C654</f>
        <v>0.5</v>
      </c>
      <c r="F654" s="421">
        <f>F653*C654</f>
        <v>0</v>
      </c>
      <c r="G654" s="421">
        <f>G653*C654</f>
        <v>0</v>
      </c>
      <c r="H654" s="421">
        <f>H653*C654</f>
        <v>0</v>
      </c>
      <c r="I654" s="421">
        <f>I653*C654</f>
        <v>0</v>
      </c>
      <c r="J654" s="421">
        <f>J653*C654</f>
        <v>0</v>
      </c>
      <c r="K654" s="422">
        <f>SUM(D654:J654)</f>
        <v>0.5</v>
      </c>
    </row>
    <row r="655" spans="2:13" ht="15" customHeight="1" x14ac:dyDescent="0.25">
      <c r="B655" s="389" t="s">
        <v>64</v>
      </c>
      <c r="C655" s="423">
        <v>3</v>
      </c>
      <c r="D655" s="421">
        <f>D653*C655</f>
        <v>0</v>
      </c>
      <c r="E655" s="421">
        <f>E653*C655</f>
        <v>3</v>
      </c>
      <c r="F655" s="421">
        <f>F653*C655</f>
        <v>0</v>
      </c>
      <c r="G655" s="421">
        <f>G653*C655</f>
        <v>0</v>
      </c>
      <c r="H655" s="421">
        <f>H653*C655</f>
        <v>0</v>
      </c>
      <c r="I655" s="421">
        <f>I653*C655</f>
        <v>0</v>
      </c>
      <c r="J655" s="421">
        <f>J653*C655</f>
        <v>0</v>
      </c>
      <c r="K655" s="424">
        <f>SUM(D655:J655)</f>
        <v>3</v>
      </c>
    </row>
    <row r="656" spans="2:13" x14ac:dyDescent="0.25">
      <c r="B656" s="389" t="s">
        <v>578</v>
      </c>
      <c r="C656" s="423">
        <v>1</v>
      </c>
      <c r="D656" s="421">
        <f>D653*C656</f>
        <v>0</v>
      </c>
      <c r="E656" s="421">
        <f>E653*C656</f>
        <v>1</v>
      </c>
      <c r="F656" s="421">
        <f>F653*C656</f>
        <v>0</v>
      </c>
      <c r="G656" s="421">
        <f>G653*C656</f>
        <v>0</v>
      </c>
      <c r="H656" s="421">
        <f>H653*C656</f>
        <v>0</v>
      </c>
      <c r="I656" s="421">
        <f>I653*C656</f>
        <v>0</v>
      </c>
      <c r="J656" s="421">
        <f>J653*C656</f>
        <v>0</v>
      </c>
      <c r="K656" s="424">
        <f>SUM(D656:J656)</f>
        <v>1</v>
      </c>
    </row>
    <row r="657" spans="2:13" x14ac:dyDescent="0.25">
      <c r="B657" s="389" t="s">
        <v>1808</v>
      </c>
      <c r="C657" s="423">
        <v>3</v>
      </c>
      <c r="D657" s="421">
        <f>D653*C657</f>
        <v>0</v>
      </c>
      <c r="E657" s="421">
        <f>E653*C657</f>
        <v>3</v>
      </c>
      <c r="F657" s="421">
        <f>F653*C657</f>
        <v>0</v>
      </c>
      <c r="G657" s="421">
        <f>G653*C657</f>
        <v>0</v>
      </c>
      <c r="H657" s="421">
        <f>H653*C657</f>
        <v>0</v>
      </c>
      <c r="I657" s="421">
        <f>I653*C657</f>
        <v>0</v>
      </c>
      <c r="J657" s="421">
        <f>J653*C657</f>
        <v>0</v>
      </c>
      <c r="K657" s="424">
        <f>SUM(D657:J657)</f>
        <v>3</v>
      </c>
    </row>
    <row r="658" spans="2:13" ht="15.75" thickBot="1" x14ac:dyDescent="0.3"/>
    <row r="659" spans="2:13" ht="15.75" thickBot="1" x14ac:dyDescent="0.3">
      <c r="B659" s="436">
        <v>6460239</v>
      </c>
      <c r="C659" s="411"/>
      <c r="D659" s="407" t="s">
        <v>548</v>
      </c>
      <c r="E659" s="408" t="s">
        <v>549</v>
      </c>
      <c r="F659" s="408" t="s">
        <v>550</v>
      </c>
      <c r="G659" s="408" t="s">
        <v>551</v>
      </c>
      <c r="H659" s="408" t="s">
        <v>552</v>
      </c>
      <c r="I659" s="408" t="s">
        <v>553</v>
      </c>
      <c r="J659" s="408" t="s">
        <v>554</v>
      </c>
      <c r="K659" s="408" t="s">
        <v>555</v>
      </c>
      <c r="M659" s="426" t="s">
        <v>1849</v>
      </c>
    </row>
    <row r="660" spans="2:13" ht="15.75" thickBot="1" x14ac:dyDescent="0.3">
      <c r="B660" s="414" t="s">
        <v>556</v>
      </c>
      <c r="C660" s="415" t="s">
        <v>620</v>
      </c>
      <c r="D660" s="416">
        <f>IF(ISERROR(VLOOKUP(B659,'MD Usage'!$A$1:$W$5000,3,FALSE)),0,VLOOKUP(B659,'MD Usage'!$A$1:$W$5000,3,FALSE))</f>
        <v>0</v>
      </c>
      <c r="E660" s="416">
        <f>IF(ISERROR(VLOOKUP(B659,'MD Usage'!$A$1:$W$5000,5,FALSE)),0,VLOOKUP(B659,'MD Usage'!$A$1:$W$5000,5,FALSE))</f>
        <v>0</v>
      </c>
      <c r="F660" s="416">
        <f>IF(ISERROR(VLOOKUP(B659,'MD Usage'!$A$1:$W$5000,7,FALSE)),0,VLOOKUP(B659,'MD Usage'!$A$1:$W$5000,7,FALSE))</f>
        <v>0</v>
      </c>
      <c r="G660" s="416">
        <f>IF(ISERROR(VLOOKUP(B659,'MD Usage'!$A$1:$W$5000,9,FALSE)),0,VLOOKUP(B659,'MD Usage'!$A$1:$W$5000,9,FALSE))</f>
        <v>0</v>
      </c>
      <c r="H660" s="416">
        <f>IF(ISERROR(VLOOKUP(B659,'MD Usage'!$A$1:$W$5000,11,FALSE)),0,VLOOKUP(B659,'MD Usage'!$A$1:$W$5000,11,FALSE))</f>
        <v>0</v>
      </c>
      <c r="I660" s="416">
        <f>IF(ISERROR(VLOOKUP(B659,'MD Usage'!A1:R2000,13,FALSE)),0,VLOOKUP(B659,'MD Usage'!A1:R2000,13,FALSE))</f>
        <v>0</v>
      </c>
      <c r="J660" s="416">
        <f>IF(ISERROR(VLOOKUP(B659,'MD Usage'!A1:R2000,15,FALSE)),0,VLOOKUP(B659,'MD Usage'!A1:R2000,15,FALSE))</f>
        <v>0</v>
      </c>
      <c r="K660" s="418">
        <f>SUM(D660:J660)</f>
        <v>0</v>
      </c>
    </row>
    <row r="661" spans="2:13" x14ac:dyDescent="0.25">
      <c r="B661" s="419" t="s">
        <v>564</v>
      </c>
      <c r="C661" s="420">
        <v>6</v>
      </c>
      <c r="D661" s="421">
        <f>D660*C661</f>
        <v>0</v>
      </c>
      <c r="E661" s="421">
        <f>E660*C661</f>
        <v>0</v>
      </c>
      <c r="F661" s="421">
        <f>F660*C661</f>
        <v>0</v>
      </c>
      <c r="G661" s="421">
        <f>G660*C661</f>
        <v>0</v>
      </c>
      <c r="H661" s="421">
        <f>H660*C661</f>
        <v>0</v>
      </c>
      <c r="I661" s="421">
        <f>I660*C661</f>
        <v>0</v>
      </c>
      <c r="J661" s="421">
        <f>J660*C661</f>
        <v>0</v>
      </c>
      <c r="K661" s="422">
        <f>SUM(D661:J661)</f>
        <v>0</v>
      </c>
    </row>
    <row r="662" spans="2:13" ht="15" customHeight="1" x14ac:dyDescent="0.25">
      <c r="B662" s="389" t="s">
        <v>64</v>
      </c>
      <c r="C662" s="423">
        <v>3</v>
      </c>
      <c r="D662" s="421">
        <f>D660*C662</f>
        <v>0</v>
      </c>
      <c r="E662" s="421">
        <f>E660*C662</f>
        <v>0</v>
      </c>
      <c r="F662" s="421">
        <f>F660*C662</f>
        <v>0</v>
      </c>
      <c r="G662" s="421">
        <f>G660*C662</f>
        <v>0</v>
      </c>
      <c r="H662" s="421">
        <f>H660*C662</f>
        <v>0</v>
      </c>
      <c r="I662" s="421">
        <f>I660*C662</f>
        <v>0</v>
      </c>
      <c r="J662" s="421">
        <f>J660*C662</f>
        <v>0</v>
      </c>
      <c r="K662" s="424">
        <f>SUM(D662:J662)</f>
        <v>0</v>
      </c>
    </row>
    <row r="663" spans="2:13" x14ac:dyDescent="0.25">
      <c r="B663" s="389" t="s">
        <v>578</v>
      </c>
      <c r="C663" s="423">
        <v>1</v>
      </c>
      <c r="D663" s="421">
        <f>D660*C663</f>
        <v>0</v>
      </c>
      <c r="E663" s="421">
        <f>E660*C663</f>
        <v>0</v>
      </c>
      <c r="F663" s="421">
        <f>F660*C663</f>
        <v>0</v>
      </c>
      <c r="G663" s="421">
        <f>G660*C663</f>
        <v>0</v>
      </c>
      <c r="H663" s="421">
        <f>H660*C663</f>
        <v>0</v>
      </c>
      <c r="I663" s="421">
        <f>I660*C663</f>
        <v>0</v>
      </c>
      <c r="J663" s="421">
        <f>J660*C663</f>
        <v>0</v>
      </c>
      <c r="K663" s="424">
        <f>SUM(D663:J663)</f>
        <v>0</v>
      </c>
    </row>
    <row r="664" spans="2:13" x14ac:dyDescent="0.25">
      <c r="B664" s="389" t="s">
        <v>1808</v>
      </c>
      <c r="C664" s="423">
        <v>3</v>
      </c>
      <c r="D664" s="421">
        <f>D660*C664</f>
        <v>0</v>
      </c>
      <c r="E664" s="421">
        <f>E660*C664</f>
        <v>0</v>
      </c>
      <c r="F664" s="421">
        <f>F660*C664</f>
        <v>0</v>
      </c>
      <c r="G664" s="421">
        <f>G660*C664</f>
        <v>0</v>
      </c>
      <c r="H664" s="421">
        <f>H660*C664</f>
        <v>0</v>
      </c>
      <c r="I664" s="421">
        <f>I660*C664</f>
        <v>0</v>
      </c>
      <c r="J664" s="421">
        <f>J660*C664</f>
        <v>0</v>
      </c>
      <c r="K664" s="424">
        <f>SUM(D664:J664)</f>
        <v>0</v>
      </c>
    </row>
    <row r="665" spans="2:13" ht="15.75" thickBot="1" x14ac:dyDescent="0.3"/>
    <row r="666" spans="2:13" ht="15.75" thickBot="1" x14ac:dyDescent="0.3">
      <c r="B666" s="436">
        <v>6440166</v>
      </c>
      <c r="C666" s="411"/>
      <c r="D666" s="407" t="s">
        <v>548</v>
      </c>
      <c r="E666" s="408" t="s">
        <v>549</v>
      </c>
      <c r="F666" s="408" t="s">
        <v>550</v>
      </c>
      <c r="G666" s="408" t="s">
        <v>551</v>
      </c>
      <c r="H666" s="408" t="s">
        <v>552</v>
      </c>
      <c r="I666" s="408" t="s">
        <v>553</v>
      </c>
      <c r="J666" s="408" t="s">
        <v>554</v>
      </c>
      <c r="K666" s="408" t="s">
        <v>555</v>
      </c>
      <c r="M666" s="426" t="s">
        <v>702</v>
      </c>
    </row>
    <row r="667" spans="2:13" ht="15.75" thickBot="1" x14ac:dyDescent="0.3">
      <c r="B667" s="414" t="s">
        <v>556</v>
      </c>
      <c r="C667" s="415" t="s">
        <v>620</v>
      </c>
      <c r="D667" s="416">
        <f>IF(ISERROR(VLOOKUP(B666,'MD Usage'!$A$1:$W$5000,3,FALSE)),0,VLOOKUP(B666,'MD Usage'!$A$1:$W$5000,3,FALSE))</f>
        <v>0</v>
      </c>
      <c r="E667" s="416">
        <f>IF(ISERROR(VLOOKUP(B666,'MD Usage'!$A$1:$W$5000,5,FALSE)),0,VLOOKUP(B666,'MD Usage'!$A$1:$W$5000,5,FALSE))</f>
        <v>0</v>
      </c>
      <c r="F667" s="416">
        <f>IF(ISERROR(VLOOKUP(B666,'MD Usage'!$A$1:$W$5000,7,FALSE)),0,VLOOKUP(B666,'MD Usage'!$A$1:$W$5000,7,FALSE))</f>
        <v>1</v>
      </c>
      <c r="G667" s="416">
        <f>IF(ISERROR(VLOOKUP(B666,'MD Usage'!$A$1:$W$5000,9,FALSE)),0,VLOOKUP(B666,'MD Usage'!$A$1:$W$5000,9,FALSE))</f>
        <v>0</v>
      </c>
      <c r="H667" s="416">
        <f>IF(ISERROR(VLOOKUP(B666,'MD Usage'!$A$1:$W$5000,11,FALSE)),0,VLOOKUP(B666,'MD Usage'!$A$1:$W$5000,11,FALSE))</f>
        <v>0</v>
      </c>
      <c r="I667" s="416">
        <f>IF(ISERROR(VLOOKUP(B666,'MD Usage'!A1:R2000,13,FALSE)),0,VLOOKUP(B666,'MD Usage'!A1:R2000,13,FALSE))</f>
        <v>0</v>
      </c>
      <c r="J667" s="416">
        <f>IF(ISERROR(VLOOKUP(B666,'MD Usage'!A1:R2000,15,FALSE)),0,VLOOKUP(B666,'MD Usage'!A1:R2000,15,FALSE))</f>
        <v>0</v>
      </c>
      <c r="K667" s="418">
        <f t="shared" ref="K667:K672" si="44">SUM(D667:J667)</f>
        <v>1</v>
      </c>
    </row>
    <row r="668" spans="2:13" x14ac:dyDescent="0.25">
      <c r="B668" s="419" t="s">
        <v>918</v>
      </c>
      <c r="C668" s="420">
        <v>1</v>
      </c>
      <c r="D668" s="421">
        <f>D667*C668</f>
        <v>0</v>
      </c>
      <c r="E668" s="421">
        <f>E667*C668</f>
        <v>0</v>
      </c>
      <c r="F668" s="421">
        <f>F667*C668</f>
        <v>1</v>
      </c>
      <c r="G668" s="421">
        <f>G667*C668</f>
        <v>0</v>
      </c>
      <c r="H668" s="421">
        <f>H667*C668</f>
        <v>0</v>
      </c>
      <c r="I668" s="421">
        <f>I667*C668</f>
        <v>0</v>
      </c>
      <c r="J668" s="421">
        <f>J667*C668</f>
        <v>0</v>
      </c>
      <c r="K668" s="422">
        <f t="shared" si="44"/>
        <v>1</v>
      </c>
    </row>
    <row r="669" spans="2:13" ht="15" customHeight="1" x14ac:dyDescent="0.25">
      <c r="B669" s="389" t="s">
        <v>926</v>
      </c>
      <c r="C669" s="423">
        <v>1</v>
      </c>
      <c r="D669" s="421">
        <f>D667*C669</f>
        <v>0</v>
      </c>
      <c r="E669" s="421">
        <f>E667*C669</f>
        <v>0</v>
      </c>
      <c r="F669" s="421">
        <f>F667*C669</f>
        <v>1</v>
      </c>
      <c r="G669" s="421">
        <f>G667*C669</f>
        <v>0</v>
      </c>
      <c r="H669" s="421">
        <f>H667*C669</f>
        <v>0</v>
      </c>
      <c r="I669" s="421">
        <f>I667*C669</f>
        <v>0</v>
      </c>
      <c r="J669" s="421">
        <f>J667*C669</f>
        <v>0</v>
      </c>
      <c r="K669" s="424">
        <f t="shared" si="44"/>
        <v>1</v>
      </c>
    </row>
    <row r="670" spans="2:13" x14ac:dyDescent="0.25">
      <c r="B670" s="389" t="s">
        <v>64</v>
      </c>
      <c r="C670" s="423">
        <v>4</v>
      </c>
      <c r="D670" s="421">
        <f>D667*C670</f>
        <v>0</v>
      </c>
      <c r="E670" s="421">
        <f>E667*C670</f>
        <v>0</v>
      </c>
      <c r="F670" s="421">
        <f>F667*C670</f>
        <v>4</v>
      </c>
      <c r="G670" s="421">
        <f>G667*C670</f>
        <v>0</v>
      </c>
      <c r="H670" s="421">
        <f>H667*C670</f>
        <v>0</v>
      </c>
      <c r="I670" s="421">
        <f>I667*C670</f>
        <v>0</v>
      </c>
      <c r="J670" s="421">
        <f>J667*C670</f>
        <v>0</v>
      </c>
      <c r="K670" s="424">
        <f t="shared" si="44"/>
        <v>4</v>
      </c>
    </row>
    <row r="671" spans="2:13" x14ac:dyDescent="0.25">
      <c r="B671" s="389" t="s">
        <v>578</v>
      </c>
      <c r="C671" s="423">
        <v>2</v>
      </c>
      <c r="D671" s="421">
        <f>D667*C671</f>
        <v>0</v>
      </c>
      <c r="E671" s="421">
        <f>E667*C671</f>
        <v>0</v>
      </c>
      <c r="F671" s="421">
        <f>F667*C671</f>
        <v>2</v>
      </c>
      <c r="G671" s="421">
        <f>G667*C671</f>
        <v>0</v>
      </c>
      <c r="H671" s="421">
        <f>H667*C671</f>
        <v>0</v>
      </c>
      <c r="I671" s="421">
        <f>I667*C671</f>
        <v>0</v>
      </c>
      <c r="J671" s="421">
        <f>J667*C671</f>
        <v>0</v>
      </c>
      <c r="K671" s="424">
        <f t="shared" si="44"/>
        <v>2</v>
      </c>
    </row>
    <row r="672" spans="2:13" x14ac:dyDescent="0.25">
      <c r="B672" s="389" t="s">
        <v>1808</v>
      </c>
      <c r="C672" s="423">
        <v>5</v>
      </c>
      <c r="D672" s="421">
        <f>D667*C672</f>
        <v>0</v>
      </c>
      <c r="E672" s="421">
        <f>E667*C672</f>
        <v>0</v>
      </c>
      <c r="F672" s="421">
        <f>F667*C672</f>
        <v>5</v>
      </c>
      <c r="G672" s="421">
        <f>G667*C672</f>
        <v>0</v>
      </c>
      <c r="H672" s="421">
        <f>H667*C672</f>
        <v>0</v>
      </c>
      <c r="I672" s="421">
        <f>I667*C672</f>
        <v>0</v>
      </c>
      <c r="J672" s="421">
        <f>J667*C672</f>
        <v>0</v>
      </c>
      <c r="K672" s="424">
        <f t="shared" si="44"/>
        <v>5</v>
      </c>
    </row>
    <row r="673" spans="2:13" ht="15.75" thickBot="1" x14ac:dyDescent="0.3"/>
    <row r="674" spans="2:13" ht="15.75" thickBot="1" x14ac:dyDescent="0.3">
      <c r="B674" s="437">
        <v>6440004</v>
      </c>
      <c r="C674" s="411"/>
      <c r="D674" s="407" t="s">
        <v>548</v>
      </c>
      <c r="E674" s="408" t="s">
        <v>549</v>
      </c>
      <c r="F674" s="408" t="s">
        <v>550</v>
      </c>
      <c r="G674" s="408" t="s">
        <v>551</v>
      </c>
      <c r="H674" s="408" t="s">
        <v>552</v>
      </c>
      <c r="I674" s="408" t="s">
        <v>553</v>
      </c>
      <c r="J674" s="408" t="s">
        <v>554</v>
      </c>
      <c r="K674" s="408" t="s">
        <v>555</v>
      </c>
      <c r="M674" s="426" t="s">
        <v>703</v>
      </c>
    </row>
    <row r="675" spans="2:13" ht="15.75" thickBot="1" x14ac:dyDescent="0.3">
      <c r="B675" s="414" t="s">
        <v>556</v>
      </c>
      <c r="C675" s="415" t="s">
        <v>620</v>
      </c>
      <c r="D675" s="416">
        <f>IF(ISERROR(VLOOKUP(B674,'MD Usage'!$A$1:$W$5000,3,FALSE)),0,VLOOKUP(B674,'MD Usage'!$A$1:$W$5000,3,FALSE))</f>
        <v>0</v>
      </c>
      <c r="E675" s="416">
        <f>IF(ISERROR(VLOOKUP(B674,'MD Usage'!$A$1:$W$5000,5,FALSE)),0,VLOOKUP(B674,'MD Usage'!$A$1:$W$5000,5,FALSE))</f>
        <v>2</v>
      </c>
      <c r="F675" s="416">
        <f>IF(ISERROR(VLOOKUP(B674,'MD Usage'!$A$1:$W$5000,7,FALSE)),0,VLOOKUP(B674,'MD Usage'!$A$1:$W$5000,7,FALSE))</f>
        <v>2</v>
      </c>
      <c r="G675" s="416">
        <f>IF(ISERROR(VLOOKUP(B674,'MD Usage'!$A$1:$W$5000,9,FALSE)),0,VLOOKUP(B674,'MD Usage'!$A$1:$W$5000,9,FALSE))</f>
        <v>2</v>
      </c>
      <c r="H675" s="416">
        <f>IF(ISERROR(VLOOKUP(B674,'MD Usage'!$A$1:$W$5000,11,FALSE)),0,VLOOKUP(B674,'MD Usage'!$A$1:$W$5000,11,FALSE))</f>
        <v>5</v>
      </c>
      <c r="I675" s="416">
        <f>IF(ISERROR(VLOOKUP(B674,'MD Usage'!A1:R2000,13,FALSE)),0,VLOOKUP(B674,'MD Usage'!A1:R2000,13,FALSE))</f>
        <v>4</v>
      </c>
      <c r="J675" s="416">
        <f>IF(ISERROR(VLOOKUP(B674,'MD Usage'!A1:R2000,15,FALSE)),0,VLOOKUP(B674,'MD Usage'!A1:R2000,15,FALSE))</f>
        <v>2</v>
      </c>
      <c r="K675" s="418">
        <f t="shared" ref="K675:K680" si="45">SUM(D675:J675)</f>
        <v>17</v>
      </c>
    </row>
    <row r="676" spans="2:13" x14ac:dyDescent="0.25">
      <c r="B676" s="419" t="s">
        <v>918</v>
      </c>
      <c r="C676" s="420">
        <v>1</v>
      </c>
      <c r="D676" s="421">
        <f>D675*C676</f>
        <v>0</v>
      </c>
      <c r="E676" s="421">
        <f>E675*C676</f>
        <v>2</v>
      </c>
      <c r="F676" s="421">
        <f>F675*C676</f>
        <v>2</v>
      </c>
      <c r="G676" s="421">
        <f>G675*C676</f>
        <v>2</v>
      </c>
      <c r="H676" s="421">
        <f>H675*C676</f>
        <v>5</v>
      </c>
      <c r="I676" s="421">
        <f>I675*C676</f>
        <v>4</v>
      </c>
      <c r="J676" s="421">
        <f>J675*C676</f>
        <v>2</v>
      </c>
      <c r="K676" s="422">
        <f t="shared" si="45"/>
        <v>17</v>
      </c>
    </row>
    <row r="677" spans="2:13" ht="15" customHeight="1" x14ac:dyDescent="0.25">
      <c r="B677" s="389" t="s">
        <v>926</v>
      </c>
      <c r="C677" s="423">
        <v>1</v>
      </c>
      <c r="D677" s="421">
        <f>D675*C677</f>
        <v>0</v>
      </c>
      <c r="E677" s="421">
        <f>E675*C677</f>
        <v>2</v>
      </c>
      <c r="F677" s="421">
        <f>F675*C677</f>
        <v>2</v>
      </c>
      <c r="G677" s="421">
        <f>G675*C677</f>
        <v>2</v>
      </c>
      <c r="H677" s="421">
        <f>H675*C677</f>
        <v>5</v>
      </c>
      <c r="I677" s="421">
        <f>I675*C677</f>
        <v>4</v>
      </c>
      <c r="J677" s="421">
        <f>J675*C677</f>
        <v>2</v>
      </c>
      <c r="K677" s="424">
        <f t="shared" si="45"/>
        <v>17</v>
      </c>
    </row>
    <row r="678" spans="2:13" x14ac:dyDescent="0.25">
      <c r="B678" s="389" t="s">
        <v>64</v>
      </c>
      <c r="C678" s="423">
        <v>4</v>
      </c>
      <c r="D678" s="421">
        <f>D675*C678</f>
        <v>0</v>
      </c>
      <c r="E678" s="421">
        <f>E675*C678</f>
        <v>8</v>
      </c>
      <c r="F678" s="421">
        <f>F675*C678</f>
        <v>8</v>
      </c>
      <c r="G678" s="421">
        <f>G675*C678</f>
        <v>8</v>
      </c>
      <c r="H678" s="421">
        <f>H675*C678</f>
        <v>20</v>
      </c>
      <c r="I678" s="421">
        <f>I675*C678</f>
        <v>16</v>
      </c>
      <c r="J678" s="421">
        <f>J675*C678</f>
        <v>8</v>
      </c>
      <c r="K678" s="424">
        <f t="shared" si="45"/>
        <v>68</v>
      </c>
    </row>
    <row r="679" spans="2:13" x14ac:dyDescent="0.25">
      <c r="B679" s="389" t="s">
        <v>578</v>
      </c>
      <c r="C679" s="423">
        <v>2</v>
      </c>
      <c r="D679" s="421">
        <f>D675*C679</f>
        <v>0</v>
      </c>
      <c r="E679" s="421">
        <f>E675*C679</f>
        <v>4</v>
      </c>
      <c r="F679" s="421">
        <f>F675*C679</f>
        <v>4</v>
      </c>
      <c r="G679" s="421">
        <f>G675*C679</f>
        <v>4</v>
      </c>
      <c r="H679" s="421">
        <f>H675*C679</f>
        <v>10</v>
      </c>
      <c r="I679" s="421">
        <f>I675*C679</f>
        <v>8</v>
      </c>
      <c r="J679" s="421">
        <f>J675*C679</f>
        <v>4</v>
      </c>
      <c r="K679" s="424">
        <f t="shared" si="45"/>
        <v>34</v>
      </c>
    </row>
    <row r="680" spans="2:13" x14ac:dyDescent="0.25">
      <c r="B680" s="389" t="s">
        <v>1808</v>
      </c>
      <c r="C680" s="423">
        <v>5</v>
      </c>
      <c r="D680" s="421">
        <f>D675*C680</f>
        <v>0</v>
      </c>
      <c r="E680" s="421">
        <f>E675*C680</f>
        <v>10</v>
      </c>
      <c r="F680" s="421">
        <f>F675*C680</f>
        <v>10</v>
      </c>
      <c r="G680" s="421">
        <f>G675*C680</f>
        <v>10</v>
      </c>
      <c r="H680" s="421">
        <f>H675*C680</f>
        <v>25</v>
      </c>
      <c r="I680" s="421">
        <f>I675*C680</f>
        <v>20</v>
      </c>
      <c r="J680" s="421">
        <f>J675*C680</f>
        <v>10</v>
      </c>
      <c r="K680" s="424">
        <f t="shared" si="45"/>
        <v>85</v>
      </c>
    </row>
    <row r="681" spans="2:13" ht="15.75" thickBot="1" x14ac:dyDescent="0.3"/>
    <row r="682" spans="2:13" ht="15.75" thickBot="1" x14ac:dyDescent="0.3">
      <c r="B682" s="436">
        <v>6440025</v>
      </c>
      <c r="C682" s="411"/>
      <c r="D682" s="407" t="s">
        <v>548</v>
      </c>
      <c r="E682" s="408" t="s">
        <v>549</v>
      </c>
      <c r="F682" s="408" t="s">
        <v>550</v>
      </c>
      <c r="G682" s="408" t="s">
        <v>551</v>
      </c>
      <c r="H682" s="408" t="s">
        <v>552</v>
      </c>
      <c r="I682" s="408" t="s">
        <v>553</v>
      </c>
      <c r="J682" s="408" t="s">
        <v>554</v>
      </c>
      <c r="K682" s="408" t="s">
        <v>555</v>
      </c>
      <c r="M682" s="426" t="s">
        <v>704</v>
      </c>
    </row>
    <row r="683" spans="2:13" ht="15.75" thickBot="1" x14ac:dyDescent="0.3">
      <c r="B683" s="414" t="s">
        <v>556</v>
      </c>
      <c r="C683" s="415" t="s">
        <v>620</v>
      </c>
      <c r="D683" s="416">
        <f>IF(ISERROR(VLOOKUP(B682,'MD Usage'!$A$1:$W$5000,3,FALSE)),0,VLOOKUP(B682,'MD Usage'!$A$1:$W$5000,3,FALSE))</f>
        <v>0</v>
      </c>
      <c r="E683" s="416">
        <f>IF(ISERROR(VLOOKUP(B682,'MD Usage'!$A$1:$W$5000,5,FALSE)),0,VLOOKUP(B682,'MD Usage'!$A$1:$W$5000,5,FALSE))</f>
        <v>0</v>
      </c>
      <c r="F683" s="416">
        <f>IF(ISERROR(VLOOKUP(B682,'MD Usage'!$A$1:$W$5000,7,FALSE)),0,VLOOKUP(B682,'MD Usage'!$A$1:$W$5000,7,FALSE))</f>
        <v>0</v>
      </c>
      <c r="G683" s="416">
        <f>IF(ISERROR(VLOOKUP(B682,'MD Usage'!$A$1:$W$5000,9,FALSE)),0,VLOOKUP(B682,'MD Usage'!$A$1:$W$5000,9,FALSE))</f>
        <v>0</v>
      </c>
      <c r="H683" s="416">
        <f>IF(ISERROR(VLOOKUP(B682,'MD Usage'!$A$1:$W$5000,11,FALSE)),0,VLOOKUP(B682,'MD Usage'!$A$1:$W$5000,11,FALSE))</f>
        <v>0</v>
      </c>
      <c r="I683" s="416">
        <f>IF(ISERROR(VLOOKUP(B682,'MD Usage'!A1:R2000,13,FALSE)),0,VLOOKUP(B682,'MD Usage'!A1:R2000,13,FALSE))</f>
        <v>0</v>
      </c>
      <c r="J683" s="416">
        <f>IF(ISERROR(VLOOKUP(B682,'MD Usage'!A1:R2000,15,FALSE)),0,VLOOKUP(B682,'MD Usage'!A1:R2000,15,FALSE))</f>
        <v>0</v>
      </c>
      <c r="K683" s="418">
        <f t="shared" ref="K683:K689" si="46">SUM(D683:J683)</f>
        <v>0</v>
      </c>
    </row>
    <row r="684" spans="2:13" x14ac:dyDescent="0.25">
      <c r="B684" s="419" t="s">
        <v>919</v>
      </c>
      <c r="C684" s="420">
        <v>1</v>
      </c>
      <c r="D684" s="421">
        <f>D683*C684</f>
        <v>0</v>
      </c>
      <c r="E684" s="421">
        <f>E683*C684</f>
        <v>0</v>
      </c>
      <c r="F684" s="421">
        <f>F683*C684</f>
        <v>0</v>
      </c>
      <c r="G684" s="421">
        <f>G683*C684</f>
        <v>0</v>
      </c>
      <c r="H684" s="421">
        <f>H683*C684</f>
        <v>0</v>
      </c>
      <c r="I684" s="421">
        <f>I683*C684</f>
        <v>0</v>
      </c>
      <c r="J684" s="421">
        <f>J683*C684</f>
        <v>0</v>
      </c>
      <c r="K684" s="422">
        <f t="shared" si="46"/>
        <v>0</v>
      </c>
    </row>
    <row r="685" spans="2:13" ht="15" customHeight="1" x14ac:dyDescent="0.25">
      <c r="B685" s="389" t="s">
        <v>568</v>
      </c>
      <c r="C685" s="423">
        <v>1</v>
      </c>
      <c r="D685" s="421">
        <f>D683*C685</f>
        <v>0</v>
      </c>
      <c r="E685" s="421">
        <f>E683*C685</f>
        <v>0</v>
      </c>
      <c r="F685" s="421">
        <f>F683*C685</f>
        <v>0</v>
      </c>
      <c r="G685" s="421">
        <f>G683*C685</f>
        <v>0</v>
      </c>
      <c r="H685" s="421">
        <f>H683*C685</f>
        <v>0</v>
      </c>
      <c r="I685" s="421">
        <f>I683*C685</f>
        <v>0</v>
      </c>
      <c r="J685" s="421">
        <f>J683*C685</f>
        <v>0</v>
      </c>
      <c r="K685" s="424">
        <f t="shared" si="46"/>
        <v>0</v>
      </c>
    </row>
    <row r="686" spans="2:13" ht="15" customHeight="1" x14ac:dyDescent="0.25">
      <c r="B686" s="389" t="s">
        <v>64</v>
      </c>
      <c r="C686" s="423">
        <v>3</v>
      </c>
      <c r="D686" s="421">
        <f>D683*C686</f>
        <v>0</v>
      </c>
      <c r="E686" s="421">
        <f>E683*C686</f>
        <v>0</v>
      </c>
      <c r="F686" s="421">
        <f>F683*C686</f>
        <v>0</v>
      </c>
      <c r="G686" s="421">
        <f>G683*C686</f>
        <v>0</v>
      </c>
      <c r="H686" s="421">
        <f>H683*C686</f>
        <v>0</v>
      </c>
      <c r="I686" s="421">
        <f>I683*C686</f>
        <v>0</v>
      </c>
      <c r="J686" s="421">
        <f>J683*C686</f>
        <v>0</v>
      </c>
      <c r="K686" s="424">
        <f t="shared" si="46"/>
        <v>0</v>
      </c>
    </row>
    <row r="687" spans="2:13" x14ac:dyDescent="0.25">
      <c r="B687" s="389" t="s">
        <v>578</v>
      </c>
      <c r="C687" s="423">
        <v>1</v>
      </c>
      <c r="D687" s="421">
        <f>D683*C687</f>
        <v>0</v>
      </c>
      <c r="E687" s="421">
        <f>E683*C687</f>
        <v>0</v>
      </c>
      <c r="F687" s="421">
        <f>F683*C687</f>
        <v>0</v>
      </c>
      <c r="G687" s="421">
        <f>G683*C687</f>
        <v>0</v>
      </c>
      <c r="H687" s="421">
        <f>H683*C687</f>
        <v>0</v>
      </c>
      <c r="I687" s="421">
        <f>I683*C687</f>
        <v>0</v>
      </c>
      <c r="J687" s="421">
        <f>J683*C687</f>
        <v>0</v>
      </c>
      <c r="K687" s="424">
        <f t="shared" si="46"/>
        <v>0</v>
      </c>
    </row>
    <row r="688" spans="2:13" x14ac:dyDescent="0.25">
      <c r="B688" s="389" t="s">
        <v>59</v>
      </c>
      <c r="C688" s="423">
        <v>0.5</v>
      </c>
      <c r="D688" s="421">
        <f>D683*C688</f>
        <v>0</v>
      </c>
      <c r="E688" s="421">
        <f>E683*C688</f>
        <v>0</v>
      </c>
      <c r="F688" s="421">
        <f>F683*C688</f>
        <v>0</v>
      </c>
      <c r="G688" s="421">
        <f>G683*C688</f>
        <v>0</v>
      </c>
      <c r="H688" s="421">
        <f>H683*C688</f>
        <v>0</v>
      </c>
      <c r="I688" s="421">
        <f>I683*C688</f>
        <v>0</v>
      </c>
      <c r="J688" s="421">
        <f>J683*C688</f>
        <v>0</v>
      </c>
      <c r="K688" s="424">
        <f t="shared" si="46"/>
        <v>0</v>
      </c>
    </row>
    <row r="689" spans="2:13" x14ac:dyDescent="0.25">
      <c r="B689" s="389" t="s">
        <v>1808</v>
      </c>
      <c r="C689" s="423">
        <v>4</v>
      </c>
      <c r="D689" s="421">
        <f>D683*C689</f>
        <v>0</v>
      </c>
      <c r="E689" s="421">
        <f>E683*C689</f>
        <v>0</v>
      </c>
      <c r="F689" s="421">
        <f>F683*C689</f>
        <v>0</v>
      </c>
      <c r="G689" s="421">
        <f>G683*C689</f>
        <v>0</v>
      </c>
      <c r="H689" s="421">
        <f>H683*C689</f>
        <v>0</v>
      </c>
      <c r="I689" s="421">
        <f>I683*C689</f>
        <v>0</v>
      </c>
      <c r="J689" s="421">
        <f>J683*C689</f>
        <v>0</v>
      </c>
      <c r="K689" s="424">
        <f t="shared" si="46"/>
        <v>0</v>
      </c>
    </row>
    <row r="690" spans="2:13" ht="15.75" thickBot="1" x14ac:dyDescent="0.3"/>
    <row r="691" spans="2:13" ht="15.75" thickBot="1" x14ac:dyDescent="0.3">
      <c r="B691" s="436">
        <v>6440547</v>
      </c>
      <c r="C691" s="411"/>
      <c r="D691" s="407" t="s">
        <v>548</v>
      </c>
      <c r="E691" s="408" t="s">
        <v>549</v>
      </c>
      <c r="F691" s="408" t="s">
        <v>550</v>
      </c>
      <c r="G691" s="408" t="s">
        <v>551</v>
      </c>
      <c r="H691" s="408" t="s">
        <v>552</v>
      </c>
      <c r="I691" s="408" t="s">
        <v>553</v>
      </c>
      <c r="J691" s="408" t="s">
        <v>554</v>
      </c>
      <c r="K691" s="408" t="s">
        <v>555</v>
      </c>
      <c r="M691" s="426" t="s">
        <v>705</v>
      </c>
    </row>
    <row r="692" spans="2:13" ht="15.75" thickBot="1" x14ac:dyDescent="0.3">
      <c r="B692" s="414" t="s">
        <v>556</v>
      </c>
      <c r="C692" s="415" t="s">
        <v>620</v>
      </c>
      <c r="D692" s="416">
        <f>IF(ISERROR(VLOOKUP(B691,'MD Usage'!$A$1:$W$5000,3,FALSE)),0,VLOOKUP(B691,'MD Usage'!$A$1:$W$5000,3,FALSE))</f>
        <v>2</v>
      </c>
      <c r="E692" s="416">
        <f>IF(ISERROR(VLOOKUP(B691,'MD Usage'!$A$1:$W$5000,5,FALSE)),0,VLOOKUP(B691,'MD Usage'!$A$1:$W$5000,5,FALSE))</f>
        <v>2</v>
      </c>
      <c r="F692" s="416">
        <f>IF(ISERROR(VLOOKUP(B691,'MD Usage'!$A$1:$W$5000,7,FALSE)),0,VLOOKUP(B691,'MD Usage'!$A$1:$W$5000,7,FALSE))</f>
        <v>3</v>
      </c>
      <c r="G692" s="416">
        <f>IF(ISERROR(VLOOKUP(B691,'MD Usage'!$A$1:$W$5000,9,FALSE)),0,VLOOKUP(B691,'MD Usage'!$A$1:$W$5000,9,FALSE))</f>
        <v>1</v>
      </c>
      <c r="H692" s="416">
        <f>IF(ISERROR(VLOOKUP(B691,'MD Usage'!$A$1:$W$5000,11,FALSE)),0,VLOOKUP(B691,'MD Usage'!$A$1:$W$5000,11,FALSE))</f>
        <v>6</v>
      </c>
      <c r="I692" s="416">
        <f>IF(ISERROR(VLOOKUP(B691,'MD Usage'!A1:R2000,13,FALSE)),0,VLOOKUP(B691,'MD Usage'!A1:R2000,13,FALSE))</f>
        <v>9</v>
      </c>
      <c r="J692" s="416">
        <f>IF(ISERROR(VLOOKUP(B691,'MD Usage'!A1:R2000,15,FALSE)),0,VLOOKUP(B691,'MD Usage'!A1:R2000,15,FALSE))</f>
        <v>2</v>
      </c>
      <c r="K692" s="418">
        <f>SUM(D692:J692)</f>
        <v>25</v>
      </c>
    </row>
    <row r="693" spans="2:13" x14ac:dyDescent="0.25">
      <c r="B693" s="419" t="s">
        <v>923</v>
      </c>
      <c r="C693" s="420">
        <v>1</v>
      </c>
      <c r="D693" s="421">
        <f>D692*C693</f>
        <v>2</v>
      </c>
      <c r="E693" s="421">
        <f>E692*C693</f>
        <v>2</v>
      </c>
      <c r="F693" s="421">
        <f>F692*C693</f>
        <v>3</v>
      </c>
      <c r="G693" s="421">
        <f>G692*C693</f>
        <v>1</v>
      </c>
      <c r="H693" s="421">
        <f>H692*C693</f>
        <v>6</v>
      </c>
      <c r="I693" s="421">
        <f>I692*C693</f>
        <v>9</v>
      </c>
      <c r="J693" s="421">
        <f>J692*C693</f>
        <v>2</v>
      </c>
      <c r="K693" s="422">
        <f>SUM(D693:J693)</f>
        <v>25</v>
      </c>
    </row>
    <row r="694" spans="2:13" ht="15" customHeight="1" x14ac:dyDescent="0.25">
      <c r="B694" s="389" t="s">
        <v>64</v>
      </c>
      <c r="C694" s="423">
        <v>6</v>
      </c>
      <c r="D694" s="421">
        <f>D692*C694</f>
        <v>12</v>
      </c>
      <c r="E694" s="421">
        <f>E692*C694</f>
        <v>12</v>
      </c>
      <c r="F694" s="421">
        <f>F692*C694</f>
        <v>18</v>
      </c>
      <c r="G694" s="421">
        <f>G692*C694</f>
        <v>6</v>
      </c>
      <c r="H694" s="421">
        <f>H692*C694</f>
        <v>36</v>
      </c>
      <c r="I694" s="421">
        <f>I692*C694</f>
        <v>54</v>
      </c>
      <c r="J694" s="421">
        <f>J692*C694</f>
        <v>12</v>
      </c>
      <c r="K694" s="424">
        <f>SUM(D694:J694)</f>
        <v>150</v>
      </c>
    </row>
    <row r="695" spans="2:13" x14ac:dyDescent="0.25">
      <c r="B695" s="389" t="s">
        <v>569</v>
      </c>
      <c r="C695" s="423">
        <v>1</v>
      </c>
      <c r="D695" s="421">
        <f>D692*C695</f>
        <v>2</v>
      </c>
      <c r="E695" s="421">
        <f>E692*C695</f>
        <v>2</v>
      </c>
      <c r="F695" s="421">
        <f>F692*C695</f>
        <v>3</v>
      </c>
      <c r="G695" s="421">
        <f>G692*C695</f>
        <v>1</v>
      </c>
      <c r="H695" s="421">
        <f>H692*C695</f>
        <v>6</v>
      </c>
      <c r="I695" s="421">
        <f>I692*C695</f>
        <v>9</v>
      </c>
      <c r="J695" s="421">
        <f>J692*C695</f>
        <v>2</v>
      </c>
      <c r="K695" s="424">
        <f>SUM(D695:J695)</f>
        <v>25</v>
      </c>
    </row>
    <row r="696" spans="2:13" x14ac:dyDescent="0.25">
      <c r="B696" s="389"/>
      <c r="C696" s="423"/>
      <c r="D696" s="421">
        <f>D692*C696</f>
        <v>0</v>
      </c>
      <c r="E696" s="421">
        <f>E692*C696</f>
        <v>0</v>
      </c>
      <c r="F696" s="421">
        <f>F692*C696</f>
        <v>0</v>
      </c>
      <c r="G696" s="421">
        <f>G692*C696</f>
        <v>0</v>
      </c>
      <c r="H696" s="421">
        <f>H692*C696</f>
        <v>0</v>
      </c>
      <c r="I696" s="421">
        <f>I692*C696</f>
        <v>0</v>
      </c>
      <c r="J696" s="421">
        <f>J692*C696</f>
        <v>0</v>
      </c>
      <c r="K696" s="424">
        <f>SUM(D696:J696)</f>
        <v>0</v>
      </c>
    </row>
    <row r="697" spans="2:13" ht="15.75" thickBot="1" x14ac:dyDescent="0.3"/>
    <row r="698" spans="2:13" ht="15.75" thickBot="1" x14ac:dyDescent="0.3">
      <c r="B698" s="437">
        <v>6440548</v>
      </c>
      <c r="C698" s="411"/>
      <c r="D698" s="407" t="s">
        <v>548</v>
      </c>
      <c r="E698" s="408" t="s">
        <v>549</v>
      </c>
      <c r="F698" s="408" t="s">
        <v>550</v>
      </c>
      <c r="G698" s="408" t="s">
        <v>551</v>
      </c>
      <c r="H698" s="408" t="s">
        <v>552</v>
      </c>
      <c r="I698" s="408" t="s">
        <v>553</v>
      </c>
      <c r="J698" s="408" t="s">
        <v>554</v>
      </c>
      <c r="K698" s="408" t="s">
        <v>555</v>
      </c>
      <c r="M698" s="426" t="s">
        <v>706</v>
      </c>
    </row>
    <row r="699" spans="2:13" ht="15.75" thickBot="1" x14ac:dyDescent="0.3">
      <c r="B699" s="414" t="s">
        <v>556</v>
      </c>
      <c r="C699" s="415" t="s">
        <v>620</v>
      </c>
      <c r="D699" s="416">
        <f>IF(ISERROR(VLOOKUP(B698,'MD Usage'!$A$1:$W$5000,3,FALSE)),0,VLOOKUP(B698,'MD Usage'!$A$1:$W$5000,3,FALSE))</f>
        <v>0</v>
      </c>
      <c r="E699" s="416">
        <f>IF(ISERROR(VLOOKUP(B698,'MD Usage'!$A$1:$W$5000,5,FALSE)),0,VLOOKUP(B698,'MD Usage'!$A$1:$W$5000,5,FALSE))</f>
        <v>1</v>
      </c>
      <c r="F699" s="416">
        <f>IF(ISERROR(VLOOKUP(B698,'MD Usage'!$A$1:$W$5000,7,FALSE)),0,VLOOKUP(B698,'MD Usage'!$A$1:$W$5000,7,FALSE))</f>
        <v>1</v>
      </c>
      <c r="G699" s="416">
        <f>IF(ISERROR(VLOOKUP(B698,'MD Usage'!$A$1:$W$5000,9,FALSE)),0,VLOOKUP(B698,'MD Usage'!$A$1:$W$5000,9,FALSE))</f>
        <v>1</v>
      </c>
      <c r="H699" s="416">
        <f>IF(ISERROR(VLOOKUP(B698,'MD Usage'!$A$1:$W$5000,11,FALSE)),0,VLOOKUP(B698,'MD Usage'!$A$1:$W$5000,11,FALSE))</f>
        <v>0</v>
      </c>
      <c r="I699" s="416">
        <f>IF(ISERROR(VLOOKUP(B698,'MD Usage'!A1:R2000,13,FALSE)),0,VLOOKUP(B698,'MD Usage'!A1:R2000,13,FALSE))</f>
        <v>2</v>
      </c>
      <c r="J699" s="416">
        <f>IF(ISERROR(VLOOKUP(B698,'MD Usage'!A1:R2000,15,FALSE)),0,VLOOKUP(B698,'MD Usage'!A1:R2000,15,FALSE))</f>
        <v>0</v>
      </c>
      <c r="K699" s="418">
        <f>SUM(D699:J699)</f>
        <v>5</v>
      </c>
    </row>
    <row r="700" spans="2:13" x14ac:dyDescent="0.25">
      <c r="B700" s="419" t="s">
        <v>923</v>
      </c>
      <c r="C700" s="420">
        <v>1</v>
      </c>
      <c r="D700" s="421">
        <f>D699*C700</f>
        <v>0</v>
      </c>
      <c r="E700" s="421">
        <f>E699*C700</f>
        <v>1</v>
      </c>
      <c r="F700" s="421">
        <f>F699*C700</f>
        <v>1</v>
      </c>
      <c r="G700" s="421">
        <f>G699*C700</f>
        <v>1</v>
      </c>
      <c r="H700" s="421">
        <f>H699*C700</f>
        <v>0</v>
      </c>
      <c r="I700" s="421">
        <f>I699*C700</f>
        <v>2</v>
      </c>
      <c r="J700" s="421">
        <f>J699*C700</f>
        <v>0</v>
      </c>
      <c r="K700" s="422">
        <f>SUM(D700:J700)</f>
        <v>5</v>
      </c>
    </row>
    <row r="701" spans="2:13" ht="15" customHeight="1" x14ac:dyDescent="0.25">
      <c r="B701" s="389" t="s">
        <v>64</v>
      </c>
      <c r="C701" s="423">
        <v>6</v>
      </c>
      <c r="D701" s="421">
        <f>D699*C701</f>
        <v>0</v>
      </c>
      <c r="E701" s="421">
        <f>E699*C701</f>
        <v>6</v>
      </c>
      <c r="F701" s="421">
        <f>F699*C701</f>
        <v>6</v>
      </c>
      <c r="G701" s="421">
        <f>G699*C701</f>
        <v>6</v>
      </c>
      <c r="H701" s="421">
        <f>H699*C701</f>
        <v>0</v>
      </c>
      <c r="I701" s="421">
        <f>I699*C701</f>
        <v>12</v>
      </c>
      <c r="J701" s="421">
        <f>J699*C701</f>
        <v>0</v>
      </c>
      <c r="K701" s="424">
        <f>SUM(D701:J701)</f>
        <v>30</v>
      </c>
    </row>
    <row r="702" spans="2:13" x14ac:dyDescent="0.25">
      <c r="B702" s="389" t="s">
        <v>926</v>
      </c>
      <c r="C702" s="423">
        <v>1</v>
      </c>
      <c r="D702" s="421">
        <f>D699*C702</f>
        <v>0</v>
      </c>
      <c r="E702" s="421">
        <f>E699*C702</f>
        <v>1</v>
      </c>
      <c r="F702" s="421">
        <f>F699*C702</f>
        <v>1</v>
      </c>
      <c r="G702" s="421">
        <f>G699*C702</f>
        <v>1</v>
      </c>
      <c r="H702" s="421">
        <f>H699*C702</f>
        <v>0</v>
      </c>
      <c r="I702" s="421">
        <f>I699*C702</f>
        <v>2</v>
      </c>
      <c r="J702" s="421">
        <f>J699*C702</f>
        <v>0</v>
      </c>
      <c r="K702" s="424">
        <f>SUM(D702:J702)</f>
        <v>5</v>
      </c>
    </row>
    <row r="703" spans="2:13" x14ac:dyDescent="0.25">
      <c r="B703" s="389"/>
      <c r="C703" s="423"/>
      <c r="D703" s="421">
        <f>D699*C703</f>
        <v>0</v>
      </c>
      <c r="E703" s="421">
        <f>E699*C703</f>
        <v>0</v>
      </c>
      <c r="F703" s="421">
        <f>F699*C703</f>
        <v>0</v>
      </c>
      <c r="G703" s="421">
        <f>G699*C703</f>
        <v>0</v>
      </c>
      <c r="H703" s="421">
        <f>H699*C703</f>
        <v>0</v>
      </c>
      <c r="I703" s="421">
        <f>I699*C703</f>
        <v>0</v>
      </c>
      <c r="J703" s="421">
        <f>J699*C703</f>
        <v>0</v>
      </c>
      <c r="K703" s="424">
        <f>SUM(D703:J703)</f>
        <v>0</v>
      </c>
    </row>
    <row r="704" spans="2:13" ht="15.75" thickBot="1" x14ac:dyDescent="0.3"/>
    <row r="705" spans="2:13" ht="15.75" thickBot="1" x14ac:dyDescent="0.3">
      <c r="B705" s="437">
        <v>6440164</v>
      </c>
      <c r="C705" s="411"/>
      <c r="D705" s="407" t="s">
        <v>548</v>
      </c>
      <c r="E705" s="408" t="s">
        <v>549</v>
      </c>
      <c r="F705" s="408" t="s">
        <v>550</v>
      </c>
      <c r="G705" s="408" t="s">
        <v>551</v>
      </c>
      <c r="H705" s="408" t="s">
        <v>552</v>
      </c>
      <c r="I705" s="408" t="s">
        <v>553</v>
      </c>
      <c r="J705" s="408" t="s">
        <v>554</v>
      </c>
      <c r="K705" s="408" t="s">
        <v>555</v>
      </c>
      <c r="M705" s="426" t="s">
        <v>707</v>
      </c>
    </row>
    <row r="706" spans="2:13" ht="15.75" thickBot="1" x14ac:dyDescent="0.3">
      <c r="B706" s="414" t="s">
        <v>556</v>
      </c>
      <c r="C706" s="415" t="s">
        <v>620</v>
      </c>
      <c r="D706" s="416">
        <f>IF(ISERROR(VLOOKUP(B705,'MD Usage'!$A$1:$W$5000,3,FALSE)),0,VLOOKUP(B705,'MD Usage'!$A$1:$W$5000,3,FALSE))</f>
        <v>0</v>
      </c>
      <c r="E706" s="416">
        <f>IF(ISERROR(VLOOKUP(B705,'MD Usage'!$A$1:$W$5000,5,FALSE)),0,VLOOKUP(B705,'MD Usage'!$A$1:$W$5000,5,FALSE))</f>
        <v>0</v>
      </c>
      <c r="F706" s="416">
        <f>IF(ISERROR(VLOOKUP(B705,'MD Usage'!$A$1:$W$5000,7,FALSE)),0,VLOOKUP(B705,'MD Usage'!$A$1:$W$5000,7,FALSE))</f>
        <v>1</v>
      </c>
      <c r="G706" s="416">
        <f>IF(ISERROR(VLOOKUP(B705,'MD Usage'!$A$1:$W$5000,9,FALSE)),0,VLOOKUP(B705,'MD Usage'!$A$1:$W$5000,9,FALSE))</f>
        <v>0</v>
      </c>
      <c r="H706" s="416">
        <f>IF(ISERROR(VLOOKUP(B705,'MD Usage'!$A$1:$W$5000,11,FALSE)),0,VLOOKUP(B705,'MD Usage'!$A$1:$W$5000,11,FALSE))</f>
        <v>1</v>
      </c>
      <c r="I706" s="416">
        <f>IF(ISERROR(VLOOKUP(B705,'MD Usage'!A1:R2000,13,FALSE)),0,VLOOKUP(B705,'MD Usage'!A1:R2000,13,FALSE))</f>
        <v>1</v>
      </c>
      <c r="J706" s="416">
        <f>IF(ISERROR(VLOOKUP(B705,'MD Usage'!A1:R2000,15,FALSE)),0,VLOOKUP(B705,'MD Usage'!A1:R2000,15,FALSE))</f>
        <v>0</v>
      </c>
      <c r="K706" s="418">
        <f>SUM(D706:J706)</f>
        <v>3</v>
      </c>
    </row>
    <row r="707" spans="2:13" x14ac:dyDescent="0.25">
      <c r="B707" s="419" t="s">
        <v>922</v>
      </c>
      <c r="C707" s="420">
        <v>1</v>
      </c>
      <c r="D707" s="421">
        <f>D706*C707</f>
        <v>0</v>
      </c>
      <c r="E707" s="421">
        <f>E706*C707</f>
        <v>0</v>
      </c>
      <c r="F707" s="421">
        <f>F706*C707</f>
        <v>1</v>
      </c>
      <c r="G707" s="421">
        <f>G706*C707</f>
        <v>0</v>
      </c>
      <c r="H707" s="421">
        <f>H706*C707</f>
        <v>1</v>
      </c>
      <c r="I707" s="421">
        <f>I706*C707</f>
        <v>1</v>
      </c>
      <c r="J707" s="421">
        <f>J706*C707</f>
        <v>0</v>
      </c>
      <c r="K707" s="422">
        <f>SUM(D707:J707)</f>
        <v>3</v>
      </c>
    </row>
    <row r="708" spans="2:13" ht="15" customHeight="1" x14ac:dyDescent="0.25">
      <c r="B708" s="389" t="s">
        <v>570</v>
      </c>
      <c r="C708" s="423">
        <v>3</v>
      </c>
      <c r="D708" s="421">
        <f>D706*C708</f>
        <v>0</v>
      </c>
      <c r="E708" s="421">
        <f>E706*C708</f>
        <v>0</v>
      </c>
      <c r="F708" s="421">
        <f>F706*C708</f>
        <v>3</v>
      </c>
      <c r="G708" s="421">
        <f>G706*C708</f>
        <v>0</v>
      </c>
      <c r="H708" s="421">
        <f>H706*C708</f>
        <v>3</v>
      </c>
      <c r="I708" s="421">
        <f>I706*C708</f>
        <v>3</v>
      </c>
      <c r="J708" s="421">
        <f>J706*C708</f>
        <v>0</v>
      </c>
      <c r="K708" s="424">
        <f>SUM(D708:J708)</f>
        <v>9</v>
      </c>
    </row>
    <row r="709" spans="2:13" x14ac:dyDescent="0.25">
      <c r="B709" s="389" t="s">
        <v>578</v>
      </c>
      <c r="C709" s="423">
        <v>6</v>
      </c>
      <c r="D709" s="421">
        <f>D706*C709</f>
        <v>0</v>
      </c>
      <c r="E709" s="421">
        <f>E706*C709</f>
        <v>0</v>
      </c>
      <c r="F709" s="421">
        <f>F706*C709</f>
        <v>6</v>
      </c>
      <c r="G709" s="421">
        <f>G706*C709</f>
        <v>0</v>
      </c>
      <c r="H709" s="421">
        <f>H706*C709</f>
        <v>6</v>
      </c>
      <c r="I709" s="421">
        <f>I706*C709</f>
        <v>6</v>
      </c>
      <c r="J709" s="421">
        <f>J706*C709</f>
        <v>0</v>
      </c>
      <c r="K709" s="424">
        <f>SUM(D709:J709)</f>
        <v>18</v>
      </c>
    </row>
    <row r="710" spans="2:13" x14ac:dyDescent="0.25">
      <c r="B710" s="389" t="s">
        <v>581</v>
      </c>
      <c r="C710" s="423">
        <v>5</v>
      </c>
      <c r="D710" s="421">
        <f>D706*C710</f>
        <v>0</v>
      </c>
      <c r="E710" s="421">
        <f>E706*C710</f>
        <v>0</v>
      </c>
      <c r="F710" s="421">
        <f>F706*C710</f>
        <v>5</v>
      </c>
      <c r="G710" s="421">
        <f>G706*C710</f>
        <v>0</v>
      </c>
      <c r="H710" s="421">
        <f>H706*C710</f>
        <v>5</v>
      </c>
      <c r="I710" s="421">
        <f>I706*C710</f>
        <v>5</v>
      </c>
      <c r="J710" s="421">
        <f>J706*C710</f>
        <v>0</v>
      </c>
      <c r="K710" s="424">
        <f>SUM(D710:J710)</f>
        <v>15</v>
      </c>
    </row>
    <row r="711" spans="2:13" ht="15.75" thickBot="1" x14ac:dyDescent="0.3"/>
    <row r="712" spans="2:13" ht="15.75" thickBot="1" x14ac:dyDescent="0.3">
      <c r="B712" s="436">
        <v>6440002</v>
      </c>
      <c r="C712" s="411"/>
      <c r="D712" s="407" t="s">
        <v>548</v>
      </c>
      <c r="E712" s="408" t="s">
        <v>549</v>
      </c>
      <c r="F712" s="408" t="s">
        <v>550</v>
      </c>
      <c r="G712" s="408" t="s">
        <v>551</v>
      </c>
      <c r="H712" s="408" t="s">
        <v>552</v>
      </c>
      <c r="I712" s="408" t="s">
        <v>553</v>
      </c>
      <c r="J712" s="408" t="s">
        <v>554</v>
      </c>
      <c r="K712" s="408" t="s">
        <v>555</v>
      </c>
      <c r="M712" s="426" t="s">
        <v>708</v>
      </c>
    </row>
    <row r="713" spans="2:13" ht="15.75" thickBot="1" x14ac:dyDescent="0.3">
      <c r="B713" s="414" t="s">
        <v>556</v>
      </c>
      <c r="C713" s="415" t="s">
        <v>620</v>
      </c>
      <c r="D713" s="416">
        <f>IF(ISERROR(VLOOKUP(B712,'MD Usage'!$A$1:$W$5000,3,FALSE)),0,VLOOKUP(B712,'MD Usage'!$A$1:$W$5000,3,FALSE))</f>
        <v>1</v>
      </c>
      <c r="E713" s="416">
        <f>IF(ISERROR(VLOOKUP(B712,'MD Usage'!$A$1:$W$5000,5,FALSE)),0,VLOOKUP(B712,'MD Usage'!$A$1:$W$5000,5,FALSE))</f>
        <v>1</v>
      </c>
      <c r="F713" s="416">
        <f>IF(ISERROR(VLOOKUP(B712,'MD Usage'!$A$1:$W$5000,7,FALSE)),0,VLOOKUP(B712,'MD Usage'!$A$1:$W$5000,7,FALSE))</f>
        <v>2</v>
      </c>
      <c r="G713" s="416">
        <f>IF(ISERROR(VLOOKUP(B712,'MD Usage'!$A$1:$W$5000,9,FALSE)),0,VLOOKUP(B712,'MD Usage'!$A$1:$W$5000,9,FALSE))</f>
        <v>0</v>
      </c>
      <c r="H713" s="416">
        <f>IF(ISERROR(VLOOKUP(B712,'MD Usage'!$A$1:$W$5000,11,FALSE)),0,VLOOKUP(B712,'MD Usage'!$A$1:$W$5000,11,FALSE))</f>
        <v>5</v>
      </c>
      <c r="I713" s="416">
        <f>IF(ISERROR(VLOOKUP(B712,'MD Usage'!A1:R2000,13,FALSE)),0,VLOOKUP(B712,'MD Usage'!A1:R2000,13,FALSE))</f>
        <v>8</v>
      </c>
      <c r="J713" s="416">
        <f>IF(ISERROR(VLOOKUP(B712,'MD Usage'!A1:R2000,15,FALSE)),0,VLOOKUP(B712,'MD Usage'!A1:R2000,15,FALSE))</f>
        <v>4</v>
      </c>
      <c r="K713" s="418">
        <f>SUM(D713:J713)</f>
        <v>21</v>
      </c>
    </row>
    <row r="714" spans="2:13" x14ac:dyDescent="0.25">
      <c r="B714" s="419" t="s">
        <v>922</v>
      </c>
      <c r="C714" s="420">
        <v>1</v>
      </c>
      <c r="D714" s="421">
        <f>D713*C714</f>
        <v>1</v>
      </c>
      <c r="E714" s="421">
        <f>E713*C714</f>
        <v>1</v>
      </c>
      <c r="F714" s="421">
        <f>F713*C714</f>
        <v>2</v>
      </c>
      <c r="G714" s="421">
        <f>G713*C714</f>
        <v>0</v>
      </c>
      <c r="H714" s="421">
        <f>H713*C714</f>
        <v>5</v>
      </c>
      <c r="I714" s="421">
        <f>I713*C714</f>
        <v>8</v>
      </c>
      <c r="J714" s="421">
        <f>J713*C714</f>
        <v>4</v>
      </c>
      <c r="K714" s="422">
        <f>SUM(D714:J714)</f>
        <v>21</v>
      </c>
    </row>
    <row r="715" spans="2:13" ht="15" customHeight="1" x14ac:dyDescent="0.25">
      <c r="B715" s="389" t="s">
        <v>570</v>
      </c>
      <c r="C715" s="423">
        <v>3</v>
      </c>
      <c r="D715" s="421">
        <f>D713*C715</f>
        <v>3</v>
      </c>
      <c r="E715" s="421">
        <f>E713*C715</f>
        <v>3</v>
      </c>
      <c r="F715" s="421">
        <f>F713*C715</f>
        <v>6</v>
      </c>
      <c r="G715" s="421">
        <f>G713*C715</f>
        <v>0</v>
      </c>
      <c r="H715" s="421">
        <f>H713*C715</f>
        <v>15</v>
      </c>
      <c r="I715" s="421">
        <f>I713*C715</f>
        <v>24</v>
      </c>
      <c r="J715" s="421">
        <f>J713*C715</f>
        <v>12</v>
      </c>
      <c r="K715" s="424">
        <f>SUM(D715:J715)</f>
        <v>63</v>
      </c>
    </row>
    <row r="716" spans="2:13" x14ac:dyDescent="0.25">
      <c r="B716" s="389" t="s">
        <v>578</v>
      </c>
      <c r="C716" s="423">
        <v>6</v>
      </c>
      <c r="D716" s="421">
        <f>D713*C716</f>
        <v>6</v>
      </c>
      <c r="E716" s="421">
        <f>E713*C716</f>
        <v>6</v>
      </c>
      <c r="F716" s="421">
        <f>F713*C716</f>
        <v>12</v>
      </c>
      <c r="G716" s="421">
        <f>G713*C716</f>
        <v>0</v>
      </c>
      <c r="H716" s="421">
        <f>H713*C716</f>
        <v>30</v>
      </c>
      <c r="I716" s="421">
        <f>I713*C716</f>
        <v>48</v>
      </c>
      <c r="J716" s="421">
        <f>J713*C716</f>
        <v>24</v>
      </c>
      <c r="K716" s="424">
        <f>SUM(D716:J716)</f>
        <v>126</v>
      </c>
    </row>
    <row r="717" spans="2:13" x14ac:dyDescent="0.25">
      <c r="B717" s="389" t="s">
        <v>581</v>
      </c>
      <c r="C717" s="423">
        <v>5</v>
      </c>
      <c r="D717" s="421">
        <f>D713*C717</f>
        <v>5</v>
      </c>
      <c r="E717" s="421">
        <f>E713*C717</f>
        <v>5</v>
      </c>
      <c r="F717" s="421">
        <f>F713*C717</f>
        <v>10</v>
      </c>
      <c r="G717" s="421">
        <f>G713*C717</f>
        <v>0</v>
      </c>
      <c r="H717" s="421">
        <f>H713*C717</f>
        <v>25</v>
      </c>
      <c r="I717" s="421">
        <f>I713*C717</f>
        <v>40</v>
      </c>
      <c r="J717" s="421">
        <f>J713*C717</f>
        <v>20</v>
      </c>
      <c r="K717" s="424">
        <f>SUM(D717:J717)</f>
        <v>105</v>
      </c>
    </row>
    <row r="718" spans="2:13" ht="15.75" thickBot="1" x14ac:dyDescent="0.3"/>
    <row r="719" spans="2:13" ht="15.75" thickBot="1" x14ac:dyDescent="0.3">
      <c r="B719" s="432">
        <v>6440685</v>
      </c>
      <c r="C719" s="411"/>
      <c r="D719" s="407" t="s">
        <v>548</v>
      </c>
      <c r="E719" s="408" t="s">
        <v>549</v>
      </c>
      <c r="F719" s="408" t="s">
        <v>550</v>
      </c>
      <c r="G719" s="408" t="s">
        <v>551</v>
      </c>
      <c r="H719" s="408" t="s">
        <v>552</v>
      </c>
      <c r="I719" s="408" t="s">
        <v>553</v>
      </c>
      <c r="J719" s="408" t="s">
        <v>554</v>
      </c>
      <c r="K719" s="408" t="s">
        <v>555</v>
      </c>
      <c r="M719" s="426" t="s">
        <v>1850</v>
      </c>
    </row>
    <row r="720" spans="2:13" ht="15.75" thickBot="1" x14ac:dyDescent="0.3">
      <c r="B720" s="414" t="s">
        <v>556</v>
      </c>
      <c r="C720" s="415" t="s">
        <v>620</v>
      </c>
      <c r="D720" s="416">
        <f>IF(ISERROR(VLOOKUP(B719,'MD Usage'!$A$1:$W$5000,3,FALSE)),0,VLOOKUP(B719,'MD Usage'!$A$1:$W$5000,3,FALSE))</f>
        <v>1</v>
      </c>
      <c r="E720" s="416">
        <f>IF(ISERROR(VLOOKUP(B719,'MD Usage'!$A$1:$W$5000,5,FALSE)),0,VLOOKUP(B719,'MD Usage'!$A$1:$W$5000,5,FALSE))</f>
        <v>0</v>
      </c>
      <c r="F720" s="416">
        <f>IF(ISERROR(VLOOKUP(B719,'MD Usage'!$A$1:$W$5000,7,FALSE)),0,VLOOKUP(B719,'MD Usage'!$A$1:$W$5000,7,FALSE))</f>
        <v>0</v>
      </c>
      <c r="G720" s="416">
        <f>IF(ISERROR(VLOOKUP(B719,'MD Usage'!$A$1:$W$5000,9,FALSE)),0,VLOOKUP(B719,'MD Usage'!$A$1:$W$5000,9,FALSE))</f>
        <v>0</v>
      </c>
      <c r="H720" s="416">
        <f>IF(ISERROR(VLOOKUP(B719,'MD Usage'!$A$1:$W$5000,11,FALSE)),0,VLOOKUP(B719,'MD Usage'!$A$1:$W$5000,11,FALSE))</f>
        <v>0</v>
      </c>
      <c r="I720" s="416">
        <f>IF(ISERROR(VLOOKUP(B719,'MD Usage'!A1:R2000,13,FALSE)),0,VLOOKUP(B719,'MD Usage'!A1:R2000,13,FALSE))</f>
        <v>1</v>
      </c>
      <c r="J720" s="416">
        <f>IF(ISERROR(VLOOKUP(B719,'MD Usage'!A1:R2000,15,FALSE)),0,VLOOKUP(B719,'MD Usage'!A1:R2000,15,FALSE))</f>
        <v>3</v>
      </c>
      <c r="K720" s="418">
        <f>SUM(D720:J720)</f>
        <v>5</v>
      </c>
    </row>
    <row r="721" spans="2:13" x14ac:dyDescent="0.25">
      <c r="B721" s="419" t="s">
        <v>922</v>
      </c>
      <c r="C721" s="420">
        <v>1</v>
      </c>
      <c r="D721" s="421">
        <f>D720*C721</f>
        <v>1</v>
      </c>
      <c r="E721" s="421">
        <f>E720*C721</f>
        <v>0</v>
      </c>
      <c r="F721" s="421">
        <f>F720*C721</f>
        <v>0</v>
      </c>
      <c r="G721" s="421">
        <f>G720*C721</f>
        <v>0</v>
      </c>
      <c r="H721" s="421">
        <f>H720*C721</f>
        <v>0</v>
      </c>
      <c r="I721" s="421">
        <f>I720*C721</f>
        <v>1</v>
      </c>
      <c r="J721" s="421">
        <f>J720*C721</f>
        <v>3</v>
      </c>
      <c r="K721" s="422">
        <f>SUM(D721:J721)</f>
        <v>5</v>
      </c>
    </row>
    <row r="722" spans="2:13" ht="15" customHeight="1" x14ac:dyDescent="0.25">
      <c r="B722" s="389" t="s">
        <v>570</v>
      </c>
      <c r="C722" s="423">
        <v>3</v>
      </c>
      <c r="D722" s="421">
        <f>D720*C722</f>
        <v>3</v>
      </c>
      <c r="E722" s="421">
        <f>E720*C722</f>
        <v>0</v>
      </c>
      <c r="F722" s="421">
        <f>F720*C722</f>
        <v>0</v>
      </c>
      <c r="G722" s="421">
        <f>G720*C722</f>
        <v>0</v>
      </c>
      <c r="H722" s="421">
        <f>H720*C722</f>
        <v>0</v>
      </c>
      <c r="I722" s="421">
        <f>I720*C722</f>
        <v>3</v>
      </c>
      <c r="J722" s="421">
        <f>J720*C722</f>
        <v>9</v>
      </c>
      <c r="K722" s="424">
        <f>SUM(D722:J722)</f>
        <v>15</v>
      </c>
    </row>
    <row r="723" spans="2:13" x14ac:dyDescent="0.25">
      <c r="B723" s="389" t="s">
        <v>578</v>
      </c>
      <c r="C723" s="423">
        <v>6</v>
      </c>
      <c r="D723" s="421">
        <f>D720*C723</f>
        <v>6</v>
      </c>
      <c r="E723" s="421">
        <f>E720*C723</f>
        <v>0</v>
      </c>
      <c r="F723" s="421">
        <f>F720*C723</f>
        <v>0</v>
      </c>
      <c r="G723" s="421">
        <f>G720*C723</f>
        <v>0</v>
      </c>
      <c r="H723" s="421">
        <f>H720*C723</f>
        <v>0</v>
      </c>
      <c r="I723" s="421">
        <f>I720*C723</f>
        <v>6</v>
      </c>
      <c r="J723" s="421">
        <f>J720*C723</f>
        <v>18</v>
      </c>
      <c r="K723" s="424">
        <f>SUM(D723:J723)</f>
        <v>30</v>
      </c>
    </row>
    <row r="724" spans="2:13" x14ac:dyDescent="0.25">
      <c r="B724" s="389" t="s">
        <v>581</v>
      </c>
      <c r="C724" s="423">
        <v>5</v>
      </c>
      <c r="D724" s="421">
        <f>D720*C724</f>
        <v>5</v>
      </c>
      <c r="E724" s="421">
        <f>E720*C724</f>
        <v>0</v>
      </c>
      <c r="F724" s="421">
        <f>F720*C724</f>
        <v>0</v>
      </c>
      <c r="G724" s="421">
        <f>G720*C724</f>
        <v>0</v>
      </c>
      <c r="H724" s="421">
        <f>H720*C724</f>
        <v>0</v>
      </c>
      <c r="I724" s="421">
        <f>I720*C724</f>
        <v>5</v>
      </c>
      <c r="J724" s="421">
        <f>J720*C724</f>
        <v>15</v>
      </c>
      <c r="K724" s="424">
        <f>SUM(D724:J724)</f>
        <v>25</v>
      </c>
    </row>
    <row r="725" spans="2:13" ht="15.75" thickBot="1" x14ac:dyDescent="0.3"/>
    <row r="726" spans="2:13" ht="15.75" thickBot="1" x14ac:dyDescent="0.3">
      <c r="B726" s="432">
        <v>6440652</v>
      </c>
      <c r="C726" s="411"/>
      <c r="D726" s="407" t="s">
        <v>548</v>
      </c>
      <c r="E726" s="408" t="s">
        <v>549</v>
      </c>
      <c r="F726" s="408" t="s">
        <v>550</v>
      </c>
      <c r="G726" s="408" t="s">
        <v>551</v>
      </c>
      <c r="H726" s="408" t="s">
        <v>552</v>
      </c>
      <c r="I726" s="408" t="s">
        <v>553</v>
      </c>
      <c r="J726" s="408" t="s">
        <v>554</v>
      </c>
      <c r="K726" s="408" t="s">
        <v>555</v>
      </c>
      <c r="M726" s="426" t="s">
        <v>1851</v>
      </c>
    </row>
    <row r="727" spans="2:13" ht="15.75" thickBot="1" x14ac:dyDescent="0.3">
      <c r="B727" s="414" t="s">
        <v>556</v>
      </c>
      <c r="C727" s="415" t="s">
        <v>620</v>
      </c>
      <c r="D727" s="416">
        <f>IF(ISERROR(VLOOKUP(B726,'MD Usage'!$A$1:$W$5000,3,FALSE)),0,VLOOKUP(B726,'MD Usage'!$A$1:$W$5000,3,FALSE))</f>
        <v>0</v>
      </c>
      <c r="E727" s="416">
        <f>IF(ISERROR(VLOOKUP(B726,'MD Usage'!$A$1:$W$5000,5,FALSE)),0,VLOOKUP(B726,'MD Usage'!$A$1:$W$5000,5,FALSE))</f>
        <v>0</v>
      </c>
      <c r="F727" s="416">
        <f>IF(ISERROR(VLOOKUP(B726,'MD Usage'!$A$1:$W$5000,7,FALSE)),0,VLOOKUP(B726,'MD Usage'!$A$1:$W$5000,7,FALSE))</f>
        <v>0</v>
      </c>
      <c r="G727" s="416">
        <f>IF(ISERROR(VLOOKUP(B726,'MD Usage'!$A$1:$W$5000,9,FALSE)),0,VLOOKUP(B726,'MD Usage'!$A$1:$W$5000,9,FALSE))</f>
        <v>0</v>
      </c>
      <c r="H727" s="416">
        <f>IF(ISERROR(VLOOKUP(B726,'MD Usage'!$A$1:$W$5000,11,FALSE)),0,VLOOKUP(B726,'MD Usage'!$A$1:$W$5000,11,FALSE))</f>
        <v>0</v>
      </c>
      <c r="I727" s="416">
        <f>IF(ISERROR(VLOOKUP(B726,'MD Usage'!A1:R2000,13,FALSE)),0,VLOOKUP(B726,'MD Usage'!A1:R2000,13,FALSE))</f>
        <v>0</v>
      </c>
      <c r="J727" s="416">
        <f>IF(ISERROR(VLOOKUP(B726,'MD Usage'!A1:R2000,15,FALSE)),0,VLOOKUP(B726,'MD Usage'!A1:R2000,15,FALSE))</f>
        <v>0</v>
      </c>
      <c r="K727" s="418">
        <f>SUM(D727:J727)</f>
        <v>0</v>
      </c>
    </row>
    <row r="728" spans="2:13" x14ac:dyDescent="0.25">
      <c r="B728" s="419" t="s">
        <v>923</v>
      </c>
      <c r="C728" s="420">
        <v>1</v>
      </c>
      <c r="D728" s="421">
        <f>D727*C728</f>
        <v>0</v>
      </c>
      <c r="E728" s="421">
        <f>E727*C728</f>
        <v>0</v>
      </c>
      <c r="F728" s="421">
        <f>F727*C728</f>
        <v>0</v>
      </c>
      <c r="G728" s="421">
        <f>G727*C728</f>
        <v>0</v>
      </c>
      <c r="H728" s="421">
        <f>H727*C728</f>
        <v>0</v>
      </c>
      <c r="I728" s="421">
        <f>I727*C728</f>
        <v>0</v>
      </c>
      <c r="J728" s="421">
        <f>J727*C728</f>
        <v>0</v>
      </c>
      <c r="K728" s="422">
        <f>SUM(D728:J728)</f>
        <v>0</v>
      </c>
    </row>
    <row r="729" spans="2:13" x14ac:dyDescent="0.25">
      <c r="B729" s="389" t="s">
        <v>463</v>
      </c>
      <c r="C729" s="423">
        <v>6</v>
      </c>
      <c r="D729" s="421">
        <f>D727*C729</f>
        <v>0</v>
      </c>
      <c r="E729" s="421">
        <f>E727*C729</f>
        <v>0</v>
      </c>
      <c r="F729" s="421">
        <f>F727*C729</f>
        <v>0</v>
      </c>
      <c r="G729" s="421">
        <f>G727*C729</f>
        <v>0</v>
      </c>
      <c r="H729" s="421">
        <f>H727*C729</f>
        <v>0</v>
      </c>
      <c r="I729" s="421">
        <f>I727*C729</f>
        <v>0</v>
      </c>
      <c r="J729" s="421">
        <f>J727*C729</f>
        <v>0</v>
      </c>
      <c r="K729" s="424">
        <f>SUM(D729:J729)</f>
        <v>0</v>
      </c>
    </row>
    <row r="730" spans="2:13" ht="15" customHeight="1" x14ac:dyDescent="0.25">
      <c r="B730" s="389" t="s">
        <v>64</v>
      </c>
      <c r="C730" s="423">
        <v>6</v>
      </c>
      <c r="D730" s="421">
        <f>D727*C730</f>
        <v>0</v>
      </c>
      <c r="E730" s="421">
        <f>E727*C730</f>
        <v>0</v>
      </c>
      <c r="F730" s="421">
        <f>F727*C730</f>
        <v>0</v>
      </c>
      <c r="G730" s="421">
        <f>G727*C730</f>
        <v>0</v>
      </c>
      <c r="H730" s="421">
        <f>H727*C730</f>
        <v>0</v>
      </c>
      <c r="I730" s="421">
        <f>I727*C730</f>
        <v>0</v>
      </c>
      <c r="J730" s="421">
        <f>J727*C730</f>
        <v>0</v>
      </c>
      <c r="K730" s="424">
        <f>SUM(D730:J730)</f>
        <v>0</v>
      </c>
    </row>
    <row r="731" spans="2:13" x14ac:dyDescent="0.25">
      <c r="B731" s="389" t="s">
        <v>342</v>
      </c>
      <c r="C731" s="423">
        <v>2</v>
      </c>
      <c r="D731" s="421">
        <f>D727*C731</f>
        <v>0</v>
      </c>
      <c r="E731" s="421">
        <f>E727*C731</f>
        <v>0</v>
      </c>
      <c r="F731" s="421">
        <f>F727*C731</f>
        <v>0</v>
      </c>
      <c r="G731" s="421">
        <f>G727*C731</f>
        <v>0</v>
      </c>
      <c r="H731" s="421">
        <f>H727*C731</f>
        <v>0</v>
      </c>
      <c r="I731" s="421">
        <f>I727*C731</f>
        <v>0</v>
      </c>
      <c r="J731" s="421">
        <f>J727*C731</f>
        <v>0</v>
      </c>
      <c r="K731" s="424">
        <f>SUM(D731:J731)</f>
        <v>0</v>
      </c>
    </row>
    <row r="732" spans="2:13" ht="15.75" thickBot="1" x14ac:dyDescent="0.3"/>
    <row r="733" spans="2:13" ht="15.75" thickBot="1" x14ac:dyDescent="0.3">
      <c r="B733" s="436">
        <v>6440653</v>
      </c>
      <c r="C733" s="411"/>
      <c r="D733" s="407" t="s">
        <v>548</v>
      </c>
      <c r="E733" s="408" t="s">
        <v>549</v>
      </c>
      <c r="F733" s="408" t="s">
        <v>550</v>
      </c>
      <c r="G733" s="408" t="s">
        <v>551</v>
      </c>
      <c r="H733" s="408" t="s">
        <v>552</v>
      </c>
      <c r="I733" s="408" t="s">
        <v>553</v>
      </c>
      <c r="J733" s="408" t="s">
        <v>554</v>
      </c>
      <c r="K733" s="408" t="s">
        <v>555</v>
      </c>
      <c r="M733" s="426" t="s">
        <v>709</v>
      </c>
    </row>
    <row r="734" spans="2:13" ht="15.75" thickBot="1" x14ac:dyDescent="0.3">
      <c r="B734" s="414" t="s">
        <v>556</v>
      </c>
      <c r="C734" s="415" t="s">
        <v>620</v>
      </c>
      <c r="D734" s="416">
        <f>IF(ISERROR(VLOOKUP(B733,'MD Usage'!$A$1:$W$5000,3,FALSE)),0,VLOOKUP(B733,'MD Usage'!$A$1:$W$5000,3,FALSE))</f>
        <v>0</v>
      </c>
      <c r="E734" s="416">
        <f>IF(ISERROR(VLOOKUP(B733,'MD Usage'!$A$1:$W$5000,5,FALSE)),0,VLOOKUP(B733,'MD Usage'!$A$1:$W$5000,5,FALSE))</f>
        <v>0</v>
      </c>
      <c r="F734" s="416">
        <f>IF(ISERROR(VLOOKUP(B733,'MD Usage'!$A$1:$W$5000,7,FALSE)),0,VLOOKUP(B733,'MD Usage'!$A$1:$W$5000,7,FALSE))</f>
        <v>0</v>
      </c>
      <c r="G734" s="416">
        <f>IF(ISERROR(VLOOKUP(B733,'MD Usage'!$A$1:$W$5000,9,FALSE)),0,VLOOKUP(B733,'MD Usage'!$A$1:$W$5000,9,FALSE))</f>
        <v>0</v>
      </c>
      <c r="H734" s="416">
        <f>IF(ISERROR(VLOOKUP(B733,'MD Usage'!$A$1:$W$5000,11,FALSE)),0,VLOOKUP(B733,'MD Usage'!$A$1:$W$5000,11,FALSE))</f>
        <v>0</v>
      </c>
      <c r="I734" s="416">
        <f>IF(ISERROR(VLOOKUP(B733,'MD Usage'!A1:R2000,13,FALSE)),0,VLOOKUP(B733,'MD Usage'!A1:R2000,13,FALSE))</f>
        <v>0</v>
      </c>
      <c r="J734" s="416">
        <f>IF(ISERROR(VLOOKUP(B733,'MD Usage'!A1:R2000,15,FALSE)),0,VLOOKUP(B733,'MD Usage'!A1:R2000,15,FALSE))</f>
        <v>0</v>
      </c>
      <c r="K734" s="418">
        <f>SUM(D734:J734)</f>
        <v>0</v>
      </c>
    </row>
    <row r="735" spans="2:13" x14ac:dyDescent="0.25">
      <c r="B735" s="419" t="s">
        <v>923</v>
      </c>
      <c r="C735" s="420">
        <v>1</v>
      </c>
      <c r="D735" s="421">
        <f>D734*C735</f>
        <v>0</v>
      </c>
      <c r="E735" s="421">
        <f>E734*C735</f>
        <v>0</v>
      </c>
      <c r="F735" s="421">
        <f>F734*C735</f>
        <v>0</v>
      </c>
      <c r="G735" s="421">
        <f>G734*C735</f>
        <v>0</v>
      </c>
      <c r="H735" s="421">
        <f>H734*C735</f>
        <v>0</v>
      </c>
      <c r="I735" s="421">
        <f>I734*C735</f>
        <v>0</v>
      </c>
      <c r="J735" s="421">
        <f>J734*C735</f>
        <v>0</v>
      </c>
      <c r="K735" s="422">
        <f>SUM(D735:J735)</f>
        <v>0</v>
      </c>
    </row>
    <row r="736" spans="2:13" x14ac:dyDescent="0.25">
      <c r="B736" s="389" t="s">
        <v>463</v>
      </c>
      <c r="C736" s="423">
        <v>6</v>
      </c>
      <c r="D736" s="421">
        <f>D734*C736</f>
        <v>0</v>
      </c>
      <c r="E736" s="421">
        <f>E734*C736</f>
        <v>0</v>
      </c>
      <c r="F736" s="421">
        <f>F734*C736</f>
        <v>0</v>
      </c>
      <c r="G736" s="421">
        <f>G734*C736</f>
        <v>0</v>
      </c>
      <c r="H736" s="421">
        <f>H734*C736</f>
        <v>0</v>
      </c>
      <c r="I736" s="421">
        <f>I734*C736</f>
        <v>0</v>
      </c>
      <c r="J736" s="421">
        <f>J734*C736</f>
        <v>0</v>
      </c>
      <c r="K736" s="424">
        <f>SUM(D736:J736)</f>
        <v>0</v>
      </c>
    </row>
    <row r="737" spans="2:13" ht="15" customHeight="1" x14ac:dyDescent="0.25">
      <c r="B737" s="389" t="s">
        <v>64</v>
      </c>
      <c r="C737" s="423">
        <v>6</v>
      </c>
      <c r="D737" s="421">
        <f>D734*C737</f>
        <v>0</v>
      </c>
      <c r="E737" s="421">
        <f>E734*C737</f>
        <v>0</v>
      </c>
      <c r="F737" s="421">
        <f>F734*C737</f>
        <v>0</v>
      </c>
      <c r="G737" s="421">
        <f>G734*C737</f>
        <v>0</v>
      </c>
      <c r="H737" s="421">
        <f>H734*C737</f>
        <v>0</v>
      </c>
      <c r="I737" s="421">
        <f>I734*C737</f>
        <v>0</v>
      </c>
      <c r="J737" s="421">
        <f>J734*C737</f>
        <v>0</v>
      </c>
      <c r="K737" s="424">
        <f>SUM(D737:J737)</f>
        <v>0</v>
      </c>
    </row>
    <row r="738" spans="2:13" x14ac:dyDescent="0.25">
      <c r="B738" s="389" t="s">
        <v>342</v>
      </c>
      <c r="C738" s="423">
        <v>2</v>
      </c>
      <c r="D738" s="421">
        <f>D734*C738</f>
        <v>0</v>
      </c>
      <c r="E738" s="421">
        <f>E734*C738</f>
        <v>0</v>
      </c>
      <c r="F738" s="421">
        <f>F734*C738</f>
        <v>0</v>
      </c>
      <c r="G738" s="421">
        <f>G734*C738</f>
        <v>0</v>
      </c>
      <c r="H738" s="421">
        <f>H734*C738</f>
        <v>0</v>
      </c>
      <c r="I738" s="421">
        <f>I734*C738</f>
        <v>0</v>
      </c>
      <c r="J738" s="421">
        <f>J734*C738</f>
        <v>0</v>
      </c>
      <c r="K738" s="424">
        <f>SUM(D738:J738)</f>
        <v>0</v>
      </c>
    </row>
    <row r="739" spans="2:13" ht="15.75" thickBot="1" x14ac:dyDescent="0.3"/>
    <row r="740" spans="2:13" ht="15.75" thickBot="1" x14ac:dyDescent="0.3">
      <c r="B740" s="433">
        <v>6440651</v>
      </c>
      <c r="C740" s="411"/>
      <c r="D740" s="407" t="s">
        <v>548</v>
      </c>
      <c r="E740" s="408" t="s">
        <v>549</v>
      </c>
      <c r="F740" s="408" t="s">
        <v>550</v>
      </c>
      <c r="G740" s="408" t="s">
        <v>551</v>
      </c>
      <c r="H740" s="408" t="s">
        <v>552</v>
      </c>
      <c r="I740" s="408" t="s">
        <v>553</v>
      </c>
      <c r="J740" s="408" t="s">
        <v>554</v>
      </c>
      <c r="K740" s="408" t="s">
        <v>555</v>
      </c>
      <c r="M740" s="426" t="s">
        <v>710</v>
      </c>
    </row>
    <row r="741" spans="2:13" ht="15.75" thickBot="1" x14ac:dyDescent="0.3">
      <c r="B741" s="414" t="s">
        <v>556</v>
      </c>
      <c r="C741" s="415" t="s">
        <v>620</v>
      </c>
      <c r="D741" s="416">
        <f>IF(ISERROR(VLOOKUP(B740,'MD Usage'!$A$1:$W$5000,3,FALSE)),0,VLOOKUP(B740,'MD Usage'!$A$1:$W$5000,3,FALSE))</f>
        <v>2</v>
      </c>
      <c r="E741" s="416">
        <f>IF(ISERROR(VLOOKUP(B740,'MD Usage'!$A$1:$W$5000,5,FALSE)),0,VLOOKUP(B740,'MD Usage'!$A$1:$W$5000,5,FALSE))</f>
        <v>2</v>
      </c>
      <c r="F741" s="416">
        <f>IF(ISERROR(VLOOKUP(B740,'MD Usage'!$A$1:$W$5000,7,FALSE)),0,VLOOKUP(B740,'MD Usage'!$A$1:$W$5000,7,FALSE))</f>
        <v>1</v>
      </c>
      <c r="G741" s="416">
        <f>IF(ISERROR(VLOOKUP(B740,'MD Usage'!$A$1:$W$5000,9,FALSE)),0,VLOOKUP(B740,'MD Usage'!$A$1:$W$5000,9,FALSE))</f>
        <v>1</v>
      </c>
      <c r="H741" s="416">
        <f>IF(ISERROR(VLOOKUP(B740,'MD Usage'!$A$1:$W$5000,11,FALSE)),0,VLOOKUP(B740,'MD Usage'!$A$1:$W$5000,11,FALSE))</f>
        <v>3</v>
      </c>
      <c r="I741" s="416">
        <f>IF(ISERROR(VLOOKUP(B740,'MD Usage'!A1:R2000,13,FALSE)),0,VLOOKUP(B740,'MD Usage'!A1:R2000,13,FALSE))</f>
        <v>11</v>
      </c>
      <c r="J741" s="416">
        <f>IF(ISERROR(VLOOKUP(B740,'MD Usage'!A1:R2000,15,FALSE)),0,VLOOKUP(B740,'MD Usage'!A1:R2000,15,FALSE))</f>
        <v>2</v>
      </c>
      <c r="K741" s="418">
        <f>SUM(D741:J741)</f>
        <v>22</v>
      </c>
    </row>
    <row r="742" spans="2:13" x14ac:dyDescent="0.25">
      <c r="B742" s="419" t="s">
        <v>923</v>
      </c>
      <c r="C742" s="420">
        <v>1</v>
      </c>
      <c r="D742" s="421">
        <f>D741*C742</f>
        <v>2</v>
      </c>
      <c r="E742" s="421">
        <f>E741*C742</f>
        <v>2</v>
      </c>
      <c r="F742" s="421">
        <f>F741*C742</f>
        <v>1</v>
      </c>
      <c r="G742" s="421">
        <f>G741*C742</f>
        <v>1</v>
      </c>
      <c r="H742" s="421">
        <f>H741*C742</f>
        <v>3</v>
      </c>
      <c r="I742" s="421">
        <f>I741*C742</f>
        <v>11</v>
      </c>
      <c r="J742" s="421">
        <f>J741*C742</f>
        <v>2</v>
      </c>
      <c r="K742" s="422">
        <f>SUM(D742:J742)</f>
        <v>22</v>
      </c>
    </row>
    <row r="743" spans="2:13" x14ac:dyDescent="0.25">
      <c r="B743" s="389" t="s">
        <v>463</v>
      </c>
      <c r="C743" s="423">
        <v>6</v>
      </c>
      <c r="D743" s="421">
        <f>D741*C743</f>
        <v>12</v>
      </c>
      <c r="E743" s="421">
        <f>E741*C743</f>
        <v>12</v>
      </c>
      <c r="F743" s="421">
        <f>F741*C743</f>
        <v>6</v>
      </c>
      <c r="G743" s="421">
        <f>G741*C743</f>
        <v>6</v>
      </c>
      <c r="H743" s="421">
        <f>H741*C743</f>
        <v>18</v>
      </c>
      <c r="I743" s="421">
        <f>I741*C743</f>
        <v>66</v>
      </c>
      <c r="J743" s="421">
        <f>J741*C743</f>
        <v>12</v>
      </c>
      <c r="K743" s="424">
        <f>SUM(D743:J743)</f>
        <v>132</v>
      </c>
    </row>
    <row r="744" spans="2:13" ht="15" customHeight="1" x14ac:dyDescent="0.25">
      <c r="B744" s="389" t="s">
        <v>64</v>
      </c>
      <c r="C744" s="423">
        <v>6</v>
      </c>
      <c r="D744" s="421">
        <f>D741*C744</f>
        <v>12</v>
      </c>
      <c r="E744" s="421">
        <f>E741*C744</f>
        <v>12</v>
      </c>
      <c r="F744" s="421">
        <f>F741*C744</f>
        <v>6</v>
      </c>
      <c r="G744" s="421">
        <f>G741*C744</f>
        <v>6</v>
      </c>
      <c r="H744" s="421">
        <f>H741*C744</f>
        <v>18</v>
      </c>
      <c r="I744" s="421">
        <f>I741*C744</f>
        <v>66</v>
      </c>
      <c r="J744" s="421">
        <f>J741*C744</f>
        <v>12</v>
      </c>
      <c r="K744" s="424">
        <f>SUM(D744:J744)</f>
        <v>132</v>
      </c>
    </row>
    <row r="745" spans="2:13" x14ac:dyDescent="0.25">
      <c r="B745" s="389" t="s">
        <v>342</v>
      </c>
      <c r="C745" s="423">
        <v>2</v>
      </c>
      <c r="D745" s="421">
        <f>D741*C745</f>
        <v>4</v>
      </c>
      <c r="E745" s="421">
        <f>E741*C745</f>
        <v>4</v>
      </c>
      <c r="F745" s="421">
        <f>F741*C745</f>
        <v>2</v>
      </c>
      <c r="G745" s="421">
        <f>G741*C745</f>
        <v>2</v>
      </c>
      <c r="H745" s="421">
        <f>H741*C745</f>
        <v>6</v>
      </c>
      <c r="I745" s="421">
        <f>I741*C745</f>
        <v>22</v>
      </c>
      <c r="J745" s="421">
        <f>J741*C745</f>
        <v>4</v>
      </c>
      <c r="K745" s="424">
        <f>SUM(D745:J745)</f>
        <v>44</v>
      </c>
    </row>
    <row r="746" spans="2:13" ht="15.75" thickBot="1" x14ac:dyDescent="0.3"/>
    <row r="747" spans="2:13" ht="15.75" thickBot="1" x14ac:dyDescent="0.3">
      <c r="B747" s="436">
        <v>6440691</v>
      </c>
      <c r="C747" s="411"/>
      <c r="D747" s="407" t="s">
        <v>548</v>
      </c>
      <c r="E747" s="408" t="s">
        <v>549</v>
      </c>
      <c r="F747" s="408" t="s">
        <v>550</v>
      </c>
      <c r="G747" s="408" t="s">
        <v>551</v>
      </c>
      <c r="H747" s="408" t="s">
        <v>552</v>
      </c>
      <c r="I747" s="408" t="s">
        <v>553</v>
      </c>
      <c r="J747" s="408" t="s">
        <v>554</v>
      </c>
      <c r="K747" s="408" t="s">
        <v>555</v>
      </c>
      <c r="M747" s="426" t="s">
        <v>711</v>
      </c>
    </row>
    <row r="748" spans="2:13" ht="15.75" thickBot="1" x14ac:dyDescent="0.3">
      <c r="B748" s="414" t="s">
        <v>556</v>
      </c>
      <c r="C748" s="415" t="s">
        <v>620</v>
      </c>
      <c r="D748" s="416">
        <f>IF(ISERROR(VLOOKUP(B747,'MD Usage'!$A$1:$W$5000,3,FALSE)),0,VLOOKUP(B747,'MD Usage'!$A$1:$W$5000,3,FALSE))</f>
        <v>0</v>
      </c>
      <c r="E748" s="416">
        <f>IF(ISERROR(VLOOKUP(B747,'MD Usage'!$A$1:$W$5000,5,FALSE)),0,VLOOKUP(B747,'MD Usage'!$A$1:$W$5000,5,FALSE))</f>
        <v>0</v>
      </c>
      <c r="F748" s="416">
        <f>IF(ISERROR(VLOOKUP(B747,'MD Usage'!$A$1:$W$5000,7,FALSE)),0,VLOOKUP(B747,'MD Usage'!$A$1:$W$5000,7,FALSE))</f>
        <v>0</v>
      </c>
      <c r="G748" s="416">
        <f>IF(ISERROR(VLOOKUP(B747,'MD Usage'!$A$1:$W$5000,9,FALSE)),0,VLOOKUP(B747,'MD Usage'!$A$1:$W$5000,9,FALSE))</f>
        <v>1</v>
      </c>
      <c r="H748" s="416">
        <f>IF(ISERROR(VLOOKUP(B747,'MD Usage'!$A$1:$W$5000,11,FALSE)),0,VLOOKUP(B747,'MD Usage'!$A$1:$W$5000,11,FALSE))</f>
        <v>0</v>
      </c>
      <c r="I748" s="416">
        <f>IF(ISERROR(VLOOKUP(B747,'MD Usage'!A1:R2000,13,FALSE)),0,VLOOKUP(B747,'MD Usage'!A1:R2000,13,FALSE))</f>
        <v>0</v>
      </c>
      <c r="J748" s="416">
        <f>IF(ISERROR(VLOOKUP(B747,'MD Usage'!A1:R2000,15,FALSE)),0,VLOOKUP(B747,'MD Usage'!A1:R2000,15,FALSE))</f>
        <v>0</v>
      </c>
      <c r="K748" s="418">
        <f t="shared" ref="K748:K753" si="47">SUM(D748:J748)</f>
        <v>1</v>
      </c>
    </row>
    <row r="749" spans="2:13" x14ac:dyDescent="0.25">
      <c r="B749" s="419" t="s">
        <v>918</v>
      </c>
      <c r="C749" s="420">
        <v>1</v>
      </c>
      <c r="D749" s="421">
        <f>D748*C749</f>
        <v>0</v>
      </c>
      <c r="E749" s="421">
        <f>E748*C749</f>
        <v>0</v>
      </c>
      <c r="F749" s="421">
        <f>F748*C749</f>
        <v>0</v>
      </c>
      <c r="G749" s="421">
        <f>G748*C749</f>
        <v>1</v>
      </c>
      <c r="H749" s="421">
        <f>H748*C749</f>
        <v>0</v>
      </c>
      <c r="I749" s="421">
        <f>I748*C749</f>
        <v>0</v>
      </c>
      <c r="J749" s="421">
        <f>J748*C749</f>
        <v>0</v>
      </c>
      <c r="K749" s="422">
        <f t="shared" si="47"/>
        <v>1</v>
      </c>
    </row>
    <row r="750" spans="2:13" x14ac:dyDescent="0.25">
      <c r="B750" s="389" t="s">
        <v>59</v>
      </c>
      <c r="C750" s="423">
        <v>2</v>
      </c>
      <c r="D750" s="421">
        <f>D748*C750</f>
        <v>0</v>
      </c>
      <c r="E750" s="421">
        <f>E748*C750</f>
        <v>0</v>
      </c>
      <c r="F750" s="421">
        <f>F748*C750</f>
        <v>0</v>
      </c>
      <c r="G750" s="421">
        <f>G748*C750</f>
        <v>2</v>
      </c>
      <c r="H750" s="421">
        <f>H748*C750</f>
        <v>0</v>
      </c>
      <c r="I750" s="421">
        <f>I748*C750</f>
        <v>0</v>
      </c>
      <c r="J750" s="421">
        <f>J748*C750</f>
        <v>0</v>
      </c>
      <c r="K750" s="424">
        <f t="shared" si="47"/>
        <v>2</v>
      </c>
    </row>
    <row r="751" spans="2:13" x14ac:dyDescent="0.25">
      <c r="B751" s="389" t="s">
        <v>64</v>
      </c>
      <c r="C751" s="423">
        <v>6</v>
      </c>
      <c r="D751" s="421">
        <f>D748*C751</f>
        <v>0</v>
      </c>
      <c r="E751" s="421">
        <f>E748*C751</f>
        <v>0</v>
      </c>
      <c r="F751" s="421">
        <f>F748*C751</f>
        <v>0</v>
      </c>
      <c r="G751" s="421">
        <f>G748*C751</f>
        <v>6</v>
      </c>
      <c r="H751" s="421">
        <f>H748*C751</f>
        <v>0</v>
      </c>
      <c r="I751" s="421">
        <f>I748*C751</f>
        <v>0</v>
      </c>
      <c r="J751" s="421">
        <f>J748*C751</f>
        <v>0</v>
      </c>
      <c r="K751" s="424">
        <f t="shared" si="47"/>
        <v>6</v>
      </c>
    </row>
    <row r="752" spans="2:13" ht="15" customHeight="1" x14ac:dyDescent="0.25">
      <c r="B752" s="389"/>
      <c r="C752" s="423"/>
      <c r="D752" s="421">
        <f>D748*C752</f>
        <v>0</v>
      </c>
      <c r="E752" s="421">
        <f>E748*C752</f>
        <v>0</v>
      </c>
      <c r="F752" s="421">
        <f>F748*C752</f>
        <v>0</v>
      </c>
      <c r="G752" s="421">
        <f>G748*C752</f>
        <v>0</v>
      </c>
      <c r="H752" s="421">
        <f>H748*C752</f>
        <v>0</v>
      </c>
      <c r="I752" s="421">
        <f>I748*C752</f>
        <v>0</v>
      </c>
      <c r="J752" s="421">
        <f>J748*C752</f>
        <v>0</v>
      </c>
      <c r="K752" s="424">
        <f t="shared" si="47"/>
        <v>0</v>
      </c>
    </row>
    <row r="753" spans="2:13" x14ac:dyDescent="0.25">
      <c r="B753" s="389"/>
      <c r="C753" s="423"/>
      <c r="D753" s="421">
        <f>D748*C753</f>
        <v>0</v>
      </c>
      <c r="E753" s="421">
        <f>E748*C753</f>
        <v>0</v>
      </c>
      <c r="F753" s="421">
        <f>F748*C753</f>
        <v>0</v>
      </c>
      <c r="G753" s="421">
        <f>G748*C753</f>
        <v>0</v>
      </c>
      <c r="H753" s="421">
        <f>H748*C753</f>
        <v>0</v>
      </c>
      <c r="I753" s="421">
        <f>I748*C753</f>
        <v>0</v>
      </c>
      <c r="J753" s="421">
        <f>J748*C753</f>
        <v>0</v>
      </c>
      <c r="K753" s="424">
        <f t="shared" si="47"/>
        <v>0</v>
      </c>
    </row>
    <row r="754" spans="2:13" ht="15.75" thickBot="1" x14ac:dyDescent="0.3"/>
    <row r="755" spans="2:13" ht="15.75" thickBot="1" x14ac:dyDescent="0.3">
      <c r="B755" s="437">
        <v>6440405</v>
      </c>
      <c r="C755" s="411"/>
      <c r="D755" s="407" t="s">
        <v>548</v>
      </c>
      <c r="E755" s="408" t="s">
        <v>549</v>
      </c>
      <c r="F755" s="408" t="s">
        <v>550</v>
      </c>
      <c r="G755" s="408" t="s">
        <v>551</v>
      </c>
      <c r="H755" s="408" t="s">
        <v>552</v>
      </c>
      <c r="I755" s="408" t="s">
        <v>553</v>
      </c>
      <c r="J755" s="408" t="s">
        <v>554</v>
      </c>
      <c r="K755" s="408" t="s">
        <v>555</v>
      </c>
      <c r="M755" s="426" t="s">
        <v>712</v>
      </c>
    </row>
    <row r="756" spans="2:13" ht="15.75" thickBot="1" x14ac:dyDescent="0.3">
      <c r="B756" s="414" t="s">
        <v>556</v>
      </c>
      <c r="C756" s="415" t="s">
        <v>620</v>
      </c>
      <c r="D756" s="416">
        <f>IF(ISERROR(VLOOKUP(B755,'MD Usage'!$A$1:$W$5000,3,FALSE)),0,VLOOKUP(B755,'MD Usage'!$A$1:$W$5000,3,FALSE))</f>
        <v>0</v>
      </c>
      <c r="E756" s="416">
        <f>IF(ISERROR(VLOOKUP(B755,'MD Usage'!$A$1:$W$5000,5,FALSE)),0,VLOOKUP(B755,'MD Usage'!$A$1:$W$5000,5,FALSE))</f>
        <v>1</v>
      </c>
      <c r="F756" s="416">
        <f>IF(ISERROR(VLOOKUP(B755,'MD Usage'!$A$1:$W$5000,7,FALSE)),0,VLOOKUP(B755,'MD Usage'!$A$1:$W$5000,7,FALSE))</f>
        <v>1</v>
      </c>
      <c r="G756" s="416">
        <f>IF(ISERROR(VLOOKUP(B755,'MD Usage'!$A$1:$W$5000,9,FALSE)),0,VLOOKUP(B755,'MD Usage'!$A$1:$W$5000,9,FALSE))</f>
        <v>4</v>
      </c>
      <c r="H756" s="416">
        <f>IF(ISERROR(VLOOKUP(B755,'MD Usage'!$A$1:$W$5000,11,FALSE)),0,VLOOKUP(B755,'MD Usage'!$A$1:$W$5000,11,FALSE))</f>
        <v>7</v>
      </c>
      <c r="I756" s="416">
        <f>IF(ISERROR(VLOOKUP(B755,'MD Usage'!A1:R2000,13,FALSE)),0,VLOOKUP(B755,'MD Usage'!A1:R2000,13,FALSE))</f>
        <v>7</v>
      </c>
      <c r="J756" s="416">
        <f>IF(ISERROR(VLOOKUP(B755,'MD Usage'!A1:R2000,15,FALSE)),0,VLOOKUP(B755,'MD Usage'!A1:R2000,15,FALSE))</f>
        <v>2</v>
      </c>
      <c r="K756" s="418">
        <f t="shared" ref="K756:K761" si="48">SUM(D756:J756)</f>
        <v>22</v>
      </c>
    </row>
    <row r="757" spans="2:13" x14ac:dyDescent="0.25">
      <c r="B757" s="419" t="s">
        <v>918</v>
      </c>
      <c r="C757" s="420">
        <v>1</v>
      </c>
      <c r="D757" s="421">
        <f>D756*C757</f>
        <v>0</v>
      </c>
      <c r="E757" s="421">
        <f>E756*C757</f>
        <v>1</v>
      </c>
      <c r="F757" s="421">
        <f>F756*C757</f>
        <v>1</v>
      </c>
      <c r="G757" s="421">
        <f>G756*C757</f>
        <v>4</v>
      </c>
      <c r="H757" s="421">
        <f>H756*C757</f>
        <v>7</v>
      </c>
      <c r="I757" s="421">
        <f>I756*C757</f>
        <v>7</v>
      </c>
      <c r="J757" s="421">
        <f>J756*C757</f>
        <v>2</v>
      </c>
      <c r="K757" s="422">
        <f t="shared" si="48"/>
        <v>22</v>
      </c>
    </row>
    <row r="758" spans="2:13" x14ac:dyDescent="0.25">
      <c r="B758" s="389" t="s">
        <v>59</v>
      </c>
      <c r="C758" s="423">
        <v>2</v>
      </c>
      <c r="D758" s="421">
        <f>D756*C758</f>
        <v>0</v>
      </c>
      <c r="E758" s="421">
        <f>E756*C758</f>
        <v>2</v>
      </c>
      <c r="F758" s="421">
        <f>F756*C758</f>
        <v>2</v>
      </c>
      <c r="G758" s="421">
        <f>G756*C758</f>
        <v>8</v>
      </c>
      <c r="H758" s="421">
        <f>H756*C758</f>
        <v>14</v>
      </c>
      <c r="I758" s="421">
        <f>I756*C758</f>
        <v>14</v>
      </c>
      <c r="J758" s="421">
        <f>J756*C758</f>
        <v>4</v>
      </c>
      <c r="K758" s="424">
        <f t="shared" si="48"/>
        <v>44</v>
      </c>
    </row>
    <row r="759" spans="2:13" x14ac:dyDescent="0.25">
      <c r="B759" s="389" t="s">
        <v>64</v>
      </c>
      <c r="C759" s="423">
        <v>6</v>
      </c>
      <c r="D759" s="421">
        <f>D756*C759</f>
        <v>0</v>
      </c>
      <c r="E759" s="421">
        <f>E756*C759</f>
        <v>6</v>
      </c>
      <c r="F759" s="421">
        <f>F756*C759</f>
        <v>6</v>
      </c>
      <c r="G759" s="421">
        <f>G756*C759</f>
        <v>24</v>
      </c>
      <c r="H759" s="421">
        <f>H756*C759</f>
        <v>42</v>
      </c>
      <c r="I759" s="421">
        <f>I756*C759</f>
        <v>42</v>
      </c>
      <c r="J759" s="421">
        <f>J756*C759</f>
        <v>12</v>
      </c>
      <c r="K759" s="424">
        <f t="shared" si="48"/>
        <v>132</v>
      </c>
    </row>
    <row r="760" spans="2:13" ht="15" customHeight="1" x14ac:dyDescent="0.25">
      <c r="B760" s="389"/>
      <c r="C760" s="423"/>
      <c r="D760" s="421">
        <f>D756*C760</f>
        <v>0</v>
      </c>
      <c r="E760" s="421">
        <f>E756*C760</f>
        <v>0</v>
      </c>
      <c r="F760" s="421">
        <f>F756*C760</f>
        <v>0</v>
      </c>
      <c r="G760" s="421">
        <f>G756*C760</f>
        <v>0</v>
      </c>
      <c r="H760" s="421">
        <f>H756*C760</f>
        <v>0</v>
      </c>
      <c r="I760" s="421">
        <f>I756*C760</f>
        <v>0</v>
      </c>
      <c r="J760" s="421">
        <f>J756*C760</f>
        <v>0</v>
      </c>
      <c r="K760" s="424">
        <f t="shared" si="48"/>
        <v>0</v>
      </c>
    </row>
    <row r="761" spans="2:13" x14ac:dyDescent="0.25">
      <c r="B761" s="389"/>
      <c r="C761" s="423"/>
      <c r="D761" s="421">
        <f>D756*C761</f>
        <v>0</v>
      </c>
      <c r="E761" s="421">
        <f>E756*C761</f>
        <v>0</v>
      </c>
      <c r="F761" s="421">
        <f>F756*C761</f>
        <v>0</v>
      </c>
      <c r="G761" s="421">
        <f>G756*C761</f>
        <v>0</v>
      </c>
      <c r="H761" s="421">
        <f>H756*C761</f>
        <v>0</v>
      </c>
      <c r="I761" s="421">
        <f>I756*C761</f>
        <v>0</v>
      </c>
      <c r="J761" s="421">
        <f>J756*C761</f>
        <v>0</v>
      </c>
      <c r="K761" s="424">
        <f t="shared" si="48"/>
        <v>0</v>
      </c>
    </row>
    <row r="762" spans="2:13" ht="15.75" thickBot="1" x14ac:dyDescent="0.3"/>
    <row r="763" spans="2:13" ht="15.75" thickBot="1" x14ac:dyDescent="0.3">
      <c r="B763" s="437">
        <v>6440408</v>
      </c>
      <c r="C763" s="411"/>
      <c r="D763" s="407" t="s">
        <v>548</v>
      </c>
      <c r="E763" s="408" t="s">
        <v>549</v>
      </c>
      <c r="F763" s="408" t="s">
        <v>550</v>
      </c>
      <c r="G763" s="408" t="s">
        <v>551</v>
      </c>
      <c r="H763" s="408" t="s">
        <v>552</v>
      </c>
      <c r="I763" s="408" t="s">
        <v>553</v>
      </c>
      <c r="J763" s="408" t="s">
        <v>554</v>
      </c>
      <c r="K763" s="408" t="s">
        <v>555</v>
      </c>
      <c r="M763" s="426" t="s">
        <v>713</v>
      </c>
    </row>
    <row r="764" spans="2:13" ht="15.75" thickBot="1" x14ac:dyDescent="0.3">
      <c r="B764" s="414" t="s">
        <v>556</v>
      </c>
      <c r="C764" s="415" t="s">
        <v>620</v>
      </c>
      <c r="D764" s="416">
        <f>IF(ISERROR(VLOOKUP(B763,'MD Usage'!$A$1:$W$5000,3,FALSE)),0,VLOOKUP(B763,'MD Usage'!$A$1:$W$5000,3,FALSE))</f>
        <v>1</v>
      </c>
      <c r="E764" s="416">
        <f>IF(ISERROR(VLOOKUP(B763,'MD Usage'!$A$1:$W$5000,5,FALSE)),0,VLOOKUP(B763,'MD Usage'!$A$1:$W$5000,5,FALSE))</f>
        <v>0</v>
      </c>
      <c r="F764" s="416">
        <f>IF(ISERROR(VLOOKUP(B763,'MD Usage'!$A$1:$W$5000,7,FALSE)),0,VLOOKUP(B763,'MD Usage'!$A$1:$W$5000,7,FALSE))</f>
        <v>0</v>
      </c>
      <c r="G764" s="416">
        <f>IF(ISERROR(VLOOKUP(B763,'MD Usage'!$A$1:$W$5000,9,FALSE)),0,VLOOKUP(B763,'MD Usage'!$A$1:$W$5000,9,FALSE))</f>
        <v>0</v>
      </c>
      <c r="H764" s="416">
        <f>IF(ISERROR(VLOOKUP(B763,'MD Usage'!$A$1:$W$5000,11,FALSE)),0,VLOOKUP(B763,'MD Usage'!$A$1:$W$5000,11,FALSE))</f>
        <v>1</v>
      </c>
      <c r="I764" s="416">
        <f>IF(ISERROR(VLOOKUP(B763,'MD Usage'!A1:R2000,13,FALSE)),0,VLOOKUP(B763,'MD Usage'!A1:R2000,13,FALSE))</f>
        <v>1</v>
      </c>
      <c r="J764" s="416">
        <f>IF(ISERROR(VLOOKUP(B763,'MD Usage'!A1:R2000,15,FALSE)),0,VLOOKUP(B763,'MD Usage'!A1:R2000,15,FALSE))</f>
        <v>0</v>
      </c>
      <c r="K764" s="418">
        <f t="shared" ref="K764:K769" si="49">SUM(D764:J764)</f>
        <v>3</v>
      </c>
    </row>
    <row r="765" spans="2:13" x14ac:dyDescent="0.25">
      <c r="B765" s="419" t="s">
        <v>919</v>
      </c>
      <c r="C765" s="420">
        <v>1</v>
      </c>
      <c r="D765" s="421">
        <f>D764*C765</f>
        <v>1</v>
      </c>
      <c r="E765" s="421">
        <f>E764*C765</f>
        <v>0</v>
      </c>
      <c r="F765" s="421">
        <f>F764*C765</f>
        <v>0</v>
      </c>
      <c r="G765" s="421">
        <f>G764*C765</f>
        <v>0</v>
      </c>
      <c r="H765" s="421">
        <f>H764*C765</f>
        <v>1</v>
      </c>
      <c r="I765" s="421">
        <f>I764*C765</f>
        <v>1</v>
      </c>
      <c r="J765" s="421">
        <f>J764*C765</f>
        <v>0</v>
      </c>
      <c r="K765" s="422">
        <f t="shared" si="49"/>
        <v>3</v>
      </c>
    </row>
    <row r="766" spans="2:13" x14ac:dyDescent="0.25">
      <c r="B766" s="389" t="s">
        <v>59</v>
      </c>
      <c r="C766" s="423">
        <v>1</v>
      </c>
      <c r="D766" s="421">
        <f>D764*C766</f>
        <v>1</v>
      </c>
      <c r="E766" s="421">
        <f>E764*C766</f>
        <v>0</v>
      </c>
      <c r="F766" s="421">
        <f>F764*C766</f>
        <v>0</v>
      </c>
      <c r="G766" s="421">
        <f>G764*C766</f>
        <v>0</v>
      </c>
      <c r="H766" s="421">
        <f>H764*C766</f>
        <v>1</v>
      </c>
      <c r="I766" s="421">
        <f>I764*C766</f>
        <v>1</v>
      </c>
      <c r="J766" s="421">
        <f>J764*C766</f>
        <v>0</v>
      </c>
      <c r="K766" s="424">
        <f t="shared" si="49"/>
        <v>3</v>
      </c>
    </row>
    <row r="767" spans="2:13" x14ac:dyDescent="0.25">
      <c r="B767" s="389" t="s">
        <v>64</v>
      </c>
      <c r="C767" s="423">
        <v>3</v>
      </c>
      <c r="D767" s="421">
        <f>D764*C767</f>
        <v>3</v>
      </c>
      <c r="E767" s="421">
        <f>E764*C767</f>
        <v>0</v>
      </c>
      <c r="F767" s="421">
        <f>F764*C767</f>
        <v>0</v>
      </c>
      <c r="G767" s="421">
        <f>G764*C767</f>
        <v>0</v>
      </c>
      <c r="H767" s="421">
        <f>H764*C767</f>
        <v>3</v>
      </c>
      <c r="I767" s="421">
        <f>I764*C767</f>
        <v>3</v>
      </c>
      <c r="J767" s="421">
        <f>J764*C767</f>
        <v>0</v>
      </c>
      <c r="K767" s="424">
        <f t="shared" si="49"/>
        <v>9</v>
      </c>
    </row>
    <row r="768" spans="2:13" ht="15" customHeight="1" x14ac:dyDescent="0.25">
      <c r="B768" s="389"/>
      <c r="C768" s="423"/>
      <c r="D768" s="421">
        <f>D764*C768</f>
        <v>0</v>
      </c>
      <c r="E768" s="421">
        <f>E764*C768</f>
        <v>0</v>
      </c>
      <c r="F768" s="421">
        <f>F764*C768</f>
        <v>0</v>
      </c>
      <c r="G768" s="421">
        <f>G764*C768</f>
        <v>0</v>
      </c>
      <c r="H768" s="421">
        <f>H764*C768</f>
        <v>0</v>
      </c>
      <c r="I768" s="421">
        <f>I764*C768</f>
        <v>0</v>
      </c>
      <c r="J768" s="421">
        <f>J764*C768</f>
        <v>0</v>
      </c>
      <c r="K768" s="424">
        <f t="shared" si="49"/>
        <v>0</v>
      </c>
    </row>
    <row r="769" spans="2:13" x14ac:dyDescent="0.25">
      <c r="B769" s="389"/>
      <c r="C769" s="423"/>
      <c r="D769" s="421">
        <f>D764*C769</f>
        <v>0</v>
      </c>
      <c r="E769" s="421">
        <f>E764*C769</f>
        <v>0</v>
      </c>
      <c r="F769" s="421">
        <f>F764*C769</f>
        <v>0</v>
      </c>
      <c r="G769" s="421">
        <f>G764*C769</f>
        <v>0</v>
      </c>
      <c r="H769" s="421">
        <f>H764*C769</f>
        <v>0</v>
      </c>
      <c r="I769" s="421">
        <f>I764*C769</f>
        <v>0</v>
      </c>
      <c r="J769" s="421">
        <f>J764*C769</f>
        <v>0</v>
      </c>
      <c r="K769" s="424">
        <f t="shared" si="49"/>
        <v>0</v>
      </c>
    </row>
    <row r="770" spans="2:13" ht="15.75" thickBot="1" x14ac:dyDescent="0.3"/>
    <row r="771" spans="2:13" ht="15.75" thickBot="1" x14ac:dyDescent="0.3">
      <c r="B771" s="414">
        <v>6440167</v>
      </c>
      <c r="C771" s="411"/>
      <c r="D771" s="407" t="s">
        <v>548</v>
      </c>
      <c r="E771" s="408" t="s">
        <v>549</v>
      </c>
      <c r="F771" s="408" t="s">
        <v>550</v>
      </c>
      <c r="G771" s="408" t="s">
        <v>551</v>
      </c>
      <c r="H771" s="408" t="s">
        <v>552</v>
      </c>
      <c r="I771" s="408" t="s">
        <v>553</v>
      </c>
      <c r="J771" s="408" t="s">
        <v>554</v>
      </c>
      <c r="K771" s="408" t="s">
        <v>555</v>
      </c>
      <c r="M771" s="426" t="s">
        <v>714</v>
      </c>
    </row>
    <row r="772" spans="2:13" ht="15.75" thickBot="1" x14ac:dyDescent="0.3">
      <c r="B772" s="414" t="s">
        <v>556</v>
      </c>
      <c r="C772" s="415" t="s">
        <v>620</v>
      </c>
      <c r="D772" s="416">
        <f>IF(ISERROR(VLOOKUP(B771,'MD Usage'!$A$1:$W$5000,3,FALSE)),0,VLOOKUP(B771,'MD Usage'!$A$1:$W$5000,3,FALSE))</f>
        <v>0</v>
      </c>
      <c r="E772" s="416">
        <f>IF(ISERROR(VLOOKUP(B771,'MD Usage'!$A$1:$W$5000,5,FALSE)),0,VLOOKUP(B771,'MD Usage'!$A$1:$W$5000,5,FALSE))</f>
        <v>0</v>
      </c>
      <c r="F772" s="416">
        <f>IF(ISERROR(VLOOKUP(B771,'MD Usage'!$A$1:$W$5000,7,FALSE)),0,VLOOKUP(B771,'MD Usage'!$A$1:$W$5000,7,FALSE))</f>
        <v>0</v>
      </c>
      <c r="G772" s="416">
        <f>IF(ISERROR(VLOOKUP(B771,'MD Usage'!$A$1:$W$5000,9,FALSE)),0,VLOOKUP(B771,'MD Usage'!$A$1:$W$5000,9,FALSE))</f>
        <v>0</v>
      </c>
      <c r="H772" s="416">
        <f>IF(ISERROR(VLOOKUP(B771,'MD Usage'!$A$1:$W$5000,11,FALSE)),0,VLOOKUP(B771,'MD Usage'!$A$1:$W$5000,11,FALSE))</f>
        <v>0</v>
      </c>
      <c r="I772" s="416">
        <f>IF(ISERROR(VLOOKUP(B771,'MD Usage'!A1:R2000,13,FALSE)),0,VLOOKUP(B771,'MD Usage'!A1:R2000,13,FALSE))</f>
        <v>0</v>
      </c>
      <c r="J772" s="416">
        <f>IF(ISERROR(VLOOKUP(B771,'MD Usage'!A1:R2000,15,FALSE)),0,VLOOKUP(B771,'MD Usage'!A1:R2000,15,FALSE))</f>
        <v>0</v>
      </c>
      <c r="K772" s="418">
        <f t="shared" ref="K772:K777" si="50">SUM(D772:J772)</f>
        <v>0</v>
      </c>
    </row>
    <row r="773" spans="2:13" x14ac:dyDescent="0.25">
      <c r="B773" s="419" t="s">
        <v>918</v>
      </c>
      <c r="C773" s="420">
        <v>1</v>
      </c>
      <c r="D773" s="421">
        <f>D772*C773</f>
        <v>0</v>
      </c>
      <c r="E773" s="421">
        <f>E772*C773</f>
        <v>0</v>
      </c>
      <c r="F773" s="421">
        <f>F772*C773</f>
        <v>0</v>
      </c>
      <c r="G773" s="421">
        <f>G772*C773</f>
        <v>0</v>
      </c>
      <c r="H773" s="421">
        <f>H772*C773</f>
        <v>0</v>
      </c>
      <c r="I773" s="421">
        <f>I772*C773</f>
        <v>0</v>
      </c>
      <c r="J773" s="421">
        <f>J772*C773</f>
        <v>0</v>
      </c>
      <c r="K773" s="422">
        <f t="shared" si="50"/>
        <v>0</v>
      </c>
    </row>
    <row r="774" spans="2:13" x14ac:dyDescent="0.25">
      <c r="B774" s="389" t="s">
        <v>59</v>
      </c>
      <c r="C774" s="423">
        <v>1</v>
      </c>
      <c r="D774" s="421">
        <f>D772*C774</f>
        <v>0</v>
      </c>
      <c r="E774" s="421">
        <f>E772*C774</f>
        <v>0</v>
      </c>
      <c r="F774" s="421">
        <f>F772*C774</f>
        <v>0</v>
      </c>
      <c r="G774" s="421">
        <f>G772*C774</f>
        <v>0</v>
      </c>
      <c r="H774" s="421">
        <f>H772*C774</f>
        <v>0</v>
      </c>
      <c r="I774" s="421">
        <f>I772*C774</f>
        <v>0</v>
      </c>
      <c r="J774" s="421">
        <f>J772*C774</f>
        <v>0</v>
      </c>
      <c r="K774" s="424">
        <f t="shared" si="50"/>
        <v>0</v>
      </c>
    </row>
    <row r="775" spans="2:13" x14ac:dyDescent="0.25">
      <c r="B775" s="389" t="s">
        <v>64</v>
      </c>
      <c r="C775" s="423">
        <v>6</v>
      </c>
      <c r="D775" s="421">
        <f>D772*C775</f>
        <v>0</v>
      </c>
      <c r="E775" s="421">
        <f>E772*C775</f>
        <v>0</v>
      </c>
      <c r="F775" s="421">
        <f>F772*C775</f>
        <v>0</v>
      </c>
      <c r="G775" s="421">
        <f>G772*C775</f>
        <v>0</v>
      </c>
      <c r="H775" s="421">
        <f>H772*C775</f>
        <v>0</v>
      </c>
      <c r="I775" s="421">
        <f>I772*C775</f>
        <v>0</v>
      </c>
      <c r="J775" s="421">
        <f>J772*C775</f>
        <v>0</v>
      </c>
      <c r="K775" s="424">
        <f t="shared" si="50"/>
        <v>0</v>
      </c>
    </row>
    <row r="776" spans="2:13" ht="15" customHeight="1" x14ac:dyDescent="0.25">
      <c r="B776" s="389" t="s">
        <v>63</v>
      </c>
      <c r="C776" s="423">
        <v>6</v>
      </c>
      <c r="D776" s="421">
        <f>D772*C776</f>
        <v>0</v>
      </c>
      <c r="E776" s="421">
        <f>E772*C776</f>
        <v>0</v>
      </c>
      <c r="F776" s="421">
        <f>F772*C776</f>
        <v>0</v>
      </c>
      <c r="G776" s="421">
        <f>G772*C776</f>
        <v>0</v>
      </c>
      <c r="H776" s="421">
        <f>H772*C776</f>
        <v>0</v>
      </c>
      <c r="I776" s="421">
        <f>I772*C776</f>
        <v>0</v>
      </c>
      <c r="J776" s="421">
        <f>J772*C776</f>
        <v>0</v>
      </c>
      <c r="K776" s="424">
        <f t="shared" si="50"/>
        <v>0</v>
      </c>
    </row>
    <row r="777" spans="2:13" x14ac:dyDescent="0.25">
      <c r="B777" s="389" t="s">
        <v>582</v>
      </c>
      <c r="C777" s="423">
        <v>1</v>
      </c>
      <c r="D777" s="421">
        <f>D772*C777</f>
        <v>0</v>
      </c>
      <c r="E777" s="421">
        <f>E772*C777</f>
        <v>0</v>
      </c>
      <c r="F777" s="421">
        <f>F772*C777</f>
        <v>0</v>
      </c>
      <c r="G777" s="421">
        <f>G772*C777</f>
        <v>0</v>
      </c>
      <c r="H777" s="421">
        <f>H772*C777</f>
        <v>0</v>
      </c>
      <c r="I777" s="421">
        <f>I772*C777</f>
        <v>0</v>
      </c>
      <c r="J777" s="421">
        <f>J772*C777</f>
        <v>0</v>
      </c>
      <c r="K777" s="424">
        <f t="shared" si="50"/>
        <v>0</v>
      </c>
    </row>
    <row r="778" spans="2:13" ht="15.75" thickBot="1" x14ac:dyDescent="0.3"/>
    <row r="779" spans="2:13" ht="15.75" thickBot="1" x14ac:dyDescent="0.3">
      <c r="B779" s="437">
        <v>6440005</v>
      </c>
      <c r="C779" s="411"/>
      <c r="D779" s="407" t="s">
        <v>548</v>
      </c>
      <c r="E779" s="408" t="s">
        <v>549</v>
      </c>
      <c r="F779" s="408" t="s">
        <v>550</v>
      </c>
      <c r="G779" s="408" t="s">
        <v>551</v>
      </c>
      <c r="H779" s="408" t="s">
        <v>552</v>
      </c>
      <c r="I779" s="408" t="s">
        <v>553</v>
      </c>
      <c r="J779" s="408" t="s">
        <v>554</v>
      </c>
      <c r="K779" s="408" t="s">
        <v>555</v>
      </c>
      <c r="M779" s="426" t="s">
        <v>715</v>
      </c>
    </row>
    <row r="780" spans="2:13" ht="15.75" thickBot="1" x14ac:dyDescent="0.3">
      <c r="B780" s="414" t="s">
        <v>556</v>
      </c>
      <c r="C780" s="415" t="s">
        <v>620</v>
      </c>
      <c r="D780" s="416">
        <f>IF(ISERROR(VLOOKUP(B779,'MD Usage'!$A$1:$W$5000,3,FALSE)),0,VLOOKUP(B779,'MD Usage'!$A$1:$W$5000,3,FALSE))</f>
        <v>0</v>
      </c>
      <c r="E780" s="416">
        <f>IF(ISERROR(VLOOKUP(B779,'MD Usage'!$A$1:$W$5000,5,FALSE)),0,VLOOKUP(B779,'MD Usage'!$A$1:$W$5000,5,FALSE))</f>
        <v>0</v>
      </c>
      <c r="F780" s="416">
        <f>IF(ISERROR(VLOOKUP(B779,'MD Usage'!$A$1:$W$5000,7,FALSE)),0,VLOOKUP(B779,'MD Usage'!$A$1:$W$5000,7,FALSE))</f>
        <v>0</v>
      </c>
      <c r="G780" s="416">
        <f>IF(ISERROR(VLOOKUP(B779,'MD Usage'!$A$1:$W$5000,9,FALSE)),0,VLOOKUP(B779,'MD Usage'!$A$1:$W$5000,9,FALSE))</f>
        <v>0</v>
      </c>
      <c r="H780" s="416">
        <f>IF(ISERROR(VLOOKUP(B779,'MD Usage'!$A$1:$W$5000,11,FALSE)),0,VLOOKUP(B779,'MD Usage'!$A$1:$W$5000,11,FALSE))</f>
        <v>0</v>
      </c>
      <c r="I780" s="416">
        <f>IF(ISERROR(VLOOKUP(B779,'MD Usage'!A1:R2000,13,FALSE)),0,VLOOKUP(B779,'MD Usage'!A1:R2000,13,FALSE))</f>
        <v>0</v>
      </c>
      <c r="J780" s="416">
        <f>IF(ISERROR(VLOOKUP(B779,'MD Usage'!A1:R2000,15,FALSE)),0,VLOOKUP(B779,'MD Usage'!A1:R2000,15,FALSE))</f>
        <v>0</v>
      </c>
      <c r="K780" s="418">
        <f t="shared" ref="K780:K785" si="51">SUM(D780:J780)</f>
        <v>0</v>
      </c>
    </row>
    <row r="781" spans="2:13" x14ac:dyDescent="0.25">
      <c r="B781" s="419" t="s">
        <v>918</v>
      </c>
      <c r="C781" s="420">
        <v>1</v>
      </c>
      <c r="D781" s="421">
        <f>D780*C781</f>
        <v>0</v>
      </c>
      <c r="E781" s="421">
        <f>E780*C781</f>
        <v>0</v>
      </c>
      <c r="F781" s="421">
        <f>F780*C781</f>
        <v>0</v>
      </c>
      <c r="G781" s="421">
        <f>G780*C781</f>
        <v>0</v>
      </c>
      <c r="H781" s="421">
        <f>H780*C781</f>
        <v>0</v>
      </c>
      <c r="I781" s="421">
        <f>I780*C781</f>
        <v>0</v>
      </c>
      <c r="J781" s="421">
        <f>J780*C781</f>
        <v>0</v>
      </c>
      <c r="K781" s="422">
        <f t="shared" si="51"/>
        <v>0</v>
      </c>
    </row>
    <row r="782" spans="2:13" x14ac:dyDescent="0.25">
      <c r="B782" s="389" t="s">
        <v>59</v>
      </c>
      <c r="C782" s="423">
        <v>1</v>
      </c>
      <c r="D782" s="421">
        <f>D780*C782</f>
        <v>0</v>
      </c>
      <c r="E782" s="421">
        <f>E780*C782</f>
        <v>0</v>
      </c>
      <c r="F782" s="421">
        <f>F780*C782</f>
        <v>0</v>
      </c>
      <c r="G782" s="421">
        <f>G780*C782</f>
        <v>0</v>
      </c>
      <c r="H782" s="421">
        <f>H780*C782</f>
        <v>0</v>
      </c>
      <c r="I782" s="421">
        <f>I780*C782</f>
        <v>0</v>
      </c>
      <c r="J782" s="421">
        <f>J780*C782</f>
        <v>0</v>
      </c>
      <c r="K782" s="424">
        <f t="shared" si="51"/>
        <v>0</v>
      </c>
    </row>
    <row r="783" spans="2:13" x14ac:dyDescent="0.25">
      <c r="B783" s="389" t="s">
        <v>64</v>
      </c>
      <c r="C783" s="423">
        <v>6</v>
      </c>
      <c r="D783" s="421">
        <f>D780*C783</f>
        <v>0</v>
      </c>
      <c r="E783" s="421">
        <f>E780*C783</f>
        <v>0</v>
      </c>
      <c r="F783" s="421">
        <f>F780*C783</f>
        <v>0</v>
      </c>
      <c r="G783" s="421">
        <f>G780*C783</f>
        <v>0</v>
      </c>
      <c r="H783" s="421">
        <f>H780*C783</f>
        <v>0</v>
      </c>
      <c r="I783" s="421">
        <f>I780*C783</f>
        <v>0</v>
      </c>
      <c r="J783" s="421">
        <f>J780*C783</f>
        <v>0</v>
      </c>
      <c r="K783" s="424">
        <f t="shared" si="51"/>
        <v>0</v>
      </c>
    </row>
    <row r="784" spans="2:13" x14ac:dyDescent="0.25">
      <c r="B784" s="389" t="s">
        <v>63</v>
      </c>
      <c r="C784" s="423">
        <v>6</v>
      </c>
      <c r="D784" s="421">
        <f>D780*C784</f>
        <v>0</v>
      </c>
      <c r="E784" s="421">
        <f>E780*C784</f>
        <v>0</v>
      </c>
      <c r="F784" s="421">
        <f>F780*C784</f>
        <v>0</v>
      </c>
      <c r="G784" s="421">
        <f>G780*C784</f>
        <v>0</v>
      </c>
      <c r="H784" s="421">
        <f>H780*C784</f>
        <v>0</v>
      </c>
      <c r="I784" s="421">
        <f>I780*C784</f>
        <v>0</v>
      </c>
      <c r="J784" s="421">
        <f>J780*C784</f>
        <v>0</v>
      </c>
      <c r="K784" s="424">
        <f t="shared" si="51"/>
        <v>0</v>
      </c>
    </row>
    <row r="785" spans="2:13" ht="15" customHeight="1" x14ac:dyDescent="0.25">
      <c r="B785" s="389" t="s">
        <v>582</v>
      </c>
      <c r="C785" s="423">
        <v>1</v>
      </c>
      <c r="D785" s="421">
        <f>D780*C785</f>
        <v>0</v>
      </c>
      <c r="E785" s="421">
        <f>E780*C785</f>
        <v>0</v>
      </c>
      <c r="F785" s="421">
        <f>F780*C785</f>
        <v>0</v>
      </c>
      <c r="G785" s="421">
        <f>G780*C785</f>
        <v>0</v>
      </c>
      <c r="H785" s="421">
        <f>H780*C785</f>
        <v>0</v>
      </c>
      <c r="I785" s="421">
        <f>I780*C785</f>
        <v>0</v>
      </c>
      <c r="J785" s="421">
        <f>J780*C785</f>
        <v>0</v>
      </c>
      <c r="K785" s="424">
        <f t="shared" si="51"/>
        <v>0</v>
      </c>
    </row>
    <row r="786" spans="2:13" ht="15.75" thickBot="1" x14ac:dyDescent="0.3"/>
    <row r="787" spans="2:13" ht="15.75" thickBot="1" x14ac:dyDescent="0.3">
      <c r="B787" s="438">
        <v>6440224</v>
      </c>
      <c r="C787" s="411"/>
      <c r="D787" s="407" t="s">
        <v>548</v>
      </c>
      <c r="E787" s="408" t="s">
        <v>549</v>
      </c>
      <c r="F787" s="408" t="s">
        <v>550</v>
      </c>
      <c r="G787" s="408" t="s">
        <v>551</v>
      </c>
      <c r="H787" s="408" t="s">
        <v>552</v>
      </c>
      <c r="I787" s="408" t="s">
        <v>553</v>
      </c>
      <c r="J787" s="408" t="s">
        <v>554</v>
      </c>
      <c r="K787" s="408" t="s">
        <v>555</v>
      </c>
      <c r="M787" s="426" t="s">
        <v>716</v>
      </c>
    </row>
    <row r="788" spans="2:13" ht="15.75" thickBot="1" x14ac:dyDescent="0.3">
      <c r="B788" s="414" t="s">
        <v>556</v>
      </c>
      <c r="C788" s="415" t="s">
        <v>620</v>
      </c>
      <c r="D788" s="416">
        <f>IF(ISERROR(VLOOKUP(B787,'MD Usage'!$A$1:$W$5000,3,FALSE)),0,VLOOKUP(B787,'MD Usage'!$A$1:$W$5000,3,FALSE))</f>
        <v>0</v>
      </c>
      <c r="E788" s="416">
        <f>IF(ISERROR(VLOOKUP(B787,'MD Usage'!$A$1:$W$5000,5,FALSE)),0,VLOOKUP(B787,'MD Usage'!$A$1:$W$5000,5,FALSE))</f>
        <v>0</v>
      </c>
      <c r="F788" s="416">
        <f>IF(ISERROR(VLOOKUP(B787,'MD Usage'!$A$1:$W$5000,7,FALSE)),0,VLOOKUP(B787,'MD Usage'!$A$1:$W$5000,7,FALSE))</f>
        <v>0</v>
      </c>
      <c r="G788" s="416">
        <f>IF(ISERROR(VLOOKUP(B787,'MD Usage'!$A$1:$W$5000,9,FALSE)),0,VLOOKUP(B787,'MD Usage'!$A$1:$W$5000,9,FALSE))</f>
        <v>0</v>
      </c>
      <c r="H788" s="416">
        <f>IF(ISERROR(VLOOKUP(B787,'MD Usage'!$A$1:$W$5000,11,FALSE)),0,VLOOKUP(B787,'MD Usage'!$A$1:$W$5000,11,FALSE))</f>
        <v>0</v>
      </c>
      <c r="I788" s="416">
        <f>IF(ISERROR(VLOOKUP(B787,'MD Usage'!A1:R2000,13,FALSE)),0,VLOOKUP(B787,'MD Usage'!A1:R2000,13,FALSE))</f>
        <v>0</v>
      </c>
      <c r="J788" s="416">
        <f>IF(ISERROR(VLOOKUP(B787,'MD Usage'!A1:R2000,15,FALSE)),0,VLOOKUP(B787,'MD Usage'!A1:R2000,15,FALSE))</f>
        <v>0</v>
      </c>
      <c r="K788" s="418">
        <f t="shared" ref="K788:K793" si="52">SUM(D788:J788)</f>
        <v>0</v>
      </c>
    </row>
    <row r="789" spans="2:13" x14ac:dyDescent="0.25">
      <c r="B789" s="419" t="s">
        <v>919</v>
      </c>
      <c r="C789" s="420">
        <v>1</v>
      </c>
      <c r="D789" s="421">
        <f>D788*C789</f>
        <v>0</v>
      </c>
      <c r="E789" s="421">
        <f>E788*C789</f>
        <v>0</v>
      </c>
      <c r="F789" s="421">
        <f>F788*C789</f>
        <v>0</v>
      </c>
      <c r="G789" s="421">
        <f>G788*C789</f>
        <v>0</v>
      </c>
      <c r="H789" s="421">
        <f>H788*C789</f>
        <v>0</v>
      </c>
      <c r="I789" s="421">
        <f>I788*C789</f>
        <v>0</v>
      </c>
      <c r="J789" s="421">
        <f>J788*C789</f>
        <v>0</v>
      </c>
      <c r="K789" s="422">
        <f t="shared" si="52"/>
        <v>0</v>
      </c>
    </row>
    <row r="790" spans="2:13" x14ac:dyDescent="0.25">
      <c r="B790" s="389" t="s">
        <v>59</v>
      </c>
      <c r="C790" s="423">
        <v>0.5</v>
      </c>
      <c r="D790" s="421">
        <f>D788*C790</f>
        <v>0</v>
      </c>
      <c r="E790" s="421">
        <f>E788*C790</f>
        <v>0</v>
      </c>
      <c r="F790" s="421">
        <f>F788*C790</f>
        <v>0</v>
      </c>
      <c r="G790" s="421">
        <f>G788*C790</f>
        <v>0</v>
      </c>
      <c r="H790" s="421">
        <f>H788*C790</f>
        <v>0</v>
      </c>
      <c r="I790" s="421">
        <f>I788*C790</f>
        <v>0</v>
      </c>
      <c r="J790" s="421">
        <f>J788*C790</f>
        <v>0</v>
      </c>
      <c r="K790" s="424">
        <f t="shared" si="52"/>
        <v>0</v>
      </c>
    </row>
    <row r="791" spans="2:13" x14ac:dyDescent="0.25">
      <c r="B791" s="389" t="s">
        <v>64</v>
      </c>
      <c r="C791" s="423">
        <v>3</v>
      </c>
      <c r="D791" s="421">
        <f>D788*C791</f>
        <v>0</v>
      </c>
      <c r="E791" s="421">
        <f>E788*C791</f>
        <v>0</v>
      </c>
      <c r="F791" s="421">
        <f>F788*C791</f>
        <v>0</v>
      </c>
      <c r="G791" s="421">
        <f>G788*C791</f>
        <v>0</v>
      </c>
      <c r="H791" s="421">
        <f>H788*C791</f>
        <v>0</v>
      </c>
      <c r="I791" s="421">
        <f>I788*C791</f>
        <v>0</v>
      </c>
      <c r="J791" s="421">
        <f>J788*C791</f>
        <v>0</v>
      </c>
      <c r="K791" s="424">
        <f t="shared" si="52"/>
        <v>0</v>
      </c>
    </row>
    <row r="792" spans="2:13" x14ac:dyDescent="0.25">
      <c r="B792" s="389" t="s">
        <v>63</v>
      </c>
      <c r="C792" s="423">
        <v>4</v>
      </c>
      <c r="D792" s="421">
        <f>D788*C792</f>
        <v>0</v>
      </c>
      <c r="E792" s="421">
        <f>E788*C792</f>
        <v>0</v>
      </c>
      <c r="F792" s="421">
        <f>F788*C792</f>
        <v>0</v>
      </c>
      <c r="G792" s="421">
        <f>G788*C792</f>
        <v>0</v>
      </c>
      <c r="H792" s="421">
        <f>H788*C792</f>
        <v>0</v>
      </c>
      <c r="I792" s="421">
        <f>I788*C792</f>
        <v>0</v>
      </c>
      <c r="J792" s="421">
        <f>J788*C792</f>
        <v>0</v>
      </c>
      <c r="K792" s="424">
        <f t="shared" si="52"/>
        <v>0</v>
      </c>
    </row>
    <row r="793" spans="2:13" x14ac:dyDescent="0.25">
      <c r="B793" s="389" t="s">
        <v>582</v>
      </c>
      <c r="C793" s="423">
        <v>0.75</v>
      </c>
      <c r="D793" s="421">
        <f>D788*C793</f>
        <v>0</v>
      </c>
      <c r="E793" s="421">
        <f>E788*C793</f>
        <v>0</v>
      </c>
      <c r="F793" s="421">
        <f>F788*C793</f>
        <v>0</v>
      </c>
      <c r="G793" s="421">
        <f>G788*C793</f>
        <v>0</v>
      </c>
      <c r="H793" s="421">
        <f>H788*C793</f>
        <v>0</v>
      </c>
      <c r="I793" s="421">
        <f>I788*C793</f>
        <v>0</v>
      </c>
      <c r="J793" s="421">
        <f>J788*C793</f>
        <v>0</v>
      </c>
      <c r="K793" s="424">
        <f t="shared" si="52"/>
        <v>0</v>
      </c>
    </row>
    <row r="794" spans="2:13" ht="15" customHeight="1" thickBot="1" x14ac:dyDescent="0.3"/>
    <row r="795" spans="2:13" ht="15.75" thickBot="1" x14ac:dyDescent="0.3">
      <c r="B795" s="436">
        <v>6450215</v>
      </c>
      <c r="C795" s="411"/>
      <c r="D795" s="407" t="s">
        <v>548</v>
      </c>
      <c r="E795" s="408" t="s">
        <v>549</v>
      </c>
      <c r="F795" s="408" t="s">
        <v>550</v>
      </c>
      <c r="G795" s="408" t="s">
        <v>551</v>
      </c>
      <c r="H795" s="408" t="s">
        <v>552</v>
      </c>
      <c r="I795" s="408" t="s">
        <v>553</v>
      </c>
      <c r="J795" s="408" t="s">
        <v>554</v>
      </c>
      <c r="K795" s="408" t="s">
        <v>555</v>
      </c>
      <c r="M795" s="437" t="s">
        <v>717</v>
      </c>
    </row>
    <row r="796" spans="2:13" ht="15.75" thickBot="1" x14ac:dyDescent="0.3">
      <c r="B796" s="414" t="s">
        <v>556</v>
      </c>
      <c r="C796" s="415" t="s">
        <v>620</v>
      </c>
      <c r="D796" s="416">
        <f>IF(ISERROR(VLOOKUP(B795,'MD Usage'!$A$1:$W$5000,3,FALSE)),0,VLOOKUP(B795,'MD Usage'!$A$1:$W$5000,3,FALSE))</f>
        <v>0</v>
      </c>
      <c r="E796" s="416">
        <f>IF(ISERROR(VLOOKUP(B795,'MD Usage'!$A$1:$W$5000,5,FALSE)),0,VLOOKUP(B795,'MD Usage'!$A$1:$W$5000,5,FALSE))</f>
        <v>2</v>
      </c>
      <c r="F796" s="416">
        <f>IF(ISERROR(VLOOKUP(B795,'MD Usage'!$A$1:$W$5000,7,FALSE)),0,VLOOKUP(B795,'MD Usage'!$A$1:$W$5000,7,FALSE))</f>
        <v>1</v>
      </c>
      <c r="G796" s="416">
        <f>IF(ISERROR(VLOOKUP(B795,'MD Usage'!$A$1:$W$5000,9,FALSE)),0,VLOOKUP(B795,'MD Usage'!$A$1:$W$5000,9,FALSE))</f>
        <v>1</v>
      </c>
      <c r="H796" s="416">
        <f>IF(ISERROR(VLOOKUP(B795,'MD Usage'!$A$1:$W$5000,11,FALSE)),0,VLOOKUP(B795,'MD Usage'!$A$1:$W$5000,11,FALSE))</f>
        <v>5</v>
      </c>
      <c r="I796" s="416">
        <f>IF(ISERROR(VLOOKUP(B795,'MD Usage'!A1:R2000,13,FALSE)),0,VLOOKUP(B795,'MD Usage'!A1:R2000,13,FALSE))</f>
        <v>2</v>
      </c>
      <c r="J796" s="416">
        <f>IF(ISERROR(VLOOKUP(B795,'MD Usage'!A1:R2000,15,FALSE)),0,VLOOKUP(B795,'MD Usage'!A1:R2000,15,FALSE))</f>
        <v>1</v>
      </c>
      <c r="K796" s="418">
        <f t="shared" ref="K796:K801" si="53">SUM(D796:J796)</f>
        <v>12</v>
      </c>
    </row>
    <row r="797" spans="2:13" x14ac:dyDescent="0.25">
      <c r="B797" s="419" t="s">
        <v>546</v>
      </c>
      <c r="C797" s="420">
        <v>1</v>
      </c>
      <c r="D797" s="421">
        <f>D796*C797</f>
        <v>0</v>
      </c>
      <c r="E797" s="421">
        <f>E796*C797</f>
        <v>2</v>
      </c>
      <c r="F797" s="421">
        <f>F796*C797</f>
        <v>1</v>
      </c>
      <c r="G797" s="421">
        <f>G796*C797</f>
        <v>1</v>
      </c>
      <c r="H797" s="421">
        <f>H796*C797</f>
        <v>5</v>
      </c>
      <c r="I797" s="421">
        <f>I796*C797</f>
        <v>2</v>
      </c>
      <c r="J797" s="421">
        <f>J796*C797</f>
        <v>1</v>
      </c>
      <c r="K797" s="422">
        <f t="shared" si="53"/>
        <v>12</v>
      </c>
    </row>
    <row r="798" spans="2:13" x14ac:dyDescent="0.25">
      <c r="B798" s="389"/>
      <c r="C798" s="423"/>
      <c r="D798" s="421">
        <f>D796*C798</f>
        <v>0</v>
      </c>
      <c r="E798" s="421">
        <f>E796*C798</f>
        <v>0</v>
      </c>
      <c r="F798" s="421">
        <f>F796*C798</f>
        <v>0</v>
      </c>
      <c r="G798" s="421">
        <f>G796*C798</f>
        <v>0</v>
      </c>
      <c r="H798" s="421">
        <f>H796*C798</f>
        <v>0</v>
      </c>
      <c r="I798" s="421">
        <f>I796*C798</f>
        <v>0</v>
      </c>
      <c r="J798" s="421">
        <f>J796*C798</f>
        <v>0</v>
      </c>
      <c r="K798" s="424">
        <f t="shared" si="53"/>
        <v>0</v>
      </c>
    </row>
    <row r="799" spans="2:13" x14ac:dyDescent="0.25">
      <c r="B799" s="389"/>
      <c r="C799" s="423"/>
      <c r="D799" s="421">
        <f>D796*C799</f>
        <v>0</v>
      </c>
      <c r="E799" s="421">
        <f>E796*C799</f>
        <v>0</v>
      </c>
      <c r="F799" s="421">
        <f>F796*C799</f>
        <v>0</v>
      </c>
      <c r="G799" s="421">
        <f>G796*C799</f>
        <v>0</v>
      </c>
      <c r="H799" s="421">
        <f>H796*C799</f>
        <v>0</v>
      </c>
      <c r="I799" s="421">
        <f>I796*C799</f>
        <v>0</v>
      </c>
      <c r="J799" s="421">
        <f>J796*C799</f>
        <v>0</v>
      </c>
      <c r="K799" s="424">
        <f t="shared" si="53"/>
        <v>0</v>
      </c>
    </row>
    <row r="800" spans="2:13" x14ac:dyDescent="0.25">
      <c r="B800" s="389"/>
      <c r="C800" s="423"/>
      <c r="D800" s="421">
        <f>D796*C800</f>
        <v>0</v>
      </c>
      <c r="E800" s="421">
        <f>E796*C800</f>
        <v>0</v>
      </c>
      <c r="F800" s="421">
        <f>F796*C800</f>
        <v>0</v>
      </c>
      <c r="G800" s="421">
        <f>G796*C800</f>
        <v>0</v>
      </c>
      <c r="H800" s="421">
        <f>H796*C800</f>
        <v>0</v>
      </c>
      <c r="I800" s="421">
        <f>I796*C800</f>
        <v>0</v>
      </c>
      <c r="J800" s="421">
        <f>J796*C800</f>
        <v>0</v>
      </c>
      <c r="K800" s="424">
        <f t="shared" si="53"/>
        <v>0</v>
      </c>
    </row>
    <row r="801" spans="1:22" x14ac:dyDescent="0.25">
      <c r="B801" s="389"/>
      <c r="C801" s="423"/>
      <c r="D801" s="421">
        <f>D796*C801</f>
        <v>0</v>
      </c>
      <c r="E801" s="421">
        <f>E796*C801</f>
        <v>0</v>
      </c>
      <c r="F801" s="421">
        <f>F796*C801</f>
        <v>0</v>
      </c>
      <c r="G801" s="421">
        <f>G796*C801</f>
        <v>0</v>
      </c>
      <c r="H801" s="421">
        <f>H796*C801</f>
        <v>0</v>
      </c>
      <c r="I801" s="421">
        <f>I796*C801</f>
        <v>0</v>
      </c>
      <c r="J801" s="421">
        <f>J796*C801</f>
        <v>0</v>
      </c>
      <c r="K801" s="424">
        <f t="shared" si="53"/>
        <v>0</v>
      </c>
    </row>
    <row r="802" spans="1:22" ht="15.75" thickBot="1" x14ac:dyDescent="0.3"/>
    <row r="803" spans="1:22" ht="15" customHeight="1" thickBot="1" x14ac:dyDescent="0.3">
      <c r="B803" s="437">
        <v>6450216</v>
      </c>
      <c r="C803" s="411"/>
      <c r="D803" s="407" t="s">
        <v>548</v>
      </c>
      <c r="E803" s="408" t="s">
        <v>549</v>
      </c>
      <c r="F803" s="408" t="s">
        <v>550</v>
      </c>
      <c r="G803" s="408" t="s">
        <v>551</v>
      </c>
      <c r="H803" s="408" t="s">
        <v>552</v>
      </c>
      <c r="I803" s="408" t="s">
        <v>553</v>
      </c>
      <c r="J803" s="408" t="s">
        <v>554</v>
      </c>
      <c r="K803" s="408" t="s">
        <v>555</v>
      </c>
      <c r="M803" s="426" t="s">
        <v>719</v>
      </c>
    </row>
    <row r="804" spans="1:22" ht="15.75" thickBot="1" x14ac:dyDescent="0.3">
      <c r="B804" s="414" t="s">
        <v>556</v>
      </c>
      <c r="C804" s="415" t="s">
        <v>620</v>
      </c>
      <c r="D804" s="416">
        <f>IF(ISERROR(VLOOKUP(B803,'MD Usage'!$A$1:$W$5000,3,FALSE)),0,VLOOKUP(B803,'MD Usage'!$A$1:$W$5000,3,FALSE))</f>
        <v>0</v>
      </c>
      <c r="E804" s="416">
        <f>IF(ISERROR(VLOOKUP(B803,'MD Usage'!$A$1:$W$5000,5,FALSE)),0,VLOOKUP(B803,'MD Usage'!$A$1:$W$5000,5,FALSE))</f>
        <v>1</v>
      </c>
      <c r="F804" s="416">
        <f>IF(ISERROR(VLOOKUP(B803,'MD Usage'!$A$1:$W$5000,7,FALSE)),0,VLOOKUP(B803,'MD Usage'!$A$1:$W$5000,7,FALSE))</f>
        <v>1</v>
      </c>
      <c r="G804" s="416">
        <f>IF(ISERROR(VLOOKUP(B803,'MD Usage'!$A$1:$W$5000,9,FALSE)),0,VLOOKUP(B803,'MD Usage'!$A$1:$W$5000,9,FALSE))</f>
        <v>0</v>
      </c>
      <c r="H804" s="416">
        <f>IF(ISERROR(VLOOKUP(B803,'MD Usage'!$A$1:$W$5000,11,FALSE)),0,VLOOKUP(B803,'MD Usage'!$A$1:$W$5000,11,FALSE))</f>
        <v>0</v>
      </c>
      <c r="I804" s="416">
        <f>IF(ISERROR(VLOOKUP(B803,'MD Usage'!A1:R2000,13,FALSE)),0,VLOOKUP(B803,'MD Usage'!A1:R2000,13,FALSE))</f>
        <v>0</v>
      </c>
      <c r="J804" s="416">
        <f>IF(ISERROR(VLOOKUP(B803,'MD Usage'!A1:R2000,15,FALSE)),0,VLOOKUP(B803,'MD Usage'!A1:R2000,15,FALSE))</f>
        <v>1</v>
      </c>
      <c r="K804" s="418">
        <f t="shared" ref="K804:K809" si="54">SUM(D804:J804)</f>
        <v>3</v>
      </c>
    </row>
    <row r="805" spans="1:22" x14ac:dyDescent="0.25">
      <c r="B805" s="419" t="s">
        <v>546</v>
      </c>
      <c r="C805" s="420">
        <v>1</v>
      </c>
      <c r="D805" s="421">
        <f>D804*C805</f>
        <v>0</v>
      </c>
      <c r="E805" s="421">
        <f>E804*C805</f>
        <v>1</v>
      </c>
      <c r="F805" s="421">
        <f>F804*C805</f>
        <v>1</v>
      </c>
      <c r="G805" s="421">
        <f>G804*C805</f>
        <v>0</v>
      </c>
      <c r="H805" s="421">
        <f>H804*C805</f>
        <v>0</v>
      </c>
      <c r="I805" s="421">
        <f>I804*C805</f>
        <v>0</v>
      </c>
      <c r="J805" s="421">
        <f>J804*C805</f>
        <v>1</v>
      </c>
      <c r="K805" s="422">
        <f t="shared" si="54"/>
        <v>3</v>
      </c>
    </row>
    <row r="806" spans="1:22" x14ac:dyDescent="0.25">
      <c r="B806" s="389" t="s">
        <v>578</v>
      </c>
      <c r="C806" s="423">
        <v>6.33</v>
      </c>
      <c r="D806" s="421">
        <f>D804*C806</f>
        <v>0</v>
      </c>
      <c r="E806" s="421">
        <f>E804*C806</f>
        <v>6.33</v>
      </c>
      <c r="F806" s="421">
        <f>F804*C806</f>
        <v>6.33</v>
      </c>
      <c r="G806" s="421">
        <f>G804*C806</f>
        <v>0</v>
      </c>
      <c r="H806" s="421">
        <f>H804*C806</f>
        <v>0</v>
      </c>
      <c r="I806" s="421">
        <f>I804*C806</f>
        <v>0</v>
      </c>
      <c r="J806" s="421">
        <f>J804*C806</f>
        <v>6.33</v>
      </c>
      <c r="K806" s="424">
        <f t="shared" si="54"/>
        <v>18.990000000000002</v>
      </c>
    </row>
    <row r="807" spans="1:22" x14ac:dyDescent="0.25">
      <c r="B807" s="389" t="s">
        <v>718</v>
      </c>
      <c r="C807" s="423">
        <v>2.33</v>
      </c>
      <c r="D807" s="421">
        <f>D804*C807</f>
        <v>0</v>
      </c>
      <c r="E807" s="421">
        <f>E804*C807</f>
        <v>2.33</v>
      </c>
      <c r="F807" s="421">
        <f>F804*C807</f>
        <v>2.33</v>
      </c>
      <c r="G807" s="421">
        <f>G804*C807</f>
        <v>0</v>
      </c>
      <c r="H807" s="421">
        <f>H804*C807</f>
        <v>0</v>
      </c>
      <c r="I807" s="421">
        <f>I804*C807</f>
        <v>0</v>
      </c>
      <c r="J807" s="421">
        <f>J804*C807</f>
        <v>2.33</v>
      </c>
      <c r="K807" s="424">
        <f t="shared" si="54"/>
        <v>6.99</v>
      </c>
    </row>
    <row r="808" spans="1:22" x14ac:dyDescent="0.25">
      <c r="B808" s="389" t="s">
        <v>70</v>
      </c>
      <c r="C808" s="423">
        <v>2</v>
      </c>
      <c r="D808" s="421">
        <f>D804*C808</f>
        <v>0</v>
      </c>
      <c r="E808" s="421">
        <f>E804*C808</f>
        <v>2</v>
      </c>
      <c r="F808" s="421">
        <f>F804*C808</f>
        <v>2</v>
      </c>
      <c r="G808" s="421">
        <f>G804*C808</f>
        <v>0</v>
      </c>
      <c r="H808" s="421">
        <f>H804*C808</f>
        <v>0</v>
      </c>
      <c r="I808" s="421">
        <f>I804*C808</f>
        <v>0</v>
      </c>
      <c r="J808" s="421">
        <f>J804*C808</f>
        <v>2</v>
      </c>
      <c r="K808" s="424">
        <f t="shared" si="54"/>
        <v>6</v>
      </c>
    </row>
    <row r="809" spans="1:22" x14ac:dyDescent="0.25">
      <c r="B809" s="389" t="s">
        <v>593</v>
      </c>
      <c r="C809" s="423">
        <v>0.83</v>
      </c>
      <c r="D809" s="421">
        <f>D804*C809</f>
        <v>0</v>
      </c>
      <c r="E809" s="421">
        <f>E804*C809</f>
        <v>0.83</v>
      </c>
      <c r="F809" s="421">
        <f>F804*C809</f>
        <v>0.83</v>
      </c>
      <c r="G809" s="421">
        <f>G804*C809</f>
        <v>0</v>
      </c>
      <c r="H809" s="421">
        <f>H804*C809</f>
        <v>0</v>
      </c>
      <c r="I809" s="421">
        <f>I804*C809</f>
        <v>0</v>
      </c>
      <c r="J809" s="421">
        <f>J804*C809</f>
        <v>0.83</v>
      </c>
      <c r="K809" s="424">
        <f t="shared" si="54"/>
        <v>2.4899999999999998</v>
      </c>
    </row>
    <row r="810" spans="1:22" ht="15.75" thickBot="1" x14ac:dyDescent="0.3">
      <c r="A810" s="842" t="s">
        <v>613</v>
      </c>
      <c r="B810" s="842"/>
      <c r="C810" s="842"/>
      <c r="D810" s="842"/>
      <c r="E810" s="842"/>
      <c r="F810" s="842"/>
      <c r="G810" s="842"/>
      <c r="H810" s="842"/>
      <c r="I810" s="842"/>
      <c r="J810" s="842"/>
      <c r="K810" s="842"/>
      <c r="L810" s="842"/>
      <c r="M810" s="842"/>
      <c r="N810" s="842"/>
      <c r="O810" s="842"/>
      <c r="P810" s="842"/>
      <c r="Q810" s="842"/>
      <c r="R810" s="842"/>
      <c r="S810" s="842"/>
      <c r="T810" s="842"/>
      <c r="U810" s="842"/>
      <c r="V810" s="842"/>
    </row>
    <row r="811" spans="1:22" ht="15" customHeight="1" thickBot="1" x14ac:dyDescent="0.3">
      <c r="A811" s="439"/>
      <c r="B811" s="436">
        <v>6450225</v>
      </c>
      <c r="C811" s="411"/>
      <c r="D811" s="407" t="s">
        <v>548</v>
      </c>
      <c r="E811" s="408" t="s">
        <v>549</v>
      </c>
      <c r="F811" s="408" t="s">
        <v>550</v>
      </c>
      <c r="G811" s="408" t="s">
        <v>551</v>
      </c>
      <c r="H811" s="408" t="s">
        <v>552</v>
      </c>
      <c r="I811" s="408" t="s">
        <v>553</v>
      </c>
      <c r="J811" s="408" t="s">
        <v>554</v>
      </c>
      <c r="K811" s="408" t="s">
        <v>555</v>
      </c>
      <c r="M811" s="437" t="s">
        <v>720</v>
      </c>
    </row>
    <row r="812" spans="1:22" ht="15.75" thickBot="1" x14ac:dyDescent="0.3">
      <c r="B812" s="414" t="s">
        <v>556</v>
      </c>
      <c r="C812" s="415" t="s">
        <v>620</v>
      </c>
      <c r="D812" s="416">
        <f>IF(ISERROR(VLOOKUP(B811,'MD Usage'!$A$1:$W$5000,3,FALSE)),0,VLOOKUP(B811,'MD Usage'!$A$1:$W$5000,3,FALSE))</f>
        <v>1</v>
      </c>
      <c r="E812" s="416">
        <f>IF(ISERROR(VLOOKUP(B811,'MD Usage'!$A$1:$W$5000,5,FALSE)),0,VLOOKUP(B811,'MD Usage'!$A$1:$W$5000,5,FALSE))</f>
        <v>1</v>
      </c>
      <c r="F812" s="416">
        <f>IF(ISERROR(VLOOKUP(B811,'MD Usage'!$A$1:$W$5000,7,FALSE)),0,VLOOKUP(B811,'MD Usage'!$A$1:$W$5000,7,FALSE))</f>
        <v>0</v>
      </c>
      <c r="G812" s="416">
        <f>IF(ISERROR(VLOOKUP(B811,'MD Usage'!$A$1:$W$5000,9,FALSE)),0,VLOOKUP(B811,'MD Usage'!$A$1:$W$5000,9,FALSE))</f>
        <v>0</v>
      </c>
      <c r="H812" s="416">
        <f>IF(ISERROR(VLOOKUP(B811,'MD Usage'!$A$1:$W$5000,11,FALSE)),0,VLOOKUP(B811,'MD Usage'!$A$1:$W$5000,11,FALSE))</f>
        <v>1</v>
      </c>
      <c r="I812" s="416">
        <f>IF(ISERROR(VLOOKUP(B811,'MD Usage'!A1:R2000,13,FALSE)),0,VLOOKUP(B811,'MD Usage'!A1:R2000,13,FALSE))</f>
        <v>2</v>
      </c>
      <c r="J812" s="416">
        <f>IF(ISERROR(VLOOKUP(B811,'MD Usage'!A1:R2000,15,FALSE)),0,VLOOKUP(B811,'MD Usage'!A1:R2000,15,FALSE))</f>
        <v>0</v>
      </c>
      <c r="K812" s="418">
        <f t="shared" ref="K812:K818" si="55">SUM(D812:J812)</f>
        <v>5</v>
      </c>
    </row>
    <row r="813" spans="1:22" x14ac:dyDescent="0.25">
      <c r="B813" s="419" t="s">
        <v>916</v>
      </c>
      <c r="C813" s="420">
        <v>2</v>
      </c>
      <c r="D813" s="421">
        <f>D812*C813</f>
        <v>2</v>
      </c>
      <c r="E813" s="421">
        <f>E812*C813</f>
        <v>2</v>
      </c>
      <c r="F813" s="421">
        <f>F812*C813</f>
        <v>0</v>
      </c>
      <c r="G813" s="421">
        <f>G812*C813</f>
        <v>0</v>
      </c>
      <c r="H813" s="421">
        <f>H812*C813</f>
        <v>2</v>
      </c>
      <c r="I813" s="421">
        <f>I812*C813</f>
        <v>4</v>
      </c>
      <c r="J813" s="421">
        <f>J812*C813</f>
        <v>0</v>
      </c>
      <c r="K813" s="422">
        <f t="shared" si="55"/>
        <v>10</v>
      </c>
    </row>
    <row r="814" spans="1:22" x14ac:dyDescent="0.25">
      <c r="B814" s="389" t="s">
        <v>594</v>
      </c>
      <c r="C814" s="423">
        <v>1</v>
      </c>
      <c r="D814" s="421">
        <f>D812*C814</f>
        <v>1</v>
      </c>
      <c r="E814" s="421">
        <f>E812*C814</f>
        <v>1</v>
      </c>
      <c r="F814" s="421">
        <f>F812*C814</f>
        <v>0</v>
      </c>
      <c r="G814" s="421">
        <f>G812*C814</f>
        <v>0</v>
      </c>
      <c r="H814" s="421">
        <f>H812*C814</f>
        <v>1</v>
      </c>
      <c r="I814" s="421">
        <f>I812*C814</f>
        <v>2</v>
      </c>
      <c r="J814" s="421">
        <f>J812*C814</f>
        <v>0</v>
      </c>
      <c r="K814" s="424">
        <f t="shared" si="55"/>
        <v>5</v>
      </c>
    </row>
    <row r="815" spans="1:22" x14ac:dyDescent="0.25">
      <c r="B815" s="389" t="s">
        <v>578</v>
      </c>
      <c r="C815" s="423">
        <v>4</v>
      </c>
      <c r="D815" s="421">
        <f>D812*C815</f>
        <v>4</v>
      </c>
      <c r="E815" s="421">
        <f>E812*C815</f>
        <v>4</v>
      </c>
      <c r="F815" s="421">
        <f>F812*C815</f>
        <v>0</v>
      </c>
      <c r="G815" s="421">
        <f>G812*C815</f>
        <v>0</v>
      </c>
      <c r="H815" s="421">
        <f>H812*C815</f>
        <v>4</v>
      </c>
      <c r="I815" s="421">
        <f>I812*C815</f>
        <v>8</v>
      </c>
      <c r="J815" s="421">
        <f>J812*C815</f>
        <v>0</v>
      </c>
      <c r="K815" s="424">
        <f t="shared" si="55"/>
        <v>20</v>
      </c>
    </row>
    <row r="816" spans="1:22" x14ac:dyDescent="0.25">
      <c r="B816" s="389" t="s">
        <v>718</v>
      </c>
      <c r="C816" s="423">
        <v>1.5</v>
      </c>
      <c r="D816" s="421">
        <f>D812*C816</f>
        <v>1.5</v>
      </c>
      <c r="E816" s="421">
        <f>E812*C816</f>
        <v>1.5</v>
      </c>
      <c r="F816" s="421">
        <f>F812*C816</f>
        <v>0</v>
      </c>
      <c r="G816" s="421">
        <f>G812*C816</f>
        <v>0</v>
      </c>
      <c r="H816" s="421">
        <f>H812*C816</f>
        <v>1.5</v>
      </c>
      <c r="I816" s="421">
        <f>I812*C816</f>
        <v>3</v>
      </c>
      <c r="J816" s="421">
        <f>J812*C816</f>
        <v>0</v>
      </c>
      <c r="K816" s="424">
        <f t="shared" si="55"/>
        <v>7.5</v>
      </c>
    </row>
    <row r="817" spans="2:13" x14ac:dyDescent="0.25">
      <c r="B817" s="389" t="s">
        <v>920</v>
      </c>
      <c r="C817" s="423">
        <v>1</v>
      </c>
      <c r="D817" s="421">
        <f>D812*C817</f>
        <v>1</v>
      </c>
      <c r="E817" s="421">
        <f>E812*C817</f>
        <v>1</v>
      </c>
      <c r="F817" s="421">
        <f>F812*C817</f>
        <v>0</v>
      </c>
      <c r="G817" s="421">
        <f>G812*C817</f>
        <v>0</v>
      </c>
      <c r="H817" s="421">
        <f>H812*C817</f>
        <v>1</v>
      </c>
      <c r="I817" s="421">
        <f>I812*C817</f>
        <v>2</v>
      </c>
      <c r="J817" s="421">
        <f>J812*C817</f>
        <v>0</v>
      </c>
      <c r="K817" s="424">
        <f t="shared" si="55"/>
        <v>5</v>
      </c>
    </row>
    <row r="818" spans="2:13" x14ac:dyDescent="0.25">
      <c r="B818" s="389"/>
      <c r="C818" s="423"/>
      <c r="D818" s="421">
        <f>D812*C818</f>
        <v>0</v>
      </c>
      <c r="E818" s="421">
        <f>E812*C818</f>
        <v>0</v>
      </c>
      <c r="F818" s="421">
        <f>F812*C818</f>
        <v>0</v>
      </c>
      <c r="G818" s="421">
        <f>G812*C818</f>
        <v>0</v>
      </c>
      <c r="H818" s="421">
        <f>H812*C818</f>
        <v>0</v>
      </c>
      <c r="I818" s="421">
        <f>I812*C818</f>
        <v>0</v>
      </c>
      <c r="J818" s="421">
        <f>J812*C818</f>
        <v>0</v>
      </c>
      <c r="K818" s="424">
        <f t="shared" si="55"/>
        <v>0</v>
      </c>
    </row>
    <row r="819" spans="2:13" ht="15.75" thickBot="1" x14ac:dyDescent="0.3"/>
    <row r="820" spans="2:13" ht="15" customHeight="1" thickBot="1" x14ac:dyDescent="0.3">
      <c r="B820" s="437">
        <v>6450005</v>
      </c>
      <c r="C820" s="411"/>
      <c r="D820" s="407" t="s">
        <v>548</v>
      </c>
      <c r="E820" s="408" t="s">
        <v>549</v>
      </c>
      <c r="F820" s="408" t="s">
        <v>550</v>
      </c>
      <c r="G820" s="408" t="s">
        <v>551</v>
      </c>
      <c r="H820" s="408" t="s">
        <v>552</v>
      </c>
      <c r="I820" s="408" t="s">
        <v>553</v>
      </c>
      <c r="J820" s="408" t="s">
        <v>554</v>
      </c>
      <c r="K820" s="408" t="s">
        <v>555</v>
      </c>
      <c r="M820" s="426" t="s">
        <v>721</v>
      </c>
    </row>
    <row r="821" spans="2:13" ht="15.75" thickBot="1" x14ac:dyDescent="0.3">
      <c r="B821" s="414" t="s">
        <v>556</v>
      </c>
      <c r="C821" s="415" t="s">
        <v>620</v>
      </c>
      <c r="D821" s="416">
        <f>IF(ISERROR(VLOOKUP(B820,'MD Usage'!$A$1:$W$5000,3,FALSE)),0,VLOOKUP(B820,'MD Usage'!$A$1:$W$5000,3,FALSE))</f>
        <v>4</v>
      </c>
      <c r="E821" s="416">
        <f>IF(ISERROR(VLOOKUP(B820,'MD Usage'!$A$1:$W$5000,5,FALSE)),0,VLOOKUP(B820,'MD Usage'!$A$1:$W$5000,5,FALSE))</f>
        <v>3</v>
      </c>
      <c r="F821" s="416">
        <f>IF(ISERROR(VLOOKUP(B820,'MD Usage'!$A$1:$W$5000,7,FALSE)),0,VLOOKUP(B820,'MD Usage'!$A$1:$W$5000,7,FALSE))</f>
        <v>9</v>
      </c>
      <c r="G821" s="416">
        <f>IF(ISERROR(VLOOKUP(B820,'MD Usage'!$A$1:$W$5000,9,FALSE)),0,VLOOKUP(B820,'MD Usage'!$A$1:$W$5000,9,FALSE))</f>
        <v>8</v>
      </c>
      <c r="H821" s="416">
        <f>IF(ISERROR(VLOOKUP(B820,'MD Usage'!$A$1:$W$5000,11,FALSE)),0,VLOOKUP(B820,'MD Usage'!$A$1:$W$5000,11,FALSE))</f>
        <v>28</v>
      </c>
      <c r="I821" s="416">
        <f>IF(ISERROR(VLOOKUP(B820,'MD Usage'!A1:R2000,13,FALSE)),0,VLOOKUP(B820,'MD Usage'!A1:R2000,13,FALSE))</f>
        <v>19</v>
      </c>
      <c r="J821" s="416">
        <f>IF(ISERROR(VLOOKUP(B820,'MD Usage'!A1:R2000,15,FALSE)),0,VLOOKUP(B820,'MD Usage'!A1:R2000,15,FALSE))</f>
        <v>10</v>
      </c>
      <c r="K821" s="418">
        <f t="shared" ref="K821:K827" si="56">SUM(D821:J821)</f>
        <v>81</v>
      </c>
    </row>
    <row r="822" spans="2:13" x14ac:dyDescent="0.25">
      <c r="B822" s="419" t="s">
        <v>916</v>
      </c>
      <c r="C822" s="420">
        <v>2</v>
      </c>
      <c r="D822" s="421">
        <f>D821*C822</f>
        <v>8</v>
      </c>
      <c r="E822" s="421">
        <f>E821*C822</f>
        <v>6</v>
      </c>
      <c r="F822" s="421">
        <f>F821*C822</f>
        <v>18</v>
      </c>
      <c r="G822" s="421">
        <f>G821*C822</f>
        <v>16</v>
      </c>
      <c r="H822" s="421">
        <f>H821*C822</f>
        <v>56</v>
      </c>
      <c r="I822" s="421">
        <f>I821*C822</f>
        <v>38</v>
      </c>
      <c r="J822" s="421">
        <f>J821*C822</f>
        <v>20</v>
      </c>
      <c r="K822" s="422">
        <f t="shared" si="56"/>
        <v>162</v>
      </c>
    </row>
    <row r="823" spans="2:13" x14ac:dyDescent="0.25">
      <c r="B823" s="389" t="s">
        <v>594</v>
      </c>
      <c r="C823" s="423">
        <v>1</v>
      </c>
      <c r="D823" s="421">
        <f>D821*C823</f>
        <v>4</v>
      </c>
      <c r="E823" s="421">
        <f>E821*C823</f>
        <v>3</v>
      </c>
      <c r="F823" s="421">
        <f>F821*C823</f>
        <v>9</v>
      </c>
      <c r="G823" s="421">
        <f>G821*C823</f>
        <v>8</v>
      </c>
      <c r="H823" s="421">
        <f>H821*C823</f>
        <v>28</v>
      </c>
      <c r="I823" s="421">
        <f>I821*C823</f>
        <v>19</v>
      </c>
      <c r="J823" s="421">
        <f>J821*C823</f>
        <v>10</v>
      </c>
      <c r="K823" s="424">
        <f t="shared" si="56"/>
        <v>81</v>
      </c>
    </row>
    <row r="824" spans="2:13" x14ac:dyDescent="0.25">
      <c r="B824" s="389" t="s">
        <v>578</v>
      </c>
      <c r="C824" s="423">
        <v>4</v>
      </c>
      <c r="D824" s="421">
        <f>D821*C824</f>
        <v>16</v>
      </c>
      <c r="E824" s="421">
        <f>E821*C824</f>
        <v>12</v>
      </c>
      <c r="F824" s="421">
        <f>F821*C824</f>
        <v>36</v>
      </c>
      <c r="G824" s="421">
        <f>G821*C824</f>
        <v>32</v>
      </c>
      <c r="H824" s="421">
        <f>H821*C824</f>
        <v>112</v>
      </c>
      <c r="I824" s="421">
        <f>I821*C824</f>
        <v>76</v>
      </c>
      <c r="J824" s="421">
        <f>J821*C824</f>
        <v>40</v>
      </c>
      <c r="K824" s="424">
        <f t="shared" si="56"/>
        <v>324</v>
      </c>
    </row>
    <row r="825" spans="2:13" x14ac:dyDescent="0.25">
      <c r="B825" s="389" t="s">
        <v>718</v>
      </c>
      <c r="C825" s="423">
        <v>1.5</v>
      </c>
      <c r="D825" s="421">
        <f>D821*C825</f>
        <v>6</v>
      </c>
      <c r="E825" s="421">
        <f>E821*C825</f>
        <v>4.5</v>
      </c>
      <c r="F825" s="421">
        <f>F821*C825</f>
        <v>13.5</v>
      </c>
      <c r="G825" s="421">
        <f>G821*C825</f>
        <v>12</v>
      </c>
      <c r="H825" s="421">
        <f>H821*C825</f>
        <v>42</v>
      </c>
      <c r="I825" s="421">
        <f>I821*C825</f>
        <v>28.5</v>
      </c>
      <c r="J825" s="421">
        <f>J821*C825</f>
        <v>15</v>
      </c>
      <c r="K825" s="424">
        <f t="shared" si="56"/>
        <v>121.5</v>
      </c>
    </row>
    <row r="826" spans="2:13" x14ac:dyDescent="0.25">
      <c r="B826" s="389" t="s">
        <v>920</v>
      </c>
      <c r="C826" s="423">
        <v>1</v>
      </c>
      <c r="D826" s="421">
        <f>D821*C826</f>
        <v>4</v>
      </c>
      <c r="E826" s="421">
        <f>E821*C826</f>
        <v>3</v>
      </c>
      <c r="F826" s="421">
        <f>F821*C826</f>
        <v>9</v>
      </c>
      <c r="G826" s="421">
        <f>G821*C826</f>
        <v>8</v>
      </c>
      <c r="H826" s="421">
        <f>H821*C826</f>
        <v>28</v>
      </c>
      <c r="I826" s="421">
        <f>I821*C826</f>
        <v>19</v>
      </c>
      <c r="J826" s="421">
        <f>J821*C826</f>
        <v>10</v>
      </c>
      <c r="K826" s="424">
        <f t="shared" si="56"/>
        <v>81</v>
      </c>
    </row>
    <row r="827" spans="2:13" x14ac:dyDescent="0.25">
      <c r="B827" s="389"/>
      <c r="C827" s="423"/>
      <c r="D827" s="421">
        <f>D821*C827</f>
        <v>0</v>
      </c>
      <c r="E827" s="421">
        <f>E821*C827</f>
        <v>0</v>
      </c>
      <c r="F827" s="421">
        <f>F821*C827</f>
        <v>0</v>
      </c>
      <c r="G827" s="421">
        <f>G821*C827</f>
        <v>0</v>
      </c>
      <c r="H827" s="421">
        <f>H821*C827</f>
        <v>0</v>
      </c>
      <c r="I827" s="421">
        <f>I821*C827</f>
        <v>0</v>
      </c>
      <c r="J827" s="421">
        <f>J821*C827</f>
        <v>0</v>
      </c>
      <c r="K827" s="424">
        <f t="shared" si="56"/>
        <v>0</v>
      </c>
    </row>
    <row r="828" spans="2:13" ht="15.75" thickBot="1" x14ac:dyDescent="0.3"/>
    <row r="829" spans="2:13" ht="15.75" thickBot="1" x14ac:dyDescent="0.3">
      <c r="B829" s="437">
        <v>6450211</v>
      </c>
      <c r="C829" s="411"/>
      <c r="D829" s="407" t="s">
        <v>548</v>
      </c>
      <c r="E829" s="408" t="s">
        <v>549</v>
      </c>
      <c r="F829" s="408" t="s">
        <v>550</v>
      </c>
      <c r="G829" s="408" t="s">
        <v>551</v>
      </c>
      <c r="H829" s="408" t="s">
        <v>552</v>
      </c>
      <c r="I829" s="408" t="s">
        <v>553</v>
      </c>
      <c r="J829" s="408" t="s">
        <v>554</v>
      </c>
      <c r="K829" s="408" t="s">
        <v>555</v>
      </c>
      <c r="M829" s="426" t="s">
        <v>722</v>
      </c>
    </row>
    <row r="830" spans="2:13" ht="15.75" thickBot="1" x14ac:dyDescent="0.3">
      <c r="B830" s="414" t="s">
        <v>556</v>
      </c>
      <c r="C830" s="415" t="s">
        <v>620</v>
      </c>
      <c r="D830" s="416">
        <f>IF(ISERROR(VLOOKUP(B829,'MD Usage'!$A$1:$W$5000,3,FALSE)),0,VLOOKUP(B829,'MD Usage'!$A$1:$W$5000,3,FALSE))</f>
        <v>0</v>
      </c>
      <c r="E830" s="416">
        <f>IF(ISERROR(VLOOKUP(B829,'MD Usage'!$A$1:$W$5000,5,FALSE)),0,VLOOKUP(B829,'MD Usage'!$A$1:$W$5000,5,FALSE))</f>
        <v>0</v>
      </c>
      <c r="F830" s="416">
        <f>IF(ISERROR(VLOOKUP(B829,'MD Usage'!$A$1:$W$5000,7,FALSE)),0,VLOOKUP(B829,'MD Usage'!$A$1:$W$5000,7,FALSE))</f>
        <v>1</v>
      </c>
      <c r="G830" s="416">
        <f>IF(ISERROR(VLOOKUP(B829,'MD Usage'!$A$1:$W$5000,9,FALSE)),0,VLOOKUP(B829,'MD Usage'!$A$1:$W$5000,9,FALSE))</f>
        <v>0</v>
      </c>
      <c r="H830" s="416">
        <f>IF(ISERROR(VLOOKUP(B829,'MD Usage'!$A$1:$W$5000,11,FALSE)),0,VLOOKUP(B829,'MD Usage'!$A$1:$W$5000,11,FALSE))</f>
        <v>1</v>
      </c>
      <c r="I830" s="416">
        <f>IF(ISERROR(VLOOKUP(B829,'MD Usage'!A1:R2000,13,FALSE)),0,VLOOKUP(B829,'MD Usage'!A1:R2000,13,FALSE))</f>
        <v>4</v>
      </c>
      <c r="J830" s="416">
        <f>IF(ISERROR(VLOOKUP(B829,'MD Usage'!A1:R2000,15,FALSE)),0,VLOOKUP(B829,'MD Usage'!A1:R2000,15,FALSE))</f>
        <v>1</v>
      </c>
      <c r="K830" s="418">
        <f t="shared" ref="K830:K835" si="57">SUM(D830:J830)</f>
        <v>7</v>
      </c>
    </row>
    <row r="831" spans="2:13" x14ac:dyDescent="0.25">
      <c r="B831" s="419" t="s">
        <v>916</v>
      </c>
      <c r="C831" s="420">
        <v>1</v>
      </c>
      <c r="D831" s="421">
        <f>D830*C831</f>
        <v>0</v>
      </c>
      <c r="E831" s="421">
        <f>E830*C831</f>
        <v>0</v>
      </c>
      <c r="F831" s="421">
        <f>F830*C831</f>
        <v>1</v>
      </c>
      <c r="G831" s="421">
        <f>G830*C831</f>
        <v>0</v>
      </c>
      <c r="H831" s="421">
        <f>H830*C831</f>
        <v>1</v>
      </c>
      <c r="I831" s="421">
        <f>I830*C831</f>
        <v>4</v>
      </c>
      <c r="J831" s="421">
        <f>J830*C831</f>
        <v>1</v>
      </c>
      <c r="K831" s="422">
        <f t="shared" si="57"/>
        <v>7</v>
      </c>
    </row>
    <row r="832" spans="2:13" ht="15" customHeight="1" x14ac:dyDescent="0.25">
      <c r="B832" s="389" t="s">
        <v>594</v>
      </c>
      <c r="C832" s="423">
        <v>1</v>
      </c>
      <c r="D832" s="421">
        <f>D830*C832</f>
        <v>0</v>
      </c>
      <c r="E832" s="421">
        <f>E830*C832</f>
        <v>0</v>
      </c>
      <c r="F832" s="421">
        <f>F830*C832</f>
        <v>1</v>
      </c>
      <c r="G832" s="421">
        <f>G830*C832</f>
        <v>0</v>
      </c>
      <c r="H832" s="421">
        <f>H830*C832</f>
        <v>1</v>
      </c>
      <c r="I832" s="421">
        <f>I830*C832</f>
        <v>4</v>
      </c>
      <c r="J832" s="421">
        <f>J830*C832</f>
        <v>1</v>
      </c>
      <c r="K832" s="424">
        <f t="shared" si="57"/>
        <v>7</v>
      </c>
    </row>
    <row r="833" spans="2:13" ht="15" customHeight="1" x14ac:dyDescent="0.25">
      <c r="B833" s="389" t="s">
        <v>578</v>
      </c>
      <c r="C833" s="423">
        <v>3</v>
      </c>
      <c r="D833" s="421">
        <f>D830*C833</f>
        <v>0</v>
      </c>
      <c r="E833" s="421">
        <f>E830*C833</f>
        <v>0</v>
      </c>
      <c r="F833" s="421">
        <f>F830*C833</f>
        <v>3</v>
      </c>
      <c r="G833" s="421">
        <f>G830*C833</f>
        <v>0</v>
      </c>
      <c r="H833" s="421">
        <f>H830*C833</f>
        <v>3</v>
      </c>
      <c r="I833" s="421">
        <f>I830*C833</f>
        <v>12</v>
      </c>
      <c r="J833" s="421">
        <f>J830*C833</f>
        <v>3</v>
      </c>
      <c r="K833" s="424">
        <f t="shared" si="57"/>
        <v>21</v>
      </c>
    </row>
    <row r="834" spans="2:13" x14ac:dyDescent="0.25">
      <c r="B834" s="389" t="s">
        <v>625</v>
      </c>
      <c r="C834" s="423">
        <v>1</v>
      </c>
      <c r="D834" s="421">
        <f>D830*C834</f>
        <v>0</v>
      </c>
      <c r="E834" s="421">
        <f>E830*C834</f>
        <v>0</v>
      </c>
      <c r="F834" s="421">
        <f>F830*C834</f>
        <v>1</v>
      </c>
      <c r="G834" s="421">
        <f>G830*C834</f>
        <v>0</v>
      </c>
      <c r="H834" s="421">
        <f>H830*C834</f>
        <v>1</v>
      </c>
      <c r="I834" s="421">
        <f>I830*C834</f>
        <v>4</v>
      </c>
      <c r="J834" s="421">
        <f>J830*C834</f>
        <v>1</v>
      </c>
      <c r="K834" s="424">
        <f t="shared" si="57"/>
        <v>7</v>
      </c>
    </row>
    <row r="835" spans="2:13" x14ac:dyDescent="0.25">
      <c r="B835" s="389" t="s">
        <v>924</v>
      </c>
      <c r="C835" s="423">
        <v>1</v>
      </c>
      <c r="D835" s="421">
        <f>D830*C835</f>
        <v>0</v>
      </c>
      <c r="E835" s="421">
        <f>E830*C835</f>
        <v>0</v>
      </c>
      <c r="F835" s="421">
        <f>F830*C835</f>
        <v>1</v>
      </c>
      <c r="G835" s="421">
        <f>G830*C835</f>
        <v>0</v>
      </c>
      <c r="H835" s="421">
        <f>H830*C835</f>
        <v>1</v>
      </c>
      <c r="I835" s="421">
        <f>I830*C835</f>
        <v>4</v>
      </c>
      <c r="J835" s="421">
        <f>J830*C835</f>
        <v>1</v>
      </c>
      <c r="K835" s="424">
        <f t="shared" si="57"/>
        <v>7</v>
      </c>
    </row>
    <row r="836" spans="2:13" ht="15.75" thickBot="1" x14ac:dyDescent="0.3"/>
    <row r="837" spans="2:13" ht="15.75" thickBot="1" x14ac:dyDescent="0.3">
      <c r="B837" s="437">
        <v>6450133</v>
      </c>
      <c r="C837" s="411"/>
      <c r="D837" s="407" t="s">
        <v>548</v>
      </c>
      <c r="E837" s="408" t="s">
        <v>549</v>
      </c>
      <c r="F837" s="408" t="s">
        <v>550</v>
      </c>
      <c r="G837" s="408" t="s">
        <v>551</v>
      </c>
      <c r="H837" s="408" t="s">
        <v>552</v>
      </c>
      <c r="I837" s="408" t="s">
        <v>553</v>
      </c>
      <c r="J837" s="408" t="s">
        <v>554</v>
      </c>
      <c r="K837" s="408" t="s">
        <v>555</v>
      </c>
      <c r="M837" s="426" t="s">
        <v>723</v>
      </c>
    </row>
    <row r="838" spans="2:13" ht="15.75" thickBot="1" x14ac:dyDescent="0.3">
      <c r="B838" s="414" t="s">
        <v>556</v>
      </c>
      <c r="C838" s="415" t="s">
        <v>620</v>
      </c>
      <c r="D838" s="416">
        <f>IF(ISERROR(VLOOKUP(B837,'MD Usage'!$A$1:$W$5000,3,FALSE)),0,VLOOKUP(B837,'MD Usage'!$A$1:$W$5000,3,FALSE))</f>
        <v>0</v>
      </c>
      <c r="E838" s="416">
        <f>IF(ISERROR(VLOOKUP(B837,'MD Usage'!$A$1:$W$5000,5,FALSE)),0,VLOOKUP(B837,'MD Usage'!$A$1:$W$5000,5,FALSE))</f>
        <v>0</v>
      </c>
      <c r="F838" s="416">
        <f>IF(ISERROR(VLOOKUP(B837,'MD Usage'!$A$1:$W$5000,7,FALSE)),0,VLOOKUP(B837,'MD Usage'!$A$1:$W$5000,7,FALSE))</f>
        <v>0</v>
      </c>
      <c r="G838" s="416">
        <f>IF(ISERROR(VLOOKUP(B837,'MD Usage'!$A$1:$W$5000,9,FALSE)),0,VLOOKUP(B837,'MD Usage'!$A$1:$W$5000,9,FALSE))</f>
        <v>0</v>
      </c>
      <c r="H838" s="416">
        <f>IF(ISERROR(VLOOKUP(B837,'MD Usage'!$A$1:$W$5000,11,FALSE)),0,VLOOKUP(B837,'MD Usage'!$A$1:$W$5000,11,FALSE))</f>
        <v>0</v>
      </c>
      <c r="I838" s="416">
        <f>IF(ISERROR(VLOOKUP(B837,'MD Usage'!A1:R2000,13,FALSE)),0,VLOOKUP(B837,'MD Usage'!A1:R2000,13,FALSE))</f>
        <v>0</v>
      </c>
      <c r="J838" s="416">
        <f>IF(ISERROR(VLOOKUP(B837,'MD Usage'!A1:R2000,15,FALSE)),0,VLOOKUP(B837,'MD Usage'!A1:R2000,15,FALSE))</f>
        <v>0</v>
      </c>
      <c r="K838" s="418">
        <f t="shared" ref="K838:K843" si="58">SUM(D838:J838)</f>
        <v>0</v>
      </c>
    </row>
    <row r="839" spans="2:13" x14ac:dyDescent="0.25">
      <c r="B839" s="419" t="s">
        <v>916</v>
      </c>
      <c r="C839" s="420">
        <v>1</v>
      </c>
      <c r="D839" s="421">
        <f>D838*C839</f>
        <v>0</v>
      </c>
      <c r="E839" s="421">
        <f>E838*C839</f>
        <v>0</v>
      </c>
      <c r="F839" s="421">
        <f>F838*C839</f>
        <v>0</v>
      </c>
      <c r="G839" s="421">
        <f>G838*C839</f>
        <v>0</v>
      </c>
      <c r="H839" s="421">
        <f>H838*C839</f>
        <v>0</v>
      </c>
      <c r="I839" s="421">
        <f>I838*C839</f>
        <v>0</v>
      </c>
      <c r="J839" s="421">
        <f>J838*C839</f>
        <v>0</v>
      </c>
      <c r="K839" s="422">
        <f t="shared" si="58"/>
        <v>0</v>
      </c>
    </row>
    <row r="840" spans="2:13" x14ac:dyDescent="0.25">
      <c r="B840" s="383" t="s">
        <v>594</v>
      </c>
      <c r="C840" s="423">
        <v>2</v>
      </c>
      <c r="D840" s="421">
        <f>D838*C840</f>
        <v>0</v>
      </c>
      <c r="E840" s="421">
        <f>E838*C840</f>
        <v>0</v>
      </c>
      <c r="F840" s="421">
        <f>F838*C840</f>
        <v>0</v>
      </c>
      <c r="G840" s="421">
        <f>G838*C840</f>
        <v>0</v>
      </c>
      <c r="H840" s="421">
        <f>H838*C840</f>
        <v>0</v>
      </c>
      <c r="I840" s="421">
        <f>I838*C840</f>
        <v>0</v>
      </c>
      <c r="J840" s="421">
        <f>J838*C840</f>
        <v>0</v>
      </c>
      <c r="K840" s="424">
        <f t="shared" si="58"/>
        <v>0</v>
      </c>
    </row>
    <row r="841" spans="2:13" ht="15" customHeight="1" x14ac:dyDescent="0.25">
      <c r="B841" s="389" t="s">
        <v>578</v>
      </c>
      <c r="C841" s="423">
        <v>3</v>
      </c>
      <c r="D841" s="421">
        <f>D838*C841</f>
        <v>0</v>
      </c>
      <c r="E841" s="421">
        <f>E838*C841</f>
        <v>0</v>
      </c>
      <c r="F841" s="421">
        <f>F838*C841</f>
        <v>0</v>
      </c>
      <c r="G841" s="421">
        <f>G838*C841</f>
        <v>0</v>
      </c>
      <c r="H841" s="421">
        <f>H838*C841</f>
        <v>0</v>
      </c>
      <c r="I841" s="421">
        <f>I838*C841</f>
        <v>0</v>
      </c>
      <c r="J841" s="421">
        <f>J838*C841</f>
        <v>0</v>
      </c>
      <c r="K841" s="424">
        <f t="shared" si="58"/>
        <v>0</v>
      </c>
    </row>
    <row r="842" spans="2:13" x14ac:dyDescent="0.25">
      <c r="B842" s="389" t="s">
        <v>625</v>
      </c>
      <c r="C842" s="423">
        <v>1</v>
      </c>
      <c r="D842" s="421">
        <f>D838*C842</f>
        <v>0</v>
      </c>
      <c r="E842" s="421">
        <f>E838*C842</f>
        <v>0</v>
      </c>
      <c r="F842" s="421">
        <f>F838*C842</f>
        <v>0</v>
      </c>
      <c r="G842" s="421">
        <f>G838*C842</f>
        <v>0</v>
      </c>
      <c r="H842" s="421">
        <f>H838*C842</f>
        <v>0</v>
      </c>
      <c r="I842" s="421">
        <f>I838*C842</f>
        <v>0</v>
      </c>
      <c r="J842" s="421">
        <f>J838*C842</f>
        <v>0</v>
      </c>
      <c r="K842" s="424">
        <f t="shared" si="58"/>
        <v>0</v>
      </c>
    </row>
    <row r="843" spans="2:13" x14ac:dyDescent="0.25">
      <c r="B843" s="389" t="s">
        <v>924</v>
      </c>
      <c r="C843" s="423">
        <v>1</v>
      </c>
      <c r="D843" s="421">
        <f>D838*C843</f>
        <v>0</v>
      </c>
      <c r="E843" s="421">
        <f>E838*C843</f>
        <v>0</v>
      </c>
      <c r="F843" s="421">
        <f>F838*C843</f>
        <v>0</v>
      </c>
      <c r="G843" s="421">
        <f>G838*C843</f>
        <v>0</v>
      </c>
      <c r="H843" s="421">
        <f>H838*C843</f>
        <v>0</v>
      </c>
      <c r="I843" s="421">
        <f>I838*C843</f>
        <v>0</v>
      </c>
      <c r="J843" s="421">
        <f>J838*C843</f>
        <v>0</v>
      </c>
      <c r="K843" s="424">
        <f t="shared" si="58"/>
        <v>0</v>
      </c>
    </row>
    <row r="844" spans="2:13" ht="15.75" thickBot="1" x14ac:dyDescent="0.3"/>
    <row r="845" spans="2:13" ht="15.75" thickBot="1" x14ac:dyDescent="0.3">
      <c r="B845" s="437">
        <v>6450207</v>
      </c>
      <c r="C845" s="411"/>
      <c r="D845" s="407" t="s">
        <v>548</v>
      </c>
      <c r="E845" s="408" t="s">
        <v>549</v>
      </c>
      <c r="F845" s="408" t="s">
        <v>550</v>
      </c>
      <c r="G845" s="408" t="s">
        <v>551</v>
      </c>
      <c r="H845" s="408" t="s">
        <v>552</v>
      </c>
      <c r="I845" s="408" t="s">
        <v>553</v>
      </c>
      <c r="J845" s="408" t="s">
        <v>554</v>
      </c>
      <c r="K845" s="408" t="s">
        <v>555</v>
      </c>
      <c r="M845" s="426" t="s">
        <v>1813</v>
      </c>
    </row>
    <row r="846" spans="2:13" ht="15.75" thickBot="1" x14ac:dyDescent="0.3">
      <c r="B846" s="414" t="s">
        <v>556</v>
      </c>
      <c r="C846" s="415" t="s">
        <v>620</v>
      </c>
      <c r="D846" s="416">
        <f>IF(ISERROR(VLOOKUP(B845,'MD Usage'!$A$1:$W$5000,3,FALSE)),0,VLOOKUP(B845,'MD Usage'!$A$1:$W$5000,3,FALSE))</f>
        <v>0</v>
      </c>
      <c r="E846" s="416">
        <f>IF(ISERROR(VLOOKUP(B845,'MD Usage'!$A$1:$W$5000,5,FALSE)),0,VLOOKUP(B845,'MD Usage'!$A$1:$W$5000,5,FALSE))</f>
        <v>0</v>
      </c>
      <c r="F846" s="416">
        <f>IF(ISERROR(VLOOKUP(B845,'MD Usage'!$A$1:$W$5000,7,FALSE)),0,VLOOKUP(B845,'MD Usage'!$A$1:$W$5000,7,FALSE))</f>
        <v>0</v>
      </c>
      <c r="G846" s="416">
        <f>IF(ISERROR(VLOOKUP(B845,'MD Usage'!$A$1:$W$5000,9,FALSE)),0,VLOOKUP(B845,'MD Usage'!$A$1:$W$5000,9,FALSE))</f>
        <v>0</v>
      </c>
      <c r="H846" s="416">
        <f>IF(ISERROR(VLOOKUP(B845,'MD Usage'!$A$1:$W$5000,11,FALSE)),0,VLOOKUP(B845,'MD Usage'!$A$1:$W$5000,11,FALSE))</f>
        <v>0</v>
      </c>
      <c r="I846" s="416">
        <f>IF(ISERROR(VLOOKUP(B845,'MD Usage'!A1:R2000,13,FALSE)),0,VLOOKUP(B845,'MD Usage'!A1:R2000,13,FALSE))</f>
        <v>0</v>
      </c>
      <c r="J846" s="416">
        <f>IF(ISERROR(VLOOKUP(B845,'MD Usage'!A1:R2000,15,FALSE)),0,VLOOKUP(B845,'MD Usage'!A1:R2000,15,FALSE))</f>
        <v>0</v>
      </c>
      <c r="K846" s="418">
        <f t="shared" ref="K846:K851" si="59">SUM(D846:J846)</f>
        <v>0</v>
      </c>
    </row>
    <row r="847" spans="2:13" x14ac:dyDescent="0.25">
      <c r="B847" s="419" t="s">
        <v>1813</v>
      </c>
      <c r="C847" s="420">
        <v>1</v>
      </c>
      <c r="D847" s="421">
        <f>D846*C847</f>
        <v>0</v>
      </c>
      <c r="E847" s="421">
        <f>E846*C847</f>
        <v>0</v>
      </c>
      <c r="F847" s="421">
        <f>F846*C847</f>
        <v>0</v>
      </c>
      <c r="G847" s="421">
        <f>G846*C847</f>
        <v>0</v>
      </c>
      <c r="H847" s="421">
        <f>H846*C847</f>
        <v>0</v>
      </c>
      <c r="I847" s="421">
        <f>I846*C847</f>
        <v>0</v>
      </c>
      <c r="J847" s="421">
        <f>J846*C847</f>
        <v>0</v>
      </c>
      <c r="K847" s="422">
        <f t="shared" si="59"/>
        <v>0</v>
      </c>
    </row>
    <row r="848" spans="2:13" ht="15" customHeight="1" x14ac:dyDescent="0.25">
      <c r="B848" s="389" t="s">
        <v>572</v>
      </c>
      <c r="C848" s="423">
        <v>1</v>
      </c>
      <c r="D848" s="421">
        <f>D846*C848</f>
        <v>0</v>
      </c>
      <c r="E848" s="421">
        <f>E846*C848</f>
        <v>0</v>
      </c>
      <c r="F848" s="421">
        <f>F846*C848</f>
        <v>0</v>
      </c>
      <c r="G848" s="421">
        <f>G846*C848</f>
        <v>0</v>
      </c>
      <c r="H848" s="421">
        <f>H846*C848</f>
        <v>0</v>
      </c>
      <c r="I848" s="421">
        <f>I846*C848</f>
        <v>0</v>
      </c>
      <c r="J848" s="421">
        <f>J846*C848</f>
        <v>0</v>
      </c>
      <c r="K848" s="424">
        <f t="shared" si="59"/>
        <v>0</v>
      </c>
    </row>
    <row r="849" spans="2:13" x14ac:dyDescent="0.25">
      <c r="B849" s="389" t="s">
        <v>595</v>
      </c>
      <c r="C849" s="423">
        <v>1</v>
      </c>
      <c r="D849" s="421">
        <f>D846*C849</f>
        <v>0</v>
      </c>
      <c r="E849" s="421">
        <f>E846*C849</f>
        <v>0</v>
      </c>
      <c r="F849" s="421">
        <f>F846*C849</f>
        <v>0</v>
      </c>
      <c r="G849" s="421">
        <f>G846*C849</f>
        <v>0</v>
      </c>
      <c r="H849" s="421">
        <f>H846*C849</f>
        <v>0</v>
      </c>
      <c r="I849" s="421">
        <f>I846*C849</f>
        <v>0</v>
      </c>
      <c r="J849" s="421">
        <f>J846*C849</f>
        <v>0</v>
      </c>
      <c r="K849" s="424">
        <f t="shared" si="59"/>
        <v>0</v>
      </c>
    </row>
    <row r="850" spans="2:13" x14ac:dyDescent="0.25">
      <c r="B850" s="389"/>
      <c r="C850" s="423"/>
      <c r="D850" s="421">
        <f>D846*C850</f>
        <v>0</v>
      </c>
      <c r="E850" s="421">
        <f>E846*C850</f>
        <v>0</v>
      </c>
      <c r="F850" s="421">
        <f>F846*C850</f>
        <v>0</v>
      </c>
      <c r="G850" s="421">
        <f>G846*C850</f>
        <v>0</v>
      </c>
      <c r="H850" s="421">
        <f>H846*C850</f>
        <v>0</v>
      </c>
      <c r="I850" s="421">
        <f>I846*C850</f>
        <v>0</v>
      </c>
      <c r="J850" s="421">
        <f>J846*C850</f>
        <v>0</v>
      </c>
      <c r="K850" s="424">
        <f t="shared" si="59"/>
        <v>0</v>
      </c>
    </row>
    <row r="851" spans="2:13" x14ac:dyDescent="0.25">
      <c r="B851" s="389"/>
      <c r="C851" s="423"/>
      <c r="D851" s="421">
        <f>D846*C851</f>
        <v>0</v>
      </c>
      <c r="E851" s="421">
        <f>E846*C851</f>
        <v>0</v>
      </c>
      <c r="F851" s="421">
        <f>F846*C851</f>
        <v>0</v>
      </c>
      <c r="G851" s="421">
        <f>G846*C851</f>
        <v>0</v>
      </c>
      <c r="H851" s="421">
        <f>H846*C851</f>
        <v>0</v>
      </c>
      <c r="I851" s="421">
        <f>I846*C851</f>
        <v>0</v>
      </c>
      <c r="J851" s="421">
        <f>J846*C851</f>
        <v>0</v>
      </c>
      <c r="K851" s="424">
        <f t="shared" si="59"/>
        <v>0</v>
      </c>
    </row>
    <row r="852" spans="2:13" ht="15.75" thickBot="1" x14ac:dyDescent="0.3"/>
    <row r="853" spans="2:13" ht="15.75" thickBot="1" x14ac:dyDescent="0.3">
      <c r="B853" s="437">
        <v>6440688</v>
      </c>
      <c r="C853" s="411"/>
      <c r="D853" s="407" t="s">
        <v>548</v>
      </c>
      <c r="E853" s="408" t="s">
        <v>549</v>
      </c>
      <c r="F853" s="408" t="s">
        <v>550</v>
      </c>
      <c r="G853" s="408" t="s">
        <v>551</v>
      </c>
      <c r="H853" s="408" t="s">
        <v>552</v>
      </c>
      <c r="I853" s="408" t="s">
        <v>553</v>
      </c>
      <c r="J853" s="408" t="s">
        <v>554</v>
      </c>
      <c r="K853" s="408" t="s">
        <v>555</v>
      </c>
      <c r="M853" s="426" t="s">
        <v>1824</v>
      </c>
    </row>
    <row r="854" spans="2:13" ht="15.75" thickBot="1" x14ac:dyDescent="0.3">
      <c r="B854" s="414" t="s">
        <v>556</v>
      </c>
      <c r="C854" s="415" t="s">
        <v>620</v>
      </c>
      <c r="D854" s="416">
        <f>IF(ISERROR(VLOOKUP(B853,'MD Usage'!$A$1:$W$5000,3,FALSE)),0,VLOOKUP(B853,'MD Usage'!$A$1:$W$5000,3,FALSE))</f>
        <v>0</v>
      </c>
      <c r="E854" s="416">
        <f>IF(ISERROR(VLOOKUP(B853,'MD Usage'!$A$1:$W$5000,5,FALSE)),0,VLOOKUP(B853,'MD Usage'!$A$1:$W$5000,5,FALSE))</f>
        <v>0</v>
      </c>
      <c r="F854" s="416">
        <f>IF(ISERROR(VLOOKUP(B853,'MD Usage'!$A$1:$W$5000,7,FALSE)),0,VLOOKUP(B853,'MD Usage'!$A$1:$W$5000,7,FALSE))</f>
        <v>0</v>
      </c>
      <c r="G854" s="416">
        <f>IF(ISERROR(VLOOKUP(B853,'MD Usage'!$A$1:$W$5000,9,FALSE)),0,VLOOKUP(B853,'MD Usage'!$A$1:$W$5000,9,FALSE))</f>
        <v>3</v>
      </c>
      <c r="H854" s="416">
        <f>IF(ISERROR(VLOOKUP(B853,'MD Usage'!$A$1:$W$5000,11,FALSE)),0,VLOOKUP(B853,'MD Usage'!$A$1:$W$5000,11,FALSE))</f>
        <v>0</v>
      </c>
      <c r="I854" s="416">
        <f>IF(ISERROR(VLOOKUP(B853,'MD Usage'!A1:R2000,13,FALSE)),0,VLOOKUP(B853,'MD Usage'!A1:R2000,13,FALSE))</f>
        <v>0</v>
      </c>
      <c r="J854" s="416">
        <f>IF(ISERROR(VLOOKUP(B853,'MD Usage'!A1:R2000,15,FALSE)),0,VLOOKUP(B853,'MD Usage'!A1:R2000,15,FALSE))</f>
        <v>0</v>
      </c>
      <c r="K854" s="418">
        <f>SUM(D854:J854)</f>
        <v>3</v>
      </c>
    </row>
    <row r="855" spans="2:13" ht="15" customHeight="1" x14ac:dyDescent="0.25">
      <c r="B855" s="419" t="s">
        <v>916</v>
      </c>
      <c r="C855" s="420">
        <v>2</v>
      </c>
      <c r="D855" s="421">
        <f>D854*C855</f>
        <v>0</v>
      </c>
      <c r="E855" s="421">
        <f>E854*C855</f>
        <v>0</v>
      </c>
      <c r="F855" s="421">
        <f>F854*C855</f>
        <v>0</v>
      </c>
      <c r="G855" s="421">
        <f>G854*C855</f>
        <v>6</v>
      </c>
      <c r="H855" s="421">
        <f>H854*C855</f>
        <v>0</v>
      </c>
      <c r="I855" s="421">
        <f>I854*C855</f>
        <v>0</v>
      </c>
      <c r="J855" s="421">
        <f>J854*C855</f>
        <v>0</v>
      </c>
      <c r="K855" s="422">
        <f>SUM(D855:J855)</f>
        <v>6</v>
      </c>
    </row>
    <row r="856" spans="2:13" x14ac:dyDescent="0.25">
      <c r="B856" s="389" t="s">
        <v>594</v>
      </c>
      <c r="C856" s="423">
        <v>1</v>
      </c>
      <c r="D856" s="421">
        <f>D854*C856</f>
        <v>0</v>
      </c>
      <c r="E856" s="421">
        <f>E854*C856</f>
        <v>0</v>
      </c>
      <c r="F856" s="421">
        <f>F854*C856</f>
        <v>0</v>
      </c>
      <c r="G856" s="421">
        <f>G854*C856</f>
        <v>3</v>
      </c>
      <c r="H856" s="421">
        <f>H854*C856</f>
        <v>0</v>
      </c>
      <c r="I856" s="421">
        <f>I854*C856</f>
        <v>0</v>
      </c>
      <c r="J856" s="421">
        <f>J854*C856</f>
        <v>0</v>
      </c>
      <c r="K856" s="424">
        <f>SUM(D856:J856)</f>
        <v>3</v>
      </c>
    </row>
    <row r="857" spans="2:13" x14ac:dyDescent="0.25">
      <c r="B857" s="389" t="s">
        <v>578</v>
      </c>
      <c r="C857" s="423">
        <v>4</v>
      </c>
      <c r="D857" s="421">
        <f>D854*C857</f>
        <v>0</v>
      </c>
      <c r="E857" s="421">
        <f>E854*C857</f>
        <v>0</v>
      </c>
      <c r="F857" s="421">
        <f>F854*C857</f>
        <v>0</v>
      </c>
      <c r="G857" s="421">
        <f>G854*C857</f>
        <v>12</v>
      </c>
      <c r="H857" s="421">
        <f>H854*C857</f>
        <v>0</v>
      </c>
      <c r="I857" s="421">
        <f>I854*C857</f>
        <v>0</v>
      </c>
      <c r="J857" s="421">
        <f>J854*C857</f>
        <v>0</v>
      </c>
      <c r="K857" s="424">
        <f>SUM(D857:J857)</f>
        <v>12</v>
      </c>
    </row>
    <row r="858" spans="2:13" x14ac:dyDescent="0.25">
      <c r="B858" s="389" t="s">
        <v>718</v>
      </c>
      <c r="C858" s="423">
        <v>1.5</v>
      </c>
      <c r="D858" s="421">
        <f>D854*C858</f>
        <v>0</v>
      </c>
      <c r="E858" s="421">
        <f>E854*C858</f>
        <v>0</v>
      </c>
      <c r="F858" s="421">
        <f>F854*C858</f>
        <v>0</v>
      </c>
      <c r="G858" s="421">
        <f>G854*C858</f>
        <v>4.5</v>
      </c>
      <c r="H858" s="421">
        <f>H854*C858</f>
        <v>0</v>
      </c>
      <c r="I858" s="421">
        <f>I854*C858</f>
        <v>0</v>
      </c>
      <c r="J858" s="421">
        <f>J854*C858</f>
        <v>0</v>
      </c>
      <c r="K858" s="424">
        <f>SUM(D858:J858)</f>
        <v>4.5</v>
      </c>
    </row>
    <row r="859" spans="2:13" ht="15.75" thickBot="1" x14ac:dyDescent="0.3">
      <c r="B859" s="389"/>
      <c r="C859" s="423"/>
    </row>
    <row r="860" spans="2:13" ht="15.75" thickBot="1" x14ac:dyDescent="0.3">
      <c r="B860" s="437">
        <v>6450114</v>
      </c>
      <c r="C860" s="411"/>
      <c r="D860" s="407" t="s">
        <v>548</v>
      </c>
      <c r="E860" s="408" t="s">
        <v>549</v>
      </c>
      <c r="F860" s="408" t="s">
        <v>550</v>
      </c>
      <c r="G860" s="408" t="s">
        <v>551</v>
      </c>
      <c r="H860" s="408" t="s">
        <v>552</v>
      </c>
      <c r="I860" s="408" t="s">
        <v>553</v>
      </c>
      <c r="J860" s="408" t="s">
        <v>554</v>
      </c>
      <c r="K860" s="408" t="s">
        <v>555</v>
      </c>
      <c r="M860" s="426" t="s">
        <v>724</v>
      </c>
    </row>
    <row r="861" spans="2:13" ht="15.75" thickBot="1" x14ac:dyDescent="0.3">
      <c r="B861" s="414" t="s">
        <v>556</v>
      </c>
      <c r="C861" s="415" t="s">
        <v>620</v>
      </c>
      <c r="D861" s="416">
        <f>IF(ISERROR(VLOOKUP(B860,'MD Usage'!$A$1:$W$5000,3,FALSE)),0,VLOOKUP(B860,'MD Usage'!$A$1:$W$5000,3,FALSE))</f>
        <v>0</v>
      </c>
      <c r="E861" s="416">
        <f>IF(ISERROR(VLOOKUP(B860,'MD Usage'!$A$1:$W$5000,5,FALSE)),0,VLOOKUP(B860,'MD Usage'!$A$1:$W$5000,5,FALSE))</f>
        <v>0</v>
      </c>
      <c r="F861" s="416">
        <f>IF(ISERROR(VLOOKUP(B860,'MD Usage'!$A$1:$W$5000,7,FALSE)),0,VLOOKUP(B860,'MD Usage'!$A$1:$W$5000,7,FALSE))</f>
        <v>0</v>
      </c>
      <c r="G861" s="416">
        <f>IF(ISERROR(VLOOKUP(B860,'MD Usage'!$A$1:$W$5000,9,FALSE)),0,VLOOKUP(B860,'MD Usage'!$A$1:$W$5000,9,FALSE))</f>
        <v>0</v>
      </c>
      <c r="H861" s="416">
        <f>IF(ISERROR(VLOOKUP(B860,'MD Usage'!$A$1:$W$5000,11,FALSE)),0,VLOOKUP(B860,'MD Usage'!$A$1:$W$5000,11,FALSE))</f>
        <v>0</v>
      </c>
      <c r="I861" s="416">
        <f>IF(ISERROR(VLOOKUP(B860,'MD Usage'!A1:R2000,13,FALSE)),0,VLOOKUP(B860,'MD Usage'!A1:R2000,13,FALSE))</f>
        <v>0</v>
      </c>
      <c r="J861" s="416">
        <f>IF(ISERROR(VLOOKUP(B860,'MD Usage'!A1:R2000,15,FALSE)),0,VLOOKUP(B860,'MD Usage'!A1:R2000,15,FALSE))</f>
        <v>0</v>
      </c>
      <c r="K861" s="418">
        <f t="shared" ref="K861:K866" si="60">SUM(D861:J861)</f>
        <v>0</v>
      </c>
    </row>
    <row r="862" spans="2:13" ht="15" customHeight="1" x14ac:dyDescent="0.25">
      <c r="B862" s="419" t="s">
        <v>567</v>
      </c>
      <c r="C862" s="420">
        <v>1</v>
      </c>
      <c r="D862" s="421">
        <f>D861*C862</f>
        <v>0</v>
      </c>
      <c r="E862" s="421">
        <f>E861*C862</f>
        <v>0</v>
      </c>
      <c r="F862" s="421">
        <f>F861*C862</f>
        <v>0</v>
      </c>
      <c r="G862" s="421">
        <f>G861*C862</f>
        <v>0</v>
      </c>
      <c r="H862" s="421">
        <f>H861*C862</f>
        <v>0</v>
      </c>
      <c r="I862" s="421">
        <f>I861*C862</f>
        <v>0</v>
      </c>
      <c r="J862" s="421">
        <f>J861*C862</f>
        <v>0</v>
      </c>
      <c r="K862" s="422">
        <f t="shared" si="60"/>
        <v>0</v>
      </c>
    </row>
    <row r="863" spans="2:13" x14ac:dyDescent="0.25">
      <c r="B863" s="389" t="s">
        <v>594</v>
      </c>
      <c r="C863" s="423">
        <v>1</v>
      </c>
      <c r="D863" s="421">
        <f>D861*C863</f>
        <v>0</v>
      </c>
      <c r="E863" s="421">
        <f>E861*C863</f>
        <v>0</v>
      </c>
      <c r="F863" s="421">
        <f>F861*C863</f>
        <v>0</v>
      </c>
      <c r="G863" s="421">
        <f>G861*C863</f>
        <v>0</v>
      </c>
      <c r="H863" s="421">
        <f>H861*C863</f>
        <v>0</v>
      </c>
      <c r="I863" s="421">
        <f>I861*C863</f>
        <v>0</v>
      </c>
      <c r="J863" s="421">
        <f>J861*C863</f>
        <v>0</v>
      </c>
      <c r="K863" s="424">
        <f t="shared" si="60"/>
        <v>0</v>
      </c>
    </row>
    <row r="864" spans="2:13" x14ac:dyDescent="0.25">
      <c r="B864" s="389" t="s">
        <v>580</v>
      </c>
      <c r="C864" s="423">
        <v>4</v>
      </c>
      <c r="D864" s="421">
        <f>D861*C864</f>
        <v>0</v>
      </c>
      <c r="E864" s="421">
        <f>E861*C864</f>
        <v>0</v>
      </c>
      <c r="F864" s="421">
        <f>F861*C864</f>
        <v>0</v>
      </c>
      <c r="G864" s="421">
        <f>G861*C864</f>
        <v>0</v>
      </c>
      <c r="H864" s="421">
        <f>H861*C864</f>
        <v>0</v>
      </c>
      <c r="I864" s="421">
        <f>I861*C864</f>
        <v>0</v>
      </c>
      <c r="J864" s="421">
        <f>J861*C864</f>
        <v>0</v>
      </c>
      <c r="K864" s="424">
        <f t="shared" si="60"/>
        <v>0</v>
      </c>
    </row>
    <row r="865" spans="1:17" x14ac:dyDescent="0.25">
      <c r="B865" s="391" t="s">
        <v>572</v>
      </c>
      <c r="C865" s="440">
        <v>1</v>
      </c>
      <c r="D865" s="421">
        <f>D861*C865</f>
        <v>0</v>
      </c>
      <c r="E865" s="421">
        <f>E861*C865</f>
        <v>0</v>
      </c>
      <c r="F865" s="421">
        <f>F861*C865</f>
        <v>0</v>
      </c>
      <c r="G865" s="421">
        <f>G861*C865</f>
        <v>0</v>
      </c>
      <c r="H865" s="421">
        <f>H861*C865</f>
        <v>0</v>
      </c>
      <c r="I865" s="421">
        <f>I861*C865</f>
        <v>0</v>
      </c>
      <c r="J865" s="421">
        <f>J861*C865</f>
        <v>0</v>
      </c>
      <c r="K865" s="424">
        <f t="shared" si="60"/>
        <v>0</v>
      </c>
    </row>
    <row r="866" spans="1:17" x14ac:dyDescent="0.25">
      <c r="B866" s="389" t="s">
        <v>595</v>
      </c>
      <c r="C866" s="423">
        <v>5</v>
      </c>
      <c r="D866" s="421">
        <f>D861*C866</f>
        <v>0</v>
      </c>
      <c r="E866" s="421">
        <f>E861*C866</f>
        <v>0</v>
      </c>
      <c r="F866" s="421">
        <f>F861*C866</f>
        <v>0</v>
      </c>
      <c r="G866" s="421">
        <f>G861*C866</f>
        <v>0</v>
      </c>
      <c r="H866" s="421">
        <f>H861*C866</f>
        <v>0</v>
      </c>
      <c r="I866" s="421">
        <f>I861*C866</f>
        <v>0</v>
      </c>
      <c r="J866" s="421">
        <f>J861*C866</f>
        <v>0</v>
      </c>
      <c r="K866" s="424">
        <f t="shared" si="60"/>
        <v>0</v>
      </c>
    </row>
    <row r="867" spans="1:17" ht="15.75" thickBot="1" x14ac:dyDescent="0.3"/>
    <row r="868" spans="1:17" ht="15.75" thickBot="1" x14ac:dyDescent="0.3">
      <c r="B868" s="436">
        <v>6450004</v>
      </c>
      <c r="C868" s="411"/>
      <c r="D868" s="407" t="s">
        <v>548</v>
      </c>
      <c r="E868" s="408" t="s">
        <v>549</v>
      </c>
      <c r="F868" s="408" t="s">
        <v>550</v>
      </c>
      <c r="G868" s="408" t="s">
        <v>551</v>
      </c>
      <c r="H868" s="408" t="s">
        <v>552</v>
      </c>
      <c r="I868" s="408" t="s">
        <v>553</v>
      </c>
      <c r="J868" s="408" t="s">
        <v>554</v>
      </c>
      <c r="K868" s="408" t="s">
        <v>555</v>
      </c>
      <c r="M868" s="437" t="s">
        <v>725</v>
      </c>
    </row>
    <row r="869" spans="1:17" ht="15.75" thickBot="1" x14ac:dyDescent="0.3">
      <c r="B869" s="414" t="s">
        <v>556</v>
      </c>
      <c r="C869" s="415" t="s">
        <v>620</v>
      </c>
      <c r="D869" s="416">
        <f>IF(ISERROR(VLOOKUP(B868,'MD Usage'!$A$1:$W$5000,3,FALSE)),0,VLOOKUP(B868,'MD Usage'!$A$1:$W$5000,3,FALSE))</f>
        <v>0</v>
      </c>
      <c r="E869" s="416">
        <f>IF(ISERROR(VLOOKUP(B868,'MD Usage'!$A$1:$W$5000,5,FALSE)),0,VLOOKUP(B868,'MD Usage'!$A$1:$W$5000,5,FALSE))</f>
        <v>1</v>
      </c>
      <c r="F869" s="416">
        <f>IF(ISERROR(VLOOKUP(B868,'MD Usage'!$A$1:$W$5000,7,FALSE)),0,VLOOKUP(B868,'MD Usage'!$A$1:$W$5000,7,FALSE))</f>
        <v>5</v>
      </c>
      <c r="G869" s="416">
        <f>IF(ISERROR(VLOOKUP(B868,'MD Usage'!$A$1:$W$5000,9,FALSE)),0,VLOOKUP(B868,'MD Usage'!$A$1:$W$5000,9,FALSE))</f>
        <v>0</v>
      </c>
      <c r="H869" s="416">
        <f>IF(ISERROR(VLOOKUP(B868,'MD Usage'!$A$1:$W$5000,11,FALSE)),0,VLOOKUP(B868,'MD Usage'!$A$1:$W$5000,11,FALSE))</f>
        <v>0</v>
      </c>
      <c r="I869" s="416">
        <f>IF(ISERROR(VLOOKUP(B868,'MD Usage'!A1:R2000,13,FALSE)),0,VLOOKUP(B868,'MD Usage'!A1:R2000,13,FALSE))</f>
        <v>4</v>
      </c>
      <c r="J869" s="416">
        <f>IF(ISERROR(VLOOKUP(B868,'MD Usage'!A1:R2000,15,FALSE)),0,VLOOKUP(B868,'MD Usage'!A1:R2000,15,FALSE))</f>
        <v>4</v>
      </c>
      <c r="K869" s="418">
        <f t="shared" ref="K869:K874" si="61">SUM(D869:J869)</f>
        <v>14</v>
      </c>
    </row>
    <row r="870" spans="1:17" ht="15" customHeight="1" x14ac:dyDescent="0.25">
      <c r="B870" s="419" t="s">
        <v>567</v>
      </c>
      <c r="C870" s="420">
        <v>1</v>
      </c>
      <c r="D870" s="421">
        <f>D869*C870</f>
        <v>0</v>
      </c>
      <c r="E870" s="421">
        <f>E869*C870</f>
        <v>1</v>
      </c>
      <c r="F870" s="421">
        <f>F869*C870</f>
        <v>5</v>
      </c>
      <c r="G870" s="421">
        <f>G869*C870</f>
        <v>0</v>
      </c>
      <c r="H870" s="421">
        <f>H869*C870</f>
        <v>0</v>
      </c>
      <c r="I870" s="421">
        <f>I869*C870</f>
        <v>4</v>
      </c>
      <c r="J870" s="421">
        <f>J869*C870</f>
        <v>4</v>
      </c>
      <c r="K870" s="422">
        <f t="shared" si="61"/>
        <v>14</v>
      </c>
    </row>
    <row r="871" spans="1:17" x14ac:dyDescent="0.25">
      <c r="B871" s="389" t="s">
        <v>594</v>
      </c>
      <c r="C871" s="423">
        <v>1</v>
      </c>
      <c r="D871" s="421">
        <f>D869*C871</f>
        <v>0</v>
      </c>
      <c r="E871" s="421">
        <f>E869*C871</f>
        <v>1</v>
      </c>
      <c r="F871" s="421">
        <f>F869*C871</f>
        <v>5</v>
      </c>
      <c r="G871" s="421">
        <f>G869*C871</f>
        <v>0</v>
      </c>
      <c r="H871" s="421">
        <f>H869*C871</f>
        <v>0</v>
      </c>
      <c r="I871" s="421">
        <f>I869*C871</f>
        <v>4</v>
      </c>
      <c r="J871" s="421">
        <f>J869*C871</f>
        <v>4</v>
      </c>
      <c r="K871" s="424">
        <f t="shared" si="61"/>
        <v>14</v>
      </c>
    </row>
    <row r="872" spans="1:17" x14ac:dyDescent="0.25">
      <c r="B872" s="389" t="s">
        <v>580</v>
      </c>
      <c r="C872" s="423">
        <v>4</v>
      </c>
      <c r="D872" s="421">
        <f>D869*C872</f>
        <v>0</v>
      </c>
      <c r="E872" s="421">
        <f>E869*C872</f>
        <v>4</v>
      </c>
      <c r="F872" s="421">
        <f>F869*C872</f>
        <v>20</v>
      </c>
      <c r="G872" s="421">
        <f>G869*C872</f>
        <v>0</v>
      </c>
      <c r="H872" s="421">
        <f>H869*C872</f>
        <v>0</v>
      </c>
      <c r="I872" s="421">
        <f>I869*C872</f>
        <v>16</v>
      </c>
      <c r="J872" s="421">
        <f>J869*C872</f>
        <v>16</v>
      </c>
      <c r="K872" s="424">
        <f t="shared" si="61"/>
        <v>56</v>
      </c>
    </row>
    <row r="873" spans="1:17" x14ac:dyDescent="0.25">
      <c r="B873" s="389" t="s">
        <v>595</v>
      </c>
      <c r="C873" s="423">
        <v>5</v>
      </c>
      <c r="D873" s="421">
        <f>D869*C873</f>
        <v>0</v>
      </c>
      <c r="E873" s="421">
        <f>E869*C873</f>
        <v>5</v>
      </c>
      <c r="F873" s="421">
        <f>F869*C873</f>
        <v>25</v>
      </c>
      <c r="G873" s="421">
        <f>G869*C873</f>
        <v>0</v>
      </c>
      <c r="H873" s="421">
        <f>H869*C873</f>
        <v>0</v>
      </c>
      <c r="I873" s="421">
        <f>I869*C873</f>
        <v>20</v>
      </c>
      <c r="J873" s="421">
        <f>J869*C873</f>
        <v>20</v>
      </c>
      <c r="K873" s="424">
        <f t="shared" si="61"/>
        <v>70</v>
      </c>
    </row>
    <row r="874" spans="1:17" x14ac:dyDescent="0.25">
      <c r="B874" s="389" t="s">
        <v>572</v>
      </c>
      <c r="C874" s="423">
        <v>1</v>
      </c>
      <c r="D874" s="421">
        <f>D869*C874</f>
        <v>0</v>
      </c>
      <c r="E874" s="421">
        <f>E869*C874</f>
        <v>1</v>
      </c>
      <c r="F874" s="421">
        <f>F869*C874</f>
        <v>5</v>
      </c>
      <c r="G874" s="421">
        <f>G869*C874</f>
        <v>0</v>
      </c>
      <c r="H874" s="421">
        <f>H869*C874</f>
        <v>0</v>
      </c>
      <c r="I874" s="421">
        <f>I869*C874</f>
        <v>4</v>
      </c>
      <c r="J874" s="421">
        <f>J869*C874</f>
        <v>4</v>
      </c>
      <c r="K874" s="424">
        <f t="shared" si="61"/>
        <v>14</v>
      </c>
    </row>
    <row r="875" spans="1:17" ht="15.75" thickBot="1" x14ac:dyDescent="0.3">
      <c r="A875" s="839" t="s">
        <v>726</v>
      </c>
      <c r="B875" s="839"/>
      <c r="C875" s="839"/>
      <c r="D875" s="839"/>
      <c r="E875" s="839"/>
      <c r="F875" s="839"/>
      <c r="G875" s="839"/>
      <c r="H875" s="839"/>
      <c r="I875" s="839"/>
      <c r="J875" s="839"/>
      <c r="K875" s="839"/>
      <c r="L875" s="839"/>
      <c r="M875" s="839"/>
      <c r="N875" s="839"/>
      <c r="O875" s="839"/>
      <c r="P875" s="839"/>
      <c r="Q875" s="839"/>
    </row>
    <row r="876" spans="1:17" ht="15.75" thickBot="1" x14ac:dyDescent="0.3">
      <c r="B876" s="437">
        <v>6420229</v>
      </c>
      <c r="C876" s="411"/>
      <c r="D876" s="407" t="s">
        <v>548</v>
      </c>
      <c r="E876" s="408" t="s">
        <v>549</v>
      </c>
      <c r="F876" s="408" t="s">
        <v>550</v>
      </c>
      <c r="G876" s="408" t="s">
        <v>551</v>
      </c>
      <c r="H876" s="408" t="s">
        <v>552</v>
      </c>
      <c r="I876" s="408" t="s">
        <v>553</v>
      </c>
      <c r="J876" s="408" t="s">
        <v>554</v>
      </c>
      <c r="K876" s="408" t="s">
        <v>555</v>
      </c>
      <c r="M876" s="426" t="s">
        <v>1819</v>
      </c>
    </row>
    <row r="877" spans="1:17" ht="15.75" thickBot="1" x14ac:dyDescent="0.3">
      <c r="B877" s="414" t="s">
        <v>556</v>
      </c>
      <c r="C877" s="415" t="s">
        <v>620</v>
      </c>
      <c r="D877" s="416">
        <f>IF(ISERROR(VLOOKUP(B876,'MD Usage'!$A$1:$W$5000,3,FALSE)),0,VLOOKUP(B876,'MD Usage'!$A$1:$W$5000,3,FALSE))</f>
        <v>2</v>
      </c>
      <c r="E877" s="416">
        <f>IF(ISERROR(VLOOKUP(B876,'MD Usage'!$A$1:$W$5000,5,FALSE)),0,VLOOKUP(B876,'MD Usage'!$A$1:$W$5000,5,FALSE))</f>
        <v>2</v>
      </c>
      <c r="F877" s="416">
        <f>IF(ISERROR(VLOOKUP(B876,'MD Usage'!$A$1:$W$5000,7,FALSE)),0,VLOOKUP(B876,'MD Usage'!$A$1:$W$5000,7,FALSE))</f>
        <v>2</v>
      </c>
      <c r="G877" s="416">
        <f>IF(ISERROR(VLOOKUP(B876,'MD Usage'!$A$1:$W$5000,9,FALSE)),0,VLOOKUP(B876,'MD Usage'!$A$1:$W$5000,9,FALSE))</f>
        <v>0</v>
      </c>
      <c r="H877" s="416">
        <f>IF(ISERROR(VLOOKUP(B876,'MD Usage'!$A$1:$W$5000,11,FALSE)),0,VLOOKUP(B876,'MD Usage'!$A$1:$W$5000,11,FALSE))</f>
        <v>2</v>
      </c>
      <c r="I877" s="416">
        <f>IF(ISERROR(VLOOKUP(B876,'MD Usage'!A1:R2000,13,FALSE)),0,VLOOKUP(B876,'MD Usage'!A1:R2000,13,FALSE))</f>
        <v>3</v>
      </c>
      <c r="J877" s="416">
        <f>IF(ISERROR(VLOOKUP(B876,'MD Usage'!A1:R2000,15,FALSE)),0,VLOOKUP(B876,'MD Usage'!A1:R2000,15,FALSE))</f>
        <v>2</v>
      </c>
      <c r="K877" s="418">
        <f t="shared" ref="K877:K882" si="62">SUM(D877:J877)</f>
        <v>13</v>
      </c>
      <c r="M877" s="441"/>
    </row>
    <row r="878" spans="1:17" x14ac:dyDescent="0.25">
      <c r="B878" s="419" t="s">
        <v>1819</v>
      </c>
      <c r="C878" s="420">
        <v>0</v>
      </c>
      <c r="D878" s="421">
        <f>D877*C878</f>
        <v>0</v>
      </c>
      <c r="E878" s="421">
        <f>E877*C878</f>
        <v>0</v>
      </c>
      <c r="F878" s="421">
        <f>F877*C878</f>
        <v>0</v>
      </c>
      <c r="G878" s="421">
        <f>G877*C878</f>
        <v>0</v>
      </c>
      <c r="H878" s="421">
        <f>H877*C878</f>
        <v>0</v>
      </c>
      <c r="I878" s="421">
        <f>I877*C878</f>
        <v>0</v>
      </c>
      <c r="J878" s="421">
        <f>J877*C878</f>
        <v>0</v>
      </c>
      <c r="K878" s="422">
        <f t="shared" si="62"/>
        <v>0</v>
      </c>
    </row>
    <row r="879" spans="1:17" ht="15" customHeight="1" x14ac:dyDescent="0.25">
      <c r="B879" s="389" t="s">
        <v>521</v>
      </c>
      <c r="C879" s="423">
        <v>1</v>
      </c>
      <c r="D879" s="421">
        <f>D877*C879</f>
        <v>2</v>
      </c>
      <c r="E879" s="421">
        <f>E877*C879</f>
        <v>2</v>
      </c>
      <c r="F879" s="421">
        <f>F877*C879</f>
        <v>2</v>
      </c>
      <c r="G879" s="421">
        <f>G877*C879</f>
        <v>0</v>
      </c>
      <c r="H879" s="421">
        <f>H877*C879</f>
        <v>2</v>
      </c>
      <c r="I879" s="421">
        <f>I877*C879</f>
        <v>3</v>
      </c>
      <c r="J879" s="421">
        <f>J877*C879</f>
        <v>2</v>
      </c>
      <c r="K879" s="424">
        <f t="shared" si="62"/>
        <v>13</v>
      </c>
    </row>
    <row r="880" spans="1:17" x14ac:dyDescent="0.25">
      <c r="B880" s="389"/>
      <c r="C880" s="423"/>
      <c r="D880" s="421">
        <f>D877*C880</f>
        <v>0</v>
      </c>
      <c r="E880" s="421">
        <f>E877*C880</f>
        <v>0</v>
      </c>
      <c r="F880" s="421">
        <f>F877*C880</f>
        <v>0</v>
      </c>
      <c r="G880" s="421">
        <f>G877*C880</f>
        <v>0</v>
      </c>
      <c r="H880" s="421">
        <f>H877*C880</f>
        <v>0</v>
      </c>
      <c r="I880" s="421">
        <f>I877*C880</f>
        <v>0</v>
      </c>
      <c r="J880" s="421">
        <f>J877*C880</f>
        <v>0</v>
      </c>
      <c r="K880" s="424">
        <f t="shared" si="62"/>
        <v>0</v>
      </c>
    </row>
    <row r="881" spans="2:13" x14ac:dyDescent="0.25">
      <c r="B881" s="389"/>
      <c r="C881" s="423"/>
      <c r="D881" s="421">
        <f>D877*C881</f>
        <v>0</v>
      </c>
      <c r="E881" s="421">
        <f>E877*C881</f>
        <v>0</v>
      </c>
      <c r="F881" s="421">
        <f>F877*C881</f>
        <v>0</v>
      </c>
      <c r="G881" s="421">
        <f>G877*C881</f>
        <v>0</v>
      </c>
      <c r="H881" s="421">
        <f>H877*C881</f>
        <v>0</v>
      </c>
      <c r="I881" s="421">
        <f>I877*C881</f>
        <v>0</v>
      </c>
      <c r="J881" s="421">
        <f>J877*C881</f>
        <v>0</v>
      </c>
      <c r="K881" s="424">
        <f t="shared" si="62"/>
        <v>0</v>
      </c>
    </row>
    <row r="882" spans="2:13" x14ac:dyDescent="0.25">
      <c r="B882" s="389"/>
      <c r="C882" s="423"/>
      <c r="D882" s="421">
        <f>D877*C882</f>
        <v>0</v>
      </c>
      <c r="E882" s="421">
        <f>E877*C882</f>
        <v>0</v>
      </c>
      <c r="F882" s="421">
        <f>F877*C882</f>
        <v>0</v>
      </c>
      <c r="G882" s="421">
        <f>G877*C882</f>
        <v>0</v>
      </c>
      <c r="H882" s="421">
        <f>H877*C882</f>
        <v>0</v>
      </c>
      <c r="I882" s="421">
        <f>I877*C882</f>
        <v>0</v>
      </c>
      <c r="J882" s="421">
        <f>J877*C882</f>
        <v>0</v>
      </c>
      <c r="K882" s="424">
        <f t="shared" si="62"/>
        <v>0</v>
      </c>
    </row>
    <row r="883" spans="2:13" ht="15.75" thickBot="1" x14ac:dyDescent="0.3"/>
    <row r="884" spans="2:13" ht="15.75" thickBot="1" x14ac:dyDescent="0.3">
      <c r="B884" s="436">
        <v>6420230</v>
      </c>
      <c r="C884" s="411"/>
      <c r="D884" s="407" t="s">
        <v>548</v>
      </c>
      <c r="E884" s="408" t="s">
        <v>549</v>
      </c>
      <c r="F884" s="408" t="s">
        <v>550</v>
      </c>
      <c r="G884" s="408" t="s">
        <v>551</v>
      </c>
      <c r="H884" s="408" t="s">
        <v>552</v>
      </c>
      <c r="I884" s="408" t="s">
        <v>553</v>
      </c>
      <c r="J884" s="408" t="s">
        <v>554</v>
      </c>
      <c r="K884" s="408" t="s">
        <v>555</v>
      </c>
      <c r="M884" s="437" t="s">
        <v>1820</v>
      </c>
    </row>
    <row r="885" spans="2:13" ht="15.75" thickBot="1" x14ac:dyDescent="0.3">
      <c r="B885" s="414" t="s">
        <v>556</v>
      </c>
      <c r="C885" s="415" t="s">
        <v>620</v>
      </c>
      <c r="D885" s="416">
        <f>IF(ISERROR(VLOOKUP(B884,'MD Usage'!$A$1:$W$5000,3,FALSE)),0,VLOOKUP(B884,'MD Usage'!$A$1:$W$5000,3,FALSE))</f>
        <v>0</v>
      </c>
      <c r="E885" s="416">
        <f>IF(ISERROR(VLOOKUP(B884,'MD Usage'!$A$1:$W$5000,5,FALSE)),0,VLOOKUP(B884,'MD Usage'!$A$1:$W$5000,5,FALSE))</f>
        <v>0</v>
      </c>
      <c r="F885" s="416">
        <f>IF(ISERROR(VLOOKUP(B884,'MD Usage'!$A$1:$W$5000,7,FALSE)),0,VLOOKUP(B884,'MD Usage'!$A$1:$W$5000,7,FALSE))</f>
        <v>0</v>
      </c>
      <c r="G885" s="416">
        <f>IF(ISERROR(VLOOKUP(B884,'MD Usage'!$A$1:$W$5000,9,FALSE)),0,VLOOKUP(B884,'MD Usage'!$A$1:$W$5000,9,FALSE))</f>
        <v>0</v>
      </c>
      <c r="H885" s="416">
        <f>IF(ISERROR(VLOOKUP(B884,'MD Usage'!$A$1:$W$5000,11,FALSE)),0,VLOOKUP(B884,'MD Usage'!$A$1:$W$5000,11,FALSE))</f>
        <v>0</v>
      </c>
      <c r="I885" s="416">
        <f>IF(ISERROR(VLOOKUP(B884,'MD Usage'!A1:R2000,13,FALSE)),0,VLOOKUP(B884,'MD Usage'!A1:R2000,13,FALSE))</f>
        <v>0</v>
      </c>
      <c r="J885" s="416">
        <f>IF(ISERROR(VLOOKUP(B884,'MD Usage'!A1:R2000,15,FALSE)),0,VLOOKUP(B884,'MD Usage'!A1:R2000,15,FALSE))</f>
        <v>2</v>
      </c>
      <c r="K885" s="418">
        <f>SUM(D885:J885)</f>
        <v>2</v>
      </c>
    </row>
    <row r="886" spans="2:13" ht="15" customHeight="1" x14ac:dyDescent="0.25">
      <c r="B886" s="419" t="s">
        <v>1819</v>
      </c>
      <c r="C886" s="420">
        <v>1</v>
      </c>
      <c r="D886" s="421">
        <f>D885*C886</f>
        <v>0</v>
      </c>
      <c r="E886" s="421">
        <f>E885*C886</f>
        <v>0</v>
      </c>
      <c r="F886" s="421">
        <f>F885*C886</f>
        <v>0</v>
      </c>
      <c r="G886" s="421">
        <f>G885*C886</f>
        <v>0</v>
      </c>
      <c r="H886" s="421">
        <f>H885*C886</f>
        <v>0</v>
      </c>
      <c r="I886" s="421">
        <f>I885*C886</f>
        <v>0</v>
      </c>
      <c r="J886" s="421">
        <f>J885*C886</f>
        <v>2</v>
      </c>
      <c r="K886" s="422">
        <f>SUM(D886:J886)</f>
        <v>2</v>
      </c>
    </row>
    <row r="887" spans="2:13" x14ac:dyDescent="0.25">
      <c r="B887" s="389" t="s">
        <v>521</v>
      </c>
      <c r="C887" s="423">
        <v>1</v>
      </c>
      <c r="D887" s="421">
        <f>D885*C887</f>
        <v>0</v>
      </c>
      <c r="E887" s="421">
        <f>E885*C887</f>
        <v>0</v>
      </c>
      <c r="F887" s="421">
        <f>F885*C887</f>
        <v>0</v>
      </c>
      <c r="G887" s="421">
        <f>G885*C887</f>
        <v>0</v>
      </c>
      <c r="H887" s="421">
        <f>H885*C887</f>
        <v>0</v>
      </c>
      <c r="I887" s="421">
        <f>I885*C887</f>
        <v>0</v>
      </c>
      <c r="J887" s="421">
        <f>J885*C887</f>
        <v>2</v>
      </c>
      <c r="K887" s="424">
        <f>SUM(D887:J887)</f>
        <v>2</v>
      </c>
    </row>
    <row r="888" spans="2:13" x14ac:dyDescent="0.25">
      <c r="B888" s="389"/>
      <c r="C888" s="423"/>
      <c r="D888" s="421">
        <f>D885*C888</f>
        <v>0</v>
      </c>
      <c r="E888" s="421">
        <f>E885*C888</f>
        <v>0</v>
      </c>
      <c r="F888" s="421">
        <f>F885*C888</f>
        <v>0</v>
      </c>
      <c r="G888" s="421">
        <f>G885*C888</f>
        <v>0</v>
      </c>
      <c r="H888" s="421">
        <f>H885*C888</f>
        <v>0</v>
      </c>
      <c r="I888" s="421">
        <f>I885*C888</f>
        <v>0</v>
      </c>
      <c r="J888" s="421">
        <f>J885*C888</f>
        <v>0</v>
      </c>
      <c r="K888" s="424">
        <f>SUM(D888:J888)</f>
        <v>0</v>
      </c>
    </row>
    <row r="889" spans="2:13" x14ac:dyDescent="0.25">
      <c r="B889" s="389"/>
      <c r="C889" s="423"/>
      <c r="D889" s="421">
        <f>D885*C889</f>
        <v>0</v>
      </c>
      <c r="E889" s="421">
        <f>E885*C889</f>
        <v>0</v>
      </c>
      <c r="F889" s="421">
        <f>F885*C889</f>
        <v>0</v>
      </c>
      <c r="G889" s="421">
        <f>G885*C889</f>
        <v>0</v>
      </c>
      <c r="H889" s="421">
        <f>H885*C889</f>
        <v>0</v>
      </c>
      <c r="I889" s="421">
        <f>I885*C889</f>
        <v>0</v>
      </c>
      <c r="J889" s="421">
        <f>J885*C889</f>
        <v>0</v>
      </c>
      <c r="K889" s="424">
        <f>SUM(D889:J889)</f>
        <v>0</v>
      </c>
    </row>
    <row r="890" spans="2:13" ht="15.75" thickBot="1" x14ac:dyDescent="0.3">
      <c r="B890" s="389"/>
      <c r="C890" s="423"/>
    </row>
    <row r="891" spans="2:13" ht="15.75" thickBot="1" x14ac:dyDescent="0.3">
      <c r="B891" s="432">
        <v>6420245</v>
      </c>
      <c r="C891" s="411"/>
      <c r="D891" s="407" t="s">
        <v>548</v>
      </c>
      <c r="E891" s="408" t="s">
        <v>549</v>
      </c>
      <c r="F891" s="408" t="s">
        <v>550</v>
      </c>
      <c r="G891" s="408" t="s">
        <v>551</v>
      </c>
      <c r="H891" s="408" t="s">
        <v>552</v>
      </c>
      <c r="I891" s="408" t="s">
        <v>553</v>
      </c>
      <c r="J891" s="408" t="s">
        <v>554</v>
      </c>
      <c r="K891" s="408" t="s">
        <v>555</v>
      </c>
      <c r="M891" s="426" t="s">
        <v>1930</v>
      </c>
    </row>
    <row r="892" spans="2:13" ht="15.75" thickBot="1" x14ac:dyDescent="0.3">
      <c r="B892" s="414" t="s">
        <v>556</v>
      </c>
      <c r="C892" s="415" t="s">
        <v>620</v>
      </c>
      <c r="D892" s="416">
        <f>IF(ISERROR(VLOOKUP(B891,'MD Usage'!$A$1:$W$5000,3,FALSE)),0,VLOOKUP(B891,'MD Usage'!$A$1:$W$5000,3,FALSE))</f>
        <v>0</v>
      </c>
      <c r="E892" s="416">
        <f>IF(ISERROR(VLOOKUP(B891,'MD Usage'!$A$1:$W$5000,5,FALSE)),0,VLOOKUP(B891,'MD Usage'!$A$1:$W$5000,5,FALSE))</f>
        <v>1</v>
      </c>
      <c r="F892" s="416">
        <f>IF(ISERROR(VLOOKUP(B891,'MD Usage'!$A$1:$W$5000,7,FALSE)),0,VLOOKUP(B891,'MD Usage'!$A$1:$W$5000,7,FALSE))</f>
        <v>0</v>
      </c>
      <c r="G892" s="416">
        <f>IF(ISERROR(VLOOKUP(B891,'MD Usage'!$A$1:$W$5000,9,FALSE)),0,VLOOKUP(B891,'MD Usage'!$A$1:$W$5000,9,FALSE))</f>
        <v>0</v>
      </c>
      <c r="H892" s="416">
        <f>IF(ISERROR(VLOOKUP(B891,'MD Usage'!$A$1:$W$5000,11,FALSE)),0,VLOOKUP(B891,'MD Usage'!$A$1:$W$5000,11,FALSE))</f>
        <v>0</v>
      </c>
      <c r="I892" s="416">
        <f>IF(ISERROR(VLOOKUP(B891,'MD Usage'!A1:R2000,13,FALSE)),0,VLOOKUP(B891,'MD Usage'!A1:R2000,13,FALSE))</f>
        <v>4</v>
      </c>
      <c r="J892" s="416">
        <f>IF(ISERROR(VLOOKUP(B891,'MD Usage'!A1:R2000,15,FALSE)),0,VLOOKUP(B891,'MD Usage'!A1:R2000,15,FALSE))</f>
        <v>0</v>
      </c>
      <c r="K892" s="418">
        <f>SUM(D892:J892)</f>
        <v>5</v>
      </c>
    </row>
    <row r="893" spans="2:13" x14ac:dyDescent="0.25">
      <c r="B893" s="419" t="s">
        <v>1928</v>
      </c>
      <c r="C893" s="420">
        <v>1</v>
      </c>
      <c r="D893" s="421">
        <f>D892*C893</f>
        <v>0</v>
      </c>
      <c r="E893" s="421">
        <f>E892*C893</f>
        <v>1</v>
      </c>
      <c r="F893" s="421">
        <f>F892*C893</f>
        <v>0</v>
      </c>
      <c r="G893" s="421">
        <f>G892*C893</f>
        <v>0</v>
      </c>
      <c r="H893" s="421">
        <f>H892*C893</f>
        <v>0</v>
      </c>
      <c r="I893" s="421">
        <f>I892*C893</f>
        <v>4</v>
      </c>
      <c r="J893" s="421">
        <f>J892*C893</f>
        <v>0</v>
      </c>
      <c r="K893" s="422">
        <f>SUM(D893:J893)</f>
        <v>5</v>
      </c>
    </row>
    <row r="894" spans="2:13" ht="15" customHeight="1" x14ac:dyDescent="0.25">
      <c r="B894" s="389"/>
      <c r="C894" s="423"/>
      <c r="D894" s="421">
        <f>D892*C894</f>
        <v>0</v>
      </c>
      <c r="E894" s="421">
        <f>E892*C894</f>
        <v>0</v>
      </c>
      <c r="F894" s="421">
        <f>F892*C894</f>
        <v>0</v>
      </c>
      <c r="G894" s="421">
        <f>G892*C894</f>
        <v>0</v>
      </c>
      <c r="H894" s="421">
        <f>H892*C894</f>
        <v>0</v>
      </c>
      <c r="I894" s="421">
        <f>I892*C894</f>
        <v>0</v>
      </c>
      <c r="J894" s="421">
        <f>J892*C894</f>
        <v>0</v>
      </c>
      <c r="K894" s="424">
        <f>SUM(D894:J894)</f>
        <v>0</v>
      </c>
    </row>
    <row r="895" spans="2:13" x14ac:dyDescent="0.25">
      <c r="B895" s="389"/>
      <c r="C895" s="423"/>
      <c r="D895" s="421">
        <f>D892*C895</f>
        <v>0</v>
      </c>
      <c r="E895" s="421">
        <f>E892*C895</f>
        <v>0</v>
      </c>
      <c r="F895" s="421">
        <f>F892*C895</f>
        <v>0</v>
      </c>
      <c r="G895" s="421">
        <f>G892*C895</f>
        <v>0</v>
      </c>
      <c r="H895" s="421">
        <f>H892*C895</f>
        <v>0</v>
      </c>
      <c r="I895" s="421">
        <f>I892*C895</f>
        <v>0</v>
      </c>
      <c r="J895" s="421">
        <f>J892*C895</f>
        <v>0</v>
      </c>
      <c r="K895" s="424">
        <f>SUM(D895:J895)</f>
        <v>0</v>
      </c>
    </row>
    <row r="896" spans="2:13" x14ac:dyDescent="0.25">
      <c r="B896" s="389"/>
      <c r="C896" s="423"/>
      <c r="D896" s="421">
        <f>D892*C896</f>
        <v>0</v>
      </c>
      <c r="E896" s="421">
        <f>E892*C896</f>
        <v>0</v>
      </c>
      <c r="F896" s="421">
        <f>F892*C896</f>
        <v>0</v>
      </c>
      <c r="G896" s="421">
        <f>G892*C896</f>
        <v>0</v>
      </c>
      <c r="H896" s="421">
        <f>H892*C896</f>
        <v>0</v>
      </c>
      <c r="I896" s="421">
        <f>I892*C896</f>
        <v>0</v>
      </c>
      <c r="J896" s="421">
        <f>J892*C896</f>
        <v>0</v>
      </c>
      <c r="K896" s="424">
        <f>SUM(D896:J896)</f>
        <v>0</v>
      </c>
    </row>
    <row r="897" spans="2:13" ht="15.75" thickBot="1" x14ac:dyDescent="0.3"/>
    <row r="898" spans="2:13" ht="15.75" thickBot="1" x14ac:dyDescent="0.3">
      <c r="B898" s="433">
        <v>6420247</v>
      </c>
      <c r="C898" s="411"/>
      <c r="D898" s="407" t="s">
        <v>548</v>
      </c>
      <c r="E898" s="408" t="s">
        <v>549</v>
      </c>
      <c r="F898" s="408" t="s">
        <v>550</v>
      </c>
      <c r="G898" s="408" t="s">
        <v>551</v>
      </c>
      <c r="H898" s="408" t="s">
        <v>552</v>
      </c>
      <c r="I898" s="408" t="s">
        <v>553</v>
      </c>
      <c r="J898" s="408" t="s">
        <v>554</v>
      </c>
      <c r="K898" s="408" t="s">
        <v>555</v>
      </c>
      <c r="M898" s="426" t="s">
        <v>1931</v>
      </c>
    </row>
    <row r="899" spans="2:13" ht="15.75" thickBot="1" x14ac:dyDescent="0.3">
      <c r="B899" s="414" t="s">
        <v>556</v>
      </c>
      <c r="C899" s="415" t="s">
        <v>620</v>
      </c>
      <c r="D899" s="416">
        <f>IF(ISERROR(VLOOKUP(B898,'MD Usage'!$A$1:$W$5000,3,FALSE)),0,VLOOKUP(B898,'MD Usage'!$A$1:$W$5000,3,FALSE))</f>
        <v>0</v>
      </c>
      <c r="E899" s="416">
        <f>IF(ISERROR(VLOOKUP(B898,'MD Usage'!$A$1:$W$5000,5,FALSE)),0,VLOOKUP(B898,'MD Usage'!$A$1:$W$5000,5,FALSE))</f>
        <v>0</v>
      </c>
      <c r="F899" s="416">
        <f>IF(ISERROR(VLOOKUP(B898,'MD Usage'!$A$1:$W$5000,7,FALSE)),0,VLOOKUP(B898,'MD Usage'!$A$1:$W$5000,7,FALSE))</f>
        <v>1</v>
      </c>
      <c r="G899" s="416">
        <f>IF(ISERROR(VLOOKUP(B898,'MD Usage'!$A$1:$W$5000,9,FALSE)),0,VLOOKUP(B898,'MD Usage'!$A$1:$W$5000,9,FALSE))</f>
        <v>0</v>
      </c>
      <c r="H899" s="416">
        <f>IF(ISERROR(VLOOKUP(B898,'MD Usage'!$A$1:$W$5000,11,FALSE)),0,VLOOKUP(B898,'MD Usage'!$A$1:$W$5000,11,FALSE))</f>
        <v>2</v>
      </c>
      <c r="I899" s="416">
        <f>IF(ISERROR(VLOOKUP(B898,'MD Usage'!A1:R2000,13,FALSE)),0,VLOOKUP(B898,'MD Usage'!A1:R2000,13,FALSE))</f>
        <v>0</v>
      </c>
      <c r="J899" s="416">
        <f>IF(ISERROR(VLOOKUP(B898,'MD Usage'!A1:R2000,15,FALSE)),0,VLOOKUP(B898,'MD Usage'!A1:R2000,15,FALSE))</f>
        <v>0</v>
      </c>
      <c r="K899" s="418">
        <f>SUM(D899:J899)</f>
        <v>3</v>
      </c>
    </row>
    <row r="900" spans="2:13" x14ac:dyDescent="0.25">
      <c r="B900" s="419" t="s">
        <v>1928</v>
      </c>
      <c r="C900" s="420">
        <v>0.5</v>
      </c>
      <c r="D900" s="421">
        <f>D899*C900</f>
        <v>0</v>
      </c>
      <c r="E900" s="421">
        <f>E899*C900</f>
        <v>0</v>
      </c>
      <c r="F900" s="421">
        <f>F899*C900</f>
        <v>0.5</v>
      </c>
      <c r="G900" s="421">
        <f>G899*C900</f>
        <v>0</v>
      </c>
      <c r="H900" s="421">
        <f>H899*C900</f>
        <v>1</v>
      </c>
      <c r="I900" s="421">
        <f>I899*C900</f>
        <v>0</v>
      </c>
      <c r="J900" s="421">
        <f>J899*C900</f>
        <v>0</v>
      </c>
      <c r="K900" s="422">
        <f>SUM(D900:J900)</f>
        <v>1.5</v>
      </c>
    </row>
    <row r="901" spans="2:13" ht="15" customHeight="1" x14ac:dyDescent="0.25">
      <c r="B901" s="389"/>
      <c r="C901" s="423"/>
      <c r="D901" s="421">
        <f>D899*C901</f>
        <v>0</v>
      </c>
      <c r="E901" s="421">
        <f>E899*C901</f>
        <v>0</v>
      </c>
      <c r="F901" s="421">
        <f>F899*C901</f>
        <v>0</v>
      </c>
      <c r="G901" s="421">
        <f>G899*C901</f>
        <v>0</v>
      </c>
      <c r="H901" s="421">
        <f>H899*C901</f>
        <v>0</v>
      </c>
      <c r="I901" s="421">
        <f>I899*C901</f>
        <v>0</v>
      </c>
      <c r="J901" s="421">
        <f>J899*C901</f>
        <v>0</v>
      </c>
      <c r="K901" s="424">
        <f>SUM(D901:J901)</f>
        <v>0</v>
      </c>
    </row>
    <row r="902" spans="2:13" x14ac:dyDescent="0.25">
      <c r="B902" s="389"/>
      <c r="C902" s="423"/>
      <c r="D902" s="421">
        <f>D899*C902</f>
        <v>0</v>
      </c>
      <c r="E902" s="421">
        <f>E899*C902</f>
        <v>0</v>
      </c>
      <c r="F902" s="421">
        <f>F899*C902</f>
        <v>0</v>
      </c>
      <c r="G902" s="421">
        <f>G899*C902</f>
        <v>0</v>
      </c>
      <c r="H902" s="421">
        <f>H899*C902</f>
        <v>0</v>
      </c>
      <c r="I902" s="421">
        <f>I899*C902</f>
        <v>0</v>
      </c>
      <c r="J902" s="421">
        <f>J899*C902</f>
        <v>0</v>
      </c>
      <c r="K902" s="424">
        <f>SUM(D902:J902)</f>
        <v>0</v>
      </c>
    </row>
    <row r="903" spans="2:13" x14ac:dyDescent="0.25">
      <c r="B903" s="389"/>
      <c r="C903" s="423"/>
      <c r="D903" s="421">
        <f>D899*C903</f>
        <v>0</v>
      </c>
      <c r="E903" s="421">
        <f>E899*C903</f>
        <v>0</v>
      </c>
      <c r="F903" s="421">
        <f>F899*C903</f>
        <v>0</v>
      </c>
      <c r="G903" s="421">
        <f>G899*C903</f>
        <v>0</v>
      </c>
      <c r="H903" s="421">
        <f>H899*C903</f>
        <v>0</v>
      </c>
      <c r="I903" s="421">
        <f>I899*C903</f>
        <v>0</v>
      </c>
      <c r="J903" s="421">
        <f>J899*C903</f>
        <v>0</v>
      </c>
      <c r="K903" s="424">
        <f>SUM(D903:J903)</f>
        <v>0</v>
      </c>
    </row>
    <row r="904" spans="2:13" ht="15.75" thickBot="1" x14ac:dyDescent="0.3"/>
    <row r="905" spans="2:13" ht="15.75" thickBot="1" x14ac:dyDescent="0.3">
      <c r="B905" s="436">
        <v>6420243</v>
      </c>
      <c r="C905" s="411"/>
      <c r="D905" s="407" t="s">
        <v>548</v>
      </c>
      <c r="E905" s="408" t="s">
        <v>549</v>
      </c>
      <c r="F905" s="408" t="s">
        <v>550</v>
      </c>
      <c r="G905" s="408" t="s">
        <v>551</v>
      </c>
      <c r="H905" s="408" t="s">
        <v>552</v>
      </c>
      <c r="I905" s="408" t="s">
        <v>553</v>
      </c>
      <c r="J905" s="408" t="s">
        <v>554</v>
      </c>
      <c r="K905" s="408" t="s">
        <v>555</v>
      </c>
      <c r="M905" s="426" t="s">
        <v>727</v>
      </c>
    </row>
    <row r="906" spans="2:13" ht="15.75" thickBot="1" x14ac:dyDescent="0.3">
      <c r="B906" s="414" t="s">
        <v>556</v>
      </c>
      <c r="C906" s="415" t="s">
        <v>620</v>
      </c>
      <c r="D906" s="416">
        <f>IF(ISERROR(VLOOKUP(B905,'MD Usage'!$A$1:$W$5000,3,FALSE)),0,VLOOKUP(B905,'MD Usage'!$A$1:$W$5000,3,FALSE))</f>
        <v>0</v>
      </c>
      <c r="E906" s="416">
        <f>IF(ISERROR(VLOOKUP(B905,'MD Usage'!$A$1:$W$5000,5,FALSE)),0,VLOOKUP(B905,'MD Usage'!$A$1:$W$5000,5,FALSE))</f>
        <v>1</v>
      </c>
      <c r="F906" s="416">
        <f>IF(ISERROR(VLOOKUP(B905,'MD Usage'!$A$1:$W$5000,7,FALSE)),0,VLOOKUP(B905,'MD Usage'!$A$1:$W$5000,7,FALSE))</f>
        <v>1</v>
      </c>
      <c r="G906" s="416">
        <f>IF(ISERROR(VLOOKUP(B905,'MD Usage'!$A$1:$W$5000,9,FALSE)),0,VLOOKUP(B905,'MD Usage'!$A$1:$W$5000,9,FALSE))</f>
        <v>0</v>
      </c>
      <c r="H906" s="416">
        <f>IF(ISERROR(VLOOKUP(B905,'MD Usage'!$A$1:$W$5000,11,FALSE)),0,VLOOKUP(B905,'MD Usage'!$A$1:$W$5000,11,FALSE))</f>
        <v>4</v>
      </c>
      <c r="I906" s="416">
        <f>IF(ISERROR(VLOOKUP(B905,'MD Usage'!A1:R2000,13,FALSE)),0,VLOOKUP(B905,'MD Usage'!A1:R2000,13,FALSE))</f>
        <v>9</v>
      </c>
      <c r="J906" s="416">
        <f>IF(ISERROR(VLOOKUP(B905,'MD Usage'!A1:R2000,15,FALSE)),0,VLOOKUP(B905,'MD Usage'!A1:R2000,15,FALSE))</f>
        <v>4</v>
      </c>
      <c r="K906" s="418">
        <f>SUM(D906:J906)</f>
        <v>19</v>
      </c>
    </row>
    <row r="907" spans="2:13" x14ac:dyDescent="0.25">
      <c r="B907" s="419" t="s">
        <v>916</v>
      </c>
      <c r="C907" s="420">
        <v>1</v>
      </c>
      <c r="D907" s="421">
        <f>D906*C907</f>
        <v>0</v>
      </c>
      <c r="E907" s="421">
        <f>E906*C907</f>
        <v>1</v>
      </c>
      <c r="F907" s="421">
        <f>F906*C907</f>
        <v>1</v>
      </c>
      <c r="G907" s="421">
        <f>G906*C907</f>
        <v>0</v>
      </c>
      <c r="H907" s="421">
        <f>H906*C907</f>
        <v>4</v>
      </c>
      <c r="I907" s="421">
        <f>I906*C907</f>
        <v>9</v>
      </c>
      <c r="J907" s="421">
        <f>J906*C907</f>
        <v>4</v>
      </c>
      <c r="K907" s="422">
        <f>SUM(D907:J907)</f>
        <v>19</v>
      </c>
    </row>
    <row r="908" spans="2:13" ht="15" customHeight="1" x14ac:dyDescent="0.25">
      <c r="B908" s="389" t="s">
        <v>578</v>
      </c>
      <c r="C908" s="423">
        <v>1</v>
      </c>
      <c r="D908" s="421">
        <f>D906*C908</f>
        <v>0</v>
      </c>
      <c r="E908" s="421">
        <f>E906*C908</f>
        <v>1</v>
      </c>
      <c r="F908" s="421">
        <f>F906*C908</f>
        <v>1</v>
      </c>
      <c r="G908" s="421">
        <f>G906*C908</f>
        <v>0</v>
      </c>
      <c r="H908" s="421">
        <f>H906*C908</f>
        <v>4</v>
      </c>
      <c r="I908" s="421">
        <f>I906*C908</f>
        <v>9</v>
      </c>
      <c r="J908" s="421">
        <f>J906*C908</f>
        <v>4</v>
      </c>
      <c r="K908" s="424">
        <f>SUM(D908:J908)</f>
        <v>19</v>
      </c>
    </row>
    <row r="909" spans="2:13" x14ac:dyDescent="0.25">
      <c r="B909" s="389" t="s">
        <v>626</v>
      </c>
      <c r="C909" s="423">
        <v>1</v>
      </c>
      <c r="D909" s="421">
        <f>D906*C909</f>
        <v>0</v>
      </c>
      <c r="E909" s="421">
        <f>E906*C909</f>
        <v>1</v>
      </c>
      <c r="F909" s="421">
        <f>F906*C909</f>
        <v>1</v>
      </c>
      <c r="G909" s="421">
        <f>G906*C909</f>
        <v>0</v>
      </c>
      <c r="H909" s="421">
        <f>H906*C909</f>
        <v>4</v>
      </c>
      <c r="I909" s="421">
        <f>I906*C909</f>
        <v>9</v>
      </c>
      <c r="J909" s="421">
        <f>J906*C909</f>
        <v>4</v>
      </c>
      <c r="K909" s="424">
        <f>SUM(D909:J909)</f>
        <v>19</v>
      </c>
    </row>
    <row r="910" spans="2:13" x14ac:dyDescent="0.25">
      <c r="B910" s="389" t="s">
        <v>1928</v>
      </c>
      <c r="C910" s="423">
        <v>1</v>
      </c>
      <c r="D910" s="421">
        <f>D906*C910</f>
        <v>0</v>
      </c>
      <c r="E910" s="421">
        <f>E906*C910</f>
        <v>1</v>
      </c>
      <c r="F910" s="421">
        <f>F906*C910</f>
        <v>1</v>
      </c>
      <c r="G910" s="421">
        <f>G906*C910</f>
        <v>0</v>
      </c>
      <c r="H910" s="421">
        <f>H906*C910</f>
        <v>4</v>
      </c>
      <c r="I910" s="421">
        <f>I906*C910</f>
        <v>9</v>
      </c>
      <c r="J910" s="421">
        <f>J906*C910</f>
        <v>4</v>
      </c>
      <c r="K910" s="424">
        <f>SUM(D910:J910)</f>
        <v>19</v>
      </c>
    </row>
    <row r="911" spans="2:13" ht="15.75" thickBot="1" x14ac:dyDescent="0.3"/>
    <row r="912" spans="2:13" ht="15.75" thickBot="1" x14ac:dyDescent="0.3">
      <c r="B912" s="436" t="s">
        <v>1929</v>
      </c>
      <c r="C912" s="411"/>
      <c r="D912" s="407" t="s">
        <v>548</v>
      </c>
      <c r="E912" s="408" t="s">
        <v>549</v>
      </c>
      <c r="F912" s="408" t="s">
        <v>550</v>
      </c>
      <c r="G912" s="408" t="s">
        <v>551</v>
      </c>
      <c r="H912" s="408" t="s">
        <v>552</v>
      </c>
      <c r="I912" s="408" t="s">
        <v>553</v>
      </c>
      <c r="J912" s="408" t="s">
        <v>554</v>
      </c>
      <c r="K912" s="408" t="s">
        <v>555</v>
      </c>
      <c r="M912" s="426" t="s">
        <v>728</v>
      </c>
    </row>
    <row r="913" spans="1:17" ht="15.75" thickBot="1" x14ac:dyDescent="0.3">
      <c r="B913" s="414" t="s">
        <v>556</v>
      </c>
      <c r="C913" s="415" t="s">
        <v>620</v>
      </c>
      <c r="D913" s="416">
        <f>IF(ISERROR(VLOOKUP(B912,'MD Usage'!$A$1:$W$5000,3,FALSE)),0,VLOOKUP(B912,'MD Usage'!$A$1:$W$5000,3,FALSE))</f>
        <v>0</v>
      </c>
      <c r="E913" s="416">
        <f>IF(ISERROR(VLOOKUP(B912,'MD Usage'!$A$1:$W$5000,5,FALSE)),0,VLOOKUP(B912,'MD Usage'!$A$1:$W$5000,5,FALSE))</f>
        <v>0</v>
      </c>
      <c r="F913" s="416">
        <f>IF(ISERROR(VLOOKUP(B912,'MD Usage'!$A$1:$W$5000,7,FALSE)),0,VLOOKUP(B912,'MD Usage'!$A$1:$W$5000,7,FALSE))</f>
        <v>0</v>
      </c>
      <c r="G913" s="416">
        <f>IF(ISERROR(VLOOKUP(B912,'MD Usage'!$A$1:$W$5000,9,FALSE)),0,VLOOKUP(B912,'MD Usage'!$A$1:$W$5000,9,FALSE))</f>
        <v>0</v>
      </c>
      <c r="H913" s="416">
        <f>IF(ISERROR(VLOOKUP(B912,'MD Usage'!$A$1:$W$5000,11,FALSE)),0,VLOOKUP(B912,'MD Usage'!$A$1:$W$5000,11,FALSE))</f>
        <v>0</v>
      </c>
      <c r="I913" s="416">
        <f>IF(ISERROR(VLOOKUP(B912,'MD Usage'!A1:R2000,13,FALSE)),0,VLOOKUP(B912,'MD Usage'!A1:R2000,13,FALSE))</f>
        <v>0</v>
      </c>
      <c r="J913" s="416">
        <f>IF(ISERROR(VLOOKUP(B912,'MD Usage'!A1:R2000,15,FALSE)),0,VLOOKUP(B912,'MD Usage'!A1:R2000,15,FALSE))</f>
        <v>0</v>
      </c>
      <c r="K913" s="418">
        <f>SUM(D913:J913)</f>
        <v>0</v>
      </c>
    </row>
    <row r="914" spans="1:17" x14ac:dyDescent="0.25">
      <c r="B914" s="419" t="s">
        <v>916</v>
      </c>
      <c r="C914" s="420">
        <v>1</v>
      </c>
      <c r="D914" s="421">
        <f>D913*C914</f>
        <v>0</v>
      </c>
      <c r="E914" s="421">
        <f>E913*C914</f>
        <v>0</v>
      </c>
      <c r="F914" s="421">
        <f>F913*C914</f>
        <v>0</v>
      </c>
      <c r="G914" s="421">
        <f>G913*C914</f>
        <v>0</v>
      </c>
      <c r="H914" s="421">
        <f>H913*C914</f>
        <v>0</v>
      </c>
      <c r="I914" s="421">
        <f>I913*C914</f>
        <v>0</v>
      </c>
      <c r="J914" s="421">
        <f>J913*C914</f>
        <v>0</v>
      </c>
      <c r="K914" s="422">
        <f>SUM(D914:J914)</f>
        <v>0</v>
      </c>
    </row>
    <row r="915" spans="1:17" x14ac:dyDescent="0.25">
      <c r="B915" s="389" t="s">
        <v>578</v>
      </c>
      <c r="C915" s="423">
        <v>1</v>
      </c>
      <c r="D915" s="421">
        <f>D913*C915</f>
        <v>0</v>
      </c>
      <c r="E915" s="421">
        <f>E913*C915</f>
        <v>0</v>
      </c>
      <c r="F915" s="421">
        <f>F913*C915</f>
        <v>0</v>
      </c>
      <c r="G915" s="421">
        <f>G913*C915</f>
        <v>0</v>
      </c>
      <c r="H915" s="421">
        <f>H913*C915</f>
        <v>0</v>
      </c>
      <c r="I915" s="421">
        <f>I913*C915</f>
        <v>0</v>
      </c>
      <c r="J915" s="421">
        <f>J913*C915</f>
        <v>0</v>
      </c>
      <c r="K915" s="424">
        <f>SUM(D915:J915)</f>
        <v>0</v>
      </c>
    </row>
    <row r="916" spans="1:17" ht="15" customHeight="1" x14ac:dyDescent="0.25">
      <c r="B916" s="389" t="s">
        <v>626</v>
      </c>
      <c r="C916" s="423">
        <v>1</v>
      </c>
      <c r="D916" s="421">
        <f>D913*C916</f>
        <v>0</v>
      </c>
      <c r="E916" s="421">
        <f>E913*C916</f>
        <v>0</v>
      </c>
      <c r="F916" s="421">
        <f>F913*C916</f>
        <v>0</v>
      </c>
      <c r="G916" s="421">
        <f>G913*C916</f>
        <v>0</v>
      </c>
      <c r="H916" s="421">
        <f>H913*C916</f>
        <v>0</v>
      </c>
      <c r="I916" s="421">
        <f>I913*C916</f>
        <v>0</v>
      </c>
      <c r="J916" s="421">
        <f>J913*C916</f>
        <v>0</v>
      </c>
      <c r="K916" s="424">
        <f>SUM(D916:J916)</f>
        <v>0</v>
      </c>
    </row>
    <row r="917" spans="1:17" x14ac:dyDescent="0.25">
      <c r="B917" s="389" t="s">
        <v>1928</v>
      </c>
      <c r="C917" s="423">
        <v>1</v>
      </c>
      <c r="D917" s="421">
        <f>D913*C917</f>
        <v>0</v>
      </c>
      <c r="E917" s="421">
        <f>E913*C917</f>
        <v>0</v>
      </c>
      <c r="F917" s="421">
        <f>F913*C917</f>
        <v>0</v>
      </c>
      <c r="G917" s="421">
        <f>G913*C917</f>
        <v>0</v>
      </c>
      <c r="H917" s="421">
        <f>H913*C917</f>
        <v>0</v>
      </c>
      <c r="I917" s="421">
        <f>I913*C917</f>
        <v>0</v>
      </c>
      <c r="J917" s="421">
        <f>J913*C917</f>
        <v>0</v>
      </c>
      <c r="K917" s="424">
        <f>SUM(D917:J917)</f>
        <v>0</v>
      </c>
    </row>
    <row r="918" spans="1:17" ht="15.75" thickBot="1" x14ac:dyDescent="0.3"/>
    <row r="919" spans="1:17" ht="15.75" thickBot="1" x14ac:dyDescent="0.3">
      <c r="B919" s="414">
        <v>6450227</v>
      </c>
      <c r="C919" s="411"/>
      <c r="D919" s="407" t="s">
        <v>548</v>
      </c>
      <c r="E919" s="408" t="s">
        <v>549</v>
      </c>
      <c r="F919" s="408" t="s">
        <v>550</v>
      </c>
      <c r="G919" s="408" t="s">
        <v>551</v>
      </c>
      <c r="H919" s="408" t="s">
        <v>552</v>
      </c>
      <c r="I919" s="408" t="s">
        <v>553</v>
      </c>
      <c r="J919" s="408" t="s">
        <v>554</v>
      </c>
      <c r="K919" s="408" t="s">
        <v>555</v>
      </c>
      <c r="M919" s="426" t="s">
        <v>1825</v>
      </c>
    </row>
    <row r="920" spans="1:17" ht="15.75" thickBot="1" x14ac:dyDescent="0.3">
      <c r="B920" s="414" t="s">
        <v>556</v>
      </c>
      <c r="C920" s="415" t="s">
        <v>620</v>
      </c>
      <c r="D920" s="416">
        <f>IF(ISERROR(VLOOKUP(B919,'MD Usage'!$A$1:$W$5000,3,FALSE)),0,VLOOKUP(B919,'MD Usage'!$A$1:$W$5000,3,FALSE))</f>
        <v>0</v>
      </c>
      <c r="E920" s="416">
        <f>IF(ISERROR(VLOOKUP(B919,'MD Usage'!$A$1:$W$5000,5,FALSE)),0,VLOOKUP(B919,'MD Usage'!$A$1:$W$5000,5,FALSE))</f>
        <v>0</v>
      </c>
      <c r="F920" s="416">
        <f>IF(ISERROR(VLOOKUP(B919,'MD Usage'!$A$1:$W$5000,7,FALSE)),0,VLOOKUP(B919,'MD Usage'!$A$1:$W$5000,7,FALSE))</f>
        <v>0</v>
      </c>
      <c r="G920" s="416">
        <f>IF(ISERROR(VLOOKUP(B919,'MD Usage'!$A$1:$W$5000,9,FALSE)),0,VLOOKUP(B919,'MD Usage'!$A$1:$W$5000,9,FALSE))</f>
        <v>0</v>
      </c>
      <c r="H920" s="416">
        <f>IF(ISERROR(VLOOKUP(B919,'MD Usage'!$A$1:$W$5000,11,FALSE)),0,VLOOKUP(B919,'MD Usage'!$A$1:$W$5000,11,FALSE))</f>
        <v>0</v>
      </c>
      <c r="I920" s="416">
        <f>IF(ISERROR(VLOOKUP(B919,'MD Usage'!A1:R2000,13,FALSE)),0,VLOOKUP(B919,'MD Usage'!A1:R2000,13,FALSE))</f>
        <v>0</v>
      </c>
      <c r="J920" s="416">
        <f>IF(ISERROR(VLOOKUP(B919,'MD Usage'!A1:R2000,15,FALSE)),0,VLOOKUP(B919,'MD Usage'!A1:R2000,15,FALSE))</f>
        <v>0</v>
      </c>
      <c r="K920" s="418">
        <f>SUM(D920:J920)</f>
        <v>0</v>
      </c>
    </row>
    <row r="921" spans="1:17" x14ac:dyDescent="0.25">
      <c r="B921" s="389" t="s">
        <v>594</v>
      </c>
      <c r="C921" s="420">
        <v>1</v>
      </c>
      <c r="D921" s="421">
        <f>D920*C921</f>
        <v>0</v>
      </c>
      <c r="E921" s="421">
        <f>E920*C921</f>
        <v>0</v>
      </c>
      <c r="F921" s="421">
        <f>F920*C921</f>
        <v>0</v>
      </c>
      <c r="G921" s="421">
        <f>G920*C921</f>
        <v>0</v>
      </c>
      <c r="H921" s="421">
        <f>H920*C921</f>
        <v>0</v>
      </c>
      <c r="I921" s="421">
        <f>I920*C921</f>
        <v>0</v>
      </c>
      <c r="J921" s="421">
        <f>J920*C921</f>
        <v>0</v>
      </c>
      <c r="K921" s="422">
        <f>SUM(D921:J921)</f>
        <v>0</v>
      </c>
    </row>
    <row r="922" spans="1:17" x14ac:dyDescent="0.25">
      <c r="B922" s="389" t="s">
        <v>567</v>
      </c>
      <c r="C922" s="423">
        <v>1</v>
      </c>
      <c r="D922" s="421">
        <f>D920*C922</f>
        <v>0</v>
      </c>
      <c r="E922" s="421">
        <f>E920*C922</f>
        <v>0</v>
      </c>
      <c r="F922" s="421">
        <f>F920*C922</f>
        <v>0</v>
      </c>
      <c r="G922" s="421">
        <f>G920*C922</f>
        <v>0</v>
      </c>
      <c r="H922" s="421">
        <f>H920*C922</f>
        <v>0</v>
      </c>
      <c r="I922" s="421">
        <f>I920*C922</f>
        <v>0</v>
      </c>
      <c r="J922" s="421">
        <f>J920*C922</f>
        <v>0</v>
      </c>
      <c r="K922" s="424">
        <f>SUM(D922:J922)</f>
        <v>0</v>
      </c>
    </row>
    <row r="923" spans="1:17" x14ac:dyDescent="0.25">
      <c r="B923" s="389"/>
      <c r="C923" s="423"/>
      <c r="D923" s="421">
        <f>D920*C923</f>
        <v>0</v>
      </c>
      <c r="E923" s="421">
        <f>E920*C923</f>
        <v>0</v>
      </c>
      <c r="F923" s="421">
        <f>F920*C923</f>
        <v>0</v>
      </c>
      <c r="G923" s="421">
        <f>G920*C923</f>
        <v>0</v>
      </c>
      <c r="H923" s="421">
        <f>H920*C923</f>
        <v>0</v>
      </c>
      <c r="I923" s="421">
        <f>I920*C923</f>
        <v>0</v>
      </c>
      <c r="J923" s="421">
        <f>J920*C923</f>
        <v>0</v>
      </c>
      <c r="K923" s="424">
        <f>SUM(D923:J923)</f>
        <v>0</v>
      </c>
    </row>
    <row r="924" spans="1:17" x14ac:dyDescent="0.25">
      <c r="B924" s="389"/>
      <c r="C924" s="423"/>
      <c r="D924" s="421">
        <f>D920*C924</f>
        <v>0</v>
      </c>
      <c r="E924" s="421">
        <f>E920*C924</f>
        <v>0</v>
      </c>
      <c r="F924" s="421">
        <f>F920*C924</f>
        <v>0</v>
      </c>
      <c r="G924" s="421">
        <f>G920*C924</f>
        <v>0</v>
      </c>
      <c r="H924" s="421">
        <f>H920*C924</f>
        <v>0</v>
      </c>
      <c r="I924" s="421">
        <f>I920*C924</f>
        <v>0</v>
      </c>
      <c r="J924" s="421">
        <f>J920*C924</f>
        <v>0</v>
      </c>
      <c r="K924" s="424">
        <f>SUM(D924:J924)</f>
        <v>0</v>
      </c>
    </row>
    <row r="925" spans="1:17" ht="15" customHeight="1" thickBot="1" x14ac:dyDescent="0.3">
      <c r="A925" s="839" t="s">
        <v>729</v>
      </c>
      <c r="B925" s="839"/>
      <c r="C925" s="839"/>
      <c r="D925" s="839"/>
      <c r="E925" s="839"/>
      <c r="F925" s="839"/>
      <c r="G925" s="839"/>
      <c r="H925" s="839"/>
      <c r="I925" s="839"/>
      <c r="J925" s="839"/>
      <c r="K925" s="839"/>
      <c r="L925" s="839"/>
      <c r="M925" s="839"/>
      <c r="N925" s="839"/>
      <c r="O925" s="839"/>
      <c r="P925" s="839"/>
      <c r="Q925" s="839"/>
    </row>
    <row r="926" spans="1:17" ht="15.75" thickBot="1" x14ac:dyDescent="0.3">
      <c r="B926" s="414">
        <v>6460116</v>
      </c>
      <c r="C926" s="411"/>
      <c r="D926" s="407" t="s">
        <v>548</v>
      </c>
      <c r="E926" s="408" t="s">
        <v>549</v>
      </c>
      <c r="F926" s="408" t="s">
        <v>550</v>
      </c>
      <c r="G926" s="408" t="s">
        <v>551</v>
      </c>
      <c r="H926" s="408" t="s">
        <v>552</v>
      </c>
      <c r="I926" s="408" t="s">
        <v>553</v>
      </c>
      <c r="J926" s="408" t="s">
        <v>554</v>
      </c>
      <c r="K926" s="408" t="s">
        <v>555</v>
      </c>
      <c r="M926" s="426" t="s">
        <v>730</v>
      </c>
    </row>
    <row r="927" spans="1:17" ht="15.75" thickBot="1" x14ac:dyDescent="0.3">
      <c r="B927" s="414" t="s">
        <v>556</v>
      </c>
      <c r="C927" s="415" t="s">
        <v>620</v>
      </c>
      <c r="D927" s="416">
        <f>IF(ISERROR(VLOOKUP(B926,'MD Usage'!$A$1:$W$5000,3,FALSE)),0,VLOOKUP(B926,'MD Usage'!$A$1:$W$5000,3,FALSE))</f>
        <v>0</v>
      </c>
      <c r="E927" s="416">
        <f>IF(ISERROR(VLOOKUP(B926,'MD Usage'!$A$1:$W$5000,5,FALSE)),0,VLOOKUP(B926,'MD Usage'!$A$1:$W$5000,5,FALSE))</f>
        <v>0</v>
      </c>
      <c r="F927" s="416">
        <f>IF(ISERROR(VLOOKUP(B926,'MD Usage'!$A$1:$W$5000,7,FALSE)),0,VLOOKUP(B926,'MD Usage'!$A$1:$W$5000,7,FALSE))</f>
        <v>0</v>
      </c>
      <c r="G927" s="416">
        <f>IF(ISERROR(VLOOKUP(B926,'MD Usage'!$A$1:$W$5000,9,FALSE)),0,VLOOKUP(B926,'MD Usage'!$A$1:$W$5000,9,FALSE))</f>
        <v>0</v>
      </c>
      <c r="H927" s="416">
        <f>IF(ISERROR(VLOOKUP(B926,'MD Usage'!$A$1:$W$5000,11,FALSE)),0,VLOOKUP(B926,'MD Usage'!$A$1:$W$5000,11,FALSE))</f>
        <v>0</v>
      </c>
      <c r="I927" s="416">
        <f>IF(ISERROR(VLOOKUP(B926,'MD Usage'!A1:R2000,13,FALSE)),0,VLOOKUP(B926,'MD Usage'!A1:R2000,13,FALSE))</f>
        <v>0</v>
      </c>
      <c r="J927" s="416">
        <f>IF(ISERROR(VLOOKUP(B926,'MD Usage'!A1:R2000,15,FALSE)),0,VLOOKUP(B926,'MD Usage'!A1:R2000,15,FALSE))</f>
        <v>0</v>
      </c>
      <c r="K927" s="418">
        <f>SUM(D927:J927)</f>
        <v>0</v>
      </c>
    </row>
    <row r="928" spans="1:17" x14ac:dyDescent="0.25">
      <c r="B928" s="419" t="s">
        <v>1821</v>
      </c>
      <c r="C928" s="420">
        <v>1</v>
      </c>
      <c r="D928" s="421">
        <f>D927*C928</f>
        <v>0</v>
      </c>
      <c r="E928" s="421">
        <f>E927*C928</f>
        <v>0</v>
      </c>
      <c r="F928" s="421">
        <f>F927*C928</f>
        <v>0</v>
      </c>
      <c r="G928" s="421">
        <f>G927*C928</f>
        <v>0</v>
      </c>
      <c r="H928" s="421">
        <f>H927*C928</f>
        <v>0</v>
      </c>
      <c r="I928" s="421">
        <f>I927*C928</f>
        <v>0</v>
      </c>
      <c r="J928" s="421">
        <f>J927*C928</f>
        <v>0</v>
      </c>
      <c r="K928" s="422">
        <f>SUM(D928:J928)</f>
        <v>0</v>
      </c>
    </row>
    <row r="929" spans="2:13" x14ac:dyDescent="0.25">
      <c r="B929" s="389" t="s">
        <v>64</v>
      </c>
      <c r="C929" s="423">
        <v>3</v>
      </c>
      <c r="D929" s="421">
        <f>D927*C929</f>
        <v>0</v>
      </c>
      <c r="E929" s="421">
        <f>E927*C929</f>
        <v>0</v>
      </c>
      <c r="F929" s="421">
        <f>F927*C929</f>
        <v>0</v>
      </c>
      <c r="G929" s="421">
        <f>G927*C929</f>
        <v>0</v>
      </c>
      <c r="H929" s="421">
        <f>H927*C929</f>
        <v>0</v>
      </c>
      <c r="I929" s="421">
        <f>I927*C929</f>
        <v>0</v>
      </c>
      <c r="J929" s="421">
        <f>J927*C929</f>
        <v>0</v>
      </c>
      <c r="K929" s="424">
        <f>SUM(D929:J929)</f>
        <v>0</v>
      </c>
    </row>
    <row r="930" spans="2:13" x14ac:dyDescent="0.25">
      <c r="B930" s="389" t="s">
        <v>625</v>
      </c>
      <c r="C930" s="423">
        <v>1.5</v>
      </c>
      <c r="D930" s="421">
        <f>D927*C930</f>
        <v>0</v>
      </c>
      <c r="E930" s="421">
        <f>E927*C930</f>
        <v>0</v>
      </c>
      <c r="F930" s="421">
        <f>F927*C930</f>
        <v>0</v>
      </c>
      <c r="G930" s="421">
        <f>G927*C930</f>
        <v>0</v>
      </c>
      <c r="H930" s="421">
        <f>H927*C930</f>
        <v>0</v>
      </c>
      <c r="I930" s="421">
        <f>I927*C930</f>
        <v>0</v>
      </c>
      <c r="J930" s="421">
        <f>J927*C930</f>
        <v>0</v>
      </c>
      <c r="K930" s="424">
        <f>SUM(D930:J930)</f>
        <v>0</v>
      </c>
    </row>
    <row r="931" spans="2:13" x14ac:dyDescent="0.25">
      <c r="B931" s="389"/>
      <c r="C931" s="423"/>
      <c r="D931" s="421">
        <f>D927*C931</f>
        <v>0</v>
      </c>
      <c r="E931" s="421">
        <f>E927*C931</f>
        <v>0</v>
      </c>
      <c r="F931" s="421">
        <f>F927*C931</f>
        <v>0</v>
      </c>
      <c r="G931" s="421">
        <f>G927*C931</f>
        <v>0</v>
      </c>
      <c r="H931" s="421">
        <f>H927*C931</f>
        <v>0</v>
      </c>
      <c r="I931" s="421">
        <f>I927*C931</f>
        <v>0</v>
      </c>
      <c r="J931" s="421">
        <f>J927*C931</f>
        <v>0</v>
      </c>
      <c r="K931" s="424">
        <f>SUM(D931:J931)</f>
        <v>0</v>
      </c>
    </row>
    <row r="932" spans="2:13" ht="15.75" thickBot="1" x14ac:dyDescent="0.3"/>
    <row r="933" spans="2:13" ht="15" customHeight="1" thickBot="1" x14ac:dyDescent="0.3">
      <c r="B933" s="414">
        <v>6460005</v>
      </c>
      <c r="C933" s="411"/>
      <c r="D933" s="407" t="s">
        <v>548</v>
      </c>
      <c r="E933" s="408" t="s">
        <v>549</v>
      </c>
      <c r="F933" s="408" t="s">
        <v>550</v>
      </c>
      <c r="G933" s="408" t="s">
        <v>551</v>
      </c>
      <c r="H933" s="408" t="s">
        <v>552</v>
      </c>
      <c r="I933" s="408" t="s">
        <v>553</v>
      </c>
      <c r="J933" s="408" t="s">
        <v>554</v>
      </c>
      <c r="K933" s="408" t="s">
        <v>555</v>
      </c>
      <c r="M933" s="426" t="s">
        <v>731</v>
      </c>
    </row>
    <row r="934" spans="2:13" ht="15.75" thickBot="1" x14ac:dyDescent="0.3">
      <c r="B934" s="414" t="s">
        <v>556</v>
      </c>
      <c r="C934" s="415" t="s">
        <v>620</v>
      </c>
      <c r="D934" s="416">
        <f>IF(ISERROR(VLOOKUP(B933,'MD Usage'!$A$1:$W$5000,3,FALSE)),0,VLOOKUP(B933,'MD Usage'!$A$1:$W$5000,3,FALSE))</f>
        <v>1</v>
      </c>
      <c r="E934" s="416">
        <f>IF(ISERROR(VLOOKUP(B933,'MD Usage'!$A$1:$W$5000,5,FALSE)),0,VLOOKUP(B933,'MD Usage'!$A$1:$W$5000,5,FALSE))</f>
        <v>0</v>
      </c>
      <c r="F934" s="416">
        <f>IF(ISERROR(VLOOKUP(B933,'MD Usage'!$A$1:$W$5000,7,FALSE)),0,VLOOKUP(B933,'MD Usage'!$A$1:$W$5000,7,FALSE))</f>
        <v>3</v>
      </c>
      <c r="G934" s="416">
        <f>IF(ISERROR(VLOOKUP(B933,'MD Usage'!$A$1:$W$5000,9,FALSE)),0,VLOOKUP(B933,'MD Usage'!$A$1:$W$5000,9,FALSE))</f>
        <v>1</v>
      </c>
      <c r="H934" s="416">
        <f>IF(ISERROR(VLOOKUP(B933,'MD Usage'!$A$1:$W$5000,11,FALSE)),0,VLOOKUP(B933,'MD Usage'!$A$1:$W$5000,11,FALSE))</f>
        <v>6</v>
      </c>
      <c r="I934" s="416">
        <f>IF(ISERROR(VLOOKUP(B933,'MD Usage'!A1:R2000,13,FALSE)),0,VLOOKUP(B933,'MD Usage'!A1:R2000,13,FALSE))</f>
        <v>5</v>
      </c>
      <c r="J934" s="416">
        <f>IF(ISERROR(VLOOKUP(B933,'MD Usage'!A1:R2000,15,FALSE)),0,VLOOKUP(B933,'MD Usage'!A1:R2000,15,FALSE))</f>
        <v>5</v>
      </c>
      <c r="K934" s="418">
        <f>SUM(D934:J934)</f>
        <v>21</v>
      </c>
    </row>
    <row r="935" spans="2:13" x14ac:dyDescent="0.25">
      <c r="B935" s="419" t="s">
        <v>1821</v>
      </c>
      <c r="C935" s="420">
        <v>1</v>
      </c>
      <c r="D935" s="421">
        <f>D934*C935</f>
        <v>1</v>
      </c>
      <c r="E935" s="421">
        <f>E934*C935</f>
        <v>0</v>
      </c>
      <c r="F935" s="421">
        <f>F934*C935</f>
        <v>3</v>
      </c>
      <c r="G935" s="421">
        <f>G934*C935</f>
        <v>1</v>
      </c>
      <c r="H935" s="421">
        <f>H934*C935</f>
        <v>6</v>
      </c>
      <c r="I935" s="421">
        <f>I934*C935</f>
        <v>5</v>
      </c>
      <c r="J935" s="421">
        <f>J934*C935</f>
        <v>5</v>
      </c>
      <c r="K935" s="422">
        <f>SUM(D935:J935)</f>
        <v>21</v>
      </c>
    </row>
    <row r="936" spans="2:13" x14ac:dyDescent="0.25">
      <c r="B936" s="389" t="s">
        <v>64</v>
      </c>
      <c r="C936" s="423">
        <v>3</v>
      </c>
      <c r="D936" s="421">
        <f>D934*C936</f>
        <v>3</v>
      </c>
      <c r="E936" s="421">
        <f>E934*C936</f>
        <v>0</v>
      </c>
      <c r="F936" s="421">
        <f>F934*C936</f>
        <v>9</v>
      </c>
      <c r="G936" s="421">
        <f>G934*C936</f>
        <v>3</v>
      </c>
      <c r="H936" s="421">
        <f>H934*C936</f>
        <v>18</v>
      </c>
      <c r="I936" s="421">
        <f>I934*C936</f>
        <v>15</v>
      </c>
      <c r="J936" s="421">
        <f>J934*C936</f>
        <v>15</v>
      </c>
      <c r="K936" s="424">
        <f>SUM(D936:J936)</f>
        <v>63</v>
      </c>
    </row>
    <row r="937" spans="2:13" x14ac:dyDescent="0.25">
      <c r="B937" s="389" t="s">
        <v>625</v>
      </c>
      <c r="C937" s="423">
        <v>1.5</v>
      </c>
      <c r="D937" s="421">
        <f>D934*C937</f>
        <v>1.5</v>
      </c>
      <c r="E937" s="421">
        <f>E934*C937</f>
        <v>0</v>
      </c>
      <c r="F937" s="421">
        <f>F934*C937</f>
        <v>4.5</v>
      </c>
      <c r="G937" s="421">
        <f>G934*C937</f>
        <v>1.5</v>
      </c>
      <c r="H937" s="421">
        <f>H934*C937</f>
        <v>9</v>
      </c>
      <c r="I937" s="421">
        <f>I934*C937</f>
        <v>7.5</v>
      </c>
      <c r="J937" s="421">
        <f>J934*C937</f>
        <v>7.5</v>
      </c>
      <c r="K937" s="424">
        <f>SUM(D937:J937)</f>
        <v>31.5</v>
      </c>
    </row>
    <row r="938" spans="2:13" x14ac:dyDescent="0.25">
      <c r="B938" s="389"/>
      <c r="C938" s="423"/>
      <c r="D938" s="421">
        <f>D934*C938</f>
        <v>0</v>
      </c>
      <c r="E938" s="421">
        <f>E934*C938</f>
        <v>0</v>
      </c>
      <c r="F938" s="421">
        <f>F934*C938</f>
        <v>0</v>
      </c>
      <c r="G938" s="421">
        <f>G934*C938</f>
        <v>0</v>
      </c>
      <c r="H938" s="421">
        <f>H934*C938</f>
        <v>0</v>
      </c>
      <c r="I938" s="421">
        <f>I934*C938</f>
        <v>0</v>
      </c>
      <c r="J938" s="421">
        <f>J934*C938</f>
        <v>0</v>
      </c>
      <c r="K938" s="424">
        <f>SUM(D938:J938)</f>
        <v>0</v>
      </c>
    </row>
    <row r="939" spans="2:13" ht="15.75" thickBot="1" x14ac:dyDescent="0.3"/>
    <row r="940" spans="2:13" ht="15.75" thickBot="1" x14ac:dyDescent="0.3">
      <c r="B940" s="437">
        <v>6460057</v>
      </c>
      <c r="C940" s="411"/>
      <c r="D940" s="407" t="s">
        <v>548</v>
      </c>
      <c r="E940" s="408" t="s">
        <v>549</v>
      </c>
      <c r="F940" s="408" t="s">
        <v>550</v>
      </c>
      <c r="G940" s="408" t="s">
        <v>551</v>
      </c>
      <c r="H940" s="408" t="s">
        <v>552</v>
      </c>
      <c r="I940" s="408" t="s">
        <v>553</v>
      </c>
      <c r="J940" s="408" t="s">
        <v>554</v>
      </c>
      <c r="K940" s="408" t="s">
        <v>555</v>
      </c>
      <c r="M940" s="426" t="s">
        <v>1852</v>
      </c>
    </row>
    <row r="941" spans="2:13" ht="15" customHeight="1" thickBot="1" x14ac:dyDescent="0.3">
      <c r="B941" s="414" t="s">
        <v>556</v>
      </c>
      <c r="C941" s="415" t="s">
        <v>620</v>
      </c>
      <c r="D941" s="416">
        <f>IF(ISERROR(VLOOKUP(B940,'MD Usage'!$A$1:$W$5000,3,FALSE)),0,VLOOKUP(B940,'MD Usage'!$A$1:$W$5000,3,FALSE))</f>
        <v>0</v>
      </c>
      <c r="E941" s="416">
        <f>IF(ISERROR(VLOOKUP(B940,'MD Usage'!$A$1:$W$5000,5,FALSE)),0,VLOOKUP(B940,'MD Usage'!$A$1:$W$5000,5,FALSE))</f>
        <v>1</v>
      </c>
      <c r="F941" s="416">
        <f>IF(ISERROR(VLOOKUP(B940,'MD Usage'!$A$1:$W$5000,7,FALSE)),0,VLOOKUP(B940,'MD Usage'!$A$1:$W$5000,7,FALSE))</f>
        <v>0</v>
      </c>
      <c r="G941" s="416">
        <f>IF(ISERROR(VLOOKUP(B940,'MD Usage'!$A$1:$W$5000,9,FALSE)),0,VLOOKUP(B940,'MD Usage'!$A$1:$W$5000,9,FALSE))</f>
        <v>0</v>
      </c>
      <c r="H941" s="416">
        <f>IF(ISERROR(VLOOKUP(B940,'MD Usage'!$A$1:$W$5000,11,FALSE)),0,VLOOKUP(B940,'MD Usage'!$A$1:$W$5000,11,FALSE))</f>
        <v>0</v>
      </c>
      <c r="I941" s="416">
        <f>IF(ISERROR(VLOOKUP(B940,'MD Usage'!A1:R2000,13,FALSE)),0,VLOOKUP(B940,'MD Usage'!A1:R2000,13,FALSE))</f>
        <v>0</v>
      </c>
      <c r="J941" s="416">
        <f>IF(ISERROR(VLOOKUP(B940,'MD Usage'!A1:R2000,15,FALSE)),0,VLOOKUP(B940,'MD Usage'!A1:R2000,15,FALSE))</f>
        <v>0</v>
      </c>
      <c r="K941" s="418">
        <f t="shared" ref="K941:K946" si="63">SUM(D941:J941)</f>
        <v>1</v>
      </c>
    </row>
    <row r="942" spans="2:13" x14ac:dyDescent="0.25">
      <c r="B942" s="419" t="s">
        <v>1821</v>
      </c>
      <c r="C942" s="420">
        <v>1</v>
      </c>
      <c r="D942" s="421">
        <f>D941*C942</f>
        <v>0</v>
      </c>
      <c r="E942" s="421">
        <f>E941*C942</f>
        <v>1</v>
      </c>
      <c r="F942" s="421">
        <f>F941*C942</f>
        <v>0</v>
      </c>
      <c r="G942" s="421">
        <f>G941*C942</f>
        <v>0</v>
      </c>
      <c r="H942" s="421">
        <f>H941*C942</f>
        <v>0</v>
      </c>
      <c r="I942" s="421">
        <f>I941*C942</f>
        <v>0</v>
      </c>
      <c r="J942" s="421">
        <f>J941*C942</f>
        <v>0</v>
      </c>
      <c r="K942" s="422">
        <f t="shared" si="63"/>
        <v>1</v>
      </c>
    </row>
    <row r="943" spans="2:13" x14ac:dyDescent="0.25">
      <c r="B943" s="389" t="s">
        <v>64</v>
      </c>
      <c r="C943" s="423">
        <v>3</v>
      </c>
      <c r="D943" s="421">
        <f>D941*C943</f>
        <v>0</v>
      </c>
      <c r="E943" s="421">
        <f>E941*C943</f>
        <v>3</v>
      </c>
      <c r="F943" s="421">
        <f>F941*C943</f>
        <v>0</v>
      </c>
      <c r="G943" s="421">
        <f>G941*C943</f>
        <v>0</v>
      </c>
      <c r="H943" s="421">
        <f>H941*C943</f>
        <v>0</v>
      </c>
      <c r="I943" s="421">
        <f>I941*C943</f>
        <v>0</v>
      </c>
      <c r="J943" s="421">
        <f>J941*C943</f>
        <v>0</v>
      </c>
      <c r="K943" s="424">
        <f t="shared" si="63"/>
        <v>3</v>
      </c>
    </row>
    <row r="944" spans="2:13" x14ac:dyDescent="0.25">
      <c r="B944" s="389" t="s">
        <v>625</v>
      </c>
      <c r="C944" s="423">
        <v>1.5</v>
      </c>
      <c r="D944" s="421">
        <f>D941*C944</f>
        <v>0</v>
      </c>
      <c r="E944" s="421">
        <f>E941*C944</f>
        <v>1.5</v>
      </c>
      <c r="F944" s="421">
        <f>F941*C944</f>
        <v>0</v>
      </c>
      <c r="G944" s="421">
        <f>G941*C944</f>
        <v>0</v>
      </c>
      <c r="H944" s="421">
        <f>H941*C944</f>
        <v>0</v>
      </c>
      <c r="I944" s="421">
        <f>I941*C944</f>
        <v>0</v>
      </c>
      <c r="J944" s="421">
        <f>J941*C944</f>
        <v>0</v>
      </c>
      <c r="K944" s="424">
        <f t="shared" si="63"/>
        <v>1.5</v>
      </c>
    </row>
    <row r="945" spans="2:13" x14ac:dyDescent="0.25">
      <c r="B945" s="389"/>
      <c r="C945" s="423"/>
      <c r="D945" s="421">
        <f>D941*C945</f>
        <v>0</v>
      </c>
      <c r="E945" s="421">
        <f>E941*C945</f>
        <v>0</v>
      </c>
      <c r="F945" s="421">
        <f>F941*C945</f>
        <v>0</v>
      </c>
      <c r="G945" s="421">
        <f>G941*C945</f>
        <v>0</v>
      </c>
      <c r="H945" s="421">
        <f>H941*C945</f>
        <v>0</v>
      </c>
      <c r="I945" s="421">
        <f>I941*C945</f>
        <v>0</v>
      </c>
      <c r="J945" s="421">
        <f>J941*C945</f>
        <v>0</v>
      </c>
      <c r="K945" s="424">
        <f t="shared" si="63"/>
        <v>0</v>
      </c>
    </row>
    <row r="946" spans="2:13" x14ac:dyDescent="0.25">
      <c r="B946" s="389"/>
      <c r="C946" s="423"/>
      <c r="D946" s="421">
        <f>D941*C946</f>
        <v>0</v>
      </c>
      <c r="E946" s="421">
        <f>E941*C946</f>
        <v>0</v>
      </c>
      <c r="F946" s="421">
        <f>F941*C946</f>
        <v>0</v>
      </c>
      <c r="G946" s="421">
        <f>G941*C946</f>
        <v>0</v>
      </c>
      <c r="H946" s="421">
        <f>H941*C946</f>
        <v>0</v>
      </c>
      <c r="I946" s="421">
        <f>I941*C946</f>
        <v>0</v>
      </c>
      <c r="J946" s="421">
        <f>J941*C946</f>
        <v>0</v>
      </c>
      <c r="K946" s="424">
        <f t="shared" si="63"/>
        <v>0</v>
      </c>
    </row>
    <row r="947" spans="2:13" ht="15.75" thickBot="1" x14ac:dyDescent="0.3"/>
    <row r="948" spans="2:13" ht="15.75" thickBot="1" x14ac:dyDescent="0.3">
      <c r="B948" s="437">
        <v>6460092</v>
      </c>
      <c r="C948" s="411"/>
      <c r="D948" s="407" t="s">
        <v>548</v>
      </c>
      <c r="E948" s="408" t="s">
        <v>549</v>
      </c>
      <c r="F948" s="408" t="s">
        <v>550</v>
      </c>
      <c r="G948" s="408" t="s">
        <v>551</v>
      </c>
      <c r="H948" s="408" t="s">
        <v>552</v>
      </c>
      <c r="I948" s="408" t="s">
        <v>553</v>
      </c>
      <c r="J948" s="408" t="s">
        <v>554</v>
      </c>
      <c r="K948" s="408" t="s">
        <v>555</v>
      </c>
      <c r="M948" s="426" t="s">
        <v>1853</v>
      </c>
    </row>
    <row r="949" spans="2:13" ht="15.75" thickBot="1" x14ac:dyDescent="0.3">
      <c r="B949" s="414" t="s">
        <v>556</v>
      </c>
      <c r="C949" s="415" t="s">
        <v>620</v>
      </c>
      <c r="D949" s="416">
        <f>IF(ISERROR(VLOOKUP(B948,'MD Usage'!$A$1:$W$5000,3,FALSE)),0,VLOOKUP(B948,'MD Usage'!$A$1:$W$5000,3,FALSE))</f>
        <v>0</v>
      </c>
      <c r="E949" s="416">
        <f>IF(ISERROR(VLOOKUP(B948,'MD Usage'!$A$1:$W$5000,5,FALSE)),0,VLOOKUP(B948,'MD Usage'!$A$1:$W$5000,5,FALSE))</f>
        <v>0</v>
      </c>
      <c r="F949" s="416">
        <f>IF(ISERROR(VLOOKUP(B948,'MD Usage'!$A$1:$W$5000,7,FALSE)),0,VLOOKUP(B948,'MD Usage'!$A$1:$W$5000,7,FALSE))</f>
        <v>0</v>
      </c>
      <c r="G949" s="416">
        <f>IF(ISERROR(VLOOKUP(B948,'MD Usage'!$A$1:$W$5000,9,FALSE)),0,VLOOKUP(B948,'MD Usage'!$A$1:$W$5000,9,FALSE))</f>
        <v>0</v>
      </c>
      <c r="H949" s="416">
        <f>IF(ISERROR(VLOOKUP(B948,'MD Usage'!$A$1:$W$5000,11,FALSE)),0,VLOOKUP(B948,'MD Usage'!$A$1:$W$5000,11,FALSE))</f>
        <v>0</v>
      </c>
      <c r="I949" s="416">
        <f>IF(ISERROR(VLOOKUP(B948,'MD Usage'!A1:R2000,13,FALSE)),0,VLOOKUP(B948,'MD Usage'!A1:R2000,13,FALSE))</f>
        <v>0</v>
      </c>
      <c r="J949" s="416">
        <f>IF(ISERROR(VLOOKUP(B948,'MD Usage'!A1:R2000,15,FALSE)),0,VLOOKUP(B948,'MD Usage'!A1:R2000,15,FALSE))</f>
        <v>0</v>
      </c>
      <c r="K949" s="418">
        <f>SUM(D949:J949)</f>
        <v>0</v>
      </c>
    </row>
    <row r="950" spans="2:13" x14ac:dyDescent="0.25">
      <c r="B950" s="419" t="s">
        <v>597</v>
      </c>
      <c r="C950" s="420">
        <v>3</v>
      </c>
      <c r="D950" s="421">
        <f>D949*C950</f>
        <v>0</v>
      </c>
      <c r="E950" s="421">
        <f>E949*C950</f>
        <v>0</v>
      </c>
      <c r="F950" s="421">
        <f>F949*C950</f>
        <v>0</v>
      </c>
      <c r="G950" s="421">
        <f>G949*C950</f>
        <v>0</v>
      </c>
      <c r="H950" s="421">
        <f>H949*C950</f>
        <v>0</v>
      </c>
      <c r="I950" s="421">
        <f>I949*C950</f>
        <v>0</v>
      </c>
      <c r="J950" s="421">
        <f>J949*C950</f>
        <v>0</v>
      </c>
      <c r="K950" s="422">
        <f>SUM(D950:J950)</f>
        <v>0</v>
      </c>
    </row>
    <row r="951" spans="2:13" ht="15" customHeight="1" x14ac:dyDescent="0.25">
      <c r="B951" s="389" t="s">
        <v>732</v>
      </c>
      <c r="C951" s="423">
        <v>5</v>
      </c>
      <c r="D951" s="421">
        <f>D949*C951</f>
        <v>0</v>
      </c>
      <c r="E951" s="421">
        <f>E949*C951</f>
        <v>0</v>
      </c>
      <c r="F951" s="421">
        <f>F949*C951</f>
        <v>0</v>
      </c>
      <c r="G951" s="421">
        <f>G949*C951</f>
        <v>0</v>
      </c>
      <c r="H951" s="421">
        <f>H949*C951</f>
        <v>0</v>
      </c>
      <c r="I951" s="421">
        <f>I949*C951</f>
        <v>0</v>
      </c>
      <c r="J951" s="421">
        <f>J949*C951</f>
        <v>0</v>
      </c>
      <c r="K951" s="424">
        <f>SUM(D951:J951)</f>
        <v>0</v>
      </c>
    </row>
    <row r="952" spans="2:13" x14ac:dyDescent="0.25">
      <c r="B952" s="389"/>
      <c r="C952" s="423"/>
      <c r="D952" s="421">
        <f>D949*C952</f>
        <v>0</v>
      </c>
      <c r="E952" s="421">
        <f>E949*C952</f>
        <v>0</v>
      </c>
      <c r="F952" s="421">
        <f>F949*C952</f>
        <v>0</v>
      </c>
      <c r="G952" s="421">
        <f>G949*C952</f>
        <v>0</v>
      </c>
      <c r="H952" s="421">
        <f>H949*C952</f>
        <v>0</v>
      </c>
      <c r="I952" s="421">
        <f>I949*C952</f>
        <v>0</v>
      </c>
      <c r="J952" s="421">
        <f>J949*C952</f>
        <v>0</v>
      </c>
      <c r="K952" s="424">
        <f>SUM(D952:J952)</f>
        <v>0</v>
      </c>
    </row>
    <row r="953" spans="2:13" x14ac:dyDescent="0.25">
      <c r="B953" s="389"/>
      <c r="C953" s="423"/>
      <c r="D953" s="421">
        <f>D949*C953</f>
        <v>0</v>
      </c>
      <c r="E953" s="421">
        <f>E949*C953</f>
        <v>0</v>
      </c>
      <c r="F953" s="421">
        <f>F949*C953</f>
        <v>0</v>
      </c>
      <c r="G953" s="421">
        <f>G949*C953</f>
        <v>0</v>
      </c>
      <c r="H953" s="421">
        <f>H949*C953</f>
        <v>0</v>
      </c>
      <c r="I953" s="421">
        <f>I949*C953</f>
        <v>0</v>
      </c>
      <c r="J953" s="421">
        <f>J949*C953</f>
        <v>0</v>
      </c>
      <c r="K953" s="424">
        <f>SUM(D953:J953)</f>
        <v>0</v>
      </c>
    </row>
    <row r="954" spans="2:13" ht="15.75" thickBot="1" x14ac:dyDescent="0.3"/>
    <row r="955" spans="2:13" ht="15.75" thickBot="1" x14ac:dyDescent="0.3">
      <c r="B955" s="438">
        <v>6460191</v>
      </c>
      <c r="C955" s="411"/>
      <c r="D955" s="407" t="s">
        <v>548</v>
      </c>
      <c r="E955" s="408" t="s">
        <v>549</v>
      </c>
      <c r="F955" s="408" t="s">
        <v>550</v>
      </c>
      <c r="G955" s="408" t="s">
        <v>551</v>
      </c>
      <c r="H955" s="408" t="s">
        <v>552</v>
      </c>
      <c r="I955" s="408" t="s">
        <v>553</v>
      </c>
      <c r="J955" s="408" t="s">
        <v>554</v>
      </c>
      <c r="K955" s="408" t="s">
        <v>555</v>
      </c>
      <c r="M955" s="426" t="s">
        <v>681</v>
      </c>
    </row>
    <row r="956" spans="2:13" ht="15.75" thickBot="1" x14ac:dyDescent="0.3">
      <c r="B956" s="414" t="s">
        <v>556</v>
      </c>
      <c r="C956" s="415" t="s">
        <v>620</v>
      </c>
      <c r="D956" s="416">
        <f>IF(ISERROR(VLOOKUP(B955,'MD Usage'!$A$1:$W$5000,3,FALSE)),0,VLOOKUP(B955,'MD Usage'!$A$1:$W$5000,3,FALSE))</f>
        <v>0</v>
      </c>
      <c r="E956" s="416">
        <f>IF(ISERROR(VLOOKUP(B955,'MD Usage'!$A$1:$W$5000,5,FALSE)),0,VLOOKUP(B955,'MD Usage'!$A$1:$W$5000,5,FALSE))</f>
        <v>1</v>
      </c>
      <c r="F956" s="416">
        <f>IF(ISERROR(VLOOKUP(B955,'MD Usage'!$A$1:$W$5000,7,FALSE)),0,VLOOKUP(B955,'MD Usage'!$A$1:$W$5000,7,FALSE))</f>
        <v>0</v>
      </c>
      <c r="G956" s="416">
        <f>IF(ISERROR(VLOOKUP(B955,'MD Usage'!$A$1:$W$5000,9,FALSE)),0,VLOOKUP(B955,'MD Usage'!$A$1:$W$5000,9,FALSE))</f>
        <v>0</v>
      </c>
      <c r="H956" s="416">
        <f>IF(ISERROR(VLOOKUP(B955,'MD Usage'!$A$1:$W$5000,11,FALSE)),0,VLOOKUP(B955,'MD Usage'!$A$1:$W$5000,11,FALSE))</f>
        <v>5</v>
      </c>
      <c r="I956" s="416">
        <f>IF(ISERROR(VLOOKUP(B955,'MD Usage'!A1:R2000,13,FALSE)),0,VLOOKUP(B955,'MD Usage'!A1:R2000,13,FALSE))</f>
        <v>3</v>
      </c>
      <c r="J956" s="416">
        <f>IF(ISERROR(VLOOKUP(B955,'MD Usage'!A1:R2000,15,FALSE)),0,VLOOKUP(B955,'MD Usage'!A1:R2000,15,FALSE))</f>
        <v>1</v>
      </c>
      <c r="K956" s="418">
        <f>SUM(D956:J956)</f>
        <v>10</v>
      </c>
    </row>
    <row r="957" spans="2:13" x14ac:dyDescent="0.25">
      <c r="B957" s="419" t="s">
        <v>917</v>
      </c>
      <c r="C957" s="420">
        <v>1</v>
      </c>
      <c r="D957" s="421">
        <f>D956*C957</f>
        <v>0</v>
      </c>
      <c r="E957" s="421">
        <f>E956*C957</f>
        <v>1</v>
      </c>
      <c r="F957" s="421">
        <f>F956*C957</f>
        <v>0</v>
      </c>
      <c r="G957" s="421">
        <f>G956*C957</f>
        <v>0</v>
      </c>
      <c r="H957" s="421">
        <f>H956*C957</f>
        <v>5</v>
      </c>
      <c r="I957" s="421">
        <f>I956*C957</f>
        <v>3</v>
      </c>
      <c r="J957" s="421">
        <f>J956*C957</f>
        <v>1</v>
      </c>
      <c r="K957" s="422">
        <f>SUM(D957:J957)</f>
        <v>10</v>
      </c>
    </row>
    <row r="958" spans="2:13" x14ac:dyDescent="0.25">
      <c r="B958" s="389" t="s">
        <v>65</v>
      </c>
      <c r="C958" s="423">
        <v>1.5</v>
      </c>
      <c r="D958" s="421">
        <f>D956*C958</f>
        <v>0</v>
      </c>
      <c r="E958" s="421">
        <f>E956*C958</f>
        <v>1.5</v>
      </c>
      <c r="F958" s="421">
        <f>F956*C958</f>
        <v>0</v>
      </c>
      <c r="G958" s="421">
        <f>G956*C958</f>
        <v>0</v>
      </c>
      <c r="H958" s="421">
        <f>H956*C958</f>
        <v>7.5</v>
      </c>
      <c r="I958" s="421">
        <f>I956*C958</f>
        <v>4.5</v>
      </c>
      <c r="J958" s="421">
        <f>J956*C958</f>
        <v>1.5</v>
      </c>
      <c r="K958" s="424">
        <f>SUM(D958:J958)</f>
        <v>15</v>
      </c>
    </row>
    <row r="959" spans="2:13" ht="15" customHeight="1" x14ac:dyDescent="0.25">
      <c r="B959" s="389" t="s">
        <v>625</v>
      </c>
      <c r="C959" s="423">
        <v>1.5</v>
      </c>
      <c r="D959" s="421">
        <f>D956*C959</f>
        <v>0</v>
      </c>
      <c r="E959" s="421">
        <f>E956*C959</f>
        <v>1.5</v>
      </c>
      <c r="F959" s="421">
        <f>F956*C959</f>
        <v>0</v>
      </c>
      <c r="G959" s="421">
        <f>G956*C959</f>
        <v>0</v>
      </c>
      <c r="H959" s="421">
        <f>H956*C959</f>
        <v>7.5</v>
      </c>
      <c r="I959" s="421">
        <f>I956*C959</f>
        <v>4.5</v>
      </c>
      <c r="J959" s="421">
        <f>J956*C959</f>
        <v>1.5</v>
      </c>
      <c r="K959" s="424">
        <f>SUM(D959:J959)</f>
        <v>15</v>
      </c>
    </row>
    <row r="960" spans="2:13" x14ac:dyDescent="0.25">
      <c r="B960" s="389"/>
      <c r="C960" s="423"/>
      <c r="D960" s="421">
        <f>D956*C960</f>
        <v>0</v>
      </c>
      <c r="E960" s="421">
        <f>E956*C960</f>
        <v>0</v>
      </c>
      <c r="F960" s="421">
        <f>F956*C960</f>
        <v>0</v>
      </c>
      <c r="G960" s="421">
        <f>G956*C960</f>
        <v>0</v>
      </c>
      <c r="H960" s="421">
        <f>H956*C960</f>
        <v>0</v>
      </c>
      <c r="I960" s="421">
        <f>I956*C960</f>
        <v>0</v>
      </c>
      <c r="J960" s="421">
        <f>J956*C960</f>
        <v>0</v>
      </c>
      <c r="K960" s="424">
        <f>SUM(D960:J960)</f>
        <v>0</v>
      </c>
    </row>
    <row r="961" spans="2:13" ht="15.75" thickBot="1" x14ac:dyDescent="0.3"/>
    <row r="962" spans="2:13" ht="15.75" thickBot="1" x14ac:dyDescent="0.3">
      <c r="B962" s="414">
        <v>6460204</v>
      </c>
      <c r="C962" s="411"/>
      <c r="D962" s="407" t="s">
        <v>548</v>
      </c>
      <c r="E962" s="408" t="s">
        <v>549</v>
      </c>
      <c r="F962" s="408" t="s">
        <v>550</v>
      </c>
      <c r="G962" s="408" t="s">
        <v>551</v>
      </c>
      <c r="H962" s="408" t="s">
        <v>552</v>
      </c>
      <c r="I962" s="408" t="s">
        <v>553</v>
      </c>
      <c r="J962" s="408" t="s">
        <v>554</v>
      </c>
      <c r="K962" s="408" t="s">
        <v>555</v>
      </c>
      <c r="M962" s="426" t="s">
        <v>682</v>
      </c>
    </row>
    <row r="963" spans="2:13" ht="15.75" thickBot="1" x14ac:dyDescent="0.3">
      <c r="B963" s="414" t="s">
        <v>556</v>
      </c>
      <c r="C963" s="415" t="s">
        <v>620</v>
      </c>
      <c r="D963" s="416">
        <f>IF(ISERROR(VLOOKUP(B962,'MD Usage'!$A$1:$W$5000,3,FALSE)),0,VLOOKUP(B962,'MD Usage'!$A$1:$W$5000,3,FALSE))</f>
        <v>0</v>
      </c>
      <c r="E963" s="416">
        <f>IF(ISERROR(VLOOKUP(B962,'MD Usage'!$A$1:$W$5000,5,FALSE)),0,VLOOKUP(B962,'MD Usage'!$A$1:$W$5000,5,FALSE))</f>
        <v>0</v>
      </c>
      <c r="F963" s="416">
        <f>IF(ISERROR(VLOOKUP(B962,'MD Usage'!$A$1:$W$5000,7,FALSE)),0,VLOOKUP(B962,'MD Usage'!$A$1:$W$5000,7,FALSE))</f>
        <v>0</v>
      </c>
      <c r="G963" s="416">
        <f>IF(ISERROR(VLOOKUP(B962,'MD Usage'!$A$1:$W$5000,9,FALSE)),0,VLOOKUP(B962,'MD Usage'!$A$1:$W$5000,9,FALSE))</f>
        <v>0</v>
      </c>
      <c r="H963" s="416">
        <f>IF(ISERROR(VLOOKUP(B962,'MD Usage'!$A$1:$W$5000,11,FALSE)),0,VLOOKUP(B962,'MD Usage'!$A$1:$W$5000,11,FALSE))</f>
        <v>0</v>
      </c>
      <c r="I963" s="416">
        <f>IF(ISERROR(VLOOKUP(B962,'MD Usage'!A1:R2000,13,FALSE)),0,VLOOKUP(B962,'MD Usage'!A1:R2000,13,FALSE))</f>
        <v>0</v>
      </c>
      <c r="J963" s="416">
        <f>IF(ISERROR(VLOOKUP(B962,'MD Usage'!A1:R2000,15,FALSE)),0,VLOOKUP(B962,'MD Usage'!A1:R2000,15,FALSE))</f>
        <v>0</v>
      </c>
      <c r="K963" s="418">
        <f>SUM(D963:J963)</f>
        <v>0</v>
      </c>
    </row>
    <row r="964" spans="2:13" x14ac:dyDescent="0.25">
      <c r="B964" s="419" t="s">
        <v>917</v>
      </c>
      <c r="C964" s="420">
        <v>1</v>
      </c>
      <c r="D964" s="421">
        <f>D963*C964</f>
        <v>0</v>
      </c>
      <c r="E964" s="421">
        <f>E963*C964</f>
        <v>0</v>
      </c>
      <c r="F964" s="421">
        <f>F963*C964</f>
        <v>0</v>
      </c>
      <c r="G964" s="421">
        <f>G963*C964</f>
        <v>0</v>
      </c>
      <c r="H964" s="421">
        <f>H963*C964</f>
        <v>0</v>
      </c>
      <c r="I964" s="421">
        <f>I963*C964</f>
        <v>0</v>
      </c>
      <c r="J964" s="421">
        <f>J963*C964</f>
        <v>0</v>
      </c>
      <c r="K964" s="422">
        <f>SUM(D964:J964)</f>
        <v>0</v>
      </c>
    </row>
    <row r="965" spans="2:13" x14ac:dyDescent="0.25">
      <c r="B965" s="389" t="s">
        <v>65</v>
      </c>
      <c r="C965" s="423">
        <v>1.5</v>
      </c>
      <c r="D965" s="421">
        <f>D963*C965</f>
        <v>0</v>
      </c>
      <c r="E965" s="421">
        <f>E963*C965</f>
        <v>0</v>
      </c>
      <c r="F965" s="421">
        <f>F963*C965</f>
        <v>0</v>
      </c>
      <c r="G965" s="421">
        <f>G963*C965</f>
        <v>0</v>
      </c>
      <c r="H965" s="421">
        <f>H963*C965</f>
        <v>0</v>
      </c>
      <c r="I965" s="421">
        <f>I963*C965</f>
        <v>0</v>
      </c>
      <c r="J965" s="421">
        <f>J963*C965</f>
        <v>0</v>
      </c>
      <c r="K965" s="424">
        <f>SUM(D965:J965)</f>
        <v>0</v>
      </c>
    </row>
    <row r="966" spans="2:13" ht="15" customHeight="1" x14ac:dyDescent="0.25">
      <c r="B966" s="389" t="s">
        <v>625</v>
      </c>
      <c r="C966" s="423">
        <v>1.5</v>
      </c>
      <c r="D966" s="421">
        <f>D963*C966</f>
        <v>0</v>
      </c>
      <c r="E966" s="421">
        <f>E963*C966</f>
        <v>0</v>
      </c>
      <c r="F966" s="421">
        <f>F963*C966</f>
        <v>0</v>
      </c>
      <c r="G966" s="421">
        <f>G963*C966</f>
        <v>0</v>
      </c>
      <c r="H966" s="421">
        <f>H963*C966</f>
        <v>0</v>
      </c>
      <c r="I966" s="421">
        <f>I963*C966</f>
        <v>0</v>
      </c>
      <c r="J966" s="421">
        <f>J963*C966</f>
        <v>0</v>
      </c>
      <c r="K966" s="424">
        <f>SUM(D966:J966)</f>
        <v>0</v>
      </c>
    </row>
    <row r="967" spans="2:13" x14ac:dyDescent="0.25">
      <c r="B967" s="389"/>
      <c r="C967" s="423"/>
      <c r="D967" s="421">
        <f>D963*C967</f>
        <v>0</v>
      </c>
      <c r="E967" s="421">
        <f>E963*C967</f>
        <v>0</v>
      </c>
      <c r="F967" s="421">
        <f>F963*C967</f>
        <v>0</v>
      </c>
      <c r="G967" s="421">
        <f>G963*C967</f>
        <v>0</v>
      </c>
      <c r="H967" s="421">
        <f>H963*C967</f>
        <v>0</v>
      </c>
      <c r="I967" s="421">
        <f>I963*C967</f>
        <v>0</v>
      </c>
      <c r="J967" s="421">
        <f>J963*C967</f>
        <v>0</v>
      </c>
      <c r="K967" s="424">
        <f>SUM(D967:J967)</f>
        <v>0</v>
      </c>
    </row>
    <row r="968" spans="2:13" ht="15.75" thickBot="1" x14ac:dyDescent="0.3"/>
    <row r="969" spans="2:13" ht="15.75" thickBot="1" x14ac:dyDescent="0.3">
      <c r="B969" s="432">
        <v>6460182</v>
      </c>
      <c r="C969" s="411"/>
      <c r="D969" s="407" t="s">
        <v>548</v>
      </c>
      <c r="E969" s="408" t="s">
        <v>549</v>
      </c>
      <c r="F969" s="408" t="s">
        <v>550</v>
      </c>
      <c r="G969" s="408" t="s">
        <v>551</v>
      </c>
      <c r="H969" s="408" t="s">
        <v>552</v>
      </c>
      <c r="I969" s="408" t="s">
        <v>553</v>
      </c>
      <c r="J969" s="408" t="s">
        <v>554</v>
      </c>
      <c r="K969" s="408" t="s">
        <v>555</v>
      </c>
      <c r="M969" s="414" t="s">
        <v>733</v>
      </c>
    </row>
    <row r="970" spans="2:13" ht="15.75" thickBot="1" x14ac:dyDescent="0.3">
      <c r="B970" s="414" t="s">
        <v>556</v>
      </c>
      <c r="C970" s="415" t="s">
        <v>620</v>
      </c>
      <c r="D970" s="416">
        <f>IF(ISERROR(VLOOKUP(B969,'MD Usage'!$A$1:$W$5000,3,FALSE)),0,VLOOKUP(B969,'MD Usage'!$A$1:$W$5000,3,FALSE))</f>
        <v>0</v>
      </c>
      <c r="E970" s="416">
        <f>IF(ISERROR(VLOOKUP(B969,'MD Usage'!$A$1:$W$5000,5,FALSE)),0,VLOOKUP(B969,'MD Usage'!$A$1:$W$5000,5,FALSE))</f>
        <v>0</v>
      </c>
      <c r="F970" s="416">
        <f>IF(ISERROR(VLOOKUP(B969,'MD Usage'!$A$1:$W$5000,7,FALSE)),0,VLOOKUP(B969,'MD Usage'!$A$1:$W$5000,7,FALSE))</f>
        <v>0</v>
      </c>
      <c r="G970" s="416">
        <f>IF(ISERROR(VLOOKUP(B969,'MD Usage'!$A$1:$W$5000,9,FALSE)),0,VLOOKUP(B969,'MD Usage'!$A$1:$W$5000,9,FALSE))</f>
        <v>0</v>
      </c>
      <c r="H970" s="416">
        <f>IF(ISERROR(VLOOKUP(B969,'MD Usage'!$A$1:$W$5000,11,FALSE)),0,VLOOKUP(B969,'MD Usage'!$A$1:$W$5000,11,FALSE))</f>
        <v>0</v>
      </c>
      <c r="I970" s="416">
        <f>IF(ISERROR(VLOOKUP(B969,'MD Usage'!A1:R2000,13,FALSE)),0,VLOOKUP(B969,'MD Usage'!A1:R2000,13,FALSE))</f>
        <v>0</v>
      </c>
      <c r="J970" s="416">
        <f>IF(ISERROR(VLOOKUP(B969,'MD Usage'!A1:R2000,15,FALSE)),0,VLOOKUP(B969,'MD Usage'!A1:R2000,15,FALSE))</f>
        <v>0</v>
      </c>
      <c r="K970" s="418">
        <f>SUM(D970:J970)</f>
        <v>0</v>
      </c>
    </row>
    <row r="971" spans="2:13" x14ac:dyDescent="0.25">
      <c r="B971" s="419" t="s">
        <v>599</v>
      </c>
      <c r="C971" s="420">
        <v>2</v>
      </c>
      <c r="D971" s="421">
        <f>D970*C971</f>
        <v>0</v>
      </c>
      <c r="E971" s="421">
        <f>E970*C971</f>
        <v>0</v>
      </c>
      <c r="F971" s="421">
        <f>F970*C971</f>
        <v>0</v>
      </c>
      <c r="G971" s="421">
        <f>G970*C971</f>
        <v>0</v>
      </c>
      <c r="H971" s="421">
        <f>H970*C971</f>
        <v>0</v>
      </c>
      <c r="I971" s="421">
        <f>I970*C971</f>
        <v>0</v>
      </c>
      <c r="J971" s="421">
        <f>J970*C971</f>
        <v>0</v>
      </c>
      <c r="K971" s="422">
        <f>SUM(D971:J971)</f>
        <v>0</v>
      </c>
    </row>
    <row r="972" spans="2:13" x14ac:dyDescent="0.25">
      <c r="B972" s="389" t="s">
        <v>596</v>
      </c>
      <c r="C972" s="423">
        <v>5</v>
      </c>
      <c r="D972" s="421">
        <f>D970*C972</f>
        <v>0</v>
      </c>
      <c r="E972" s="421">
        <f>E970*C972</f>
        <v>0</v>
      </c>
      <c r="F972" s="421">
        <f>F970*C972</f>
        <v>0</v>
      </c>
      <c r="G972" s="421">
        <f>G970*C972</f>
        <v>0</v>
      </c>
      <c r="H972" s="421">
        <f>H970*C972</f>
        <v>0</v>
      </c>
      <c r="I972" s="421">
        <f>I970*C972</f>
        <v>0</v>
      </c>
      <c r="J972" s="421">
        <f>J970*C972</f>
        <v>0</v>
      </c>
      <c r="K972" s="424">
        <f>SUM(D972:J972)</f>
        <v>0</v>
      </c>
    </row>
    <row r="973" spans="2:13" x14ac:dyDescent="0.25">
      <c r="B973" s="389"/>
      <c r="C973" s="423"/>
      <c r="D973" s="421">
        <f>D970*C973</f>
        <v>0</v>
      </c>
      <c r="E973" s="421">
        <f>E970*C973</f>
        <v>0</v>
      </c>
      <c r="F973" s="421">
        <f>F970*C973</f>
        <v>0</v>
      </c>
      <c r="G973" s="421">
        <f>G970*C973</f>
        <v>0</v>
      </c>
      <c r="H973" s="421">
        <f>H970*C973</f>
        <v>0</v>
      </c>
      <c r="I973" s="421">
        <f>I970*C973</f>
        <v>0</v>
      </c>
      <c r="J973" s="421">
        <f>J970*C973</f>
        <v>0</v>
      </c>
      <c r="K973" s="424">
        <f>SUM(D973:J973)</f>
        <v>0</v>
      </c>
    </row>
    <row r="974" spans="2:13" x14ac:dyDescent="0.25">
      <c r="B974" s="389"/>
      <c r="C974" s="423"/>
      <c r="D974" s="421">
        <f>D970*C974</f>
        <v>0</v>
      </c>
      <c r="E974" s="421">
        <f>E970*C974</f>
        <v>0</v>
      </c>
      <c r="F974" s="421">
        <f>F970*C974</f>
        <v>0</v>
      </c>
      <c r="G974" s="421">
        <f>G970*C974</f>
        <v>0</v>
      </c>
      <c r="H974" s="421">
        <f>H970*C974</f>
        <v>0</v>
      </c>
      <c r="I974" s="421">
        <f>I970*C974</f>
        <v>0</v>
      </c>
      <c r="J974" s="421">
        <f>J970*C974</f>
        <v>0</v>
      </c>
      <c r="K974" s="424">
        <f>SUM(D974:J974)</f>
        <v>0</v>
      </c>
    </row>
    <row r="975" spans="2:13" ht="15" customHeight="1" thickBot="1" x14ac:dyDescent="0.3"/>
    <row r="976" spans="2:13" ht="15.75" thickBot="1" x14ac:dyDescent="0.3">
      <c r="B976" s="437"/>
      <c r="C976" s="411"/>
      <c r="D976" s="407" t="s">
        <v>548</v>
      </c>
      <c r="E976" s="408" t="s">
        <v>549</v>
      </c>
      <c r="F976" s="408" t="s">
        <v>550</v>
      </c>
      <c r="G976" s="408" t="s">
        <v>551</v>
      </c>
      <c r="H976" s="408" t="s">
        <v>552</v>
      </c>
      <c r="I976" s="408" t="s">
        <v>553</v>
      </c>
      <c r="J976" s="408" t="s">
        <v>554</v>
      </c>
      <c r="K976" s="408" t="s">
        <v>555</v>
      </c>
      <c r="M976" s="426" t="s">
        <v>734</v>
      </c>
    </row>
    <row r="977" spans="2:13" ht="15.75" thickBot="1" x14ac:dyDescent="0.3">
      <c r="B977" s="414" t="s">
        <v>556</v>
      </c>
      <c r="C977" s="415" t="s">
        <v>620</v>
      </c>
      <c r="D977" s="416">
        <f>IF(ISERROR(VLOOKUP(B976,'MD Usage'!$A$1:$W$5000,3,FALSE)),0,VLOOKUP(B976,'MD Usage'!$A$1:$W$5000,3,FALSE))</f>
        <v>0</v>
      </c>
      <c r="E977" s="416">
        <f>IF(ISERROR(VLOOKUP(B976,'MD Usage'!$A$1:$W$5000,5,FALSE)),0,VLOOKUP(B976,'MD Usage'!$A$1:$W$5000,5,FALSE))</f>
        <v>0</v>
      </c>
      <c r="F977" s="416">
        <f>IF(ISERROR(VLOOKUP(B976,'MD Usage'!$A$1:$W$5000,7,FALSE)),0,VLOOKUP(B976,'MD Usage'!$A$1:$W$5000,7,FALSE))</f>
        <v>0</v>
      </c>
      <c r="G977" s="416">
        <f>IF(ISERROR(VLOOKUP(B976,'MD Usage'!$A$1:$W$5000,9,FALSE)),0,VLOOKUP(B976,'MD Usage'!$A$1:$W$5000,9,FALSE))</f>
        <v>0</v>
      </c>
      <c r="H977" s="416">
        <f>IF(ISERROR(VLOOKUP(B976,'MD Usage'!$A$1:$W$5000,11,FALSE)),0,VLOOKUP(B976,'MD Usage'!$A$1:$W$5000,11,FALSE))</f>
        <v>0</v>
      </c>
      <c r="I977" s="416">
        <f>IF(ISERROR(VLOOKUP(B976,'MD Usage'!A1:R2000,13,FALSE)),0,VLOOKUP(B976,'MD Usage'!A1:R2000,13,FALSE))</f>
        <v>0</v>
      </c>
      <c r="J977" s="416">
        <f>IF(ISERROR(VLOOKUP(B976,'MD Usage'!A1:R2000,15,FALSE)),0,VLOOKUP(B976,'MD Usage'!A1:R2000,15,FALSE))</f>
        <v>0</v>
      </c>
      <c r="K977" s="418">
        <f>SUM(D977:J977)</f>
        <v>0</v>
      </c>
    </row>
    <row r="978" spans="2:13" x14ac:dyDescent="0.25">
      <c r="B978" s="383" t="s">
        <v>1854</v>
      </c>
      <c r="C978" s="420">
        <v>2</v>
      </c>
      <c r="D978" s="421">
        <f>D977*C978</f>
        <v>0</v>
      </c>
      <c r="E978" s="421">
        <f>E977*C978</f>
        <v>0</v>
      </c>
      <c r="F978" s="421">
        <f>F977*C978</f>
        <v>0</v>
      </c>
      <c r="G978" s="421">
        <f>G977*C978</f>
        <v>0</v>
      </c>
      <c r="H978" s="421">
        <f>H977*C978</f>
        <v>0</v>
      </c>
      <c r="I978" s="421">
        <f>I977*C978</f>
        <v>0</v>
      </c>
      <c r="J978" s="421">
        <f>J977*C978</f>
        <v>0</v>
      </c>
      <c r="K978" s="422">
        <f>SUM(D978:J978)</f>
        <v>0</v>
      </c>
    </row>
    <row r="979" spans="2:13" x14ac:dyDescent="0.25">
      <c r="B979" s="389"/>
      <c r="C979" s="423">
        <v>5</v>
      </c>
      <c r="D979" s="421">
        <f>D977*C979</f>
        <v>0</v>
      </c>
      <c r="E979" s="421">
        <f>E977*C979</f>
        <v>0</v>
      </c>
      <c r="F979" s="421">
        <f>F977*C979</f>
        <v>0</v>
      </c>
      <c r="G979" s="421">
        <f>G977*C979</f>
        <v>0</v>
      </c>
      <c r="H979" s="421">
        <f>H977*C979</f>
        <v>0</v>
      </c>
      <c r="I979" s="421">
        <f>I977*C979</f>
        <v>0</v>
      </c>
      <c r="J979" s="421">
        <f>J977*C979</f>
        <v>0</v>
      </c>
      <c r="K979" s="424">
        <f>SUM(D979:J979)</f>
        <v>0</v>
      </c>
    </row>
    <row r="980" spans="2:13" x14ac:dyDescent="0.25">
      <c r="B980" s="389"/>
      <c r="C980" s="423"/>
      <c r="D980" s="421">
        <f>D977*C980</f>
        <v>0</v>
      </c>
      <c r="E980" s="421">
        <f>E977*C980</f>
        <v>0</v>
      </c>
      <c r="F980" s="421">
        <f>F977*C980</f>
        <v>0</v>
      </c>
      <c r="G980" s="421">
        <f>G977*C980</f>
        <v>0</v>
      </c>
      <c r="H980" s="421">
        <f>H977*C980</f>
        <v>0</v>
      </c>
      <c r="I980" s="421">
        <f>I977*C980</f>
        <v>0</v>
      </c>
      <c r="J980" s="421">
        <f>J977*C980</f>
        <v>0</v>
      </c>
      <c r="K980" s="424">
        <f>SUM(D980:J980)</f>
        <v>0</v>
      </c>
    </row>
    <row r="981" spans="2:13" x14ac:dyDescent="0.25">
      <c r="B981" s="389"/>
      <c r="C981" s="423"/>
      <c r="D981" s="421">
        <f>D977*C981</f>
        <v>0</v>
      </c>
      <c r="E981" s="421">
        <f>E977*C981</f>
        <v>0</v>
      </c>
      <c r="F981" s="421">
        <f>F977*C981</f>
        <v>0</v>
      </c>
      <c r="G981" s="421">
        <f>G977*C981</f>
        <v>0</v>
      </c>
      <c r="H981" s="421">
        <f>H977*C981</f>
        <v>0</v>
      </c>
      <c r="I981" s="421">
        <f>I977*C981</f>
        <v>0</v>
      </c>
      <c r="J981" s="421">
        <f>J977*C981</f>
        <v>0</v>
      </c>
      <c r="K981" s="424">
        <f>SUM(D981:J981)</f>
        <v>0</v>
      </c>
    </row>
    <row r="982" spans="2:13" ht="15" customHeight="1" thickBot="1" x14ac:dyDescent="0.3"/>
    <row r="983" spans="2:13" ht="15.75" thickBot="1" x14ac:dyDescent="0.3">
      <c r="B983" s="432">
        <v>6440739</v>
      </c>
      <c r="C983" s="411"/>
      <c r="D983" s="407" t="s">
        <v>548</v>
      </c>
      <c r="E983" s="408" t="s">
        <v>549</v>
      </c>
      <c r="F983" s="408" t="s">
        <v>550</v>
      </c>
      <c r="G983" s="408" t="s">
        <v>551</v>
      </c>
      <c r="H983" s="408" t="s">
        <v>552</v>
      </c>
      <c r="I983" s="408" t="s">
        <v>553</v>
      </c>
      <c r="J983" s="408" t="s">
        <v>554</v>
      </c>
      <c r="K983" s="408" t="s">
        <v>555</v>
      </c>
      <c r="M983" s="426"/>
    </row>
    <row r="984" spans="2:13" ht="15.75" thickBot="1" x14ac:dyDescent="0.3">
      <c r="B984" s="414" t="s">
        <v>556</v>
      </c>
      <c r="C984" s="415" t="s">
        <v>620</v>
      </c>
      <c r="D984" s="416">
        <f>IF(ISERROR(VLOOKUP(B983,'MD Usage'!$A$1:$W$5000,3,FALSE)),0,VLOOKUP(B983,'MD Usage'!$A$1:$W$5000,3,FALSE))</f>
        <v>3</v>
      </c>
      <c r="E984" s="416">
        <f>IF(ISERROR(VLOOKUP(B983,'MD Usage'!$A$1:$W$5000,5,FALSE)),0,VLOOKUP(B983,'MD Usage'!$A$1:$W$5000,5,FALSE))</f>
        <v>1</v>
      </c>
      <c r="F984" s="416">
        <f>IF(ISERROR(VLOOKUP(B983,'MD Usage'!$A$1:$W$5000,7,FALSE)),0,VLOOKUP(B983,'MD Usage'!$A$1:$W$5000,7,FALSE))</f>
        <v>1</v>
      </c>
      <c r="G984" s="416">
        <f>IF(ISERROR(VLOOKUP(B983,'MD Usage'!$A$1:$W$5000,9,FALSE)),0,VLOOKUP(B983,'MD Usage'!$A$1:$W$5000,9,FALSE))</f>
        <v>3</v>
      </c>
      <c r="H984" s="416">
        <f>IF(ISERROR(VLOOKUP(B983,'MD Usage'!$A$1:$W$5000,11,FALSE)),0,VLOOKUP(B983,'MD Usage'!$A$1:$W$5000,11,FALSE))</f>
        <v>4</v>
      </c>
      <c r="I984" s="416">
        <f>IF(ISERROR(VLOOKUP(B983,'MD Usage'!A1:R2000,13,FALSE)),0,VLOOKUP(B983,'MD Usage'!A1:R2000,13,FALSE))</f>
        <v>12</v>
      </c>
      <c r="J984" s="416">
        <f>IF(ISERROR(VLOOKUP(B983,'MD Usage'!A1:R2000,15,FALSE)),0,VLOOKUP(B983,'MD Usage'!A1:R2000,15,FALSE))</f>
        <v>2</v>
      </c>
      <c r="K984" s="418">
        <f>SUM(D984:J984)</f>
        <v>26</v>
      </c>
    </row>
    <row r="985" spans="2:13" x14ac:dyDescent="0.25">
      <c r="B985" s="383" t="s">
        <v>1854</v>
      </c>
      <c r="C985" s="420">
        <v>6</v>
      </c>
      <c r="D985" s="421">
        <f>D984*C985</f>
        <v>18</v>
      </c>
      <c r="E985" s="421">
        <f>E984*C985</f>
        <v>6</v>
      </c>
      <c r="F985" s="421">
        <f>F984*C985</f>
        <v>6</v>
      </c>
      <c r="G985" s="421">
        <f>G984*C985</f>
        <v>18</v>
      </c>
      <c r="H985" s="421">
        <f>H984*C985</f>
        <v>24</v>
      </c>
      <c r="I985" s="421">
        <f>I984*C985</f>
        <v>72</v>
      </c>
      <c r="J985" s="421">
        <f>J984*C985</f>
        <v>12</v>
      </c>
      <c r="K985" s="422">
        <f>SUM(D985:J985)</f>
        <v>156</v>
      </c>
    </row>
    <row r="986" spans="2:13" x14ac:dyDescent="0.25">
      <c r="B986" s="389"/>
      <c r="C986" s="423"/>
      <c r="D986" s="421">
        <f>D984*C986</f>
        <v>0</v>
      </c>
      <c r="E986" s="421">
        <f>E984*C986</f>
        <v>0</v>
      </c>
      <c r="F986" s="421">
        <f>F984*C986</f>
        <v>0</v>
      </c>
      <c r="G986" s="421">
        <f>G984*C986</f>
        <v>0</v>
      </c>
      <c r="H986" s="421">
        <f>H984*C986</f>
        <v>0</v>
      </c>
      <c r="I986" s="421">
        <f>I984*C986</f>
        <v>0</v>
      </c>
      <c r="J986" s="421">
        <f>J984*C986</f>
        <v>0</v>
      </c>
      <c r="K986" s="424">
        <f>SUM(D986:J986)</f>
        <v>0</v>
      </c>
    </row>
    <row r="987" spans="2:13" x14ac:dyDescent="0.25">
      <c r="B987" s="389"/>
      <c r="C987" s="423"/>
      <c r="D987" s="421">
        <f>D984*C987</f>
        <v>0</v>
      </c>
      <c r="E987" s="421">
        <f>E984*C987</f>
        <v>0</v>
      </c>
      <c r="F987" s="421">
        <f>F984*C987</f>
        <v>0</v>
      </c>
      <c r="G987" s="421">
        <f>G984*C987</f>
        <v>0</v>
      </c>
      <c r="H987" s="421">
        <f>H984*C987</f>
        <v>0</v>
      </c>
      <c r="I987" s="421">
        <f>I984*C987</f>
        <v>0</v>
      </c>
      <c r="J987" s="421">
        <f>J984*C987</f>
        <v>0</v>
      </c>
      <c r="K987" s="424">
        <f>SUM(D987:J987)</f>
        <v>0</v>
      </c>
    </row>
    <row r="988" spans="2:13" x14ac:dyDescent="0.25">
      <c r="B988" s="389"/>
      <c r="C988" s="423"/>
      <c r="D988" s="421">
        <f>D984*C988</f>
        <v>0</v>
      </c>
      <c r="E988" s="421">
        <f>E984*C988</f>
        <v>0</v>
      </c>
      <c r="F988" s="421">
        <f>F984*C988</f>
        <v>0</v>
      </c>
      <c r="G988" s="421">
        <f>G984*C988</f>
        <v>0</v>
      </c>
      <c r="H988" s="421">
        <f>H984*C988</f>
        <v>0</v>
      </c>
      <c r="I988" s="421">
        <f>I984*C988</f>
        <v>0</v>
      </c>
      <c r="J988" s="421">
        <f>J984*C988</f>
        <v>0</v>
      </c>
      <c r="K988" s="424">
        <f>SUM(D988:J988)</f>
        <v>0</v>
      </c>
    </row>
    <row r="989" spans="2:13" ht="15.75" thickBot="1" x14ac:dyDescent="0.3"/>
    <row r="990" spans="2:13" ht="15.75" thickBot="1" x14ac:dyDescent="0.3">
      <c r="B990" s="436">
        <v>6440451</v>
      </c>
      <c r="C990" s="411"/>
      <c r="D990" s="407" t="s">
        <v>548</v>
      </c>
      <c r="E990" s="408" t="s">
        <v>549</v>
      </c>
      <c r="F990" s="408" t="s">
        <v>550</v>
      </c>
      <c r="G990" s="408" t="s">
        <v>551</v>
      </c>
      <c r="H990" s="408" t="s">
        <v>552</v>
      </c>
      <c r="I990" s="408" t="s">
        <v>553</v>
      </c>
      <c r="J990" s="408" t="s">
        <v>554</v>
      </c>
      <c r="K990" s="408" t="s">
        <v>555</v>
      </c>
      <c r="M990" s="426" t="s">
        <v>1827</v>
      </c>
    </row>
    <row r="991" spans="2:13" ht="15" customHeight="1" thickBot="1" x14ac:dyDescent="0.3">
      <c r="B991" s="414" t="s">
        <v>556</v>
      </c>
      <c r="C991" s="415" t="s">
        <v>620</v>
      </c>
      <c r="D991" s="416">
        <f>IF(ISERROR(VLOOKUP(B990,'MD Usage'!$A$1:$W$5000,3,FALSE)),0,VLOOKUP(B990,'MD Usage'!$A$1:$W$5000,3,FALSE))</f>
        <v>1</v>
      </c>
      <c r="E991" s="416">
        <f>IF(ISERROR(VLOOKUP(B990,'MD Usage'!$A$1:$W$5000,5,FALSE)),0,VLOOKUP(B990,'MD Usage'!$A$1:$W$5000,5,FALSE))</f>
        <v>0</v>
      </c>
      <c r="F991" s="416">
        <f>IF(ISERROR(VLOOKUP(B990,'MD Usage'!$A$1:$W$5000,7,FALSE)),0,VLOOKUP(B990,'MD Usage'!$A$1:$W$5000,7,FALSE))</f>
        <v>4</v>
      </c>
      <c r="G991" s="416">
        <f>IF(ISERROR(VLOOKUP(B990,'MD Usage'!$A$1:$W$5000,9,FALSE)),0,VLOOKUP(B990,'MD Usage'!$A$1:$W$5000,9,FALSE))</f>
        <v>0</v>
      </c>
      <c r="H991" s="416">
        <f>IF(ISERROR(VLOOKUP(B990,'MD Usage'!$A$1:$W$5000,11,FALSE)),0,VLOOKUP(B990,'MD Usage'!$A$1:$W$5000,11,FALSE))</f>
        <v>1</v>
      </c>
      <c r="I991" s="416">
        <f>IF(ISERROR(VLOOKUP(B990,'MD Usage'!A1:R2000,13,FALSE)),0,VLOOKUP(B990,'MD Usage'!A1:R2000,13,FALSE))</f>
        <v>4</v>
      </c>
      <c r="J991" s="416">
        <f>IF(ISERROR(VLOOKUP(B990,'MD Usage'!A1:R2000,15,FALSE)),0,VLOOKUP(B990,'MD Usage'!A1:R2000,15,FALSE))</f>
        <v>1</v>
      </c>
      <c r="K991" s="418">
        <f t="shared" ref="K991:K996" si="64">SUM(D991:J991)</f>
        <v>11</v>
      </c>
    </row>
    <row r="992" spans="2:13" x14ac:dyDescent="0.25">
      <c r="B992" s="419" t="s">
        <v>1826</v>
      </c>
      <c r="C992" s="420">
        <v>1</v>
      </c>
      <c r="D992" s="421">
        <f>D991*C992</f>
        <v>1</v>
      </c>
      <c r="E992" s="421">
        <f>E991*C992</f>
        <v>0</v>
      </c>
      <c r="F992" s="421">
        <f>F991*C992</f>
        <v>4</v>
      </c>
      <c r="G992" s="421">
        <f>G991*C992</f>
        <v>0</v>
      </c>
      <c r="H992" s="421">
        <f>H991*C992</f>
        <v>1</v>
      </c>
      <c r="I992" s="421">
        <f>I991*C992</f>
        <v>4</v>
      </c>
      <c r="J992" s="421">
        <f>J991*C992</f>
        <v>1</v>
      </c>
      <c r="K992" s="422">
        <f t="shared" si="64"/>
        <v>11</v>
      </c>
    </row>
    <row r="993" spans="2:13" x14ac:dyDescent="0.25">
      <c r="B993" s="389" t="s">
        <v>594</v>
      </c>
      <c r="C993" s="423">
        <v>1</v>
      </c>
      <c r="D993" s="421">
        <f>D991*C993</f>
        <v>1</v>
      </c>
      <c r="E993" s="421">
        <f>E991*C993</f>
        <v>0</v>
      </c>
      <c r="F993" s="421">
        <f>F991*C993</f>
        <v>4</v>
      </c>
      <c r="G993" s="421">
        <f>G991*C993</f>
        <v>0</v>
      </c>
      <c r="H993" s="421">
        <f>H991*C993</f>
        <v>1</v>
      </c>
      <c r="I993" s="421">
        <f>I991*C993</f>
        <v>4</v>
      </c>
      <c r="J993" s="421">
        <f>J991*C993</f>
        <v>1</v>
      </c>
      <c r="K993" s="424">
        <f t="shared" si="64"/>
        <v>11</v>
      </c>
    </row>
    <row r="994" spans="2:13" x14ac:dyDescent="0.25">
      <c r="B994" s="389" t="s">
        <v>572</v>
      </c>
      <c r="C994" s="423">
        <v>1</v>
      </c>
      <c r="D994" s="421">
        <f>D991*C994</f>
        <v>1</v>
      </c>
      <c r="E994" s="421">
        <f>E991*C994</f>
        <v>0</v>
      </c>
      <c r="F994" s="421">
        <f>F991*C994</f>
        <v>4</v>
      </c>
      <c r="G994" s="421">
        <f>G991*C994</f>
        <v>0</v>
      </c>
      <c r="H994" s="421">
        <f>H991*C994</f>
        <v>1</v>
      </c>
      <c r="I994" s="421">
        <f>I991*C994</f>
        <v>4</v>
      </c>
      <c r="J994" s="421">
        <f>J991*C994</f>
        <v>1</v>
      </c>
      <c r="K994" s="424">
        <f t="shared" si="64"/>
        <v>11</v>
      </c>
    </row>
    <row r="995" spans="2:13" x14ac:dyDescent="0.25">
      <c r="B995" s="389" t="s">
        <v>1844</v>
      </c>
      <c r="C995" s="423">
        <v>1</v>
      </c>
      <c r="D995" s="421">
        <f>D991*C995</f>
        <v>1</v>
      </c>
      <c r="E995" s="421">
        <f>E991*C995</f>
        <v>0</v>
      </c>
      <c r="F995" s="421">
        <f>F991*C995</f>
        <v>4</v>
      </c>
      <c r="G995" s="421">
        <f>G991*C995</f>
        <v>0</v>
      </c>
      <c r="H995" s="421">
        <f>H991*C995</f>
        <v>1</v>
      </c>
      <c r="I995" s="421">
        <f>I991*C995</f>
        <v>4</v>
      </c>
      <c r="J995" s="421">
        <f>J991*C995</f>
        <v>1</v>
      </c>
      <c r="K995" s="424">
        <f t="shared" si="64"/>
        <v>11</v>
      </c>
    </row>
    <row r="996" spans="2:13" x14ac:dyDescent="0.25">
      <c r="B996" s="389" t="s">
        <v>595</v>
      </c>
      <c r="C996" s="423">
        <v>1</v>
      </c>
      <c r="D996" s="421">
        <f>D991*C996</f>
        <v>1</v>
      </c>
      <c r="E996" s="421">
        <f>E991*C996</f>
        <v>0</v>
      </c>
      <c r="F996" s="421">
        <f>F991*C996</f>
        <v>4</v>
      </c>
      <c r="G996" s="421">
        <f>G991*C996</f>
        <v>0</v>
      </c>
      <c r="H996" s="421">
        <f>H991*C996</f>
        <v>1</v>
      </c>
      <c r="I996" s="421">
        <f>I991*C996</f>
        <v>4</v>
      </c>
      <c r="J996" s="421">
        <f>J991*C996</f>
        <v>1</v>
      </c>
      <c r="K996" s="424">
        <f t="shared" si="64"/>
        <v>11</v>
      </c>
    </row>
    <row r="997" spans="2:13" ht="15.75" thickBot="1" x14ac:dyDescent="0.3"/>
    <row r="998" spans="2:13" ht="15.75" thickBot="1" x14ac:dyDescent="0.3">
      <c r="B998" s="437">
        <v>6440452</v>
      </c>
      <c r="C998" s="411"/>
      <c r="D998" s="407" t="s">
        <v>548</v>
      </c>
      <c r="E998" s="408" t="s">
        <v>549</v>
      </c>
      <c r="F998" s="408" t="s">
        <v>550</v>
      </c>
      <c r="G998" s="408" t="s">
        <v>551</v>
      </c>
      <c r="H998" s="408" t="s">
        <v>552</v>
      </c>
      <c r="I998" s="408" t="s">
        <v>553</v>
      </c>
      <c r="J998" s="408" t="s">
        <v>554</v>
      </c>
      <c r="K998" s="408" t="s">
        <v>555</v>
      </c>
      <c r="M998" s="426" t="s">
        <v>1828</v>
      </c>
    </row>
    <row r="999" spans="2:13" ht="15.75" thickBot="1" x14ac:dyDescent="0.3">
      <c r="B999" s="414" t="s">
        <v>556</v>
      </c>
      <c r="C999" s="415" t="s">
        <v>620</v>
      </c>
      <c r="D999" s="416">
        <f>IF(ISERROR(VLOOKUP(B998,'MD Usage'!$A$1:$W$5000,3,FALSE)),0,VLOOKUP(B998,'MD Usage'!$A$1:$W$5000,3,FALSE))</f>
        <v>0</v>
      </c>
      <c r="E999" s="416">
        <f>IF(ISERROR(VLOOKUP(B998,'MD Usage'!$A$1:$W$5000,5,FALSE)),0,VLOOKUP(B998,'MD Usage'!$A$1:$W$5000,5,FALSE))</f>
        <v>0</v>
      </c>
      <c r="F999" s="416">
        <f>IF(ISERROR(VLOOKUP(B998,'MD Usage'!$A$1:$W$5000,7,FALSE)),0,VLOOKUP(B998,'MD Usage'!$A$1:$W$5000,7,FALSE))</f>
        <v>2</v>
      </c>
      <c r="G999" s="416">
        <f>IF(ISERROR(VLOOKUP(B998,'MD Usage'!$A$1:$W$5000,9,FALSE)),0,VLOOKUP(B998,'MD Usage'!$A$1:$W$5000,9,FALSE))</f>
        <v>0</v>
      </c>
      <c r="H999" s="416">
        <f>IF(ISERROR(VLOOKUP(B998,'MD Usage'!$A$1:$W$5000,11,FALSE)),0,VLOOKUP(B998,'MD Usage'!$A$1:$W$5000,11,FALSE))</f>
        <v>1</v>
      </c>
      <c r="I999" s="416">
        <f>IF(ISERROR(VLOOKUP(B998,'MD Usage'!A1:R2000,13,FALSE)),0,VLOOKUP(B998,'MD Usage'!A1:R2000,13,FALSE))</f>
        <v>0</v>
      </c>
      <c r="J999" s="416">
        <f>IF(ISERROR(VLOOKUP(B998,'MD Usage'!A1:R2000,15,FALSE)),0,VLOOKUP(B998,'MD Usage'!A1:R2000,15,FALSE))</f>
        <v>0</v>
      </c>
      <c r="K999" s="418">
        <f t="shared" ref="K999:K1004" si="65">SUM(D999:J999)</f>
        <v>3</v>
      </c>
    </row>
    <row r="1000" spans="2:13" ht="15" customHeight="1" x14ac:dyDescent="0.25">
      <c r="B1000" s="419" t="s">
        <v>1826</v>
      </c>
      <c r="C1000" s="420">
        <v>1</v>
      </c>
      <c r="D1000" s="421">
        <f>D999*C1000</f>
        <v>0</v>
      </c>
      <c r="E1000" s="421">
        <f>E999*C1000</f>
        <v>0</v>
      </c>
      <c r="F1000" s="421">
        <f>F999*C1000</f>
        <v>2</v>
      </c>
      <c r="G1000" s="421">
        <f>G999*C1000</f>
        <v>0</v>
      </c>
      <c r="H1000" s="421">
        <f>H999*C1000</f>
        <v>1</v>
      </c>
      <c r="I1000" s="421">
        <f>I999*C1000</f>
        <v>0</v>
      </c>
      <c r="J1000" s="421">
        <f>J999*C1000</f>
        <v>0</v>
      </c>
      <c r="K1000" s="422">
        <f t="shared" si="65"/>
        <v>3</v>
      </c>
    </row>
    <row r="1001" spans="2:13" x14ac:dyDescent="0.25">
      <c r="B1001" s="389" t="s">
        <v>594</v>
      </c>
      <c r="C1001" s="423">
        <v>1</v>
      </c>
      <c r="D1001" s="421">
        <f>D999*C1001</f>
        <v>0</v>
      </c>
      <c r="E1001" s="421">
        <f>E999*C1001</f>
        <v>0</v>
      </c>
      <c r="F1001" s="421">
        <f>F999*C1001</f>
        <v>2</v>
      </c>
      <c r="G1001" s="421">
        <f>G999*C1001</f>
        <v>0</v>
      </c>
      <c r="H1001" s="421">
        <f>H999*C1001</f>
        <v>1</v>
      </c>
      <c r="I1001" s="421">
        <f>I999*C1001</f>
        <v>0</v>
      </c>
      <c r="J1001" s="421">
        <f>J999*C1001</f>
        <v>0</v>
      </c>
      <c r="K1001" s="424">
        <f t="shared" si="65"/>
        <v>3</v>
      </c>
    </row>
    <row r="1002" spans="2:13" x14ac:dyDescent="0.25">
      <c r="B1002" s="389" t="s">
        <v>572</v>
      </c>
      <c r="C1002" s="423">
        <v>1</v>
      </c>
      <c r="D1002" s="421">
        <f>D999*C1002</f>
        <v>0</v>
      </c>
      <c r="E1002" s="421">
        <f>E999*C1002</f>
        <v>0</v>
      </c>
      <c r="F1002" s="421">
        <f>F999*C1002</f>
        <v>2</v>
      </c>
      <c r="G1002" s="421">
        <f>G999*C1002</f>
        <v>0</v>
      </c>
      <c r="H1002" s="421">
        <f>H999*C1002</f>
        <v>1</v>
      </c>
      <c r="I1002" s="421">
        <f>I999*C1002</f>
        <v>0</v>
      </c>
      <c r="J1002" s="421">
        <f>J999*C1002</f>
        <v>0</v>
      </c>
      <c r="K1002" s="424">
        <f t="shared" si="65"/>
        <v>3</v>
      </c>
    </row>
    <row r="1003" spans="2:13" x14ac:dyDescent="0.25">
      <c r="B1003" s="389" t="s">
        <v>1844</v>
      </c>
      <c r="C1003" s="423">
        <v>1</v>
      </c>
      <c r="D1003" s="421">
        <f>D999*C1003</f>
        <v>0</v>
      </c>
      <c r="E1003" s="421">
        <f>E999*C1003</f>
        <v>0</v>
      </c>
      <c r="F1003" s="421">
        <f>F999*C1003</f>
        <v>2</v>
      </c>
      <c r="G1003" s="421">
        <f>G999*C1003</f>
        <v>0</v>
      </c>
      <c r="H1003" s="421">
        <f>H999*C1003</f>
        <v>1</v>
      </c>
      <c r="I1003" s="421">
        <f>I999*C1003</f>
        <v>0</v>
      </c>
      <c r="J1003" s="421">
        <f>J999*C1003</f>
        <v>0</v>
      </c>
      <c r="K1003" s="424">
        <f t="shared" si="65"/>
        <v>3</v>
      </c>
    </row>
    <row r="1004" spans="2:13" x14ac:dyDescent="0.25">
      <c r="B1004" s="389" t="s">
        <v>595</v>
      </c>
      <c r="C1004" s="423">
        <v>1</v>
      </c>
      <c r="D1004" s="421">
        <f>D999*C1004</f>
        <v>0</v>
      </c>
      <c r="E1004" s="421">
        <f>E999*C1004</f>
        <v>0</v>
      </c>
      <c r="F1004" s="421">
        <f>F999*C1004</f>
        <v>2</v>
      </c>
      <c r="G1004" s="421">
        <f>G999*C1004</f>
        <v>0</v>
      </c>
      <c r="H1004" s="421">
        <f>H999*C1004</f>
        <v>1</v>
      </c>
      <c r="I1004" s="421">
        <f>I999*C1004</f>
        <v>0</v>
      </c>
      <c r="J1004" s="421">
        <f>J999*C1004</f>
        <v>0</v>
      </c>
      <c r="K1004" s="424">
        <f t="shared" si="65"/>
        <v>3</v>
      </c>
    </row>
    <row r="1005" spans="2:13" ht="15.75" thickBot="1" x14ac:dyDescent="0.3"/>
    <row r="1006" spans="2:13" ht="15.75" thickBot="1" x14ac:dyDescent="0.3">
      <c r="B1006" s="437">
        <v>6490090</v>
      </c>
      <c r="C1006" s="411"/>
      <c r="D1006" s="407" t="s">
        <v>548</v>
      </c>
      <c r="E1006" s="408" t="s">
        <v>549</v>
      </c>
      <c r="F1006" s="408" t="s">
        <v>550</v>
      </c>
      <c r="G1006" s="408" t="s">
        <v>551</v>
      </c>
      <c r="H1006" s="408" t="s">
        <v>552</v>
      </c>
      <c r="I1006" s="408" t="s">
        <v>553</v>
      </c>
      <c r="J1006" s="408" t="s">
        <v>554</v>
      </c>
      <c r="K1006" s="408" t="s">
        <v>555</v>
      </c>
    </row>
    <row r="1007" spans="2:13" ht="15.75" thickBot="1" x14ac:dyDescent="0.3">
      <c r="B1007" s="414" t="s">
        <v>556</v>
      </c>
      <c r="C1007" s="415" t="s">
        <v>620</v>
      </c>
      <c r="D1007" s="416">
        <f>IF(ISERROR(VLOOKUP(B1006,'MD Usage'!$A$1:$W$5000,3,FALSE)),0,VLOOKUP(B1006,'MD Usage'!$A$1:$W$5000,3,FALSE))</f>
        <v>2</v>
      </c>
      <c r="E1007" s="416">
        <f>IF(ISERROR(VLOOKUP(B1006,'MD Usage'!$A$1:$W$5000,5,FALSE)),0,VLOOKUP(B1006,'MD Usage'!$A$1:$W$5000,5,FALSE))</f>
        <v>1</v>
      </c>
      <c r="F1007" s="416">
        <f>IF(ISERROR(VLOOKUP(B1006,'MD Usage'!$A$1:$W$5000,7,FALSE)),0,VLOOKUP(B1006,'MD Usage'!$A$1:$W$5000,7,FALSE))</f>
        <v>6</v>
      </c>
      <c r="G1007" s="416">
        <f>IF(ISERROR(VLOOKUP(B1006,'MD Usage'!$A$1:$W$5000,9,FALSE)),0,VLOOKUP(B1006,'MD Usage'!$A$1:$W$5000,9,FALSE))</f>
        <v>1</v>
      </c>
      <c r="H1007" s="416">
        <f>IF(ISERROR(VLOOKUP(B1006,'MD Usage'!$A$1:$W$5000,11,FALSE)),0,VLOOKUP(B1006,'MD Usage'!$A$1:$W$5000,11,FALSE))</f>
        <v>10</v>
      </c>
      <c r="I1007" s="416">
        <f>IF(ISERROR(VLOOKUP(B1006,'MD Usage'!A1:R2000,13,FALSE)),0,VLOOKUP(B1006,'MD Usage'!A1:R2000,13,FALSE))</f>
        <v>13</v>
      </c>
      <c r="J1007" s="416">
        <f>IF(ISERROR(VLOOKUP(B1006,'MD Usage'!A1:R2000,15,FALSE)),0,VLOOKUP(B1006,'MD Usage'!A1:R2000,15,FALSE))</f>
        <v>4</v>
      </c>
      <c r="K1007" s="418">
        <f>SUM(D1007:J1007)</f>
        <v>37</v>
      </c>
    </row>
    <row r="1008" spans="2:13" ht="15" customHeight="1" x14ac:dyDescent="0.25">
      <c r="B1008" s="419" t="s">
        <v>925</v>
      </c>
      <c r="C1008" s="420">
        <v>1</v>
      </c>
      <c r="D1008" s="421">
        <f>D1007*C1008</f>
        <v>2</v>
      </c>
      <c r="E1008" s="421">
        <f>E1007*C1008</f>
        <v>1</v>
      </c>
      <c r="F1008" s="421">
        <f>F1007*C1008</f>
        <v>6</v>
      </c>
      <c r="G1008" s="421">
        <f>G1007*C1008</f>
        <v>1</v>
      </c>
      <c r="H1008" s="421">
        <f>H1007*C1008</f>
        <v>10</v>
      </c>
      <c r="I1008" s="421">
        <f>I1007*C1008</f>
        <v>13</v>
      </c>
      <c r="J1008" s="421">
        <f>J1007*C1008</f>
        <v>4</v>
      </c>
      <c r="K1008" s="422">
        <f>SUM(D1008:J1008)</f>
        <v>37</v>
      </c>
    </row>
    <row r="1009" spans="2:11" x14ac:dyDescent="0.25">
      <c r="B1009" s="389"/>
      <c r="C1009" s="423"/>
      <c r="D1009" s="421">
        <f>D1007*C1009</f>
        <v>0</v>
      </c>
      <c r="E1009" s="421">
        <f>E1007*C1009</f>
        <v>0</v>
      </c>
      <c r="F1009" s="421">
        <f>F1007*C1009</f>
        <v>0</v>
      </c>
      <c r="G1009" s="421">
        <f>G1007*C1009</f>
        <v>0</v>
      </c>
      <c r="H1009" s="421">
        <f>H1007*C1009</f>
        <v>0</v>
      </c>
      <c r="I1009" s="421">
        <f>I1007*C1009</f>
        <v>0</v>
      </c>
      <c r="J1009" s="421">
        <f>J1007*C1009</f>
        <v>0</v>
      </c>
      <c r="K1009" s="424">
        <f>SUM(D1009:J1009)</f>
        <v>0</v>
      </c>
    </row>
    <row r="1010" spans="2:11" x14ac:dyDescent="0.25">
      <c r="B1010" s="389"/>
      <c r="C1010" s="423"/>
      <c r="D1010" s="421">
        <f>D1007*C1010</f>
        <v>0</v>
      </c>
      <c r="E1010" s="421">
        <f>E1007*C1010</f>
        <v>0</v>
      </c>
      <c r="F1010" s="421">
        <f>F1007*C1010</f>
        <v>0</v>
      </c>
      <c r="G1010" s="421">
        <f>G1007*C1010</f>
        <v>0</v>
      </c>
      <c r="H1010" s="421">
        <f>H1007*C1010</f>
        <v>0</v>
      </c>
      <c r="I1010" s="421">
        <f>I1007*C1010</f>
        <v>0</v>
      </c>
      <c r="J1010" s="421">
        <f>J1007*C1010</f>
        <v>0</v>
      </c>
      <c r="K1010" s="424">
        <f>SUM(D1010:J1010)</f>
        <v>0</v>
      </c>
    </row>
    <row r="1011" spans="2:11" x14ac:dyDescent="0.25">
      <c r="B1011" s="389"/>
      <c r="C1011" s="423"/>
      <c r="D1011" s="421">
        <f>D1007*C1011</f>
        <v>0</v>
      </c>
      <c r="E1011" s="421">
        <f>E1007*C1011</f>
        <v>0</v>
      </c>
      <c r="F1011" s="421">
        <f>F1007*C1011</f>
        <v>0</v>
      </c>
      <c r="G1011" s="421">
        <f>G1007*C1011</f>
        <v>0</v>
      </c>
      <c r="H1011" s="421">
        <f>H1007*C1011</f>
        <v>0</v>
      </c>
      <c r="I1011" s="421">
        <f>I1007*C1011</f>
        <v>0</v>
      </c>
      <c r="J1011" s="421">
        <f>J1007*C1011</f>
        <v>0</v>
      </c>
      <c r="K1011" s="424">
        <f>SUM(D1011:J1011)</f>
        <v>0</v>
      </c>
    </row>
    <row r="1012" spans="2:11" ht="15.75" thickBot="1" x14ac:dyDescent="0.3"/>
    <row r="1013" spans="2:11" ht="15.75" thickBot="1" x14ac:dyDescent="0.3">
      <c r="B1013" s="437">
        <v>6490088</v>
      </c>
      <c r="C1013" s="411"/>
      <c r="D1013" s="407" t="s">
        <v>548</v>
      </c>
      <c r="E1013" s="408" t="s">
        <v>549</v>
      </c>
      <c r="F1013" s="408" t="s">
        <v>550</v>
      </c>
      <c r="G1013" s="408" t="s">
        <v>551</v>
      </c>
      <c r="H1013" s="408" t="s">
        <v>552</v>
      </c>
      <c r="I1013" s="408" t="s">
        <v>553</v>
      </c>
      <c r="J1013" s="408" t="s">
        <v>554</v>
      </c>
      <c r="K1013" s="408" t="s">
        <v>555</v>
      </c>
    </row>
    <row r="1014" spans="2:11" ht="15.75" thickBot="1" x14ac:dyDescent="0.3">
      <c r="B1014" s="414" t="s">
        <v>556</v>
      </c>
      <c r="C1014" s="415" t="s">
        <v>620</v>
      </c>
      <c r="D1014" s="416">
        <f>IF(ISERROR(VLOOKUP(B1013,'MD Usage'!$A$1:$W$5000,3,FALSE)),0,VLOOKUP(B1013,'MD Usage'!$A$1:$W$5000,3,FALSE))</f>
        <v>0</v>
      </c>
      <c r="E1014" s="416">
        <f>IF(ISERROR(VLOOKUP(B1013,'MD Usage'!$A$1:$W$5000,5,FALSE)),0,VLOOKUP(B1013,'MD Usage'!$A$1:$W$5000,5,FALSE))</f>
        <v>0</v>
      </c>
      <c r="F1014" s="416">
        <f>IF(ISERROR(VLOOKUP(B1013,'MD Usage'!$A$1:$W$5000,7,FALSE)),0,VLOOKUP(B1013,'MD Usage'!$A$1:$W$5000,7,FALSE))</f>
        <v>0</v>
      </c>
      <c r="G1014" s="416">
        <f>IF(ISERROR(VLOOKUP(B1013,'MD Usage'!$A$1:$W$5000,9,FALSE)),0,VLOOKUP(B1013,'MD Usage'!$A$1:$W$5000,9,FALSE))</f>
        <v>0</v>
      </c>
      <c r="H1014" s="416">
        <f>IF(ISERROR(VLOOKUP(B1013,'MD Usage'!$A$1:$W$5000,11,FALSE)),0,VLOOKUP(B1013,'MD Usage'!$A$1:$W$5000,11,FALSE))</f>
        <v>0</v>
      </c>
      <c r="I1014" s="416">
        <f>IF(ISERROR(VLOOKUP(B1013,'MD Usage'!A1:R2000,13,FALSE)),0,VLOOKUP(B1013,'MD Usage'!A1:R2000,13,FALSE))</f>
        <v>0</v>
      </c>
      <c r="J1014" s="416">
        <f>IF(ISERROR(VLOOKUP(B1013,'MD Usage'!A1:R2000,15,FALSE)),0,VLOOKUP(B1013,'MD Usage'!A1:R2000,15,FALSE))</f>
        <v>0</v>
      </c>
      <c r="K1014" s="418">
        <f>SUM(D1014:J1014)</f>
        <v>0</v>
      </c>
    </row>
    <row r="1015" spans="2:11" x14ac:dyDescent="0.25">
      <c r="B1015" s="419" t="s">
        <v>919</v>
      </c>
      <c r="C1015" s="420">
        <v>1</v>
      </c>
      <c r="D1015" s="421">
        <f>D1014*C1015</f>
        <v>0</v>
      </c>
      <c r="E1015" s="421">
        <f>E1014*C1015</f>
        <v>0</v>
      </c>
      <c r="F1015" s="421">
        <f>F1014*C1015</f>
        <v>0</v>
      </c>
      <c r="G1015" s="421">
        <f>G1014*C1015</f>
        <v>0</v>
      </c>
      <c r="H1015" s="421">
        <f>H1014*C1015</f>
        <v>0</v>
      </c>
      <c r="I1015" s="421">
        <f>I1014*C1015</f>
        <v>0</v>
      </c>
      <c r="J1015" s="421">
        <f>J1014*C1015</f>
        <v>0</v>
      </c>
      <c r="K1015" s="422">
        <f>SUM(D1015:J1015)</f>
        <v>0</v>
      </c>
    </row>
    <row r="1016" spans="2:11" x14ac:dyDescent="0.25">
      <c r="B1016" s="389"/>
      <c r="C1016" s="423"/>
      <c r="D1016" s="421">
        <f>D1014*C1016</f>
        <v>0</v>
      </c>
      <c r="E1016" s="421">
        <f>E1014*C1016</f>
        <v>0</v>
      </c>
      <c r="F1016" s="421">
        <f>F1014*C1016</f>
        <v>0</v>
      </c>
      <c r="G1016" s="421">
        <f>G1014*C1016</f>
        <v>0</v>
      </c>
      <c r="H1016" s="421">
        <f>H1014*C1016</f>
        <v>0</v>
      </c>
      <c r="I1016" s="421">
        <f>I1014*C1016</f>
        <v>0</v>
      </c>
      <c r="J1016" s="421">
        <f>J1014*C1016</f>
        <v>0</v>
      </c>
      <c r="K1016" s="424">
        <f>SUM(D1016:J1016)</f>
        <v>0</v>
      </c>
    </row>
    <row r="1017" spans="2:11" ht="15" customHeight="1" x14ac:dyDescent="0.25">
      <c r="B1017" s="389"/>
      <c r="C1017" s="423"/>
      <c r="D1017" s="421">
        <f>D1014*C1017</f>
        <v>0</v>
      </c>
      <c r="E1017" s="421">
        <f>E1014*C1017</f>
        <v>0</v>
      </c>
      <c r="F1017" s="421">
        <f>F1014*C1017</f>
        <v>0</v>
      </c>
      <c r="G1017" s="421">
        <f>G1014*C1017</f>
        <v>0</v>
      </c>
      <c r="H1017" s="421">
        <f>H1014*C1017</f>
        <v>0</v>
      </c>
      <c r="I1017" s="421">
        <f>I1014*C1017</f>
        <v>0</v>
      </c>
      <c r="J1017" s="421">
        <f>J1014*C1017</f>
        <v>0</v>
      </c>
      <c r="K1017" s="424">
        <f>SUM(D1017:J1017)</f>
        <v>0</v>
      </c>
    </row>
    <row r="1018" spans="2:11" x14ac:dyDescent="0.25">
      <c r="B1018" s="383"/>
      <c r="C1018" s="423"/>
      <c r="D1018" s="421">
        <f>D1014*C1018</f>
        <v>0</v>
      </c>
      <c r="E1018" s="421">
        <f>E1014*C1018</f>
        <v>0</v>
      </c>
      <c r="F1018" s="421">
        <f>F1014*C1018</f>
        <v>0</v>
      </c>
      <c r="G1018" s="421">
        <f>G1014*C1018</f>
        <v>0</v>
      </c>
      <c r="H1018" s="421">
        <f>H1014*C1018</f>
        <v>0</v>
      </c>
      <c r="I1018" s="421">
        <f>I1014*C1018</f>
        <v>0</v>
      </c>
      <c r="J1018" s="421">
        <f>J1014*C1018</f>
        <v>0</v>
      </c>
      <c r="K1018" s="424">
        <f>SUM(D1018:J1018)</f>
        <v>0</v>
      </c>
    </row>
    <row r="1019" spans="2:11" ht="15.75" thickBot="1" x14ac:dyDescent="0.3"/>
    <row r="1020" spans="2:11" ht="15.75" thickBot="1" x14ac:dyDescent="0.3">
      <c r="B1020" s="414">
        <v>6440689</v>
      </c>
      <c r="C1020" s="411"/>
      <c r="D1020" s="407" t="s">
        <v>548</v>
      </c>
      <c r="E1020" s="408" t="s">
        <v>549</v>
      </c>
      <c r="F1020" s="408" t="s">
        <v>550</v>
      </c>
      <c r="G1020" s="408" t="s">
        <v>551</v>
      </c>
      <c r="H1020" s="408" t="s">
        <v>552</v>
      </c>
      <c r="I1020" s="408" t="s">
        <v>553</v>
      </c>
      <c r="J1020" s="408" t="s">
        <v>554</v>
      </c>
      <c r="K1020" s="408" t="s">
        <v>555</v>
      </c>
    </row>
    <row r="1021" spans="2:11" ht="15.75" thickBot="1" x14ac:dyDescent="0.3">
      <c r="B1021" s="414" t="s">
        <v>556</v>
      </c>
      <c r="C1021" s="415" t="s">
        <v>620</v>
      </c>
      <c r="D1021" s="416">
        <f>IF(ISERROR(VLOOKUP(B1020,'MD Usage'!$A$1:$W$5000,3,FALSE)),0,VLOOKUP(B1020,'MD Usage'!$A$1:$W$5000,3,FALSE))</f>
        <v>0</v>
      </c>
      <c r="E1021" s="416">
        <f>IF(ISERROR(VLOOKUP(B1020,'MD Usage'!$A$1:$W$5000,5,FALSE)),0,VLOOKUP(B1020,'MD Usage'!$A$1:$W$5000,5,FALSE))</f>
        <v>0</v>
      </c>
      <c r="F1021" s="416">
        <f>IF(ISERROR(VLOOKUP(B1020,'MD Usage'!$A$1:$W$5000,7,FALSE)),0,VLOOKUP(B1020,'MD Usage'!$A$1:$W$5000,7,FALSE))</f>
        <v>0</v>
      </c>
      <c r="G1021" s="416">
        <f>IF(ISERROR(VLOOKUP(B1020,'MD Usage'!$A$1:$W$5000,9,FALSE)),0,VLOOKUP(B1020,'MD Usage'!$A$1:$W$5000,9,FALSE))</f>
        <v>1</v>
      </c>
      <c r="H1021" s="416">
        <f>IF(ISERROR(VLOOKUP(B1020,'MD Usage'!$A$1:$W$5000,11,FALSE)),0,VLOOKUP(B1020,'MD Usage'!$A$1:$W$5000,11,FALSE))</f>
        <v>0</v>
      </c>
      <c r="I1021" s="416">
        <f>IF(ISERROR(VLOOKUP(B1020,'MD Usage'!A1:R2000,13,FALSE)),0,VLOOKUP(B1020,'MD Usage'!A1:R2000,13,FALSE))</f>
        <v>0</v>
      </c>
      <c r="J1021" s="416">
        <f>IF(ISERROR(VLOOKUP(B1020,'MD Usage'!A1:R2000,15,FALSE)),0,VLOOKUP(B1020,'MD Usage'!A1:R2000,15,FALSE))</f>
        <v>0</v>
      </c>
      <c r="K1021" s="418">
        <f>SUM(D1021:J1021)</f>
        <v>1</v>
      </c>
    </row>
    <row r="1022" spans="2:11" x14ac:dyDescent="0.25">
      <c r="B1022" s="419" t="s">
        <v>918</v>
      </c>
      <c r="C1022" s="420">
        <v>1</v>
      </c>
      <c r="D1022" s="421">
        <f>D1021*C1022</f>
        <v>0</v>
      </c>
      <c r="E1022" s="421">
        <f>E1021*C1022</f>
        <v>0</v>
      </c>
      <c r="F1022" s="421">
        <f>F1021*C1022</f>
        <v>0</v>
      </c>
      <c r="G1022" s="421">
        <f>G1021*C1022</f>
        <v>1</v>
      </c>
      <c r="H1022" s="421">
        <f>H1021*C1022</f>
        <v>0</v>
      </c>
      <c r="I1022" s="421">
        <f>I1021*C1022</f>
        <v>0</v>
      </c>
      <c r="J1022" s="421">
        <f>J1021*C1022</f>
        <v>0</v>
      </c>
      <c r="K1022" s="422">
        <f>SUM(D1022:J1022)</f>
        <v>1</v>
      </c>
    </row>
    <row r="1023" spans="2:11" x14ac:dyDescent="0.25">
      <c r="B1023" s="389" t="s">
        <v>926</v>
      </c>
      <c r="C1023" s="423">
        <v>1</v>
      </c>
      <c r="D1023" s="421">
        <f>D1021*C1023</f>
        <v>0</v>
      </c>
      <c r="E1023" s="421">
        <f>E1021*C1023</f>
        <v>0</v>
      </c>
      <c r="F1023" s="421">
        <f>F1021*C1023</f>
        <v>0</v>
      </c>
      <c r="G1023" s="421">
        <f>G1021*C1023</f>
        <v>1</v>
      </c>
      <c r="H1023" s="421">
        <f>H1021*C1023</f>
        <v>0</v>
      </c>
      <c r="I1023" s="421">
        <f>I1021*C1023</f>
        <v>0</v>
      </c>
      <c r="J1023" s="421">
        <f>J1021*C1023</f>
        <v>0</v>
      </c>
      <c r="K1023" s="424">
        <f>SUM(D1023:J1023)</f>
        <v>1</v>
      </c>
    </row>
    <row r="1024" spans="2:11" x14ac:dyDescent="0.25">
      <c r="B1024" s="389" t="s">
        <v>64</v>
      </c>
      <c r="C1024" s="423">
        <v>6</v>
      </c>
      <c r="D1024" s="421">
        <f>D1021*C1024</f>
        <v>0</v>
      </c>
      <c r="E1024" s="421">
        <f>E1021*C1024</f>
        <v>0</v>
      </c>
      <c r="F1024" s="421">
        <f>F1021*C1024</f>
        <v>0</v>
      </c>
      <c r="G1024" s="421">
        <f>G1021*C1024</f>
        <v>6</v>
      </c>
      <c r="H1024" s="421">
        <f>H1021*C1024</f>
        <v>0</v>
      </c>
      <c r="I1024" s="421">
        <f>I1021*C1024</f>
        <v>0</v>
      </c>
      <c r="J1024" s="421">
        <f>J1021*C1024</f>
        <v>0</v>
      </c>
      <c r="K1024" s="424">
        <f>SUM(D1024:J1024)</f>
        <v>6</v>
      </c>
    </row>
    <row r="1025" spans="2:11" x14ac:dyDescent="0.25">
      <c r="B1025" s="389" t="s">
        <v>342</v>
      </c>
      <c r="C1025" s="423">
        <v>2</v>
      </c>
      <c r="D1025" s="421">
        <f>D1021*C1025</f>
        <v>0</v>
      </c>
      <c r="E1025" s="421">
        <f>E1021*C1025</f>
        <v>0</v>
      </c>
      <c r="F1025" s="421">
        <f>F1021*C1025</f>
        <v>0</v>
      </c>
      <c r="G1025" s="421">
        <f>G1021*C1025</f>
        <v>2</v>
      </c>
      <c r="H1025" s="421">
        <f>H1021*C1025</f>
        <v>0</v>
      </c>
      <c r="I1025" s="421">
        <f>I1021*C1025</f>
        <v>0</v>
      </c>
      <c r="J1025" s="421">
        <f>J1021*C1025</f>
        <v>0</v>
      </c>
      <c r="K1025" s="424">
        <f>SUM(D1025:J1025)</f>
        <v>2</v>
      </c>
    </row>
    <row r="1026" spans="2:11" ht="15.75" thickBot="1" x14ac:dyDescent="0.3"/>
    <row r="1027" spans="2:11" ht="15" customHeight="1" thickBot="1" x14ac:dyDescent="0.3">
      <c r="B1027" s="414">
        <v>6490089</v>
      </c>
      <c r="C1027" s="411"/>
      <c r="D1027" s="407" t="s">
        <v>548</v>
      </c>
      <c r="E1027" s="408" t="s">
        <v>549</v>
      </c>
      <c r="F1027" s="408" t="s">
        <v>550</v>
      </c>
      <c r="G1027" s="408" t="s">
        <v>551</v>
      </c>
      <c r="H1027" s="408" t="s">
        <v>552</v>
      </c>
      <c r="I1027" s="408" t="s">
        <v>553</v>
      </c>
      <c r="J1027" s="408" t="s">
        <v>554</v>
      </c>
      <c r="K1027" s="408" t="s">
        <v>555</v>
      </c>
    </row>
    <row r="1028" spans="2:11" ht="15.75" thickBot="1" x14ac:dyDescent="0.3">
      <c r="B1028" s="414" t="s">
        <v>556</v>
      </c>
      <c r="C1028" s="415" t="s">
        <v>620</v>
      </c>
      <c r="D1028" s="416">
        <f>IF(ISERROR(VLOOKUP(B1027,'MD Usage'!$A$1:$W$5000,3,FALSE)),0,VLOOKUP(B1027,'MD Usage'!$A$1:$W$5000,3,FALSE))</f>
        <v>1</v>
      </c>
      <c r="E1028" s="416">
        <f>IF(ISERROR(VLOOKUP(B1027,'MD Usage'!$A$1:$W$5000,5,FALSE)),0,VLOOKUP(B1027,'MD Usage'!$A$1:$W$5000,5,FALSE))</f>
        <v>1</v>
      </c>
      <c r="F1028" s="416">
        <f>IF(ISERROR(VLOOKUP(B1027,'MD Usage'!$A$1:$W$5000,7,FALSE)),0,VLOOKUP(B1027,'MD Usage'!$A$1:$W$5000,7,FALSE))</f>
        <v>3</v>
      </c>
      <c r="G1028" s="416">
        <f>IF(ISERROR(VLOOKUP(B1027,'MD Usage'!$A$1:$W$5000,9,FALSE)),0,VLOOKUP(B1027,'MD Usage'!$A$1:$W$5000,9,FALSE))</f>
        <v>2</v>
      </c>
      <c r="H1028" s="416">
        <f>IF(ISERROR(VLOOKUP(B1027,'MD Usage'!$A$1:$W$5000,11,FALSE)),0,VLOOKUP(B1027,'MD Usage'!$A$1:$W$5000,11,FALSE))</f>
        <v>3</v>
      </c>
      <c r="I1028" s="416">
        <f>IF(ISERROR(VLOOKUP(B1027,'MD Usage'!A1:R2000,13,FALSE)),0,VLOOKUP(B1027,'MD Usage'!A1:R2000,13,FALSE))</f>
        <v>6</v>
      </c>
      <c r="J1028" s="416">
        <f>IF(ISERROR(VLOOKUP(B1027,'MD Usage'!A1:R2000,15,FALSE)),0,VLOOKUP(B1027,'MD Usage'!A1:R2000,15,FALSE))</f>
        <v>5</v>
      </c>
      <c r="K1028" s="418">
        <f>SUM(D1028:J1028)</f>
        <v>21</v>
      </c>
    </row>
    <row r="1029" spans="2:11" x14ac:dyDescent="0.25">
      <c r="B1029" s="419" t="s">
        <v>921</v>
      </c>
      <c r="C1029" s="420">
        <v>1</v>
      </c>
      <c r="D1029" s="421">
        <f>D1028*C1029</f>
        <v>1</v>
      </c>
      <c r="E1029" s="421">
        <f>E1028*C1029</f>
        <v>1</v>
      </c>
      <c r="F1029" s="421">
        <f>F1028*C1029</f>
        <v>3</v>
      </c>
      <c r="G1029" s="421">
        <f>G1028*C1029</f>
        <v>2</v>
      </c>
      <c r="H1029" s="421">
        <f>H1028*C1029</f>
        <v>3</v>
      </c>
      <c r="I1029" s="421">
        <f>I1028*C1029</f>
        <v>6</v>
      </c>
      <c r="J1029" s="421">
        <f>J1028*C1029</f>
        <v>5</v>
      </c>
      <c r="K1029" s="422">
        <f>SUM(D1029:J1029)</f>
        <v>21</v>
      </c>
    </row>
    <row r="1030" spans="2:11" x14ac:dyDescent="0.25">
      <c r="B1030" s="389"/>
      <c r="C1030" s="423"/>
      <c r="D1030" s="421">
        <f>D1028*C1030</f>
        <v>0</v>
      </c>
      <c r="E1030" s="421">
        <f>E1028*C1030</f>
        <v>0</v>
      </c>
      <c r="F1030" s="421">
        <f>F1028*C1030</f>
        <v>0</v>
      </c>
      <c r="G1030" s="421">
        <f>G1028*C1030</f>
        <v>0</v>
      </c>
      <c r="H1030" s="421">
        <f>H1028*C1030</f>
        <v>0</v>
      </c>
      <c r="I1030" s="421">
        <f>I1028*C1030</f>
        <v>0</v>
      </c>
      <c r="J1030" s="421">
        <f>J1028*C1030</f>
        <v>0</v>
      </c>
      <c r="K1030" s="424">
        <f>SUM(D1030:J1030)</f>
        <v>0</v>
      </c>
    </row>
    <row r="1031" spans="2:11" x14ac:dyDescent="0.25">
      <c r="B1031" s="389"/>
      <c r="C1031" s="423"/>
      <c r="D1031" s="421">
        <f>D1028*C1031</f>
        <v>0</v>
      </c>
      <c r="E1031" s="421">
        <f>E1028*C1031</f>
        <v>0</v>
      </c>
      <c r="F1031" s="421">
        <f>F1028*C1031</f>
        <v>0</v>
      </c>
      <c r="G1031" s="421">
        <f>G1028*C1031</f>
        <v>0</v>
      </c>
      <c r="H1031" s="421">
        <f>H1028*C1031</f>
        <v>0</v>
      </c>
      <c r="I1031" s="421">
        <f>I1028*C1031</f>
        <v>0</v>
      </c>
      <c r="J1031" s="421">
        <f>J1028*C1031</f>
        <v>0</v>
      </c>
      <c r="K1031" s="424">
        <f>SUM(D1031:J1031)</f>
        <v>0</v>
      </c>
    </row>
    <row r="1032" spans="2:11" x14ac:dyDescent="0.25">
      <c r="B1032" s="389"/>
      <c r="C1032" s="423"/>
      <c r="D1032" s="421">
        <f>D1028*C1032</f>
        <v>0</v>
      </c>
      <c r="E1032" s="421">
        <f>E1028*C1032</f>
        <v>0</v>
      </c>
      <c r="F1032" s="421">
        <f>F1028*C1032</f>
        <v>0</v>
      </c>
      <c r="G1032" s="421">
        <f>G1028*C1032</f>
        <v>0</v>
      </c>
      <c r="H1032" s="421">
        <f>H1028*C1032</f>
        <v>0</v>
      </c>
      <c r="I1032" s="421">
        <f>I1028*C1032</f>
        <v>0</v>
      </c>
      <c r="J1032" s="421">
        <f>J1028*C1032</f>
        <v>0</v>
      </c>
      <c r="K1032" s="424">
        <f>SUM(D1032:J1032)</f>
        <v>0</v>
      </c>
    </row>
    <row r="1033" spans="2:11" ht="15.75" thickBot="1" x14ac:dyDescent="0.3"/>
    <row r="1034" spans="2:11" ht="15" customHeight="1" thickBot="1" x14ac:dyDescent="0.3">
      <c r="B1034" s="438">
        <v>6490874</v>
      </c>
      <c r="C1034" s="411"/>
      <c r="D1034" s="407" t="s">
        <v>548</v>
      </c>
      <c r="E1034" s="408" t="s">
        <v>549</v>
      </c>
      <c r="F1034" s="408" t="s">
        <v>550</v>
      </c>
      <c r="G1034" s="408" t="s">
        <v>551</v>
      </c>
      <c r="H1034" s="408" t="s">
        <v>552</v>
      </c>
      <c r="I1034" s="408" t="s">
        <v>553</v>
      </c>
      <c r="J1034" s="408" t="s">
        <v>554</v>
      </c>
      <c r="K1034" s="408" t="s">
        <v>555</v>
      </c>
    </row>
    <row r="1035" spans="2:11" ht="15.75" thickBot="1" x14ac:dyDescent="0.3">
      <c r="B1035" s="414" t="s">
        <v>556</v>
      </c>
      <c r="C1035" s="415" t="s">
        <v>620</v>
      </c>
      <c r="D1035" s="416">
        <f>IF(ISERROR(VLOOKUP(B1034,'MD Usage'!$A$1:$W$5000,3,FALSE)),0,VLOOKUP(B1034,'MD Usage'!$A$1:$W$5000,3,FALSE))</f>
        <v>0</v>
      </c>
      <c r="E1035" s="416">
        <f>IF(ISERROR(VLOOKUP(B1034,'MD Usage'!$A$1:$W$5000,5,FALSE)),0,VLOOKUP(B1034,'MD Usage'!$A$1:$W$5000,5,FALSE))</f>
        <v>0</v>
      </c>
      <c r="F1035" s="416">
        <f>IF(ISERROR(VLOOKUP(B1034,'MD Usage'!$A$1:$W$5000,7,FALSE)),0,VLOOKUP(B1034,'MD Usage'!$A$1:$W$5000,7,FALSE))</f>
        <v>0</v>
      </c>
      <c r="G1035" s="416">
        <f>IF(ISERROR(VLOOKUP(B1034,'MD Usage'!$A$1:$W$5000,9,FALSE)),0,VLOOKUP(B1034,'MD Usage'!$A$1:$W$5000,9,FALSE))</f>
        <v>0</v>
      </c>
      <c r="H1035" s="416">
        <f>IF(ISERROR(VLOOKUP(B1034,'MD Usage'!$A$1:$W$5000,11,FALSE)),0,VLOOKUP(B1034,'MD Usage'!$A$1:$W$5000,11,FALSE))</f>
        <v>0</v>
      </c>
      <c r="I1035" s="416">
        <f>IF(ISERROR(VLOOKUP(B1034,'MD Usage'!A1:R2000,13,FALSE)),0,VLOOKUP(B1034,'MD Usage'!A1:R2000,13,FALSE))</f>
        <v>0</v>
      </c>
      <c r="J1035" s="416">
        <f>IF(ISERROR(VLOOKUP(B1034,'MD Usage'!A1:R2000,15,FALSE)),0,VLOOKUP(B1034,'MD Usage'!A1:R2000,15,FALSE))</f>
        <v>0</v>
      </c>
      <c r="K1035" s="418">
        <f>SUM(D1035:J1035)</f>
        <v>0</v>
      </c>
    </row>
    <row r="1036" spans="2:11" x14ac:dyDescent="0.25">
      <c r="B1036" s="419" t="s">
        <v>1823</v>
      </c>
      <c r="C1036" s="420">
        <v>1</v>
      </c>
      <c r="D1036" s="421">
        <f>D1035*C1036</f>
        <v>0</v>
      </c>
      <c r="E1036" s="421">
        <f>E1035*C1036</f>
        <v>0</v>
      </c>
      <c r="F1036" s="421">
        <f>F1035*C1036</f>
        <v>0</v>
      </c>
      <c r="G1036" s="421">
        <f>G1035*C1036</f>
        <v>0</v>
      </c>
      <c r="H1036" s="421">
        <f>H1035*C1036</f>
        <v>0</v>
      </c>
      <c r="I1036" s="421">
        <f>I1035*C1036</f>
        <v>0</v>
      </c>
      <c r="J1036" s="421">
        <f>J1035*C1036</f>
        <v>0</v>
      </c>
      <c r="K1036" s="422">
        <f>SUM(D1036:J1036)</f>
        <v>0</v>
      </c>
    </row>
    <row r="1037" spans="2:11" x14ac:dyDescent="0.25">
      <c r="B1037" s="389"/>
      <c r="C1037" s="423"/>
      <c r="D1037" s="421">
        <f>D1035*C1037</f>
        <v>0</v>
      </c>
      <c r="E1037" s="421">
        <f>E1035*C1037</f>
        <v>0</v>
      </c>
      <c r="F1037" s="421">
        <f>F1035*C1037</f>
        <v>0</v>
      </c>
      <c r="G1037" s="421">
        <f>G1035*C1037</f>
        <v>0</v>
      </c>
      <c r="H1037" s="421">
        <f>H1035*C1037</f>
        <v>0</v>
      </c>
      <c r="I1037" s="421">
        <f>I1035*C1037</f>
        <v>0</v>
      </c>
      <c r="J1037" s="421">
        <f>J1035*C1037</f>
        <v>0</v>
      </c>
      <c r="K1037" s="424">
        <f>SUM(D1037:J1037)</f>
        <v>0</v>
      </c>
    </row>
    <row r="1038" spans="2:11" x14ac:dyDescent="0.25">
      <c r="B1038" s="389"/>
      <c r="C1038" s="423"/>
      <c r="D1038" s="421">
        <f>D1035*C1038</f>
        <v>0</v>
      </c>
      <c r="E1038" s="421">
        <f>E1035*C1038</f>
        <v>0</v>
      </c>
      <c r="F1038" s="421">
        <f>F1035*C1038</f>
        <v>0</v>
      </c>
      <c r="G1038" s="421">
        <f>G1035*C1038</f>
        <v>0</v>
      </c>
      <c r="H1038" s="421">
        <f>H1035*C1038</f>
        <v>0</v>
      </c>
      <c r="I1038" s="421">
        <f>I1035*C1038</f>
        <v>0</v>
      </c>
      <c r="J1038" s="421">
        <f>J1035*C1038</f>
        <v>0</v>
      </c>
      <c r="K1038" s="424">
        <f>SUM(D1038:J1038)</f>
        <v>0</v>
      </c>
    </row>
    <row r="1039" spans="2:11" x14ac:dyDescent="0.25">
      <c r="B1039" s="389"/>
      <c r="C1039" s="423"/>
      <c r="D1039" s="421">
        <f>D1035*C1039</f>
        <v>0</v>
      </c>
      <c r="E1039" s="421">
        <f>E1035*C1039</f>
        <v>0</v>
      </c>
      <c r="F1039" s="421">
        <f>F1035*C1039</f>
        <v>0</v>
      </c>
      <c r="G1039" s="421">
        <f>G1035*C1039</f>
        <v>0</v>
      </c>
      <c r="H1039" s="421">
        <f>H1035*C1039</f>
        <v>0</v>
      </c>
      <c r="I1039" s="421">
        <f>I1035*C1039</f>
        <v>0</v>
      </c>
      <c r="J1039" s="421">
        <f>J1035*C1039</f>
        <v>0</v>
      </c>
      <c r="K1039" s="424">
        <f>SUM(D1039:J1039)</f>
        <v>0</v>
      </c>
    </row>
    <row r="1040" spans="2:11" ht="15.75" thickBot="1" x14ac:dyDescent="0.3"/>
    <row r="1041" spans="2:13" ht="15" customHeight="1" thickBot="1" x14ac:dyDescent="0.3">
      <c r="B1041" s="436">
        <v>6450020</v>
      </c>
      <c r="C1041" s="411"/>
      <c r="D1041" s="407" t="s">
        <v>548</v>
      </c>
      <c r="E1041" s="408" t="s">
        <v>549</v>
      </c>
      <c r="F1041" s="408" t="s">
        <v>550</v>
      </c>
      <c r="G1041" s="408" t="s">
        <v>551</v>
      </c>
      <c r="H1041" s="408" t="s">
        <v>552</v>
      </c>
      <c r="I1041" s="408" t="s">
        <v>553</v>
      </c>
      <c r="J1041" s="408" t="s">
        <v>554</v>
      </c>
      <c r="K1041" s="408" t="s">
        <v>555</v>
      </c>
      <c r="M1041" s="437" t="s">
        <v>1829</v>
      </c>
    </row>
    <row r="1042" spans="2:13" ht="15.75" thickBot="1" x14ac:dyDescent="0.3">
      <c r="B1042" s="414" t="s">
        <v>556</v>
      </c>
      <c r="C1042" s="415" t="s">
        <v>620</v>
      </c>
      <c r="D1042" s="416">
        <f>IF(ISERROR(VLOOKUP(B1041,'MD Usage'!$A$1:$W$5000,3,FALSE)),0,VLOOKUP(B1041,'MD Usage'!$A$1:$W$5000,3,FALSE))</f>
        <v>1</v>
      </c>
      <c r="E1042" s="416">
        <f>IF(ISERROR(VLOOKUP(B1041,'MD Usage'!$A$1:$W$5000,5,FALSE)),0,VLOOKUP(B1041,'MD Usage'!$A$1:$W$5000,5,FALSE))</f>
        <v>2</v>
      </c>
      <c r="F1042" s="416">
        <f>IF(ISERROR(VLOOKUP(B1041,'MD Usage'!$A$1:$W$5000,7,FALSE)),0,VLOOKUP(B1041,'MD Usage'!$A$1:$W$5000,7,FALSE))</f>
        <v>0</v>
      </c>
      <c r="G1042" s="416">
        <f>IF(ISERROR(VLOOKUP(B1041,'MD Usage'!$A$1:$W$5000,9,FALSE)),0,VLOOKUP(B1041,'MD Usage'!$A$1:$W$5000,9,FALSE))</f>
        <v>0</v>
      </c>
      <c r="H1042" s="416">
        <f>IF(ISERROR(VLOOKUP(B1041,'MD Usage'!$A$1:$W$5000,11,FALSE)),0,VLOOKUP(B1041,'MD Usage'!$A$1:$W$5000,11,FALSE))</f>
        <v>6</v>
      </c>
      <c r="I1042" s="416">
        <f>IF(ISERROR(VLOOKUP(B1041,'MD Usage'!A1:R2000,13,FALSE)),0,VLOOKUP(B1041,'MD Usage'!A1:R2000,13,FALSE))</f>
        <v>8</v>
      </c>
      <c r="J1042" s="416">
        <f>IF(ISERROR(VLOOKUP(B1041,'MD Usage'!A1:R2000,15,FALSE)),0,VLOOKUP(B1041,'MD Usage'!A1:R2000,15,FALSE))</f>
        <v>3</v>
      </c>
      <c r="K1042" s="418">
        <f>SUM(D1042:J1042)</f>
        <v>20</v>
      </c>
    </row>
    <row r="1043" spans="2:13" x14ac:dyDescent="0.25">
      <c r="B1043" s="419" t="s">
        <v>1809</v>
      </c>
      <c r="C1043" s="420">
        <v>2</v>
      </c>
      <c r="D1043" s="421">
        <f>D1042*C1043</f>
        <v>2</v>
      </c>
      <c r="E1043" s="421">
        <f>E1042*C1043</f>
        <v>4</v>
      </c>
      <c r="F1043" s="421">
        <f>F1042*C1043</f>
        <v>0</v>
      </c>
      <c r="G1043" s="421">
        <f>G1042*C1043</f>
        <v>0</v>
      </c>
      <c r="H1043" s="421">
        <f>H1042*C1043</f>
        <v>12</v>
      </c>
      <c r="I1043" s="421">
        <f>I1042*C1043</f>
        <v>16</v>
      </c>
      <c r="J1043" s="421">
        <f>J1042*C1043</f>
        <v>6</v>
      </c>
      <c r="K1043" s="422">
        <f>SUM(D1043:J1043)</f>
        <v>40</v>
      </c>
    </row>
    <row r="1044" spans="2:13" x14ac:dyDescent="0.25">
      <c r="B1044" s="389" t="s">
        <v>922</v>
      </c>
      <c r="C1044" s="423">
        <v>1</v>
      </c>
      <c r="D1044" s="421">
        <f>D1042*C1044</f>
        <v>1</v>
      </c>
      <c r="E1044" s="421">
        <f>E1042*C1044</f>
        <v>2</v>
      </c>
      <c r="F1044" s="421">
        <f>F1042*C1044</f>
        <v>0</v>
      </c>
      <c r="G1044" s="421">
        <f>G1042*C1044</f>
        <v>0</v>
      </c>
      <c r="H1044" s="421">
        <f>H1042*C1044</f>
        <v>6</v>
      </c>
      <c r="I1044" s="421">
        <f>I1042*C1044</f>
        <v>8</v>
      </c>
      <c r="J1044" s="421">
        <f>J1042*C1044</f>
        <v>3</v>
      </c>
      <c r="K1044" s="424">
        <f>SUM(D1044:J1044)</f>
        <v>20</v>
      </c>
    </row>
    <row r="1045" spans="2:13" x14ac:dyDescent="0.25">
      <c r="B1045" s="389"/>
      <c r="C1045" s="423"/>
      <c r="D1045" s="421">
        <f>D1042*C1045</f>
        <v>0</v>
      </c>
      <c r="E1045" s="421">
        <f>E1042*C1045</f>
        <v>0</v>
      </c>
      <c r="F1045" s="421">
        <f>F1042*C1045</f>
        <v>0</v>
      </c>
      <c r="G1045" s="421">
        <f>G1042*C1045</f>
        <v>0</v>
      </c>
      <c r="H1045" s="421">
        <f>H1042*C1045</f>
        <v>0</v>
      </c>
      <c r="I1045" s="421">
        <f>I1042*C1045</f>
        <v>0</v>
      </c>
      <c r="J1045" s="421">
        <f>J1042*C1045</f>
        <v>0</v>
      </c>
      <c r="K1045" s="424">
        <f>SUM(D1045:J1045)</f>
        <v>0</v>
      </c>
    </row>
    <row r="1046" spans="2:13" x14ac:dyDescent="0.25">
      <c r="B1046" s="389"/>
      <c r="C1046" s="423"/>
      <c r="D1046" s="421">
        <f>D1042*C1046</f>
        <v>0</v>
      </c>
      <c r="E1046" s="421">
        <f>E1042*C1046</f>
        <v>0</v>
      </c>
      <c r="F1046" s="421">
        <f>F1042*C1046</f>
        <v>0</v>
      </c>
      <c r="G1046" s="421">
        <f>G1042*C1046</f>
        <v>0</v>
      </c>
      <c r="H1046" s="421">
        <f>H1042*C1046</f>
        <v>0</v>
      </c>
      <c r="I1046" s="421">
        <f>I1042*C1046</f>
        <v>0</v>
      </c>
      <c r="J1046" s="421">
        <f>J1042*C1046</f>
        <v>0</v>
      </c>
      <c r="K1046" s="424">
        <f>SUM(D1046:J1046)</f>
        <v>0</v>
      </c>
    </row>
    <row r="1047" spans="2:13" ht="15.75" thickBot="1" x14ac:dyDescent="0.3"/>
    <row r="1048" spans="2:13" ht="15" customHeight="1" thickBot="1" x14ac:dyDescent="0.3">
      <c r="B1048" s="437">
        <v>6450210</v>
      </c>
      <c r="C1048" s="411"/>
      <c r="D1048" s="407" t="s">
        <v>548</v>
      </c>
      <c r="E1048" s="408" t="s">
        <v>549</v>
      </c>
      <c r="F1048" s="408" t="s">
        <v>550</v>
      </c>
      <c r="G1048" s="408" t="s">
        <v>551</v>
      </c>
      <c r="H1048" s="408" t="s">
        <v>552</v>
      </c>
      <c r="I1048" s="408" t="s">
        <v>553</v>
      </c>
      <c r="J1048" s="408" t="s">
        <v>554</v>
      </c>
      <c r="K1048" s="408" t="s">
        <v>555</v>
      </c>
      <c r="M1048" s="426" t="s">
        <v>1830</v>
      </c>
    </row>
    <row r="1049" spans="2:13" ht="15.75" thickBot="1" x14ac:dyDescent="0.3">
      <c r="B1049" s="414" t="s">
        <v>556</v>
      </c>
      <c r="C1049" s="415" t="s">
        <v>620</v>
      </c>
      <c r="D1049" s="416">
        <f>IF(ISERROR(VLOOKUP(B1048,'MD Usage'!$A$1:$W$5000,3,FALSE)),0,VLOOKUP(B1048,'MD Usage'!$A$1:$W$5000,3,FALSE))</f>
        <v>0</v>
      </c>
      <c r="E1049" s="416">
        <f>IF(ISERROR(VLOOKUP(B1048,'MD Usage'!$A$1:$W$5000,5,FALSE)),0,VLOOKUP(B1048,'MD Usage'!$A$1:$W$5000,5,FALSE))</f>
        <v>0</v>
      </c>
      <c r="F1049" s="416">
        <f>IF(ISERROR(VLOOKUP(B1048,'MD Usage'!$A$1:$W$5000,7,FALSE)),0,VLOOKUP(B1048,'MD Usage'!$A$1:$W$5000,7,FALSE))</f>
        <v>0</v>
      </c>
      <c r="G1049" s="416">
        <f>IF(ISERROR(VLOOKUP(B1048,'MD Usage'!$A$1:$W$5000,9,FALSE)),0,VLOOKUP(B1048,'MD Usage'!$A$1:$W$5000,9,FALSE))</f>
        <v>0</v>
      </c>
      <c r="H1049" s="416">
        <f>IF(ISERROR(VLOOKUP(B1048,'MD Usage'!$A$1:$W$5000,11,FALSE)),0,VLOOKUP(B1048,'MD Usage'!$A$1:$W$5000,11,FALSE))</f>
        <v>0</v>
      </c>
      <c r="I1049" s="416">
        <f>IF(ISERROR(VLOOKUP(B1048,'MD Usage'!A1:R2000,13,FALSE)),0,VLOOKUP(B1048,'MD Usage'!A1:R2000,13,FALSE))</f>
        <v>0</v>
      </c>
      <c r="J1049" s="416">
        <f>IF(ISERROR(VLOOKUP(B1048,'MD Usage'!A1:R2000,15,FALSE)),0,VLOOKUP(B1048,'MD Usage'!A1:R2000,15,FALSE))</f>
        <v>0</v>
      </c>
      <c r="K1049" s="418">
        <f>SUM(D1049:J1049)</f>
        <v>0</v>
      </c>
    </row>
    <row r="1050" spans="2:13" x14ac:dyDescent="0.25">
      <c r="B1050" s="419" t="s">
        <v>1809</v>
      </c>
      <c r="C1050" s="420">
        <v>2</v>
      </c>
      <c r="D1050" s="421">
        <f>D1049*C1050</f>
        <v>0</v>
      </c>
      <c r="E1050" s="421">
        <f>E1049*C1050</f>
        <v>0</v>
      </c>
      <c r="F1050" s="421">
        <f>F1049*C1050</f>
        <v>0</v>
      </c>
      <c r="G1050" s="421">
        <f>G1049*C1050</f>
        <v>0</v>
      </c>
      <c r="H1050" s="421">
        <f>H1049*C1050</f>
        <v>0</v>
      </c>
      <c r="I1050" s="421">
        <f>I1049*C1050</f>
        <v>0</v>
      </c>
      <c r="J1050" s="421">
        <f>J1049*C1050</f>
        <v>0</v>
      </c>
      <c r="K1050" s="422">
        <f>SUM(D1050:J1050)</f>
        <v>0</v>
      </c>
    </row>
    <row r="1051" spans="2:13" x14ac:dyDescent="0.25">
      <c r="B1051" s="389" t="s">
        <v>572</v>
      </c>
      <c r="C1051" s="423">
        <v>1</v>
      </c>
      <c r="D1051" s="421">
        <f>D1049*C1051</f>
        <v>0</v>
      </c>
      <c r="E1051" s="421">
        <f>E1049*C1051</f>
        <v>0</v>
      </c>
      <c r="F1051" s="421">
        <f>F1049*C1051</f>
        <v>0</v>
      </c>
      <c r="G1051" s="421">
        <f>G1049*C1051</f>
        <v>0</v>
      </c>
      <c r="H1051" s="421">
        <f>H1049*C1051</f>
        <v>0</v>
      </c>
      <c r="I1051" s="421">
        <f>I1049*C1051</f>
        <v>0</v>
      </c>
      <c r="J1051" s="421">
        <f>J1049*C1051</f>
        <v>0</v>
      </c>
      <c r="K1051" s="424">
        <f>SUM(D1051:J1051)</f>
        <v>0</v>
      </c>
    </row>
    <row r="1052" spans="2:13" x14ac:dyDescent="0.25">
      <c r="B1052" s="389" t="s">
        <v>595</v>
      </c>
      <c r="C1052" s="423">
        <v>1</v>
      </c>
      <c r="D1052" s="421">
        <f>D1049*C1052</f>
        <v>0</v>
      </c>
      <c r="E1052" s="421">
        <f>E1049*C1052</f>
        <v>0</v>
      </c>
      <c r="F1052" s="421">
        <f>F1049*C1052</f>
        <v>0</v>
      </c>
      <c r="G1052" s="421">
        <f>G1049*C1052</f>
        <v>0</v>
      </c>
      <c r="H1052" s="421">
        <f>H1049*C1052</f>
        <v>0</v>
      </c>
      <c r="I1052" s="421">
        <f>I1049*C1052</f>
        <v>0</v>
      </c>
      <c r="J1052" s="421">
        <f>J1049*C1052</f>
        <v>0</v>
      </c>
      <c r="K1052" s="424">
        <f>SUM(D1052:J1052)</f>
        <v>0</v>
      </c>
    </row>
    <row r="1053" spans="2:13" x14ac:dyDescent="0.25">
      <c r="B1053" s="389" t="s">
        <v>1844</v>
      </c>
      <c r="C1053" s="423">
        <v>2</v>
      </c>
      <c r="D1053" s="421">
        <f>D1049*C1053</f>
        <v>0</v>
      </c>
      <c r="E1053" s="421">
        <f>E1049*C1053</f>
        <v>0</v>
      </c>
      <c r="F1053" s="421">
        <f>F1049*C1053</f>
        <v>0</v>
      </c>
      <c r="G1053" s="421">
        <f>G1049*C1053</f>
        <v>0</v>
      </c>
      <c r="H1053" s="421">
        <f>H1049*C1053</f>
        <v>0</v>
      </c>
      <c r="I1053" s="421">
        <f>I1049*C1053</f>
        <v>0</v>
      </c>
      <c r="J1053" s="421">
        <f>J1049*C1053</f>
        <v>0</v>
      </c>
      <c r="K1053" s="424">
        <f>SUM(D1053:J1053)</f>
        <v>0</v>
      </c>
    </row>
    <row r="1054" spans="2:13" ht="15.75" thickBot="1" x14ac:dyDescent="0.3"/>
    <row r="1055" spans="2:13" ht="15.75" thickBot="1" x14ac:dyDescent="0.3">
      <c r="B1055" s="436">
        <v>6420241</v>
      </c>
      <c r="C1055" s="411"/>
      <c r="D1055" s="407" t="s">
        <v>548</v>
      </c>
      <c r="E1055" s="408" t="s">
        <v>549</v>
      </c>
      <c r="F1055" s="408" t="s">
        <v>550</v>
      </c>
      <c r="G1055" s="408" t="s">
        <v>551</v>
      </c>
      <c r="H1055" s="408" t="s">
        <v>552</v>
      </c>
      <c r="I1055" s="408" t="s">
        <v>553</v>
      </c>
      <c r="J1055" s="408" t="s">
        <v>554</v>
      </c>
      <c r="K1055" s="408" t="s">
        <v>555</v>
      </c>
      <c r="M1055" s="437" t="s">
        <v>1832</v>
      </c>
    </row>
    <row r="1056" spans="2:13" ht="15" customHeight="1" thickBot="1" x14ac:dyDescent="0.3">
      <c r="B1056" s="414" t="s">
        <v>556</v>
      </c>
      <c r="C1056" s="415" t="s">
        <v>620</v>
      </c>
      <c r="D1056" s="416">
        <f>IF(ISERROR(VLOOKUP(B1055,'MD Usage'!$A$1:$W$5000,3,FALSE)),0,VLOOKUP(B1055,'MD Usage'!$A$1:$W$5000,3,FALSE))</f>
        <v>1</v>
      </c>
      <c r="E1056" s="416">
        <f>IF(ISERROR(VLOOKUP(B1055,'MD Usage'!$A$1:$W$5000,5,FALSE)),0,VLOOKUP(B1055,'MD Usage'!$A$1:$W$5000,5,FALSE))</f>
        <v>2</v>
      </c>
      <c r="F1056" s="416">
        <f>IF(ISERROR(VLOOKUP(B1055,'MD Usage'!$A$1:$W$5000,7,FALSE)),0,VLOOKUP(B1055,'MD Usage'!$A$1:$W$5000,7,FALSE))</f>
        <v>0</v>
      </c>
      <c r="G1056" s="416">
        <f>IF(ISERROR(VLOOKUP(B1055,'MD Usage'!$A$1:$W$5000,9,FALSE)),0,VLOOKUP(B1055,'MD Usage'!$A$1:$W$5000,9,FALSE))</f>
        <v>1</v>
      </c>
      <c r="H1056" s="416">
        <f>IF(ISERROR(VLOOKUP(B1055,'MD Usage'!$A$1:$W$5000,11,FALSE)),0,VLOOKUP(B1055,'MD Usage'!$A$1:$W$5000,11,FALSE))</f>
        <v>1</v>
      </c>
      <c r="I1056" s="416">
        <f>IF(ISERROR(VLOOKUP(B1055,'MD Usage'!A1:R2000,13,FALSE)),0,VLOOKUP(B1055,'MD Usage'!A1:R2000,13,FALSE))</f>
        <v>0</v>
      </c>
      <c r="J1056" s="416">
        <f>IF(ISERROR(VLOOKUP(B1055,'MD Usage'!A1:R2000,15,FALSE)),0,VLOOKUP(B1055,'MD Usage'!A1:R2000,15,FALSE))</f>
        <v>1</v>
      </c>
      <c r="K1056" s="418">
        <f>SUM(D1056:J1056)</f>
        <v>6</v>
      </c>
    </row>
    <row r="1057" spans="2:13" x14ac:dyDescent="0.25">
      <c r="B1057" s="419" t="s">
        <v>1809</v>
      </c>
      <c r="C1057" s="420">
        <v>2</v>
      </c>
      <c r="D1057" s="421">
        <f>D1056*C1057</f>
        <v>2</v>
      </c>
      <c r="E1057" s="421">
        <f>E1056*C1057</f>
        <v>4</v>
      </c>
      <c r="F1057" s="421">
        <f>F1056*C1057</f>
        <v>0</v>
      </c>
      <c r="G1057" s="421">
        <f>G1056*C1057</f>
        <v>2</v>
      </c>
      <c r="H1057" s="421">
        <f>H1056*C1057</f>
        <v>2</v>
      </c>
      <c r="I1057" s="421">
        <f>I1056*C1057</f>
        <v>0</v>
      </c>
      <c r="J1057" s="421">
        <f>J1056*C1057</f>
        <v>2</v>
      </c>
      <c r="K1057" s="422">
        <f>SUM(D1057:J1057)</f>
        <v>12</v>
      </c>
    </row>
    <row r="1058" spans="2:13" x14ac:dyDescent="0.25">
      <c r="B1058" s="389" t="s">
        <v>521</v>
      </c>
      <c r="C1058" s="423">
        <v>1</v>
      </c>
      <c r="D1058" s="421">
        <f>D1056*C1058</f>
        <v>1</v>
      </c>
      <c r="E1058" s="421">
        <f>E1056*C1058</f>
        <v>2</v>
      </c>
      <c r="F1058" s="421">
        <f>F1056*C1058</f>
        <v>0</v>
      </c>
      <c r="G1058" s="421">
        <f>G1056*C1058</f>
        <v>1</v>
      </c>
      <c r="H1058" s="421">
        <f>H1056*C1058</f>
        <v>1</v>
      </c>
      <c r="I1058" s="421">
        <f>I1056*C1058</f>
        <v>0</v>
      </c>
      <c r="J1058" s="421">
        <f>J1056*C1058</f>
        <v>1</v>
      </c>
      <c r="K1058" s="424">
        <f>SUM(D1058:J1058)</f>
        <v>6</v>
      </c>
    </row>
    <row r="1059" spans="2:13" x14ac:dyDescent="0.25">
      <c r="B1059" s="389"/>
      <c r="C1059" s="423"/>
      <c r="D1059" s="421">
        <f>D1056*C1059</f>
        <v>0</v>
      </c>
      <c r="E1059" s="421">
        <f>E1056*C1059</f>
        <v>0</v>
      </c>
      <c r="F1059" s="421">
        <f>F1056*C1059</f>
        <v>0</v>
      </c>
      <c r="G1059" s="421">
        <f>G1056*C1059</f>
        <v>0</v>
      </c>
      <c r="H1059" s="421">
        <f>H1056*C1059</f>
        <v>0</v>
      </c>
      <c r="I1059" s="421">
        <f>I1056*C1059</f>
        <v>0</v>
      </c>
      <c r="J1059" s="421">
        <f>J1056*C1059</f>
        <v>0</v>
      </c>
      <c r="K1059" s="424">
        <f>SUM(D1059:J1059)</f>
        <v>0</v>
      </c>
    </row>
    <row r="1060" spans="2:13" x14ac:dyDescent="0.25">
      <c r="B1060" s="389"/>
      <c r="C1060" s="423"/>
      <c r="D1060" s="421">
        <f>D1056*C1060</f>
        <v>0</v>
      </c>
      <c r="E1060" s="421">
        <f>E1056*C1060</f>
        <v>0</v>
      </c>
      <c r="F1060" s="421">
        <f>F1056*C1060</f>
        <v>0</v>
      </c>
      <c r="G1060" s="421">
        <f>G1056*C1060</f>
        <v>0</v>
      </c>
      <c r="H1060" s="421">
        <f>H1056*C1060</f>
        <v>0</v>
      </c>
      <c r="I1060" s="421">
        <f>I1056*C1060</f>
        <v>0</v>
      </c>
      <c r="J1060" s="421">
        <f>J1056*C1060</f>
        <v>0</v>
      </c>
      <c r="K1060" s="424">
        <f>SUM(D1060:J1060)</f>
        <v>0</v>
      </c>
    </row>
    <row r="1061" spans="2:13" ht="15" customHeight="1" thickBot="1" x14ac:dyDescent="0.3"/>
    <row r="1062" spans="2:13" ht="15.75" thickBot="1" x14ac:dyDescent="0.3">
      <c r="B1062" s="432">
        <v>6420248</v>
      </c>
      <c r="C1062" s="411"/>
      <c r="D1062" s="407" t="s">
        <v>548</v>
      </c>
      <c r="E1062" s="408" t="s">
        <v>549</v>
      </c>
      <c r="F1062" s="408" t="s">
        <v>550</v>
      </c>
      <c r="G1062" s="408" t="s">
        <v>551</v>
      </c>
      <c r="H1062" s="408" t="s">
        <v>552</v>
      </c>
      <c r="I1062" s="408" t="s">
        <v>553</v>
      </c>
      <c r="J1062" s="408" t="s">
        <v>554</v>
      </c>
      <c r="K1062" s="408" t="s">
        <v>555</v>
      </c>
      <c r="M1062" s="426" t="s">
        <v>1932</v>
      </c>
    </row>
    <row r="1063" spans="2:13" ht="15.75" thickBot="1" x14ac:dyDescent="0.3">
      <c r="B1063" s="414" t="s">
        <v>556</v>
      </c>
      <c r="C1063" s="415" t="s">
        <v>620</v>
      </c>
      <c r="D1063" s="416">
        <f>IF(ISERROR(VLOOKUP(B1062,'MD Usage'!$A$1:$W$5000,3,FALSE)),0,VLOOKUP(B1062,'MD Usage'!$A$1:$W$5000,3,FALSE))</f>
        <v>2</v>
      </c>
      <c r="E1063" s="416">
        <f>IF(ISERROR(VLOOKUP(B1062,'MD Usage'!$A$1:$W$5000,5,FALSE)),0,VLOOKUP(B1062,'MD Usage'!$A$1:$W$5000,5,FALSE))</f>
        <v>0</v>
      </c>
      <c r="F1063" s="416">
        <f>IF(ISERROR(VLOOKUP(B1062,'MD Usage'!$A$1:$W$5000,7,FALSE)),0,VLOOKUP(B1062,'MD Usage'!$A$1:$W$5000,7,FALSE))</f>
        <v>0</v>
      </c>
      <c r="G1063" s="416">
        <f>IF(ISERROR(VLOOKUP(B1062,'MD Usage'!$A$1:$W$5000,9,FALSE)),0,VLOOKUP(B1062,'MD Usage'!$A$1:$W$5000,9,FALSE))</f>
        <v>0</v>
      </c>
      <c r="H1063" s="416">
        <f>IF(ISERROR(VLOOKUP(B1062,'MD Usage'!$A$1:$W$5000,11,FALSE)),0,VLOOKUP(B1062,'MD Usage'!$A$1:$W$5000,11,FALSE))</f>
        <v>1</v>
      </c>
      <c r="I1063" s="416">
        <f>IF(ISERROR(VLOOKUP(B1062,'MD Usage'!A1:R2000,13,FALSE)),0,VLOOKUP(B1062,'MD Usage'!A1:R2000,13,FALSE))</f>
        <v>5</v>
      </c>
      <c r="J1063" s="416">
        <f>IF(ISERROR(VLOOKUP(B1062,'MD Usage'!A1:R2000,15,FALSE)),0,VLOOKUP(B1062,'MD Usage'!A1:R2000,15,FALSE))</f>
        <v>3</v>
      </c>
      <c r="K1063" s="418">
        <f>SUM(D1063:J1063)</f>
        <v>11</v>
      </c>
    </row>
    <row r="1064" spans="2:13" ht="15" customHeight="1" x14ac:dyDescent="0.25">
      <c r="B1064" s="419" t="s">
        <v>594</v>
      </c>
      <c r="C1064" s="420">
        <v>1</v>
      </c>
      <c r="D1064" s="421">
        <f>D1063*C1064</f>
        <v>2</v>
      </c>
      <c r="E1064" s="421">
        <f>E1063*C1064</f>
        <v>0</v>
      </c>
      <c r="F1064" s="421">
        <f>F1063*C1064</f>
        <v>0</v>
      </c>
      <c r="G1064" s="421">
        <f>G1063*C1064</f>
        <v>0</v>
      </c>
      <c r="H1064" s="421">
        <f>H1063*C1064</f>
        <v>1</v>
      </c>
      <c r="I1064" s="421">
        <f>I1063*C1064</f>
        <v>5</v>
      </c>
      <c r="J1064" s="421">
        <f>J1063*C1064</f>
        <v>3</v>
      </c>
      <c r="K1064" s="422">
        <f>SUM(D1064:J1064)</f>
        <v>11</v>
      </c>
    </row>
    <row r="1065" spans="2:13" x14ac:dyDescent="0.25">
      <c r="B1065" s="389" t="s">
        <v>1826</v>
      </c>
      <c r="C1065" s="423">
        <v>1</v>
      </c>
      <c r="D1065" s="421">
        <f>D1063*C1065</f>
        <v>2</v>
      </c>
      <c r="E1065" s="421">
        <f>E1063*C1065</f>
        <v>0</v>
      </c>
      <c r="F1065" s="421">
        <f>F1063*C1065</f>
        <v>0</v>
      </c>
      <c r="G1065" s="421">
        <f>G1063*C1065</f>
        <v>0</v>
      </c>
      <c r="H1065" s="421">
        <f>H1063*C1065</f>
        <v>1</v>
      </c>
      <c r="I1065" s="421">
        <f>I1063*C1065</f>
        <v>5</v>
      </c>
      <c r="J1065" s="421">
        <f>J1063*C1065</f>
        <v>3</v>
      </c>
      <c r="K1065" s="424">
        <f>SUM(D1065:J1065)</f>
        <v>11</v>
      </c>
    </row>
    <row r="1066" spans="2:13" x14ac:dyDescent="0.25">
      <c r="B1066" s="389"/>
      <c r="C1066" s="423"/>
      <c r="D1066" s="421">
        <f>D1063*C1066</f>
        <v>0</v>
      </c>
      <c r="E1066" s="421">
        <f>E1063*C1066</f>
        <v>0</v>
      </c>
      <c r="F1066" s="421">
        <f>F1063*C1066</f>
        <v>0</v>
      </c>
      <c r="G1066" s="421">
        <f>G1063*C1066</f>
        <v>0</v>
      </c>
      <c r="H1066" s="421">
        <f>H1063*C1066</f>
        <v>0</v>
      </c>
      <c r="I1066" s="421">
        <f>I1063*C1066</f>
        <v>0</v>
      </c>
      <c r="J1066" s="421">
        <f>J1063*C1066</f>
        <v>0</v>
      </c>
      <c r="K1066" s="424">
        <f>SUM(D1066:J1066)</f>
        <v>0</v>
      </c>
    </row>
    <row r="1067" spans="2:13" x14ac:dyDescent="0.25">
      <c r="B1067" s="389"/>
      <c r="C1067" s="423"/>
      <c r="D1067" s="421">
        <f>D1063*C1067</f>
        <v>0</v>
      </c>
      <c r="E1067" s="421">
        <f>E1063*C1067</f>
        <v>0</v>
      </c>
      <c r="F1067" s="421">
        <f>F1063*C1067</f>
        <v>0</v>
      </c>
      <c r="G1067" s="421">
        <f>G1063*C1067</f>
        <v>0</v>
      </c>
      <c r="H1067" s="421">
        <f>H1063*C1067</f>
        <v>0</v>
      </c>
      <c r="I1067" s="421">
        <f>I1063*C1067</f>
        <v>0</v>
      </c>
      <c r="J1067" s="421">
        <f>J1063*C1067</f>
        <v>0</v>
      </c>
      <c r="K1067" s="424">
        <f>SUM(D1067:J1067)</f>
        <v>0</v>
      </c>
    </row>
    <row r="1068" spans="2:13" ht="15.75" thickBot="1" x14ac:dyDescent="0.3"/>
    <row r="1069" spans="2:13" ht="15.75" thickBot="1" x14ac:dyDescent="0.3">
      <c r="B1069" s="414">
        <v>6440664</v>
      </c>
      <c r="C1069" s="411"/>
      <c r="D1069" s="407" t="s">
        <v>548</v>
      </c>
      <c r="E1069" s="408" t="s">
        <v>549</v>
      </c>
      <c r="F1069" s="408" t="s">
        <v>550</v>
      </c>
      <c r="G1069" s="408" t="s">
        <v>551</v>
      </c>
      <c r="H1069" s="408" t="s">
        <v>552</v>
      </c>
      <c r="I1069" s="408" t="s">
        <v>553</v>
      </c>
      <c r="J1069" s="408" t="s">
        <v>554</v>
      </c>
      <c r="K1069" s="408" t="s">
        <v>555</v>
      </c>
      <c r="M1069" s="426" t="s">
        <v>1833</v>
      </c>
    </row>
    <row r="1070" spans="2:13" ht="15.75" thickBot="1" x14ac:dyDescent="0.3">
      <c r="B1070" s="414" t="s">
        <v>556</v>
      </c>
      <c r="C1070" s="415" t="s">
        <v>620</v>
      </c>
      <c r="D1070" s="416">
        <f>IF(ISERROR(VLOOKUP(B1069,'MD Usage'!$A$1:$W$5000,3,FALSE)),0,VLOOKUP(B1069,'MD Usage'!$A$1:$W$5000,3,FALSE))</f>
        <v>0</v>
      </c>
      <c r="E1070" s="416">
        <f>IF(ISERROR(VLOOKUP(B1069,'MD Usage'!$A$1:$W$5000,5,FALSE)),0,VLOOKUP(B1069,'MD Usage'!$A$1:$W$5000,5,FALSE))</f>
        <v>0</v>
      </c>
      <c r="F1070" s="416">
        <f>IF(ISERROR(VLOOKUP(B1069,'MD Usage'!$A$1:$W$5000,7,FALSE)),0,VLOOKUP(B1069,'MD Usage'!$A$1:$W$5000,7,FALSE))</f>
        <v>0</v>
      </c>
      <c r="G1070" s="416">
        <f>IF(ISERROR(VLOOKUP(B1069,'MD Usage'!$A$1:$W$5000,9,FALSE)),0,VLOOKUP(B1069,'MD Usage'!$A$1:$W$5000,9,FALSE))</f>
        <v>0</v>
      </c>
      <c r="H1070" s="416">
        <f>IF(ISERROR(VLOOKUP(B1069,'MD Usage'!$A$1:$W$5000,11,FALSE)),0,VLOOKUP(B1069,'MD Usage'!$A$1:$W$5000,11,FALSE))</f>
        <v>0</v>
      </c>
      <c r="I1070" s="416">
        <f>IF(ISERROR(VLOOKUP(B1069,'MD Usage'!A1:R2000,13,FALSE)),0,VLOOKUP(B1069,'MD Usage'!A1:R2000,13,FALSE))</f>
        <v>0</v>
      </c>
      <c r="J1070" s="416">
        <f>IF(ISERROR(VLOOKUP(B1069,'MD Usage'!A1:R2000,15,FALSE)),0,VLOOKUP(B1069,'MD Usage'!A1:R2000,15,FALSE))</f>
        <v>0</v>
      </c>
      <c r="K1070" s="418">
        <f>SUM(D1070:J1070)</f>
        <v>0</v>
      </c>
    </row>
    <row r="1071" spans="2:13" x14ac:dyDescent="0.25">
      <c r="B1071" s="419" t="s">
        <v>922</v>
      </c>
      <c r="C1071" s="420">
        <v>1</v>
      </c>
      <c r="D1071" s="421">
        <f>D1070*C1071</f>
        <v>0</v>
      </c>
      <c r="E1071" s="421">
        <f>E1070*C1071</f>
        <v>0</v>
      </c>
      <c r="F1071" s="421">
        <f>F1070*C1071</f>
        <v>0</v>
      </c>
      <c r="G1071" s="421">
        <f>G1070*C1071</f>
        <v>0</v>
      </c>
      <c r="H1071" s="421">
        <f>H1070*C1071</f>
        <v>0</v>
      </c>
      <c r="I1071" s="421">
        <f>I1070*C1071</f>
        <v>0</v>
      </c>
      <c r="J1071" s="421">
        <f>J1070*C1071</f>
        <v>0</v>
      </c>
      <c r="K1071" s="422">
        <f>SUM(D1071:J1071)</f>
        <v>0</v>
      </c>
    </row>
    <row r="1072" spans="2:13" x14ac:dyDescent="0.25">
      <c r="B1072" s="389" t="s">
        <v>1834</v>
      </c>
      <c r="C1072" s="423">
        <v>1</v>
      </c>
      <c r="D1072" s="421">
        <f>D1070*C1072</f>
        <v>0</v>
      </c>
      <c r="E1072" s="421">
        <f>E1070*C1072</f>
        <v>0</v>
      </c>
      <c r="F1072" s="421">
        <f>F1070*C1072</f>
        <v>0</v>
      </c>
      <c r="G1072" s="421">
        <f>G1070*C1072</f>
        <v>0</v>
      </c>
      <c r="H1072" s="421">
        <f>H1070*C1072</f>
        <v>0</v>
      </c>
      <c r="I1072" s="421">
        <f>I1070*C1072</f>
        <v>0</v>
      </c>
      <c r="J1072" s="421">
        <f>J1070*C1072</f>
        <v>0</v>
      </c>
      <c r="K1072" s="424">
        <f>SUM(D1072:J1072)</f>
        <v>0</v>
      </c>
    </row>
    <row r="1073" spans="2:13" ht="15" customHeight="1" x14ac:dyDescent="0.25">
      <c r="B1073" s="389"/>
      <c r="C1073" s="423"/>
      <c r="D1073" s="421">
        <f>D1070*C1073</f>
        <v>0</v>
      </c>
      <c r="E1073" s="421">
        <f>E1070*C1073</f>
        <v>0</v>
      </c>
      <c r="F1073" s="421">
        <f>F1070*C1073</f>
        <v>0</v>
      </c>
      <c r="G1073" s="421">
        <f>G1070*C1073</f>
        <v>0</v>
      </c>
      <c r="H1073" s="421">
        <f>H1070*C1073</f>
        <v>0</v>
      </c>
      <c r="I1073" s="421">
        <f>I1070*C1073</f>
        <v>0</v>
      </c>
      <c r="J1073" s="421">
        <f>J1070*C1073</f>
        <v>0</v>
      </c>
      <c r="K1073" s="424">
        <f>SUM(D1073:J1073)</f>
        <v>0</v>
      </c>
    </row>
    <row r="1074" spans="2:13" x14ac:dyDescent="0.25">
      <c r="B1074" s="389"/>
      <c r="C1074" s="423"/>
      <c r="D1074" s="421">
        <f>D1070*C1074</f>
        <v>0</v>
      </c>
      <c r="E1074" s="421">
        <f>E1070*C1074</f>
        <v>0</v>
      </c>
      <c r="F1074" s="421">
        <f>F1070*C1074</f>
        <v>0</v>
      </c>
      <c r="G1074" s="421">
        <f>G1070*C1074</f>
        <v>0</v>
      </c>
      <c r="H1074" s="421">
        <f>H1070*C1074</f>
        <v>0</v>
      </c>
      <c r="I1074" s="421">
        <f>I1070*C1074</f>
        <v>0</v>
      </c>
      <c r="J1074" s="421">
        <f>J1070*C1074</f>
        <v>0</v>
      </c>
      <c r="K1074" s="424">
        <f>SUM(D1074:J1074)</f>
        <v>0</v>
      </c>
    </row>
    <row r="1075" spans="2:13" ht="15.75" thickBot="1" x14ac:dyDescent="0.3"/>
    <row r="1076" spans="2:13" ht="15" customHeight="1" thickBot="1" x14ac:dyDescent="0.3">
      <c r="B1076" s="433">
        <v>6440665</v>
      </c>
      <c r="C1076" s="411"/>
      <c r="D1076" s="407" t="s">
        <v>548</v>
      </c>
      <c r="E1076" s="408" t="s">
        <v>549</v>
      </c>
      <c r="F1076" s="408" t="s">
        <v>550</v>
      </c>
      <c r="G1076" s="408" t="s">
        <v>551</v>
      </c>
      <c r="H1076" s="408" t="s">
        <v>552</v>
      </c>
      <c r="I1076" s="408" t="s">
        <v>553</v>
      </c>
      <c r="J1076" s="408" t="s">
        <v>554</v>
      </c>
      <c r="K1076" s="408" t="s">
        <v>555</v>
      </c>
      <c r="M1076" s="438" t="s">
        <v>1835</v>
      </c>
    </row>
    <row r="1077" spans="2:13" ht="15.75" thickBot="1" x14ac:dyDescent="0.3">
      <c r="B1077" s="414" t="s">
        <v>556</v>
      </c>
      <c r="C1077" s="415" t="s">
        <v>620</v>
      </c>
      <c r="D1077" s="416">
        <f>IF(ISERROR(VLOOKUP(B1076,'MD Usage'!$A$1:$W$5000,3,FALSE)),0,VLOOKUP(B1076,'MD Usage'!$A$1:$W$5000,3,FALSE))</f>
        <v>0</v>
      </c>
      <c r="E1077" s="416">
        <f>IF(ISERROR(VLOOKUP(B1076,'MD Usage'!$A$1:$W$5000,5,FALSE)),0,VLOOKUP(B1076,'MD Usage'!$A$1:$W$5000,5,FALSE))</f>
        <v>0</v>
      </c>
      <c r="F1077" s="416">
        <f>IF(ISERROR(VLOOKUP(B1076,'MD Usage'!$A$1:$W$5000,7,FALSE)),0,VLOOKUP(B1076,'MD Usage'!$A$1:$W$5000,7,FALSE))</f>
        <v>0</v>
      </c>
      <c r="G1077" s="416">
        <f>IF(ISERROR(VLOOKUP(B1076,'MD Usage'!$A$1:$W$5000,9,FALSE)),0,VLOOKUP(B1076,'MD Usage'!$A$1:$W$5000,9,FALSE))</f>
        <v>0</v>
      </c>
      <c r="H1077" s="416">
        <f>IF(ISERROR(VLOOKUP(B1076,'MD Usage'!$A$1:$W$5000,11,FALSE)),0,VLOOKUP(B1076,'MD Usage'!$A$1:$W$5000,11,FALSE))</f>
        <v>0</v>
      </c>
      <c r="I1077" s="416">
        <f>IF(ISERROR(VLOOKUP(B1076,'MD Usage'!A1:R2000,13,FALSE)),0,VLOOKUP(B1076,'MD Usage'!A1:R2000,13,FALSE))</f>
        <v>0</v>
      </c>
      <c r="J1077" s="416">
        <f>IF(ISERROR(VLOOKUP(B1076,'MD Usage'!A1:R2000,15,FALSE)),0,VLOOKUP(B1076,'MD Usage'!A1:R2000,15,FALSE))</f>
        <v>0</v>
      </c>
      <c r="K1077" s="418">
        <f>SUM(D1077:J1077)</f>
        <v>0</v>
      </c>
    </row>
    <row r="1078" spans="2:13" x14ac:dyDescent="0.25">
      <c r="B1078" s="419" t="s">
        <v>922</v>
      </c>
      <c r="C1078" s="420">
        <v>1</v>
      </c>
      <c r="D1078" s="421">
        <f>D1077*C1078</f>
        <v>0</v>
      </c>
      <c r="E1078" s="421">
        <f>E1077*C1078</f>
        <v>0</v>
      </c>
      <c r="F1078" s="421">
        <f>F1077*C1078</f>
        <v>0</v>
      </c>
      <c r="G1078" s="421">
        <f>G1077*C1078</f>
        <v>0</v>
      </c>
      <c r="H1078" s="421">
        <f>H1077*C1078</f>
        <v>0</v>
      </c>
      <c r="I1078" s="421">
        <f>I1077*C1078</f>
        <v>0</v>
      </c>
      <c r="J1078" s="421">
        <f>J1077*C1078</f>
        <v>0</v>
      </c>
      <c r="K1078" s="422">
        <f>SUM(D1078:J1078)</f>
        <v>0</v>
      </c>
    </row>
    <row r="1079" spans="2:13" x14ac:dyDescent="0.25">
      <c r="B1079" s="389" t="s">
        <v>1834</v>
      </c>
      <c r="C1079" s="423">
        <v>1</v>
      </c>
      <c r="D1079" s="421">
        <f>D1077*C1079</f>
        <v>0</v>
      </c>
      <c r="E1079" s="421">
        <f>E1077*C1079</f>
        <v>0</v>
      </c>
      <c r="F1079" s="421">
        <f>F1077*C1079</f>
        <v>0</v>
      </c>
      <c r="G1079" s="421">
        <f>G1077*C1079</f>
        <v>0</v>
      </c>
      <c r="H1079" s="421">
        <f>H1077*C1079</f>
        <v>0</v>
      </c>
      <c r="I1079" s="421">
        <f>I1077*C1079</f>
        <v>0</v>
      </c>
      <c r="J1079" s="421">
        <f>J1077*C1079</f>
        <v>0</v>
      </c>
      <c r="K1079" s="424">
        <f>SUM(D1079:J1079)</f>
        <v>0</v>
      </c>
    </row>
    <row r="1080" spans="2:13" x14ac:dyDescent="0.25">
      <c r="B1080" s="389"/>
      <c r="C1080" s="423"/>
      <c r="D1080" s="421">
        <f>D1077*C1080</f>
        <v>0</v>
      </c>
      <c r="E1080" s="421">
        <f>E1077*C1080</f>
        <v>0</v>
      </c>
      <c r="F1080" s="421">
        <f>F1077*C1080</f>
        <v>0</v>
      </c>
      <c r="G1080" s="421">
        <f>G1077*C1080</f>
        <v>0</v>
      </c>
      <c r="H1080" s="421">
        <f>H1077*C1080</f>
        <v>0</v>
      </c>
      <c r="I1080" s="421">
        <f>I1077*C1080</f>
        <v>0</v>
      </c>
      <c r="J1080" s="421">
        <f>J1077*C1080</f>
        <v>0</v>
      </c>
      <c r="K1080" s="424">
        <f>SUM(D1080:J1080)</f>
        <v>0</v>
      </c>
    </row>
    <row r="1081" spans="2:13" ht="15" customHeight="1" x14ac:dyDescent="0.25">
      <c r="B1081" s="389"/>
      <c r="C1081" s="423"/>
      <c r="D1081" s="421">
        <f>D1077*C1081</f>
        <v>0</v>
      </c>
      <c r="E1081" s="421">
        <f>E1077*C1081</f>
        <v>0</v>
      </c>
      <c r="F1081" s="421">
        <f>F1077*C1081</f>
        <v>0</v>
      </c>
      <c r="G1081" s="421">
        <f>G1077*C1081</f>
        <v>0</v>
      </c>
      <c r="H1081" s="421">
        <f>H1077*C1081</f>
        <v>0</v>
      </c>
      <c r="I1081" s="421">
        <f>I1077*C1081</f>
        <v>0</v>
      </c>
      <c r="J1081" s="421">
        <f>J1077*C1081</f>
        <v>0</v>
      </c>
      <c r="K1081" s="424">
        <f>SUM(D1081:J1081)</f>
        <v>0</v>
      </c>
    </row>
    <row r="1082" spans="2:13" ht="15.75" thickBot="1" x14ac:dyDescent="0.3"/>
    <row r="1083" spans="2:13" ht="15.75" thickBot="1" x14ac:dyDescent="0.3">
      <c r="B1083" s="437">
        <v>6440668</v>
      </c>
      <c r="C1083" s="411"/>
      <c r="D1083" s="407" t="s">
        <v>548</v>
      </c>
      <c r="E1083" s="408" t="s">
        <v>549</v>
      </c>
      <c r="F1083" s="408" t="s">
        <v>550</v>
      </c>
      <c r="G1083" s="408" t="s">
        <v>551</v>
      </c>
      <c r="H1083" s="408" t="s">
        <v>552</v>
      </c>
      <c r="I1083" s="408" t="s">
        <v>553</v>
      </c>
      <c r="J1083" s="408" t="s">
        <v>554</v>
      </c>
      <c r="K1083" s="408" t="s">
        <v>555</v>
      </c>
      <c r="M1083" s="426" t="s">
        <v>1845</v>
      </c>
    </row>
    <row r="1084" spans="2:13" ht="15.75" thickBot="1" x14ac:dyDescent="0.3">
      <c r="B1084" s="414" t="s">
        <v>556</v>
      </c>
      <c r="C1084" s="415" t="s">
        <v>620</v>
      </c>
      <c r="D1084" s="416">
        <f>IF(ISERROR(VLOOKUP(B1083,'MD Usage'!$A$1:$W$5000,3,FALSE)),0,VLOOKUP(B1083,'MD Usage'!$A$1:$W$5000,3,FALSE))</f>
        <v>2</v>
      </c>
      <c r="E1084" s="416">
        <f>IF(ISERROR(VLOOKUP(B1083,'MD Usage'!$A$1:$W$5000,5,FALSE)),0,VLOOKUP(B1083,'MD Usage'!$A$1:$W$5000,5,FALSE))</f>
        <v>0</v>
      </c>
      <c r="F1084" s="416">
        <f>IF(ISERROR(VLOOKUP(B1083,'MD Usage'!$A$1:$W$5000,7,FALSE)),0,VLOOKUP(B1083,'MD Usage'!$A$1:$W$5000,7,FALSE))</f>
        <v>4</v>
      </c>
      <c r="G1084" s="416">
        <f>IF(ISERROR(VLOOKUP(B1083,'MD Usage'!$A$1:$W$5000,9,FALSE)),0,VLOOKUP(B1083,'MD Usage'!$A$1:$W$5000,9,FALSE))</f>
        <v>0</v>
      </c>
      <c r="H1084" s="416">
        <f>IF(ISERROR(VLOOKUP(B1083,'MD Usage'!$A$1:$W$5000,11,FALSE)),0,VLOOKUP(B1083,'MD Usage'!$A$1:$W$5000,11,FALSE))</f>
        <v>0</v>
      </c>
      <c r="I1084" s="416">
        <f>IF(ISERROR(VLOOKUP(B1083,'MD Usage'!A1:R2000,13,FALSE)),0,VLOOKUP(B1083,'MD Usage'!A1:R2000,13,FALSE))</f>
        <v>4</v>
      </c>
      <c r="J1084" s="416">
        <f>IF(ISERROR(VLOOKUP(B1083,'MD Usage'!A1:R2000,15,FALSE)),0,VLOOKUP(B1083,'MD Usage'!A1:R2000,15,FALSE))</f>
        <v>0</v>
      </c>
      <c r="K1084" s="418">
        <f t="shared" ref="K1084:K1090" si="66">SUM(D1084:J1084)</f>
        <v>10</v>
      </c>
    </row>
    <row r="1085" spans="2:13" x14ac:dyDescent="0.25">
      <c r="B1085" s="419" t="s">
        <v>920</v>
      </c>
      <c r="C1085" s="420">
        <v>1</v>
      </c>
      <c r="D1085" s="421">
        <f>D1084*C1085</f>
        <v>2</v>
      </c>
      <c r="E1085" s="421">
        <f>E1084*C1085</f>
        <v>0</v>
      </c>
      <c r="F1085" s="421">
        <f>F1084*C1085</f>
        <v>4</v>
      </c>
      <c r="G1085" s="421">
        <f>G1084*C1085</f>
        <v>0</v>
      </c>
      <c r="H1085" s="421">
        <f>H1084*C1085</f>
        <v>0</v>
      </c>
      <c r="I1085" s="421">
        <f>I1084*C1085</f>
        <v>4</v>
      </c>
      <c r="J1085" s="421">
        <f>J1084*C1085</f>
        <v>0</v>
      </c>
      <c r="K1085" s="422">
        <f t="shared" si="66"/>
        <v>10</v>
      </c>
    </row>
    <row r="1086" spans="2:13" x14ac:dyDescent="0.25">
      <c r="B1086" s="389" t="s">
        <v>579</v>
      </c>
      <c r="C1086" s="423">
        <v>2</v>
      </c>
      <c r="D1086" s="421">
        <f>D1084*C1086</f>
        <v>4</v>
      </c>
      <c r="E1086" s="421">
        <f>E1084*C1086</f>
        <v>0</v>
      </c>
      <c r="F1086" s="421">
        <f>F1084*C1086</f>
        <v>8</v>
      </c>
      <c r="G1086" s="421">
        <f>G1084*C1086</f>
        <v>0</v>
      </c>
      <c r="H1086" s="421">
        <f>H1084*C1086</f>
        <v>0</v>
      </c>
      <c r="I1086" s="421">
        <f>I1084*C1086</f>
        <v>8</v>
      </c>
      <c r="J1086" s="421">
        <f>J1084*C1086</f>
        <v>0</v>
      </c>
      <c r="K1086" s="424">
        <f t="shared" si="66"/>
        <v>20</v>
      </c>
    </row>
    <row r="1087" spans="2:13" x14ac:dyDescent="0.25">
      <c r="B1087" s="389" t="s">
        <v>572</v>
      </c>
      <c r="C1087" s="423">
        <v>1</v>
      </c>
      <c r="D1087" s="421">
        <f>D1084*C1087</f>
        <v>2</v>
      </c>
      <c r="E1087" s="421">
        <f>E1084*C1087</f>
        <v>0</v>
      </c>
      <c r="F1087" s="421">
        <f>F1084*C1087</f>
        <v>4</v>
      </c>
      <c r="G1087" s="421">
        <f>G1084*C1087</f>
        <v>0</v>
      </c>
      <c r="H1087" s="421">
        <f>H1084*C1087</f>
        <v>0</v>
      </c>
      <c r="I1087" s="421">
        <f>I1084*C1087</f>
        <v>4</v>
      </c>
      <c r="J1087" s="421">
        <f>J1084*C1087</f>
        <v>0</v>
      </c>
      <c r="K1087" s="424">
        <f t="shared" si="66"/>
        <v>10</v>
      </c>
    </row>
    <row r="1088" spans="2:13" x14ac:dyDescent="0.25">
      <c r="B1088" s="389" t="s">
        <v>162</v>
      </c>
      <c r="C1088" s="423">
        <v>1</v>
      </c>
      <c r="D1088" s="421">
        <f>D1084*C1088</f>
        <v>2</v>
      </c>
      <c r="E1088" s="421">
        <f>E1084*C1088</f>
        <v>0</v>
      </c>
      <c r="F1088" s="421">
        <f>F1084*C1088</f>
        <v>4</v>
      </c>
      <c r="G1088" s="421">
        <f>G1084*C1088</f>
        <v>0</v>
      </c>
      <c r="H1088" s="421">
        <f>H1084*C1088</f>
        <v>0</v>
      </c>
      <c r="I1088" s="421">
        <f>I1084*C1088</f>
        <v>4</v>
      </c>
      <c r="J1088" s="421">
        <f>J1084*C1088</f>
        <v>0</v>
      </c>
      <c r="K1088" s="424">
        <f t="shared" si="66"/>
        <v>10</v>
      </c>
    </row>
    <row r="1089" spans="2:13" ht="15" customHeight="1" x14ac:dyDescent="0.25">
      <c r="B1089" s="389"/>
      <c r="C1089" s="423"/>
      <c r="D1089" s="421">
        <f>D1084*C1089</f>
        <v>0</v>
      </c>
      <c r="E1089" s="421">
        <f>E1084*C1089</f>
        <v>0</v>
      </c>
      <c r="F1089" s="421">
        <f>F1084*C1089</f>
        <v>0</v>
      </c>
      <c r="G1089" s="421">
        <f>G1084*C1089</f>
        <v>0</v>
      </c>
      <c r="H1089" s="421">
        <f>H1084*C1089</f>
        <v>0</v>
      </c>
      <c r="I1089" s="421">
        <f>I1084*C1089</f>
        <v>0</v>
      </c>
      <c r="J1089" s="421">
        <f>J1084*C1089</f>
        <v>0</v>
      </c>
      <c r="K1089" s="424">
        <f t="shared" si="66"/>
        <v>0</v>
      </c>
    </row>
    <row r="1090" spans="2:13" x14ac:dyDescent="0.25">
      <c r="B1090" s="389"/>
      <c r="C1090" s="423"/>
      <c r="D1090" s="421">
        <f>D1084*C1090</f>
        <v>0</v>
      </c>
      <c r="E1090" s="421">
        <f>E1084*C1090</f>
        <v>0</v>
      </c>
      <c r="F1090" s="421">
        <f>F1084*C1090</f>
        <v>0</v>
      </c>
      <c r="G1090" s="421">
        <f>G1084*C1090</f>
        <v>0</v>
      </c>
      <c r="H1090" s="421">
        <f>H1084*C1090</f>
        <v>0</v>
      </c>
      <c r="I1090" s="421">
        <f>I1084*C1090</f>
        <v>0</v>
      </c>
      <c r="J1090" s="421">
        <f>J1084*C1090</f>
        <v>0</v>
      </c>
      <c r="K1090" s="424">
        <f t="shared" si="66"/>
        <v>0</v>
      </c>
    </row>
    <row r="1091" spans="2:13" ht="15" customHeight="1" thickBot="1" x14ac:dyDescent="0.3"/>
    <row r="1092" spans="2:13" ht="15.75" thickBot="1" x14ac:dyDescent="0.3">
      <c r="B1092" s="414">
        <v>6440670</v>
      </c>
      <c r="C1092" s="411"/>
      <c r="D1092" s="407" t="s">
        <v>548</v>
      </c>
      <c r="E1092" s="408" t="s">
        <v>549</v>
      </c>
      <c r="F1092" s="408" t="s">
        <v>550</v>
      </c>
      <c r="G1092" s="408" t="s">
        <v>551</v>
      </c>
      <c r="H1092" s="408" t="s">
        <v>552</v>
      </c>
      <c r="I1092" s="408" t="s">
        <v>553</v>
      </c>
      <c r="J1092" s="408" t="s">
        <v>554</v>
      </c>
      <c r="K1092" s="408" t="s">
        <v>555</v>
      </c>
      <c r="M1092" s="426" t="s">
        <v>1846</v>
      </c>
    </row>
    <row r="1093" spans="2:13" ht="15" customHeight="1" thickBot="1" x14ac:dyDescent="0.3">
      <c r="B1093" s="414" t="s">
        <v>556</v>
      </c>
      <c r="C1093" s="415" t="s">
        <v>620</v>
      </c>
      <c r="D1093" s="416">
        <f>IF(ISERROR(VLOOKUP(B1092,'MD Usage'!$A$1:$W$5000,3,FALSE)),0,VLOOKUP(B1092,'MD Usage'!$A$1:$W$5000,3,FALSE))</f>
        <v>0</v>
      </c>
      <c r="E1093" s="416">
        <f>IF(ISERROR(VLOOKUP(B1092,'MD Usage'!$A$1:$W$5000,5,FALSE)),0,VLOOKUP(B1092,'MD Usage'!$A$1:$W$5000,5,FALSE))</f>
        <v>0</v>
      </c>
      <c r="F1093" s="416">
        <f>IF(ISERROR(VLOOKUP(B1092,'MD Usage'!$A$1:$W$5000,7,FALSE)),0,VLOOKUP(B1092,'MD Usage'!$A$1:$W$5000,7,FALSE))</f>
        <v>0</v>
      </c>
      <c r="G1093" s="416">
        <f>IF(ISERROR(VLOOKUP(B1092,'MD Usage'!$A$1:$W$5000,9,FALSE)),0,VLOOKUP(B1092,'MD Usage'!$A$1:$W$5000,9,FALSE))</f>
        <v>0</v>
      </c>
      <c r="H1093" s="416">
        <f>IF(ISERROR(VLOOKUP(B1092,'MD Usage'!$A$1:$W$5000,11,FALSE)),0,VLOOKUP(B1092,'MD Usage'!$A$1:$W$5000,11,FALSE))</f>
        <v>0</v>
      </c>
      <c r="I1093" s="416">
        <f>IF(ISERROR(VLOOKUP(B1092,'MD Usage'!A1:R2000,13,FALSE)),0,VLOOKUP(B1092,'MD Usage'!A1:R2000,13,FALSE))</f>
        <v>0</v>
      </c>
      <c r="J1093" s="416">
        <f>IF(ISERROR(VLOOKUP(B1092,'MD Usage'!A1:R2000,15,FALSE)),0,VLOOKUP(B1092,'MD Usage'!A1:R2000,15,FALSE))</f>
        <v>0</v>
      </c>
      <c r="K1093" s="418">
        <f t="shared" ref="K1093:K1099" si="67">SUM(D1093:J1093)</f>
        <v>0</v>
      </c>
    </row>
    <row r="1094" spans="2:13" x14ac:dyDescent="0.25">
      <c r="B1094" s="419" t="s">
        <v>920</v>
      </c>
      <c r="C1094" s="420">
        <v>1</v>
      </c>
      <c r="D1094" s="421">
        <f>D1093*C1094</f>
        <v>0</v>
      </c>
      <c r="E1094" s="421">
        <f>E1093*C1094</f>
        <v>0</v>
      </c>
      <c r="F1094" s="421">
        <f>F1093*C1094</f>
        <v>0</v>
      </c>
      <c r="G1094" s="421">
        <f>G1093*C1094</f>
        <v>0</v>
      </c>
      <c r="H1094" s="421">
        <f>H1093*C1094</f>
        <v>0</v>
      </c>
      <c r="I1094" s="421">
        <f>I1093*C1094</f>
        <v>0</v>
      </c>
      <c r="J1094" s="421">
        <f>J1093*C1094</f>
        <v>0</v>
      </c>
      <c r="K1094" s="422">
        <f t="shared" si="67"/>
        <v>0</v>
      </c>
    </row>
    <row r="1095" spans="2:13" ht="15" customHeight="1" x14ac:dyDescent="0.25">
      <c r="B1095" s="389" t="s">
        <v>579</v>
      </c>
      <c r="C1095" s="423">
        <v>2</v>
      </c>
      <c r="D1095" s="421">
        <f>D1093*C1095</f>
        <v>0</v>
      </c>
      <c r="E1095" s="421">
        <f>E1093*C1095</f>
        <v>0</v>
      </c>
      <c r="F1095" s="421">
        <f>F1093*C1095</f>
        <v>0</v>
      </c>
      <c r="G1095" s="421">
        <f>G1093*C1095</f>
        <v>0</v>
      </c>
      <c r="H1095" s="421">
        <f>H1093*C1095</f>
        <v>0</v>
      </c>
      <c r="I1095" s="421">
        <f>I1093*C1095</f>
        <v>0</v>
      </c>
      <c r="J1095" s="421">
        <f>J1093*C1095</f>
        <v>0</v>
      </c>
      <c r="K1095" s="424">
        <f t="shared" si="67"/>
        <v>0</v>
      </c>
    </row>
    <row r="1096" spans="2:13" x14ac:dyDescent="0.25">
      <c r="B1096" s="389" t="s">
        <v>572</v>
      </c>
      <c r="C1096" s="423">
        <v>1</v>
      </c>
      <c r="D1096" s="421">
        <f>D1093*C1096</f>
        <v>0</v>
      </c>
      <c r="E1096" s="421">
        <f>E1093*C1096</f>
        <v>0</v>
      </c>
      <c r="F1096" s="421">
        <f>F1093*C1096</f>
        <v>0</v>
      </c>
      <c r="G1096" s="421">
        <f>G1093*C1096</f>
        <v>0</v>
      </c>
      <c r="H1096" s="421">
        <f>H1093*C1096</f>
        <v>0</v>
      </c>
      <c r="I1096" s="421">
        <f>I1093*C1096</f>
        <v>0</v>
      </c>
      <c r="J1096" s="421">
        <f>J1093*C1096</f>
        <v>0</v>
      </c>
      <c r="K1096" s="424">
        <f t="shared" si="67"/>
        <v>0</v>
      </c>
    </row>
    <row r="1097" spans="2:13" x14ac:dyDescent="0.25">
      <c r="B1097" s="389" t="s">
        <v>162</v>
      </c>
      <c r="C1097" s="423">
        <v>1</v>
      </c>
      <c r="D1097" s="421">
        <f>D1093*C1097</f>
        <v>0</v>
      </c>
      <c r="E1097" s="421">
        <f>E1093*C1097</f>
        <v>0</v>
      </c>
      <c r="F1097" s="421">
        <f>F1093*C1097</f>
        <v>0</v>
      </c>
      <c r="G1097" s="421">
        <f>G1093*C1097</f>
        <v>0</v>
      </c>
      <c r="H1097" s="421">
        <f>H1093*C1097</f>
        <v>0</v>
      </c>
      <c r="I1097" s="421">
        <f>I1093*C1097</f>
        <v>0</v>
      </c>
      <c r="J1097" s="421">
        <f>J1093*C1097</f>
        <v>0</v>
      </c>
      <c r="K1097" s="424">
        <f t="shared" si="67"/>
        <v>0</v>
      </c>
    </row>
    <row r="1098" spans="2:13" x14ac:dyDescent="0.25">
      <c r="B1098" s="389"/>
      <c r="C1098" s="423"/>
      <c r="D1098" s="421">
        <f>D1093*C1098</f>
        <v>0</v>
      </c>
      <c r="E1098" s="421">
        <f>E1093*C1098</f>
        <v>0</v>
      </c>
      <c r="F1098" s="421">
        <f>F1093*C1098</f>
        <v>0</v>
      </c>
      <c r="G1098" s="421">
        <f>G1093*C1098</f>
        <v>0</v>
      </c>
      <c r="H1098" s="421">
        <f>H1093*C1098</f>
        <v>0</v>
      </c>
      <c r="I1098" s="421">
        <f>I1093*C1098</f>
        <v>0</v>
      </c>
      <c r="J1098" s="421">
        <f>J1093*C1098</f>
        <v>0</v>
      </c>
      <c r="K1098" s="424">
        <f t="shared" si="67"/>
        <v>0</v>
      </c>
    </row>
    <row r="1099" spans="2:13" x14ac:dyDescent="0.25">
      <c r="B1099" s="389"/>
      <c r="C1099" s="423"/>
      <c r="D1099" s="421">
        <f>D1093*C1099</f>
        <v>0</v>
      </c>
      <c r="E1099" s="421">
        <f>E1093*C1099</f>
        <v>0</v>
      </c>
      <c r="F1099" s="421">
        <f>F1093*C1099</f>
        <v>0</v>
      </c>
      <c r="G1099" s="421">
        <f>G1093*C1099</f>
        <v>0</v>
      </c>
      <c r="H1099" s="421">
        <f>H1093*C1099</f>
        <v>0</v>
      </c>
      <c r="I1099" s="421">
        <f>I1093*C1099</f>
        <v>0</v>
      </c>
      <c r="J1099" s="421">
        <f>J1093*C1099</f>
        <v>0</v>
      </c>
      <c r="K1099" s="424">
        <f t="shared" si="67"/>
        <v>0</v>
      </c>
    </row>
    <row r="1100" spans="2:13" ht="15.75" thickBot="1" x14ac:dyDescent="0.3"/>
    <row r="1101" spans="2:13" ht="15" customHeight="1" thickBot="1" x14ac:dyDescent="0.3">
      <c r="B1101" s="436">
        <v>6450239</v>
      </c>
      <c r="C1101" s="411"/>
      <c r="D1101" s="407" t="s">
        <v>548</v>
      </c>
      <c r="E1101" s="408" t="s">
        <v>549</v>
      </c>
      <c r="F1101" s="408" t="s">
        <v>550</v>
      </c>
      <c r="G1101" s="408" t="s">
        <v>551</v>
      </c>
      <c r="H1101" s="408" t="s">
        <v>552</v>
      </c>
      <c r="I1101" s="408" t="s">
        <v>553</v>
      </c>
      <c r="J1101" s="408" t="s">
        <v>554</v>
      </c>
      <c r="K1101" s="408" t="s">
        <v>555</v>
      </c>
      <c r="M1101" s="426" t="s">
        <v>1888</v>
      </c>
    </row>
    <row r="1102" spans="2:13" ht="15" customHeight="1" thickBot="1" x14ac:dyDescent="0.3">
      <c r="B1102" s="414" t="s">
        <v>556</v>
      </c>
      <c r="C1102" s="415" t="s">
        <v>620</v>
      </c>
      <c r="D1102" s="416">
        <f>IF(ISERROR(VLOOKUP(B1101,'MD Usage'!$A$1:$W$5000,3,FALSE)),0,VLOOKUP(B1101,'MD Usage'!$A$1:$W$5000,3,FALSE))</f>
        <v>2</v>
      </c>
      <c r="E1102" s="416">
        <f>IF(ISERROR(VLOOKUP(B1101,'MD Usage'!$A$1:$W$5000,5,FALSE)),0,VLOOKUP(B1101,'MD Usage'!$A$1:$W$5000,5,FALSE))</f>
        <v>1</v>
      </c>
      <c r="F1102" s="416">
        <f>IF(ISERROR(VLOOKUP(B1101,'MD Usage'!$A$1:$W$5000,7,FALSE)),0,VLOOKUP(B1101,'MD Usage'!$A$1:$W$5000,7,FALSE))</f>
        <v>0</v>
      </c>
      <c r="G1102" s="416">
        <f>IF(ISERROR(VLOOKUP(B1101,'MD Usage'!$A$1:$W$5000,9,FALSE)),0,VLOOKUP(B1101,'MD Usage'!$A$1:$W$5000,9,FALSE))</f>
        <v>0</v>
      </c>
      <c r="H1102" s="416">
        <f>IF(ISERROR(VLOOKUP(B1101,'MD Usage'!$A$1:$W$5000,11,FALSE)),0,VLOOKUP(B1101,'MD Usage'!$A$1:$W$5000,11,FALSE))</f>
        <v>2</v>
      </c>
      <c r="I1102" s="416">
        <f>IF(ISERROR(VLOOKUP(B1101,'MD Usage'!A1:R2000,13,FALSE)),0,VLOOKUP(B1101,'MD Usage'!A1:R2000,13,FALSE))</f>
        <v>6</v>
      </c>
      <c r="J1102" s="416">
        <f>IF(ISERROR(VLOOKUP(B1101,'MD Usage'!A1:R2000,15,FALSE)),0,VLOOKUP(B1101,'MD Usage'!A1:R2000,15,FALSE))</f>
        <v>0</v>
      </c>
      <c r="K1102" s="418">
        <f>SUM(D1102:J1102)</f>
        <v>11</v>
      </c>
    </row>
    <row r="1103" spans="2:13" x14ac:dyDescent="0.25">
      <c r="B1103" s="419" t="s">
        <v>62</v>
      </c>
      <c r="C1103" s="420">
        <v>1</v>
      </c>
      <c r="D1103" s="421">
        <f>D1102*C1103</f>
        <v>2</v>
      </c>
      <c r="E1103" s="421">
        <f>E1102*C1103</f>
        <v>1</v>
      </c>
      <c r="F1103" s="421">
        <f>F1102*C1103</f>
        <v>0</v>
      </c>
      <c r="G1103" s="421">
        <f>G1102*C1103</f>
        <v>0</v>
      </c>
      <c r="H1103" s="421">
        <f>H1102*C1103</f>
        <v>2</v>
      </c>
      <c r="I1103" s="421">
        <f>I1102*C1103</f>
        <v>6</v>
      </c>
      <c r="J1103" s="421">
        <f>J1102*C1103</f>
        <v>0</v>
      </c>
      <c r="K1103" s="422">
        <f>SUM(D1103:J1103)</f>
        <v>11</v>
      </c>
    </row>
    <row r="1104" spans="2:13" x14ac:dyDescent="0.25">
      <c r="B1104" s="389" t="s">
        <v>572</v>
      </c>
      <c r="C1104" s="423">
        <v>1</v>
      </c>
      <c r="D1104" s="421">
        <f>D1102*C1104</f>
        <v>2</v>
      </c>
      <c r="E1104" s="421">
        <f>E1102*C1104</f>
        <v>1</v>
      </c>
      <c r="F1104" s="421">
        <f>F1102*C1104</f>
        <v>0</v>
      </c>
      <c r="G1104" s="421">
        <f>G1102*C1104</f>
        <v>0</v>
      </c>
      <c r="H1104" s="421">
        <f>H1102*C1104</f>
        <v>2</v>
      </c>
      <c r="I1104" s="421">
        <f>I1102*C1104</f>
        <v>6</v>
      </c>
      <c r="J1104" s="421">
        <f>J1102*C1104</f>
        <v>0</v>
      </c>
      <c r="K1104" s="424">
        <f>SUM(D1104:J1104)</f>
        <v>11</v>
      </c>
    </row>
    <row r="1105" spans="2:13" x14ac:dyDescent="0.25">
      <c r="B1105" s="389" t="s">
        <v>1822</v>
      </c>
      <c r="C1105" s="423">
        <v>1</v>
      </c>
      <c r="D1105" s="421">
        <f>D1102*C1105</f>
        <v>2</v>
      </c>
      <c r="E1105" s="421">
        <f>E1102*C1105</f>
        <v>1</v>
      </c>
      <c r="F1105" s="421">
        <f>F1102*C1105</f>
        <v>0</v>
      </c>
      <c r="G1105" s="421">
        <f>G1102*C1105</f>
        <v>0</v>
      </c>
      <c r="H1105" s="421">
        <f>H1102*C1105</f>
        <v>2</v>
      </c>
      <c r="I1105" s="421">
        <f>I1102*C1105</f>
        <v>6</v>
      </c>
      <c r="J1105" s="421">
        <f>J1102*C1105</f>
        <v>0</v>
      </c>
      <c r="K1105" s="424">
        <f>SUM(D1105:J1105)</f>
        <v>11</v>
      </c>
    </row>
    <row r="1106" spans="2:13" ht="15" customHeight="1" x14ac:dyDescent="0.25">
      <c r="B1106" s="389"/>
      <c r="C1106" s="423"/>
      <c r="D1106" s="421">
        <f>D1102*C1106</f>
        <v>0</v>
      </c>
      <c r="E1106" s="421">
        <f>E1102*C1106</f>
        <v>0</v>
      </c>
      <c r="F1106" s="421">
        <f>F1102*C1106</f>
        <v>0</v>
      </c>
      <c r="G1106" s="421">
        <f>G1102*C1106</f>
        <v>0</v>
      </c>
      <c r="H1106" s="421">
        <f>H1102*C1106</f>
        <v>0</v>
      </c>
      <c r="I1106" s="421">
        <f>I1102*C1106</f>
        <v>0</v>
      </c>
      <c r="J1106" s="421">
        <f>J1102*C1106</f>
        <v>0</v>
      </c>
      <c r="K1106" s="424">
        <v>0</v>
      </c>
    </row>
    <row r="1107" spans="2:13" x14ac:dyDescent="0.25">
      <c r="B1107" s="389"/>
      <c r="C1107" s="423"/>
      <c r="D1107" s="421">
        <f>D1102*C1107</f>
        <v>0</v>
      </c>
      <c r="E1107" s="421">
        <f>E1102*C1107</f>
        <v>0</v>
      </c>
      <c r="F1107" s="421">
        <f>F1102*C1107</f>
        <v>0</v>
      </c>
      <c r="G1107" s="421">
        <f>G1102*C1107</f>
        <v>0</v>
      </c>
      <c r="H1107" s="421">
        <f>H1102*C1107</f>
        <v>0</v>
      </c>
      <c r="I1107" s="421">
        <f>I1102*C1107</f>
        <v>0</v>
      </c>
      <c r="J1107" s="421">
        <f>J1102*C1107</f>
        <v>0</v>
      </c>
      <c r="K1107" s="424">
        <v>0</v>
      </c>
    </row>
    <row r="1108" spans="2:13" ht="15" customHeight="1" x14ac:dyDescent="0.25">
      <c r="B1108" s="389"/>
      <c r="C1108" s="423"/>
      <c r="D1108" s="421">
        <f>D1102*C1108</f>
        <v>0</v>
      </c>
      <c r="E1108" s="421">
        <f>E1102*C1108</f>
        <v>0</v>
      </c>
      <c r="F1108" s="421">
        <f>F1102*C1108</f>
        <v>0</v>
      </c>
      <c r="G1108" s="421">
        <f>G1102*C1108</f>
        <v>0</v>
      </c>
      <c r="H1108" s="421">
        <f>H1102*C1108</f>
        <v>0</v>
      </c>
      <c r="I1108" s="421">
        <f>I1102*C1108</f>
        <v>0</v>
      </c>
      <c r="J1108" s="421">
        <f>J1102*C1108</f>
        <v>0</v>
      </c>
      <c r="K1108" s="424">
        <f>SUM(D1108:J1108)</f>
        <v>0</v>
      </c>
    </row>
    <row r="1109" spans="2:13" ht="15.75" thickBot="1" x14ac:dyDescent="0.3"/>
    <row r="1110" spans="2:13" ht="15" customHeight="1" thickBot="1" x14ac:dyDescent="0.3">
      <c r="B1110" s="432">
        <v>6430482</v>
      </c>
      <c r="C1110" s="411"/>
      <c r="D1110" s="407" t="s">
        <v>548</v>
      </c>
      <c r="E1110" s="408" t="s">
        <v>549</v>
      </c>
      <c r="F1110" s="408" t="s">
        <v>550</v>
      </c>
      <c r="G1110" s="408" t="s">
        <v>551</v>
      </c>
      <c r="H1110" s="408" t="s">
        <v>552</v>
      </c>
      <c r="I1110" s="408" t="s">
        <v>553</v>
      </c>
      <c r="J1110" s="408" t="s">
        <v>554</v>
      </c>
      <c r="K1110" s="408" t="s">
        <v>555</v>
      </c>
      <c r="M1110" s="426" t="s">
        <v>1916</v>
      </c>
    </row>
    <row r="1111" spans="2:13" ht="15.75" thickBot="1" x14ac:dyDescent="0.3">
      <c r="B1111" s="414" t="s">
        <v>556</v>
      </c>
      <c r="C1111" s="415" t="s">
        <v>620</v>
      </c>
      <c r="D1111" s="416">
        <f>IF(ISERROR(VLOOKUP(B1110,'MD Usage'!$A$1:$W$5000,3,FALSE)),0,VLOOKUP(B1110,'MD Usage'!$A$1:$W$5000,3,FALSE))</f>
        <v>1</v>
      </c>
      <c r="E1111" s="416">
        <f>IF(ISERROR(VLOOKUP(B1110,'MD Usage'!$A$1:$W$5000,5,FALSE)),0,VLOOKUP(B1110,'MD Usage'!$A$1:$W$5000,5,FALSE))</f>
        <v>1</v>
      </c>
      <c r="F1111" s="416">
        <f>IF(ISERROR(VLOOKUP(B1110,'MD Usage'!$A$1:$W$5000,7,FALSE)),0,VLOOKUP(B1110,'MD Usage'!$A$1:$W$5000,7,FALSE))</f>
        <v>0</v>
      </c>
      <c r="G1111" s="416">
        <f>IF(ISERROR(VLOOKUP(B1110,'MD Usage'!$A$1:$W$5000,9,FALSE)),0,VLOOKUP(B1110,'MD Usage'!$A$1:$W$5000,9,FALSE))</f>
        <v>0</v>
      </c>
      <c r="H1111" s="416">
        <f>IF(ISERROR(VLOOKUP(B1110,'MD Usage'!$A$1:$W$5000,11,FALSE)),0,VLOOKUP(B1110,'MD Usage'!$A$1:$W$5000,11,FALSE))</f>
        <v>2</v>
      </c>
      <c r="I1111" s="416">
        <f>IF(ISERROR(VLOOKUP(B1110,'MD Usage'!A1:R2000,13,FALSE)),0,VLOOKUP(B1110,'MD Usage'!A1:R2000,13,FALSE))</f>
        <v>3</v>
      </c>
      <c r="J1111" s="416">
        <f>IF(ISERROR(VLOOKUP(B1110,'MD Usage'!A1:R2000,15,FALSE)),0,VLOOKUP(B1110,'MD Usage'!A1:R2000,15,FALSE))</f>
        <v>0</v>
      </c>
      <c r="K1111" s="418">
        <f t="shared" ref="K1111:K1117" si="68">SUM(D1111:J1111)</f>
        <v>7</v>
      </c>
    </row>
    <row r="1112" spans="2:13" x14ac:dyDescent="0.25">
      <c r="B1112" s="419" t="s">
        <v>565</v>
      </c>
      <c r="C1112" s="420">
        <v>1</v>
      </c>
      <c r="D1112" s="421">
        <f>D1111*C1112</f>
        <v>1</v>
      </c>
      <c r="E1112" s="421">
        <f>E1111*C1112</f>
        <v>1</v>
      </c>
      <c r="F1112" s="421">
        <f>F1111*C1112</f>
        <v>0</v>
      </c>
      <c r="G1112" s="421">
        <f>G1111*C1112</f>
        <v>0</v>
      </c>
      <c r="H1112" s="421">
        <f>H1111*C1112</f>
        <v>2</v>
      </c>
      <c r="I1112" s="421">
        <f>I1111*C1112</f>
        <v>3</v>
      </c>
      <c r="J1112" s="421">
        <f>J1111*C1112</f>
        <v>0</v>
      </c>
      <c r="K1112" s="422">
        <f t="shared" si="68"/>
        <v>7</v>
      </c>
    </row>
    <row r="1113" spans="2:13" x14ac:dyDescent="0.25">
      <c r="B1113" s="389" t="s">
        <v>1912</v>
      </c>
      <c r="C1113" s="423">
        <v>1</v>
      </c>
      <c r="D1113" s="421">
        <f>D1111*C1113</f>
        <v>1</v>
      </c>
      <c r="E1113" s="421">
        <f>E1111*C1113</f>
        <v>1</v>
      </c>
      <c r="F1113" s="421">
        <f>F1111*C1113</f>
        <v>0</v>
      </c>
      <c r="G1113" s="421">
        <f>G1111*C1113</f>
        <v>0</v>
      </c>
      <c r="H1113" s="421">
        <f>H1111*C1113</f>
        <v>2</v>
      </c>
      <c r="I1113" s="421">
        <f>I1111*C1113</f>
        <v>3</v>
      </c>
      <c r="J1113" s="421">
        <f>J1111*C1113</f>
        <v>0</v>
      </c>
      <c r="K1113" s="424">
        <f t="shared" si="68"/>
        <v>7</v>
      </c>
    </row>
    <row r="1114" spans="2:13" x14ac:dyDescent="0.25">
      <c r="B1114" s="389" t="s">
        <v>1915</v>
      </c>
      <c r="C1114" s="423">
        <v>1</v>
      </c>
      <c r="D1114" s="421">
        <f>D1111*C1114</f>
        <v>1</v>
      </c>
      <c r="E1114" s="421">
        <f>E1111*C1114</f>
        <v>1</v>
      </c>
      <c r="F1114" s="421">
        <f>F1111*C1114</f>
        <v>0</v>
      </c>
      <c r="G1114" s="421">
        <f>G1111*C1114</f>
        <v>0</v>
      </c>
      <c r="H1114" s="421">
        <f>H1111*C1114</f>
        <v>2</v>
      </c>
      <c r="I1114" s="421">
        <f>I1111*C1114</f>
        <v>3</v>
      </c>
      <c r="J1114" s="421">
        <f>J1111*C1114</f>
        <v>0</v>
      </c>
      <c r="K1114" s="424">
        <f t="shared" si="68"/>
        <v>7</v>
      </c>
    </row>
    <row r="1115" spans="2:13" x14ac:dyDescent="0.25">
      <c r="B1115" s="389"/>
      <c r="C1115" s="423"/>
      <c r="D1115" s="421">
        <f>D1111*C1115</f>
        <v>0</v>
      </c>
      <c r="E1115" s="421">
        <f>E1111*C1115</f>
        <v>0</v>
      </c>
      <c r="F1115" s="421">
        <f>F1111*C1115</f>
        <v>0</v>
      </c>
      <c r="G1115" s="421">
        <f>G1111*C1115</f>
        <v>0</v>
      </c>
      <c r="H1115" s="421">
        <f>H1111*C1115</f>
        <v>0</v>
      </c>
      <c r="I1115" s="421">
        <f>I1111*C1115</f>
        <v>0</v>
      </c>
      <c r="J1115" s="421">
        <f>J1111*C1115</f>
        <v>0</v>
      </c>
      <c r="K1115" s="424">
        <f t="shared" si="68"/>
        <v>0</v>
      </c>
    </row>
    <row r="1116" spans="2:13" ht="15" customHeight="1" x14ac:dyDescent="0.25">
      <c r="B1116" s="389"/>
      <c r="C1116" s="423"/>
      <c r="D1116" s="421">
        <f>D1111*C1116</f>
        <v>0</v>
      </c>
      <c r="E1116" s="421">
        <f>E1111*C1116</f>
        <v>0</v>
      </c>
      <c r="F1116" s="421">
        <f>F1111*C1116</f>
        <v>0</v>
      </c>
      <c r="G1116" s="421">
        <f>G1111*C1116</f>
        <v>0</v>
      </c>
      <c r="H1116" s="421">
        <f>H1111*C1116</f>
        <v>0</v>
      </c>
      <c r="I1116" s="421">
        <f>I1111*C1116</f>
        <v>0</v>
      </c>
      <c r="J1116" s="421">
        <f>J1111*C1116</f>
        <v>0</v>
      </c>
      <c r="K1116" s="424">
        <f t="shared" si="68"/>
        <v>0</v>
      </c>
    </row>
    <row r="1117" spans="2:13" ht="15" customHeight="1" x14ac:dyDescent="0.25">
      <c r="B1117" s="389"/>
      <c r="C1117" s="423"/>
      <c r="D1117" s="421">
        <f>D1111*C1117</f>
        <v>0</v>
      </c>
      <c r="E1117" s="421">
        <f>E1111*C1117</f>
        <v>0</v>
      </c>
      <c r="F1117" s="421">
        <f>F1111*C1117</f>
        <v>0</v>
      </c>
      <c r="G1117" s="421">
        <f>G1111*C1117</f>
        <v>0</v>
      </c>
      <c r="H1117" s="421">
        <f>H1111*C1117</f>
        <v>0</v>
      </c>
      <c r="I1117" s="421">
        <f>I1111*C1117</f>
        <v>0</v>
      </c>
      <c r="J1117" s="421">
        <f>J1111*C1117</f>
        <v>0</v>
      </c>
      <c r="K1117" s="424">
        <f t="shared" si="68"/>
        <v>0</v>
      </c>
    </row>
    <row r="1118" spans="2:13" ht="15.75" thickBot="1" x14ac:dyDescent="0.3"/>
    <row r="1119" spans="2:13" ht="15.75" thickBot="1" x14ac:dyDescent="0.3">
      <c r="B1119" s="438"/>
      <c r="C1119" s="411"/>
      <c r="D1119" s="407" t="s">
        <v>548</v>
      </c>
      <c r="E1119" s="408" t="s">
        <v>549</v>
      </c>
      <c r="F1119" s="408" t="s">
        <v>550</v>
      </c>
      <c r="G1119" s="408" t="s">
        <v>551</v>
      </c>
      <c r="H1119" s="408" t="s">
        <v>552</v>
      </c>
      <c r="I1119" s="408" t="s">
        <v>553</v>
      </c>
      <c r="J1119" s="408" t="s">
        <v>554</v>
      </c>
      <c r="K1119" s="408" t="s">
        <v>555</v>
      </c>
    </row>
    <row r="1120" spans="2:13" ht="15.75" thickBot="1" x14ac:dyDescent="0.3">
      <c r="B1120" s="414" t="s">
        <v>556</v>
      </c>
      <c r="C1120" s="415" t="s">
        <v>620</v>
      </c>
      <c r="D1120" s="416">
        <f>IF(ISERROR(VLOOKUP(B1119,'MD Usage'!$A$1:$W$5000,3,FALSE)),0,VLOOKUP(B1119,'MD Usage'!$A$1:$W$5000,3,FALSE))</f>
        <v>0</v>
      </c>
      <c r="E1120" s="416">
        <f>IF(ISERROR(VLOOKUP(B1119,'MD Usage'!$A$1:$W$5000,5,FALSE)),0,VLOOKUP(B1119,'MD Usage'!$A$1:$W$5000,5,FALSE))</f>
        <v>0</v>
      </c>
      <c r="F1120" s="416">
        <f>IF(ISERROR(VLOOKUP(B1119,'MD Usage'!$A$1:$W$5000,7,FALSE)),0,VLOOKUP(B1119,'MD Usage'!$A$1:$W$5000,7,FALSE))</f>
        <v>0</v>
      </c>
      <c r="G1120" s="416">
        <f>IF(ISERROR(VLOOKUP(B1119,'MD Usage'!$A$1:$W$5000,9,FALSE)),0,VLOOKUP(B1119,'MD Usage'!$A$1:$W$5000,9,FALSE))</f>
        <v>0</v>
      </c>
      <c r="H1120" s="416">
        <f>IF(ISERROR(VLOOKUP(B1119,'MD Usage'!$A$1:$W$5000,11,FALSE)),0,VLOOKUP(B1119,'MD Usage'!$A$1:$W$5000,11,FALSE))</f>
        <v>0</v>
      </c>
      <c r="I1120" s="416">
        <f>IF(ISERROR(VLOOKUP(B1119,'MD Usage'!A1:R2000,13,FALSE)),0,VLOOKUP(B1119,'MD Usage'!A1:R2000,13,FALSE))</f>
        <v>0</v>
      </c>
      <c r="J1120" s="416">
        <f>IF(ISERROR(VLOOKUP(B1119,'MD Usage'!A1:R2000,15,FALSE)),0,VLOOKUP(B1119,'MD Usage'!A1:R2000,15,FALSE))</f>
        <v>0</v>
      </c>
      <c r="K1120" s="418">
        <f t="shared" ref="K1120:K1126" si="69">SUM(D1120:J1120)</f>
        <v>0</v>
      </c>
    </row>
    <row r="1121" spans="2:13" ht="15" customHeight="1" x14ac:dyDescent="0.25">
      <c r="B1121" s="419"/>
      <c r="C1121" s="420"/>
      <c r="D1121" s="421">
        <f>D1120*C1121</f>
        <v>0</v>
      </c>
      <c r="E1121" s="421">
        <f>E1120*C1121</f>
        <v>0</v>
      </c>
      <c r="F1121" s="421">
        <f>F1120*C1121</f>
        <v>0</v>
      </c>
      <c r="G1121" s="421">
        <f>G1120*C1121</f>
        <v>0</v>
      </c>
      <c r="H1121" s="421">
        <f>H1120*C1121</f>
        <v>0</v>
      </c>
      <c r="I1121" s="421">
        <f>I1120*C1121</f>
        <v>0</v>
      </c>
      <c r="J1121" s="421">
        <f>J1120*C1121</f>
        <v>0</v>
      </c>
      <c r="K1121" s="422">
        <f t="shared" si="69"/>
        <v>0</v>
      </c>
    </row>
    <row r="1122" spans="2:13" x14ac:dyDescent="0.25">
      <c r="B1122" s="389"/>
      <c r="C1122" s="423"/>
      <c r="D1122" s="421">
        <f>D1120*C1122</f>
        <v>0</v>
      </c>
      <c r="E1122" s="421">
        <f>E1120*C1122</f>
        <v>0</v>
      </c>
      <c r="F1122" s="421">
        <f>F1120*C1122</f>
        <v>0</v>
      </c>
      <c r="G1122" s="421">
        <f>G1120*C1122</f>
        <v>0</v>
      </c>
      <c r="H1122" s="421">
        <f>H1120*C1122</f>
        <v>0</v>
      </c>
      <c r="I1122" s="421">
        <f>I1120*C1122</f>
        <v>0</v>
      </c>
      <c r="J1122" s="421">
        <f>J1120*C1122</f>
        <v>0</v>
      </c>
      <c r="K1122" s="424">
        <f t="shared" si="69"/>
        <v>0</v>
      </c>
    </row>
    <row r="1123" spans="2:13" ht="15" customHeight="1" x14ac:dyDescent="0.25">
      <c r="B1123" s="389"/>
      <c r="C1123" s="423"/>
      <c r="D1123" s="421">
        <f>D1120*C1123</f>
        <v>0</v>
      </c>
      <c r="E1123" s="421">
        <f>E1120*C1123</f>
        <v>0</v>
      </c>
      <c r="F1123" s="421">
        <f>F1120*C1123</f>
        <v>0</v>
      </c>
      <c r="G1123" s="421">
        <f>G1120*C1123</f>
        <v>0</v>
      </c>
      <c r="H1123" s="421">
        <f>H1120*C1123</f>
        <v>0</v>
      </c>
      <c r="I1123" s="421">
        <f>I1120*C1123</f>
        <v>0</v>
      </c>
      <c r="J1123" s="421">
        <f>J1120*C1123</f>
        <v>0</v>
      </c>
      <c r="K1123" s="424">
        <f t="shared" si="69"/>
        <v>0</v>
      </c>
    </row>
    <row r="1124" spans="2:13" ht="15" customHeight="1" x14ac:dyDescent="0.25">
      <c r="B1124" s="389"/>
      <c r="C1124" s="423"/>
      <c r="D1124" s="421">
        <f>D1120*C1124</f>
        <v>0</v>
      </c>
      <c r="E1124" s="421">
        <f>E1120*C1124</f>
        <v>0</v>
      </c>
      <c r="F1124" s="421">
        <f>F1120*C1124</f>
        <v>0</v>
      </c>
      <c r="G1124" s="421">
        <f>G1120*C1124</f>
        <v>0</v>
      </c>
      <c r="H1124" s="421">
        <f>H1120*C1124</f>
        <v>0</v>
      </c>
      <c r="I1124" s="421">
        <f>I1120*C1124</f>
        <v>0</v>
      </c>
      <c r="J1124" s="421">
        <f>J1120*C1124</f>
        <v>0</v>
      </c>
      <c r="K1124" s="424">
        <f t="shared" si="69"/>
        <v>0</v>
      </c>
    </row>
    <row r="1125" spans="2:13" x14ac:dyDescent="0.25">
      <c r="B1125" s="389"/>
      <c r="C1125" s="423"/>
      <c r="D1125" s="421">
        <f>D1120*C1125</f>
        <v>0</v>
      </c>
      <c r="E1125" s="421">
        <f>E1120*C1125</f>
        <v>0</v>
      </c>
      <c r="F1125" s="421">
        <f>F1120*C1125</f>
        <v>0</v>
      </c>
      <c r="G1125" s="421">
        <f>G1120*C1125</f>
        <v>0</v>
      </c>
      <c r="H1125" s="421">
        <f>H1120*C1125</f>
        <v>0</v>
      </c>
      <c r="I1125" s="421">
        <f>I1120*C1125</f>
        <v>0</v>
      </c>
      <c r="J1125" s="421">
        <f>J1120*C1125</f>
        <v>0</v>
      </c>
      <c r="K1125" s="424">
        <f t="shared" si="69"/>
        <v>0</v>
      </c>
    </row>
    <row r="1126" spans="2:13" x14ac:dyDescent="0.25">
      <c r="B1126" s="389"/>
      <c r="C1126" s="423"/>
      <c r="D1126" s="421">
        <f>D1120*C1126</f>
        <v>0</v>
      </c>
      <c r="E1126" s="421">
        <f>E1120*C1126</f>
        <v>0</v>
      </c>
      <c r="F1126" s="421">
        <f>F1120*C1126</f>
        <v>0</v>
      </c>
      <c r="G1126" s="421">
        <f>G1120*C1126</f>
        <v>0</v>
      </c>
      <c r="H1126" s="421">
        <f>H1120*C1126</f>
        <v>0</v>
      </c>
      <c r="I1126" s="421">
        <f>I1120*C1126</f>
        <v>0</v>
      </c>
      <c r="J1126" s="421">
        <f>J1120*C1126</f>
        <v>0</v>
      </c>
      <c r="K1126" s="424">
        <f t="shared" si="69"/>
        <v>0</v>
      </c>
    </row>
    <row r="1127" spans="2:13" ht="15.75" thickBot="1" x14ac:dyDescent="0.3"/>
    <row r="1128" spans="2:13" ht="15.75" thickBot="1" x14ac:dyDescent="0.3">
      <c r="B1128" s="436"/>
      <c r="C1128" s="411"/>
      <c r="D1128" s="407" t="s">
        <v>548</v>
      </c>
      <c r="E1128" s="408" t="s">
        <v>549</v>
      </c>
      <c r="F1128" s="408" t="s">
        <v>550</v>
      </c>
      <c r="G1128" s="408" t="s">
        <v>551</v>
      </c>
      <c r="H1128" s="408" t="s">
        <v>552</v>
      </c>
      <c r="I1128" s="408" t="s">
        <v>553</v>
      </c>
      <c r="J1128" s="408" t="s">
        <v>554</v>
      </c>
      <c r="K1128" s="408" t="s">
        <v>555</v>
      </c>
      <c r="M1128" s="426"/>
    </row>
    <row r="1129" spans="2:13" ht="15.75" thickBot="1" x14ac:dyDescent="0.3">
      <c r="B1129" s="414" t="s">
        <v>556</v>
      </c>
      <c r="C1129" s="415" t="s">
        <v>620</v>
      </c>
      <c r="D1129" s="416">
        <f>IF(ISERROR(VLOOKUP(B1128,'MD Usage'!$A$1:$W$5000,3,FALSE)),0,VLOOKUP(B1128,'MD Usage'!$A$1:$W$5000,3,FALSE))</f>
        <v>0</v>
      </c>
      <c r="E1129" s="416">
        <f>IF(ISERROR(VLOOKUP(B1128,'MD Usage'!$A$1:$W$5000,5,FALSE)),0,VLOOKUP(B1128,'MD Usage'!$A$1:$W$5000,5,FALSE))</f>
        <v>0</v>
      </c>
      <c r="F1129" s="416">
        <f>IF(ISERROR(VLOOKUP(B1128,'MD Usage'!$A$1:$W$5000,7,FALSE)),0,VLOOKUP(B1128,'MD Usage'!$A$1:$W$5000,7,FALSE))</f>
        <v>0</v>
      </c>
      <c r="G1129" s="416">
        <f>IF(ISERROR(VLOOKUP(B1128,'MD Usage'!$A$1:$W$5000,9,FALSE)),0,VLOOKUP(B1128,'MD Usage'!$A$1:$W$5000,9,FALSE))</f>
        <v>0</v>
      </c>
      <c r="H1129" s="416">
        <f>IF(ISERROR(VLOOKUP(B1128,'MD Usage'!$A$1:$W$5000,11,FALSE)),0,VLOOKUP(B1128,'MD Usage'!$A$1:$W$5000,11,FALSE))</f>
        <v>0</v>
      </c>
      <c r="I1129" s="416">
        <f>IF(ISERROR(VLOOKUP(B1128,'MD Usage'!A1:R2000,13,FALSE)),0,VLOOKUP(B1128,'MD Usage'!A1:R2000,13,FALSE))</f>
        <v>0</v>
      </c>
      <c r="J1129" s="416">
        <f>IF(ISERROR(VLOOKUP(B1128,'MD Usage'!A1:R2000,15,FALSE)),0,VLOOKUP(B1128,'MD Usage'!A1:R2000,15,FALSE))</f>
        <v>0</v>
      </c>
      <c r="K1129" s="418">
        <f>SUM(D1129:J1129)</f>
        <v>0</v>
      </c>
    </row>
    <row r="1130" spans="2:13" x14ac:dyDescent="0.25">
      <c r="B1130" s="419"/>
      <c r="C1130" s="420"/>
      <c r="D1130" s="421">
        <f>D1129*C1130</f>
        <v>0</v>
      </c>
      <c r="E1130" s="421">
        <f>E1129*C1130</f>
        <v>0</v>
      </c>
      <c r="F1130" s="421">
        <f>F1129*C1130</f>
        <v>0</v>
      </c>
      <c r="G1130" s="421">
        <f>G1129*C1130</f>
        <v>0</v>
      </c>
      <c r="H1130" s="421">
        <f>H1129*C1130</f>
        <v>0</v>
      </c>
      <c r="I1130" s="421">
        <f>I1129*C1130</f>
        <v>0</v>
      </c>
      <c r="J1130" s="421">
        <f>J1129*C1130</f>
        <v>0</v>
      </c>
      <c r="K1130" s="422">
        <f>SUM(D1130:J1130)</f>
        <v>0</v>
      </c>
    </row>
    <row r="1131" spans="2:13" ht="15" customHeight="1" x14ac:dyDescent="0.25">
      <c r="B1131" s="389"/>
      <c r="C1131" s="423"/>
      <c r="D1131" s="421">
        <f>D1129*C1131</f>
        <v>0</v>
      </c>
      <c r="E1131" s="421">
        <f>E1129*C1131</f>
        <v>0</v>
      </c>
      <c r="F1131" s="421">
        <f>F1129*C1131</f>
        <v>0</v>
      </c>
      <c r="G1131" s="421">
        <f>G1129*C1131</f>
        <v>0</v>
      </c>
      <c r="H1131" s="421">
        <f>H1129*C1131</f>
        <v>0</v>
      </c>
      <c r="I1131" s="421">
        <f>I1129*C1131</f>
        <v>0</v>
      </c>
      <c r="J1131" s="421">
        <f>J1129*C1131</f>
        <v>0</v>
      </c>
      <c r="K1131" s="424">
        <f>SUM(D1131:J1131)</f>
        <v>0</v>
      </c>
    </row>
    <row r="1132" spans="2:13" x14ac:dyDescent="0.25">
      <c r="B1132" s="389"/>
      <c r="C1132" s="423"/>
      <c r="D1132" s="421">
        <f>D1129*C1132</f>
        <v>0</v>
      </c>
      <c r="E1132" s="421">
        <f>E1129*C1132</f>
        <v>0</v>
      </c>
      <c r="F1132" s="421">
        <f>F1129*C1132</f>
        <v>0</v>
      </c>
      <c r="G1132" s="421">
        <f>G1129*C1132</f>
        <v>0</v>
      </c>
      <c r="H1132" s="421">
        <f>H1129*C1132</f>
        <v>0</v>
      </c>
      <c r="I1132" s="421">
        <f>I1129*C1132</f>
        <v>0</v>
      </c>
      <c r="J1132" s="421">
        <f>J1129*C1132</f>
        <v>0</v>
      </c>
      <c r="K1132" s="424">
        <f>SUM(D1132:J1132)</f>
        <v>0</v>
      </c>
    </row>
    <row r="1133" spans="2:13" x14ac:dyDescent="0.25">
      <c r="B1133" s="389"/>
      <c r="C1133" s="423"/>
      <c r="D1133" s="421">
        <f>D1129*C1133</f>
        <v>0</v>
      </c>
      <c r="E1133" s="421">
        <f>E1129*C1133</f>
        <v>0</v>
      </c>
      <c r="F1133" s="421">
        <f>F1129*C1133</f>
        <v>0</v>
      </c>
      <c r="G1133" s="421">
        <f>G1129*C1133</f>
        <v>0</v>
      </c>
      <c r="H1133" s="421">
        <f>H1129*C1133</f>
        <v>0</v>
      </c>
      <c r="I1133" s="421">
        <f>I1129*C1133</f>
        <v>0</v>
      </c>
      <c r="J1133" s="421">
        <f>J1129*C1133</f>
        <v>0</v>
      </c>
      <c r="K1133" s="424">
        <f>SUM(D1133:J1133)</f>
        <v>0</v>
      </c>
    </row>
    <row r="1134" spans="2:13" ht="15.75" thickBot="1" x14ac:dyDescent="0.3"/>
    <row r="1135" spans="2:13" ht="15.75" thickBot="1" x14ac:dyDescent="0.3">
      <c r="B1135" s="436"/>
      <c r="C1135" s="411"/>
      <c r="D1135" s="407" t="s">
        <v>548</v>
      </c>
      <c r="E1135" s="408" t="s">
        <v>549</v>
      </c>
      <c r="F1135" s="408" t="s">
        <v>550</v>
      </c>
      <c r="G1135" s="408" t="s">
        <v>551</v>
      </c>
      <c r="H1135" s="408" t="s">
        <v>552</v>
      </c>
      <c r="I1135" s="408" t="s">
        <v>553</v>
      </c>
      <c r="J1135" s="408" t="s">
        <v>554</v>
      </c>
      <c r="K1135" s="408" t="s">
        <v>555</v>
      </c>
      <c r="M1135" s="437"/>
    </row>
    <row r="1136" spans="2:13" ht="15" customHeight="1" thickBot="1" x14ac:dyDescent="0.3">
      <c r="B1136" s="414" t="s">
        <v>556</v>
      </c>
      <c r="C1136" s="415" t="s">
        <v>620</v>
      </c>
      <c r="D1136" s="416">
        <f>IF(ISERROR(VLOOKUP(B1135,'MD Usage'!$A$1:$W$5000,3,FALSE)),0,VLOOKUP(B1135,'MD Usage'!$A$1:$W$5000,3,FALSE))</f>
        <v>0</v>
      </c>
      <c r="E1136" s="416">
        <f>IF(ISERROR(VLOOKUP(B1135,'MD Usage'!$A$1:$W$5000,5,FALSE)),0,VLOOKUP(B1135,'MD Usage'!$A$1:$W$5000,5,FALSE))</f>
        <v>0</v>
      </c>
      <c r="F1136" s="416">
        <f>IF(ISERROR(VLOOKUP(B1135,'MD Usage'!$A$1:$W$5000,7,FALSE)),0,VLOOKUP(B1135,'MD Usage'!$A$1:$W$5000,7,FALSE))</f>
        <v>0</v>
      </c>
      <c r="G1136" s="416">
        <f>IF(ISERROR(VLOOKUP(B1135,'MD Usage'!$A$1:$W$5000,9,FALSE)),0,VLOOKUP(B1135,'MD Usage'!$A$1:$W$5000,9,FALSE))</f>
        <v>0</v>
      </c>
      <c r="H1136" s="416">
        <f>IF(ISERROR(VLOOKUP(B1135,'MD Usage'!$A$1:$W$5000,11,FALSE)),0,VLOOKUP(B1135,'MD Usage'!$A$1:$W$5000,11,FALSE))</f>
        <v>0</v>
      </c>
      <c r="I1136" s="416">
        <f>IF(ISERROR(VLOOKUP(B1135,'MD Usage'!A1:R2000,13,FALSE)),0,VLOOKUP(B1135,'MD Usage'!A1:R2000,13,FALSE))</f>
        <v>0</v>
      </c>
      <c r="J1136" s="416">
        <f>IF(ISERROR(VLOOKUP(B1135,'MD Usage'!A1:R2000,15,FALSE)),0,VLOOKUP(B1135,'MD Usage'!A1:R2000,15,FALSE))</f>
        <v>0</v>
      </c>
      <c r="K1136" s="418">
        <f>SUM(D1136:J1136)</f>
        <v>0</v>
      </c>
    </row>
    <row r="1137" spans="2:11" x14ac:dyDescent="0.25">
      <c r="B1137" s="419"/>
      <c r="C1137" s="420"/>
      <c r="D1137" s="421">
        <f>D1136*C1137</f>
        <v>0</v>
      </c>
      <c r="E1137" s="421">
        <f>E1136*C1137</f>
        <v>0</v>
      </c>
      <c r="F1137" s="421">
        <f>F1136*C1137</f>
        <v>0</v>
      </c>
      <c r="G1137" s="421">
        <f>G1136*C1137</f>
        <v>0</v>
      </c>
      <c r="H1137" s="421">
        <f>H1136*C1137</f>
        <v>0</v>
      </c>
      <c r="I1137" s="421">
        <f>I1136*C1137</f>
        <v>0</v>
      </c>
      <c r="J1137" s="421">
        <f>J1136*C1137</f>
        <v>0</v>
      </c>
      <c r="K1137" s="422">
        <f>SUM(D1137:J1137)</f>
        <v>0</v>
      </c>
    </row>
    <row r="1138" spans="2:11" ht="15" customHeight="1" x14ac:dyDescent="0.25">
      <c r="B1138" s="389"/>
      <c r="C1138" s="423"/>
      <c r="D1138" s="421">
        <f>D1136*C1138</f>
        <v>0</v>
      </c>
      <c r="E1138" s="421">
        <f>E1136*C1138</f>
        <v>0</v>
      </c>
      <c r="F1138" s="421">
        <f>F1136*C1138</f>
        <v>0</v>
      </c>
      <c r="G1138" s="421">
        <f>G1136*C1138</f>
        <v>0</v>
      </c>
      <c r="H1138" s="421">
        <f>H1136*C1138</f>
        <v>0</v>
      </c>
      <c r="I1138" s="421">
        <f>I1136*C1138</f>
        <v>0</v>
      </c>
      <c r="J1138" s="421">
        <f>J1136*C1138</f>
        <v>0</v>
      </c>
      <c r="K1138" s="424">
        <f>SUM(D1138:J1138)</f>
        <v>0</v>
      </c>
    </row>
    <row r="1139" spans="2:11" x14ac:dyDescent="0.25">
      <c r="B1139" s="389"/>
      <c r="C1139" s="423"/>
      <c r="D1139" s="421">
        <f>D1136*C1139</f>
        <v>0</v>
      </c>
      <c r="E1139" s="421">
        <f>E1136*C1139</f>
        <v>0</v>
      </c>
      <c r="F1139" s="421">
        <f>F1136*C1139</f>
        <v>0</v>
      </c>
      <c r="G1139" s="421">
        <f>G1136*C1139</f>
        <v>0</v>
      </c>
      <c r="H1139" s="421">
        <f>H1136*C1139</f>
        <v>0</v>
      </c>
      <c r="I1139" s="421">
        <f>I1136*C1139</f>
        <v>0</v>
      </c>
      <c r="J1139" s="421">
        <f>J1136*C1139</f>
        <v>0</v>
      </c>
      <c r="K1139" s="424">
        <f>SUM(D1139:J1139)</f>
        <v>0</v>
      </c>
    </row>
    <row r="1140" spans="2:11" x14ac:dyDescent="0.25">
      <c r="B1140" s="389"/>
      <c r="C1140" s="423"/>
      <c r="D1140" s="421">
        <f>D1136*C1140</f>
        <v>0</v>
      </c>
      <c r="E1140" s="421">
        <f>E1136*C1140</f>
        <v>0</v>
      </c>
      <c r="F1140" s="421">
        <f>F1136*C1140</f>
        <v>0</v>
      </c>
      <c r="G1140" s="421">
        <f>G1136*C1140</f>
        <v>0</v>
      </c>
      <c r="H1140" s="421">
        <f>H1136*C1140</f>
        <v>0</v>
      </c>
      <c r="I1140" s="421">
        <f>I1136*C1140</f>
        <v>0</v>
      </c>
      <c r="J1140" s="421">
        <f>J1136*C1140</f>
        <v>0</v>
      </c>
      <c r="K1140" s="424">
        <f>SUM(D1140:J1140)</f>
        <v>0</v>
      </c>
    </row>
    <row r="1141" spans="2:11" ht="15.75" thickBot="1" x14ac:dyDescent="0.3"/>
    <row r="1142" spans="2:11" ht="15.75" thickBot="1" x14ac:dyDescent="0.3">
      <c r="B1142" s="437"/>
      <c r="C1142" s="411"/>
      <c r="D1142" s="407" t="s">
        <v>548</v>
      </c>
      <c r="E1142" s="408" t="s">
        <v>549</v>
      </c>
      <c r="F1142" s="408" t="s">
        <v>550</v>
      </c>
      <c r="G1142" s="408" t="s">
        <v>551</v>
      </c>
      <c r="H1142" s="408" t="s">
        <v>552</v>
      </c>
      <c r="I1142" s="408" t="s">
        <v>553</v>
      </c>
      <c r="J1142" s="408" t="s">
        <v>554</v>
      </c>
      <c r="K1142" s="408" t="s">
        <v>555</v>
      </c>
    </row>
    <row r="1143" spans="2:11" ht="15.75" thickBot="1" x14ac:dyDescent="0.3">
      <c r="B1143" s="414" t="s">
        <v>556</v>
      </c>
      <c r="C1143" s="415" t="s">
        <v>620</v>
      </c>
      <c r="D1143" s="416">
        <f>IF(ISERROR(VLOOKUP(B1142,'MD Usage'!$A$1:$W$5000,3,FALSE)),0,VLOOKUP(B1142,'MD Usage'!$A$1:$W$5000,3,FALSE))</f>
        <v>0</v>
      </c>
      <c r="E1143" s="416">
        <f>IF(ISERROR(VLOOKUP(B1142,'MD Usage'!$A$1:$W$5000,5,FALSE)),0,VLOOKUP(B1142,'MD Usage'!$A$1:$W$5000,5,FALSE))</f>
        <v>0</v>
      </c>
      <c r="F1143" s="416">
        <f>IF(ISERROR(VLOOKUP(B1142,'MD Usage'!$A$1:$W$5000,7,FALSE)),0,VLOOKUP(B1142,'MD Usage'!$A$1:$W$5000,7,FALSE))</f>
        <v>0</v>
      </c>
      <c r="G1143" s="416">
        <f>IF(ISERROR(VLOOKUP(B1142,'MD Usage'!$A$1:$W$5000,9,FALSE)),0,VLOOKUP(B1142,'MD Usage'!$A$1:$W$5000,9,FALSE))</f>
        <v>0</v>
      </c>
      <c r="H1143" s="416">
        <f>IF(ISERROR(VLOOKUP(B1142,'MD Usage'!$A$1:$W$5000,11,FALSE)),0,VLOOKUP(B1142,'MD Usage'!$A$1:$W$5000,11,FALSE))</f>
        <v>0</v>
      </c>
      <c r="I1143" s="416">
        <f>IF(ISERROR(VLOOKUP(B1142,'MD Usage'!A1:R2000,13,FALSE)),0,VLOOKUP(B1142,'MD Usage'!A1:R2000,13,FALSE))</f>
        <v>0</v>
      </c>
      <c r="J1143" s="416">
        <f>IF(ISERROR(VLOOKUP(B1142,'MD Usage'!A1:R2000,15,FALSE)),0,VLOOKUP(B1142,'MD Usage'!A1:R2000,15,FALSE))</f>
        <v>0</v>
      </c>
      <c r="K1143" s="418">
        <f>SUM(D1143:J1143)</f>
        <v>0</v>
      </c>
    </row>
    <row r="1144" spans="2:11" ht="15" customHeight="1" x14ac:dyDescent="0.25">
      <c r="B1144" s="419"/>
      <c r="C1144" s="420"/>
      <c r="D1144" s="421">
        <f>D1143*C1144</f>
        <v>0</v>
      </c>
      <c r="E1144" s="421">
        <f>E1143*C1144</f>
        <v>0</v>
      </c>
      <c r="F1144" s="421">
        <f>F1143*C1144</f>
        <v>0</v>
      </c>
      <c r="G1144" s="421">
        <f>G1143*C1144</f>
        <v>0</v>
      </c>
      <c r="H1144" s="421">
        <f>H1143*C1144</f>
        <v>0</v>
      </c>
      <c r="I1144" s="421">
        <f>I1143*C1144</f>
        <v>0</v>
      </c>
      <c r="J1144" s="421">
        <f>J1143*C1144</f>
        <v>0</v>
      </c>
      <c r="K1144" s="422">
        <f>SUM(D1144:J1144)</f>
        <v>0</v>
      </c>
    </row>
    <row r="1145" spans="2:11" ht="15" customHeight="1" x14ac:dyDescent="0.25">
      <c r="B1145" s="389"/>
      <c r="C1145" s="423"/>
      <c r="D1145" s="421">
        <f>D1143*C1145</f>
        <v>0</v>
      </c>
      <c r="E1145" s="421">
        <f>E1143*C1145</f>
        <v>0</v>
      </c>
      <c r="F1145" s="421">
        <f>F1143*C1145</f>
        <v>0</v>
      </c>
      <c r="G1145" s="421">
        <f>G1143*C1145</f>
        <v>0</v>
      </c>
      <c r="H1145" s="421">
        <f>H1143*C1145</f>
        <v>0</v>
      </c>
      <c r="I1145" s="421">
        <f>I1143*C1145</f>
        <v>0</v>
      </c>
      <c r="J1145" s="421">
        <f>J1143*C1145</f>
        <v>0</v>
      </c>
      <c r="K1145" s="424">
        <f>SUM(D1145:J1145)</f>
        <v>0</v>
      </c>
    </row>
    <row r="1146" spans="2:11" ht="15" customHeight="1" x14ac:dyDescent="0.25">
      <c r="B1146" s="389"/>
      <c r="C1146" s="423"/>
      <c r="D1146" s="421">
        <f>D1143*C1146</f>
        <v>0</v>
      </c>
      <c r="E1146" s="421">
        <f>E1143*C1146</f>
        <v>0</v>
      </c>
      <c r="F1146" s="421">
        <f>F1143*C1146</f>
        <v>0</v>
      </c>
      <c r="G1146" s="421">
        <f>G1143*C1146</f>
        <v>0</v>
      </c>
      <c r="H1146" s="421">
        <f>H1143*C1146</f>
        <v>0</v>
      </c>
      <c r="I1146" s="421">
        <f>I1143*C1146</f>
        <v>0</v>
      </c>
      <c r="J1146" s="421">
        <f>J1143*C1146</f>
        <v>0</v>
      </c>
      <c r="K1146" s="424">
        <f>SUM(D1146:J1146)</f>
        <v>0</v>
      </c>
    </row>
    <row r="1147" spans="2:11" x14ac:dyDescent="0.25">
      <c r="B1147" s="389"/>
      <c r="C1147" s="423"/>
      <c r="D1147" s="421">
        <f>D1143*C1147</f>
        <v>0</v>
      </c>
      <c r="E1147" s="421">
        <f>E1143*C1147</f>
        <v>0</v>
      </c>
      <c r="F1147" s="421">
        <f>F1143*C1147</f>
        <v>0</v>
      </c>
      <c r="G1147" s="421">
        <f>G1143*C1147</f>
        <v>0</v>
      </c>
      <c r="H1147" s="421">
        <f>H1143*C1147</f>
        <v>0</v>
      </c>
      <c r="I1147" s="421">
        <f>I1143*C1147</f>
        <v>0</v>
      </c>
      <c r="J1147" s="421">
        <f>J1143*C1147</f>
        <v>0</v>
      </c>
      <c r="K1147" s="424">
        <f>SUM(D1147:J1147)</f>
        <v>0</v>
      </c>
    </row>
    <row r="1148" spans="2:11" ht="15.75" thickBot="1" x14ac:dyDescent="0.3"/>
    <row r="1149" spans="2:11" ht="15.75" thickBot="1" x14ac:dyDescent="0.3">
      <c r="B1149" s="437"/>
      <c r="C1149" s="411"/>
      <c r="D1149" s="407" t="s">
        <v>548</v>
      </c>
      <c r="E1149" s="408" t="s">
        <v>549</v>
      </c>
      <c r="F1149" s="408" t="s">
        <v>550</v>
      </c>
      <c r="G1149" s="408" t="s">
        <v>551</v>
      </c>
      <c r="H1149" s="408" t="s">
        <v>552</v>
      </c>
      <c r="I1149" s="408" t="s">
        <v>553</v>
      </c>
      <c r="J1149" s="408" t="s">
        <v>554</v>
      </c>
      <c r="K1149" s="408" t="s">
        <v>555</v>
      </c>
    </row>
    <row r="1150" spans="2:11" ht="15.75" thickBot="1" x14ac:dyDescent="0.3">
      <c r="B1150" s="414" t="s">
        <v>556</v>
      </c>
      <c r="C1150" s="415" t="s">
        <v>620</v>
      </c>
      <c r="D1150" s="416">
        <f>IF(ISERROR(VLOOKUP(B1149,'MD Usage'!$A$1:$W$5000,3,FALSE)),0,VLOOKUP(B1149,'MD Usage'!$A$1:$W$5000,3,FALSE))</f>
        <v>0</v>
      </c>
      <c r="E1150" s="416">
        <f>IF(ISERROR(VLOOKUP(B1149,'MD Usage'!$A$1:$W$5000,5,FALSE)),0,VLOOKUP(B1149,'MD Usage'!$A$1:$W$5000,5,FALSE))</f>
        <v>0</v>
      </c>
      <c r="F1150" s="416">
        <f>IF(ISERROR(VLOOKUP(B1149,'MD Usage'!$A$1:$W$5000,7,FALSE)),0,VLOOKUP(B1149,'MD Usage'!$A$1:$W$5000,7,FALSE))</f>
        <v>0</v>
      </c>
      <c r="G1150" s="416">
        <f>IF(ISERROR(VLOOKUP(B1149,'MD Usage'!$A$1:$W$5000,9,FALSE)),0,VLOOKUP(B1149,'MD Usage'!$A$1:$W$5000,9,FALSE))</f>
        <v>0</v>
      </c>
      <c r="H1150" s="416">
        <f>IF(ISERROR(VLOOKUP(B1149,'MD Usage'!$A$1:$W$5000,11,FALSE)),0,VLOOKUP(B1149,'MD Usage'!$A$1:$W$5000,11,FALSE))</f>
        <v>0</v>
      </c>
      <c r="I1150" s="416">
        <f>IF(ISERROR(VLOOKUP(B1149,'MD Usage'!A1:R2000,13,FALSE)),0,VLOOKUP(B1149,'MD Usage'!A1:R2000,13,FALSE))</f>
        <v>0</v>
      </c>
      <c r="J1150" s="416">
        <f>IF(ISERROR(VLOOKUP(B1149,'MD Usage'!A1:R2000,15,FALSE)),0,VLOOKUP(B1149,'MD Usage'!A1:R2000,15,FALSE))</f>
        <v>0</v>
      </c>
      <c r="K1150" s="418">
        <f>SUM(D1150:J1150)</f>
        <v>0</v>
      </c>
    </row>
    <row r="1151" spans="2:11" ht="15" customHeight="1" x14ac:dyDescent="0.25">
      <c r="B1151" s="419"/>
      <c r="C1151" s="420"/>
      <c r="D1151" s="421">
        <f>D1150*C1151</f>
        <v>0</v>
      </c>
      <c r="E1151" s="421">
        <f>E1150*C1151</f>
        <v>0</v>
      </c>
      <c r="F1151" s="421">
        <f>F1150*C1151</f>
        <v>0</v>
      </c>
      <c r="G1151" s="421">
        <f>G1150*C1151</f>
        <v>0</v>
      </c>
      <c r="H1151" s="421">
        <f>H1150*C1151</f>
        <v>0</v>
      </c>
      <c r="I1151" s="421">
        <f>I1150*C1151</f>
        <v>0</v>
      </c>
      <c r="J1151" s="421">
        <f>J1150*C1151</f>
        <v>0</v>
      </c>
      <c r="K1151" s="422">
        <f>SUM(D1151:J1151)</f>
        <v>0</v>
      </c>
    </row>
    <row r="1152" spans="2:11" ht="15" customHeight="1" x14ac:dyDescent="0.25">
      <c r="B1152" s="389"/>
      <c r="C1152" s="423"/>
      <c r="D1152" s="421">
        <f>D1150*C1152</f>
        <v>0</v>
      </c>
      <c r="E1152" s="421">
        <f>E1150*C1152</f>
        <v>0</v>
      </c>
      <c r="F1152" s="421">
        <f>F1150*C1152</f>
        <v>0</v>
      </c>
      <c r="G1152" s="421">
        <f>G1150*C1152</f>
        <v>0</v>
      </c>
      <c r="H1152" s="421">
        <f>H1150*C1152</f>
        <v>0</v>
      </c>
      <c r="I1152" s="421">
        <f>I1150*C1152</f>
        <v>0</v>
      </c>
      <c r="J1152" s="421">
        <f>J1150*C1152</f>
        <v>0</v>
      </c>
      <c r="K1152" s="424">
        <f>SUM(D1152:J1152)</f>
        <v>0</v>
      </c>
    </row>
    <row r="1153" spans="2:13" ht="15" customHeight="1" x14ac:dyDescent="0.25">
      <c r="B1153" s="389"/>
      <c r="C1153" s="423"/>
      <c r="D1153" s="421">
        <f>D1150*C1153</f>
        <v>0</v>
      </c>
      <c r="E1153" s="421">
        <f>E1150*C1153</f>
        <v>0</v>
      </c>
      <c r="F1153" s="421">
        <f>F1150*C1153</f>
        <v>0</v>
      </c>
      <c r="G1153" s="421">
        <f>G1150*C1153</f>
        <v>0</v>
      </c>
      <c r="H1153" s="421">
        <f>H1150*C1153</f>
        <v>0</v>
      </c>
      <c r="I1153" s="421">
        <f>I1150*C1153</f>
        <v>0</v>
      </c>
      <c r="J1153" s="421">
        <f>J1150*C1153</f>
        <v>0</v>
      </c>
      <c r="K1153" s="424">
        <f>SUM(D1153:J1153)</f>
        <v>0</v>
      </c>
    </row>
    <row r="1154" spans="2:13" x14ac:dyDescent="0.25">
      <c r="B1154" s="389"/>
      <c r="C1154" s="423"/>
      <c r="D1154" s="421">
        <f>D1150*C1154</f>
        <v>0</v>
      </c>
      <c r="E1154" s="421">
        <f>E1150*C1154</f>
        <v>0</v>
      </c>
      <c r="F1154" s="421">
        <f>F1150*C1154</f>
        <v>0</v>
      </c>
      <c r="G1154" s="421">
        <f>G1150*C1154</f>
        <v>0</v>
      </c>
      <c r="H1154" s="421">
        <f>H1150*C1154</f>
        <v>0</v>
      </c>
      <c r="I1154" s="421">
        <f>I1150*C1154</f>
        <v>0</v>
      </c>
      <c r="J1154" s="421">
        <f>J1150*C1154</f>
        <v>0</v>
      </c>
      <c r="K1154" s="424">
        <f>SUM(D1154:J1154)</f>
        <v>0</v>
      </c>
    </row>
    <row r="1155" spans="2:13" ht="15.75" thickBot="1" x14ac:dyDescent="0.3"/>
    <row r="1156" spans="2:13" ht="15.75" thickBot="1" x14ac:dyDescent="0.3">
      <c r="B1156" s="437"/>
      <c r="C1156" s="411"/>
      <c r="D1156" s="407" t="s">
        <v>548</v>
      </c>
      <c r="E1156" s="408" t="s">
        <v>549</v>
      </c>
      <c r="F1156" s="408" t="s">
        <v>550</v>
      </c>
      <c r="G1156" s="408" t="s">
        <v>551</v>
      </c>
      <c r="H1156" s="408" t="s">
        <v>552</v>
      </c>
      <c r="I1156" s="408" t="s">
        <v>553</v>
      </c>
      <c r="J1156" s="408" t="s">
        <v>554</v>
      </c>
      <c r="K1156" s="408" t="s">
        <v>555</v>
      </c>
    </row>
    <row r="1157" spans="2:13" ht="15.75" thickBot="1" x14ac:dyDescent="0.3">
      <c r="B1157" s="414" t="s">
        <v>556</v>
      </c>
      <c r="C1157" s="415" t="s">
        <v>620</v>
      </c>
      <c r="D1157" s="416">
        <f>IF(ISERROR(VLOOKUP(B1156,'MD Usage'!$A$1:$W$5000,3,FALSE)),0,VLOOKUP(B1156,'MD Usage'!$A$1:$W$5000,3,FALSE))</f>
        <v>0</v>
      </c>
      <c r="E1157" s="416">
        <f>IF(ISERROR(VLOOKUP(B1156,'MD Usage'!$A$1:$W$5000,5,FALSE)),0,VLOOKUP(B1156,'MD Usage'!$A$1:$W$5000,5,FALSE))</f>
        <v>0</v>
      </c>
      <c r="F1157" s="416">
        <f>IF(ISERROR(VLOOKUP(B1156,'MD Usage'!$A$1:$W$5000,7,FALSE)),0,VLOOKUP(B1156,'MD Usage'!$A$1:$W$5000,7,FALSE))</f>
        <v>0</v>
      </c>
      <c r="G1157" s="416">
        <f>IF(ISERROR(VLOOKUP(B1156,'MD Usage'!$A$1:$W$5000,9,FALSE)),0,VLOOKUP(B1156,'MD Usage'!$A$1:$W$5000,9,FALSE))</f>
        <v>0</v>
      </c>
      <c r="H1157" s="416">
        <f>IF(ISERROR(VLOOKUP(B1156,'MD Usage'!$A$1:$W$5000,11,FALSE)),0,VLOOKUP(B1156,'MD Usage'!$A$1:$W$5000,11,FALSE))</f>
        <v>0</v>
      </c>
      <c r="I1157" s="416">
        <f>IF(ISERROR(VLOOKUP(B1156,'MD Usage'!A1:R2000,13,FALSE)),0,VLOOKUP(B1156,'MD Usage'!A1:R2000,13,FALSE))</f>
        <v>0</v>
      </c>
      <c r="J1157" s="416">
        <f>IF(ISERROR(VLOOKUP(B1156,'MD Usage'!A1:R2000,15,FALSE)),0,VLOOKUP(B1156,'MD Usage'!A1:R2000,15,FALSE))</f>
        <v>0</v>
      </c>
      <c r="K1157" s="418">
        <f>SUM(D1157:J1157)</f>
        <v>0</v>
      </c>
    </row>
    <row r="1158" spans="2:13" x14ac:dyDescent="0.25">
      <c r="B1158" s="419"/>
      <c r="C1158" s="420"/>
      <c r="D1158" s="421">
        <f>D1157*C1158</f>
        <v>0</v>
      </c>
      <c r="E1158" s="421">
        <f>E1157*C1158</f>
        <v>0</v>
      </c>
      <c r="F1158" s="421">
        <f>F1157*C1158</f>
        <v>0</v>
      </c>
      <c r="G1158" s="421">
        <f>G1157*C1158</f>
        <v>0</v>
      </c>
      <c r="H1158" s="421">
        <f>H1157*C1158</f>
        <v>0</v>
      </c>
      <c r="I1158" s="421">
        <f>I1157*C1158</f>
        <v>0</v>
      </c>
      <c r="J1158" s="421">
        <f>J1157*C1158</f>
        <v>0</v>
      </c>
      <c r="K1158" s="422">
        <f>SUM(D1158:J1158)</f>
        <v>0</v>
      </c>
    </row>
    <row r="1159" spans="2:13" ht="15" customHeight="1" x14ac:dyDescent="0.25">
      <c r="B1159" s="389"/>
      <c r="C1159" s="423"/>
      <c r="D1159" s="421">
        <f>D1157*C1159</f>
        <v>0</v>
      </c>
      <c r="E1159" s="421">
        <f>E1157*C1159</f>
        <v>0</v>
      </c>
      <c r="F1159" s="421">
        <f>F1157*C1159</f>
        <v>0</v>
      </c>
      <c r="G1159" s="421">
        <f>G1157*C1159</f>
        <v>0</v>
      </c>
      <c r="H1159" s="421">
        <f>H1157*C1159</f>
        <v>0</v>
      </c>
      <c r="I1159" s="421">
        <f>I1157*C1159</f>
        <v>0</v>
      </c>
      <c r="J1159" s="421">
        <f>J1157*C1159</f>
        <v>0</v>
      </c>
      <c r="K1159" s="424">
        <f>SUM(D1159:J1159)</f>
        <v>0</v>
      </c>
    </row>
    <row r="1160" spans="2:13" x14ac:dyDescent="0.25">
      <c r="B1160" s="389"/>
      <c r="C1160" s="423"/>
      <c r="D1160" s="421">
        <f>D1157*C1160</f>
        <v>0</v>
      </c>
      <c r="E1160" s="421">
        <f>E1157*C1160</f>
        <v>0</v>
      </c>
      <c r="F1160" s="421">
        <f>F1157*C1160</f>
        <v>0</v>
      </c>
      <c r="G1160" s="421">
        <f>G1157*C1160</f>
        <v>0</v>
      </c>
      <c r="H1160" s="421">
        <f>H1157*C1160</f>
        <v>0</v>
      </c>
      <c r="I1160" s="421">
        <f>I1157*C1160</f>
        <v>0</v>
      </c>
      <c r="J1160" s="421">
        <f>J1157*C1160</f>
        <v>0</v>
      </c>
      <c r="K1160" s="424">
        <f>SUM(D1160:J1160)</f>
        <v>0</v>
      </c>
    </row>
    <row r="1161" spans="2:13" ht="15" customHeight="1" x14ac:dyDescent="0.25">
      <c r="B1161" s="389"/>
      <c r="C1161" s="423"/>
      <c r="D1161" s="421">
        <f>D1157*C1161</f>
        <v>0</v>
      </c>
      <c r="E1161" s="421">
        <f>E1157*C1161</f>
        <v>0</v>
      </c>
      <c r="F1161" s="421">
        <f>F1157*C1161</f>
        <v>0</v>
      </c>
      <c r="G1161" s="421">
        <f>G1157*C1161</f>
        <v>0</v>
      </c>
      <c r="H1161" s="421">
        <f>H1157*C1161</f>
        <v>0</v>
      </c>
      <c r="I1161" s="421">
        <f>I1157*C1161</f>
        <v>0</v>
      </c>
      <c r="J1161" s="421">
        <f>J1157*C1161</f>
        <v>0</v>
      </c>
      <c r="K1161" s="424">
        <f>SUM(D1161:J1161)</f>
        <v>0</v>
      </c>
    </row>
    <row r="1162" spans="2:13" ht="15.75" thickBot="1" x14ac:dyDescent="0.3"/>
    <row r="1163" spans="2:13" ht="15.75" thickBot="1" x14ac:dyDescent="0.3">
      <c r="B1163" s="436">
        <v>6400368</v>
      </c>
      <c r="C1163" s="411"/>
      <c r="D1163" s="407" t="s">
        <v>548</v>
      </c>
      <c r="E1163" s="408" t="s">
        <v>549</v>
      </c>
      <c r="F1163" s="408" t="s">
        <v>550</v>
      </c>
      <c r="G1163" s="408" t="s">
        <v>551</v>
      </c>
      <c r="H1163" s="408" t="s">
        <v>552</v>
      </c>
      <c r="I1163" s="408" t="s">
        <v>553</v>
      </c>
      <c r="J1163" s="408" t="s">
        <v>554</v>
      </c>
      <c r="K1163" s="408" t="s">
        <v>555</v>
      </c>
      <c r="M1163" s="426" t="s">
        <v>1864</v>
      </c>
    </row>
    <row r="1164" spans="2:13" ht="15.75" thickBot="1" x14ac:dyDescent="0.3">
      <c r="B1164" s="414" t="s">
        <v>556</v>
      </c>
      <c r="C1164" s="415" t="s">
        <v>620</v>
      </c>
      <c r="D1164" s="416">
        <f>IF(ISERROR(VLOOKUP(B1163,'MD Usage'!$A$1:$W$5000,3,FALSE)),0,VLOOKUP(B1163,'MD Usage'!$A$1:$W$5000,3,FALSE))</f>
        <v>0</v>
      </c>
      <c r="E1164" s="416">
        <f>IF(ISERROR(VLOOKUP(B1163,'MD Usage'!$A$1:$W$5000,5,FALSE)),0,VLOOKUP(B1163,'MD Usage'!$A$1:$W$5000,5,FALSE))</f>
        <v>0</v>
      </c>
      <c r="F1164" s="416">
        <f>IF(ISERROR(VLOOKUP(B1163,'MD Usage'!$A$1:$W$5000,7,FALSE)),0,VLOOKUP(B1163,'MD Usage'!$A$1:$W$5000,7,FALSE))</f>
        <v>0</v>
      </c>
      <c r="G1164" s="416">
        <f>IF(ISERROR(VLOOKUP(B1163,'MD Usage'!$A$1:$W$5000,9,FALSE)),0,VLOOKUP(B1163,'MD Usage'!$A$1:$W$5000,9,FALSE))</f>
        <v>0</v>
      </c>
      <c r="H1164" s="416">
        <f>IF(ISERROR(VLOOKUP(B1163,'MD Usage'!$A$1:$W$5000,11,FALSE)),0,VLOOKUP(B1163,'MD Usage'!$A$1:$W$5000,11,FALSE))</f>
        <v>0</v>
      </c>
      <c r="I1164" s="416">
        <f>IF(ISERROR(VLOOKUP(B1163,'MD Usage'!A1:R2000,13,FALSE)),0,VLOOKUP(B1163,'MD Usage'!A1:R2000,13,FALSE))</f>
        <v>0</v>
      </c>
      <c r="J1164" s="416">
        <f>IF(ISERROR(VLOOKUP(B1163,'MD Usage'!A1:R2000,15,FALSE)),0,VLOOKUP(B1163,'MD Usage'!A1:R2000,15,FALSE))</f>
        <v>0</v>
      </c>
      <c r="K1164" s="418">
        <f>SUM(D1164:J1164)</f>
        <v>0</v>
      </c>
    </row>
    <row r="1165" spans="2:13" x14ac:dyDescent="0.25">
      <c r="B1165" s="419" t="s">
        <v>1860</v>
      </c>
      <c r="C1165" s="420">
        <v>1</v>
      </c>
      <c r="D1165" s="421">
        <f>D1164*C1165</f>
        <v>0</v>
      </c>
      <c r="E1165" s="421">
        <f>E1164*C1165</f>
        <v>0</v>
      </c>
      <c r="F1165" s="421">
        <f>F1164*C1165</f>
        <v>0</v>
      </c>
      <c r="G1165" s="421">
        <f>G1164*C1165</f>
        <v>0</v>
      </c>
      <c r="H1165" s="421">
        <f>H1164*C1165</f>
        <v>0</v>
      </c>
      <c r="I1165" s="421">
        <f>I1164*C1165</f>
        <v>0</v>
      </c>
      <c r="J1165" s="421">
        <f>J1164*C1165</f>
        <v>0</v>
      </c>
      <c r="K1165" s="422">
        <f>SUM(D1165:J1165)</f>
        <v>0</v>
      </c>
    </row>
    <row r="1166" spans="2:13" ht="15" customHeight="1" x14ac:dyDescent="0.25">
      <c r="B1166" s="389" t="s">
        <v>917</v>
      </c>
      <c r="C1166" s="423">
        <v>1</v>
      </c>
      <c r="D1166" s="421">
        <f>D1164*C1166</f>
        <v>0</v>
      </c>
      <c r="E1166" s="421">
        <f>E1164*C1166</f>
        <v>0</v>
      </c>
      <c r="F1166" s="421">
        <f>F1164*C1166</f>
        <v>0</v>
      </c>
      <c r="G1166" s="421">
        <f>G1164*C1166</f>
        <v>0</v>
      </c>
      <c r="H1166" s="421">
        <f>H1164*C1166</f>
        <v>0</v>
      </c>
      <c r="I1166" s="421">
        <f>I1164*C1166</f>
        <v>0</v>
      </c>
      <c r="J1166" s="421">
        <f>J1164*C1166</f>
        <v>0</v>
      </c>
      <c r="K1166" s="424">
        <f>SUM(D1166:J1166)</f>
        <v>0</v>
      </c>
    </row>
    <row r="1167" spans="2:13" x14ac:dyDescent="0.25">
      <c r="B1167" s="389"/>
      <c r="C1167" s="423"/>
      <c r="D1167" s="421">
        <f>D1164*C1167</f>
        <v>0</v>
      </c>
      <c r="E1167" s="421">
        <f>E1164*C1167</f>
        <v>0</v>
      </c>
      <c r="F1167" s="421">
        <f>F1164*C1167</f>
        <v>0</v>
      </c>
      <c r="G1167" s="421">
        <f>G1164*C1167</f>
        <v>0</v>
      </c>
      <c r="H1167" s="421">
        <f>H1164*C1167</f>
        <v>0</v>
      </c>
      <c r="I1167" s="421">
        <f>I1164*C1167</f>
        <v>0</v>
      </c>
      <c r="J1167" s="421">
        <f>J1164*C1167</f>
        <v>0</v>
      </c>
      <c r="K1167" s="424">
        <f>SUM(D1167:J1167)</f>
        <v>0</v>
      </c>
    </row>
    <row r="1168" spans="2:13" ht="15" customHeight="1" x14ac:dyDescent="0.25">
      <c r="B1168" s="389"/>
      <c r="C1168" s="423"/>
      <c r="D1168" s="421">
        <f>D1164*C1168</f>
        <v>0</v>
      </c>
      <c r="E1168" s="421">
        <f>E1164*C1168</f>
        <v>0</v>
      </c>
      <c r="F1168" s="421">
        <f>F1164*C1168</f>
        <v>0</v>
      </c>
      <c r="G1168" s="421">
        <f>G1164*C1168</f>
        <v>0</v>
      </c>
      <c r="H1168" s="421">
        <f>H1164*C1168</f>
        <v>0</v>
      </c>
      <c r="I1168" s="421">
        <f>I1164*C1168</f>
        <v>0</v>
      </c>
      <c r="J1168" s="421">
        <f>J1164*C1168</f>
        <v>0</v>
      </c>
      <c r="K1168" s="424">
        <f>SUM(D1168:J1168)</f>
        <v>0</v>
      </c>
    </row>
    <row r="1169" spans="2:14" ht="15.75" thickBot="1" x14ac:dyDescent="0.3"/>
    <row r="1170" spans="2:14" ht="15.75" thickBot="1" x14ac:dyDescent="0.3">
      <c r="B1170" s="437">
        <v>6450236</v>
      </c>
      <c r="C1170" s="411"/>
      <c r="D1170" s="407" t="s">
        <v>548</v>
      </c>
      <c r="E1170" s="408" t="s">
        <v>549</v>
      </c>
      <c r="F1170" s="408" t="s">
        <v>550</v>
      </c>
      <c r="G1170" s="408" t="s">
        <v>551</v>
      </c>
      <c r="H1170" s="408" t="s">
        <v>552</v>
      </c>
      <c r="I1170" s="408" t="s">
        <v>553</v>
      </c>
      <c r="J1170" s="408" t="s">
        <v>554</v>
      </c>
      <c r="K1170" s="408" t="s">
        <v>555</v>
      </c>
      <c r="M1170" s="426" t="s">
        <v>1856</v>
      </c>
      <c r="N1170" s="426" t="s">
        <v>1857</v>
      </c>
    </row>
    <row r="1171" spans="2:14" ht="15.75" thickBot="1" x14ac:dyDescent="0.3">
      <c r="B1171" s="414" t="s">
        <v>556</v>
      </c>
      <c r="C1171" s="415" t="s">
        <v>620</v>
      </c>
      <c r="D1171" s="416">
        <f>IF(ISERROR(VLOOKUP(B1170,'MD Usage'!$A$1:$W$5000,3,FALSE)),0,VLOOKUP(B1170,'MD Usage'!$A$1:$W$5000,3,FALSE))</f>
        <v>3</v>
      </c>
      <c r="E1171" s="416">
        <f>IF(ISERROR(VLOOKUP(B1170,'MD Usage'!$A$1:$W$5000,5,FALSE)),0,VLOOKUP(B1170,'MD Usage'!$A$1:$W$5000,5,FALSE))</f>
        <v>1</v>
      </c>
      <c r="F1171" s="416">
        <f>IF(ISERROR(VLOOKUP(B1170,'MD Usage'!$A$1:$W$5000,7,FALSE)),0,VLOOKUP(B1170,'MD Usage'!$A$1:$W$5000,7,FALSE))</f>
        <v>3</v>
      </c>
      <c r="G1171" s="416">
        <f>IF(ISERROR(VLOOKUP(B1170,'MD Usage'!$A$1:$W$5000,9,FALSE)),0,VLOOKUP(B1170,'MD Usage'!$A$1:$W$5000,9,FALSE))</f>
        <v>88</v>
      </c>
      <c r="H1171" s="416">
        <f>IF(ISERROR(VLOOKUP(B1170,'MD Usage'!$A$1:$W$5000,11,FALSE)),0,VLOOKUP(B1170,'MD Usage'!$A$1:$W$5000,11,FALSE))</f>
        <v>12</v>
      </c>
      <c r="I1171" s="416">
        <f>IF(ISERROR(VLOOKUP(B1170,'MD Usage'!A1:R2000,13,FALSE)),0,VLOOKUP(B1170,'MD Usage'!A1:R2000,13,FALSE))</f>
        <v>14</v>
      </c>
      <c r="J1171" s="416">
        <f>IF(ISERROR(VLOOKUP(B1170,'MD Usage'!A1:R2000,15,FALSE)),0,VLOOKUP(B1170,'MD Usage'!A1:R2000,15,FALSE))</f>
        <v>5</v>
      </c>
      <c r="K1171" s="418">
        <f>SUM(D1171:J1171)</f>
        <v>126</v>
      </c>
    </row>
    <row r="1172" spans="2:14" x14ac:dyDescent="0.25">
      <c r="B1172" s="419" t="s">
        <v>916</v>
      </c>
      <c r="C1172" s="420">
        <v>1</v>
      </c>
      <c r="D1172" s="421">
        <f>D1171*C1172</f>
        <v>3</v>
      </c>
      <c r="E1172" s="421">
        <f>E1171*C1172</f>
        <v>1</v>
      </c>
      <c r="F1172" s="421">
        <f>F1171*C1172</f>
        <v>3</v>
      </c>
      <c r="G1172" s="421">
        <f>G1171*C1172</f>
        <v>88</v>
      </c>
      <c r="H1172" s="421">
        <f>H1171*C1172</f>
        <v>12</v>
      </c>
      <c r="I1172" s="421">
        <f>I1171*C1172</f>
        <v>14</v>
      </c>
      <c r="J1172" s="421">
        <f>J1171*C1172</f>
        <v>5</v>
      </c>
      <c r="K1172" s="422">
        <f>SUM(D1172:J1172)</f>
        <v>126</v>
      </c>
    </row>
    <row r="1173" spans="2:14" ht="15" customHeight="1" x14ac:dyDescent="0.25">
      <c r="B1173" s="389"/>
      <c r="C1173" s="423"/>
      <c r="D1173" s="421">
        <f>D1171*C1173</f>
        <v>0</v>
      </c>
      <c r="E1173" s="421">
        <f>E1171*C1173</f>
        <v>0</v>
      </c>
      <c r="F1173" s="421">
        <f>F1171*C1173</f>
        <v>0</v>
      </c>
      <c r="G1173" s="421">
        <f>G1171*C1173</f>
        <v>0</v>
      </c>
      <c r="H1173" s="421">
        <f>H1171*C1173</f>
        <v>0</v>
      </c>
      <c r="I1173" s="421">
        <f>I1171*C1173</f>
        <v>0</v>
      </c>
      <c r="J1173" s="421">
        <f>J1171*C1173</f>
        <v>0</v>
      </c>
      <c r="K1173" s="424">
        <f>SUM(D1173:J1173)</f>
        <v>0</v>
      </c>
    </row>
    <row r="1174" spans="2:14" ht="15" customHeight="1" x14ac:dyDescent="0.25">
      <c r="B1174" s="389"/>
      <c r="C1174" s="423"/>
      <c r="D1174" s="421">
        <f>D1171*C1174</f>
        <v>0</v>
      </c>
      <c r="E1174" s="421">
        <f>E1171*C1174</f>
        <v>0</v>
      </c>
      <c r="F1174" s="421">
        <f>F1171*C1174</f>
        <v>0</v>
      </c>
      <c r="G1174" s="421">
        <f>G1171*C1174</f>
        <v>0</v>
      </c>
      <c r="H1174" s="421">
        <f>H1171*C1174</f>
        <v>0</v>
      </c>
      <c r="I1174" s="421">
        <f>I1171*C1174</f>
        <v>0</v>
      </c>
      <c r="J1174" s="421">
        <f>J1171*C1174</f>
        <v>0</v>
      </c>
      <c r="K1174" s="424">
        <f>SUM(D1174:J1174)</f>
        <v>0</v>
      </c>
    </row>
    <row r="1175" spans="2:14" x14ac:dyDescent="0.25">
      <c r="B1175" s="389"/>
      <c r="C1175" s="423"/>
      <c r="D1175" s="421">
        <f>D1171*C1175</f>
        <v>0</v>
      </c>
      <c r="E1175" s="421">
        <f>E1171*C1175</f>
        <v>0</v>
      </c>
      <c r="F1175" s="421">
        <f>F1171*C1175</f>
        <v>0</v>
      </c>
      <c r="G1175" s="421">
        <f>G1171*C1175</f>
        <v>0</v>
      </c>
      <c r="H1175" s="421">
        <f>H1171*C1175</f>
        <v>0</v>
      </c>
      <c r="I1175" s="421">
        <f>I1171*C1175</f>
        <v>0</v>
      </c>
      <c r="J1175" s="421">
        <f>J1171*C1175</f>
        <v>0</v>
      </c>
      <c r="K1175" s="424">
        <f>SUM(D1175:J1175)</f>
        <v>0</v>
      </c>
    </row>
    <row r="1176" spans="2:14" ht="15" customHeight="1" thickBot="1" x14ac:dyDescent="0.3"/>
    <row r="1177" spans="2:14" ht="15.75" thickBot="1" x14ac:dyDescent="0.3">
      <c r="B1177" s="438">
        <v>6440775</v>
      </c>
      <c r="C1177" s="411"/>
      <c r="D1177" s="407" t="s">
        <v>548</v>
      </c>
      <c r="E1177" s="408" t="s">
        <v>549</v>
      </c>
      <c r="F1177" s="408" t="s">
        <v>550</v>
      </c>
      <c r="G1177" s="408" t="s">
        <v>551</v>
      </c>
      <c r="H1177" s="408" t="s">
        <v>552</v>
      </c>
      <c r="I1177" s="408" t="s">
        <v>553</v>
      </c>
      <c r="J1177" s="408" t="s">
        <v>554</v>
      </c>
      <c r="K1177" s="408" t="s">
        <v>555</v>
      </c>
      <c r="M1177" s="426" t="s">
        <v>1856</v>
      </c>
      <c r="N1177" s="426" t="s">
        <v>546</v>
      </c>
    </row>
    <row r="1178" spans="2:14" ht="15.75" thickBot="1" x14ac:dyDescent="0.3">
      <c r="B1178" s="414" t="s">
        <v>556</v>
      </c>
      <c r="C1178" s="415" t="s">
        <v>620</v>
      </c>
      <c r="D1178" s="416">
        <f>IF(ISERROR(VLOOKUP(B1177,'MD Usage'!$A$1:$W$5000,3,FALSE)),0,VLOOKUP(B1177,'MD Usage'!$A$1:$W$5000,3,FALSE))</f>
        <v>3</v>
      </c>
      <c r="E1178" s="416">
        <f>IF(ISERROR(VLOOKUP(B1177,'MD Usage'!$A$1:$W$5000,5,FALSE)),0,VLOOKUP(B1177,'MD Usage'!$A$1:$W$5000,5,FALSE))</f>
        <v>1</v>
      </c>
      <c r="F1178" s="416">
        <f>IF(ISERROR(VLOOKUP(B1177,'MD Usage'!$A$1:$W$5000,7,FALSE)),0,VLOOKUP(B1177,'MD Usage'!$A$1:$W$5000,7,FALSE))</f>
        <v>3</v>
      </c>
      <c r="G1178" s="416">
        <f>IF(ISERROR(VLOOKUP(B1177,'MD Usage'!$A$1:$W$5000,9,FALSE)),0,VLOOKUP(B1177,'MD Usage'!$A$1:$W$5000,9,FALSE))</f>
        <v>88</v>
      </c>
      <c r="H1178" s="416">
        <f>IF(ISERROR(VLOOKUP(B1177,'MD Usage'!$A$1:$W$5000,11,FALSE)),0,VLOOKUP(B1177,'MD Usage'!$A$1:$W$5000,11,FALSE))</f>
        <v>12</v>
      </c>
      <c r="I1178" s="416">
        <f>IF(ISERROR(VLOOKUP(B1177,'MD Usage'!A1:R2000,13,FALSE)),0,VLOOKUP(B1177,'MD Usage'!A1:R2000,13,FALSE))</f>
        <v>14</v>
      </c>
      <c r="J1178" s="416">
        <f>IF(ISERROR(VLOOKUP(B1177,'MD Usage'!A1:R2000,15,FALSE)),0,VLOOKUP(B1177,'MD Usage'!A1:R2000,15,FALSE))</f>
        <v>5</v>
      </c>
      <c r="K1178" s="418">
        <f>SUM(D1178:J1178)</f>
        <v>126</v>
      </c>
    </row>
    <row r="1179" spans="2:14" x14ac:dyDescent="0.25">
      <c r="B1179" s="419" t="s">
        <v>1859</v>
      </c>
      <c r="C1179" s="420">
        <v>1</v>
      </c>
      <c r="D1179" s="421">
        <f>D1178*C1179</f>
        <v>3</v>
      </c>
      <c r="E1179" s="421">
        <f>E1178*C1179</f>
        <v>1</v>
      </c>
      <c r="F1179" s="421">
        <f>F1178*C1179</f>
        <v>3</v>
      </c>
      <c r="G1179" s="421">
        <f>G1178*C1179</f>
        <v>88</v>
      </c>
      <c r="H1179" s="421">
        <f>H1178*C1179</f>
        <v>12</v>
      </c>
      <c r="I1179" s="421">
        <f>I1178*C1179</f>
        <v>14</v>
      </c>
      <c r="J1179" s="421">
        <f>J1178*C1179</f>
        <v>5</v>
      </c>
      <c r="K1179" s="422">
        <f>SUM(D1179:J1179)</f>
        <v>126</v>
      </c>
    </row>
    <row r="1180" spans="2:14" ht="15" customHeight="1" x14ac:dyDescent="0.25">
      <c r="B1180" s="389"/>
      <c r="C1180" s="423"/>
      <c r="D1180" s="421">
        <f>D1178*C1180</f>
        <v>0</v>
      </c>
      <c r="E1180" s="421">
        <f>E1178*C1180</f>
        <v>0</v>
      </c>
      <c r="F1180" s="421">
        <f>F1178*C1180</f>
        <v>0</v>
      </c>
      <c r="G1180" s="421">
        <f>G1178*C1180</f>
        <v>0</v>
      </c>
      <c r="H1180" s="421">
        <f>H1178*C1180</f>
        <v>0</v>
      </c>
      <c r="I1180" s="421">
        <f>I1178*C1180</f>
        <v>0</v>
      </c>
      <c r="J1180" s="421">
        <f>J1178*C1180</f>
        <v>0</v>
      </c>
      <c r="K1180" s="424">
        <f>SUM(D1180:J1180)</f>
        <v>0</v>
      </c>
    </row>
    <row r="1181" spans="2:14" ht="15" customHeight="1" x14ac:dyDescent="0.25">
      <c r="B1181" s="389"/>
      <c r="C1181" s="423"/>
      <c r="D1181" s="421">
        <f>D1178*C1181</f>
        <v>0</v>
      </c>
      <c r="E1181" s="421">
        <f>E1178*C1181</f>
        <v>0</v>
      </c>
      <c r="F1181" s="421">
        <f>F1178*C1181</f>
        <v>0</v>
      </c>
      <c r="G1181" s="421">
        <f>G1178*C1181</f>
        <v>0</v>
      </c>
      <c r="H1181" s="421">
        <f>H1178*C1181</f>
        <v>0</v>
      </c>
      <c r="I1181" s="421">
        <f>I1178*C1181</f>
        <v>0</v>
      </c>
      <c r="J1181" s="421">
        <f>J1178*C1181</f>
        <v>0</v>
      </c>
      <c r="K1181" s="424">
        <f>SUM(D1181:J1181)</f>
        <v>0</v>
      </c>
    </row>
    <row r="1182" spans="2:14" x14ac:dyDescent="0.25">
      <c r="B1182" s="389"/>
      <c r="C1182" s="423"/>
      <c r="D1182" s="421">
        <f>D1178*C1182</f>
        <v>0</v>
      </c>
      <c r="E1182" s="421">
        <f>E1178*C1182</f>
        <v>0</v>
      </c>
      <c r="F1182" s="421">
        <f>F1178*C1182</f>
        <v>0</v>
      </c>
      <c r="G1182" s="421">
        <f>G1178*C1182</f>
        <v>0</v>
      </c>
      <c r="H1182" s="421">
        <f>H1178*C1182</f>
        <v>0</v>
      </c>
      <c r="I1182" s="421">
        <f>I1178*C1182</f>
        <v>0</v>
      </c>
      <c r="J1182" s="421">
        <f>J1178*C1182</f>
        <v>0</v>
      </c>
      <c r="K1182" s="424">
        <f>SUM(D1182:J1182)</f>
        <v>0</v>
      </c>
    </row>
    <row r="1183" spans="2:14" ht="15" customHeight="1" thickBot="1" x14ac:dyDescent="0.3"/>
    <row r="1184" spans="2:14" ht="15.75" thickBot="1" x14ac:dyDescent="0.3">
      <c r="B1184" s="436">
        <v>6440778</v>
      </c>
      <c r="C1184" s="411"/>
      <c r="D1184" s="407" t="s">
        <v>548</v>
      </c>
      <c r="E1184" s="408" t="s">
        <v>549</v>
      </c>
      <c r="F1184" s="408" t="s">
        <v>550</v>
      </c>
      <c r="G1184" s="408" t="s">
        <v>551</v>
      </c>
      <c r="H1184" s="408" t="s">
        <v>552</v>
      </c>
      <c r="I1184" s="408" t="s">
        <v>553</v>
      </c>
      <c r="J1184" s="408" t="s">
        <v>554</v>
      </c>
      <c r="K1184" s="408" t="s">
        <v>555</v>
      </c>
      <c r="M1184" s="437" t="s">
        <v>1858</v>
      </c>
    </row>
    <row r="1185" spans="2:13" ht="15.75" thickBot="1" x14ac:dyDescent="0.3">
      <c r="B1185" s="414" t="s">
        <v>556</v>
      </c>
      <c r="C1185" s="415" t="s">
        <v>620</v>
      </c>
      <c r="D1185" s="416">
        <f>IF(ISERROR(VLOOKUP(B1184,'MD Usage'!$A$1:$W$5000,3,FALSE)),0,VLOOKUP(B1184,'MD Usage'!$A$1:$W$5000,3,FALSE))</f>
        <v>1</v>
      </c>
      <c r="E1185" s="416">
        <f>IF(ISERROR(VLOOKUP(B1184,'MD Usage'!$A$1:$W$5000,5,FALSE)),0,VLOOKUP(B1184,'MD Usage'!$A$1:$W$5000,5,FALSE))</f>
        <v>0</v>
      </c>
      <c r="F1185" s="416">
        <f>IF(ISERROR(VLOOKUP(B1184,'MD Usage'!$A$1:$W$5000,7,FALSE)),0,VLOOKUP(B1184,'MD Usage'!$A$1:$W$5000,7,FALSE))</f>
        <v>0</v>
      </c>
      <c r="G1185" s="416">
        <f>IF(ISERROR(VLOOKUP(B1184,'MD Usage'!$A$1:$W$5000,9,FALSE)),0,VLOOKUP(B1184,'MD Usage'!$A$1:$W$5000,9,FALSE))</f>
        <v>0</v>
      </c>
      <c r="H1185" s="416">
        <f>IF(ISERROR(VLOOKUP(B1184,'MD Usage'!$A$1:$W$5000,11,FALSE)),0,VLOOKUP(B1184,'MD Usage'!$A$1:$W$5000,11,FALSE))</f>
        <v>2</v>
      </c>
      <c r="I1185" s="416">
        <f>IF(ISERROR(VLOOKUP(B1184,'MD Usage'!A1:R2000,13,FALSE)),0,VLOOKUP(B1184,'MD Usage'!A1:R2000,13,FALSE))</f>
        <v>1</v>
      </c>
      <c r="J1185" s="416">
        <f>IF(ISERROR(VLOOKUP(B1184,'MD Usage'!A1:R2000,15,FALSE)),0,VLOOKUP(B1184,'MD Usage'!A1:R2000,15,FALSE))</f>
        <v>1</v>
      </c>
      <c r="K1185" s="418">
        <f>SUM(D1185:J1185)</f>
        <v>5</v>
      </c>
    </row>
    <row r="1186" spans="2:13" x14ac:dyDescent="0.25">
      <c r="B1186" s="419" t="s">
        <v>925</v>
      </c>
      <c r="C1186" s="420">
        <v>1</v>
      </c>
      <c r="D1186" s="421">
        <f>D1185*C1186</f>
        <v>1</v>
      </c>
      <c r="E1186" s="421">
        <f>E1185*C1186</f>
        <v>0</v>
      </c>
      <c r="F1186" s="421">
        <f>F1185*C1186</f>
        <v>0</v>
      </c>
      <c r="G1186" s="421">
        <f>G1185*C1186</f>
        <v>0</v>
      </c>
      <c r="H1186" s="421">
        <f>H1185*C1186</f>
        <v>2</v>
      </c>
      <c r="I1186" s="421">
        <f>I1185*C1186</f>
        <v>1</v>
      </c>
      <c r="J1186" s="421">
        <f>J1185*C1186</f>
        <v>1</v>
      </c>
      <c r="K1186" s="422">
        <f>SUM(D1186:J1186)</f>
        <v>5</v>
      </c>
    </row>
    <row r="1187" spans="2:13" ht="15" customHeight="1" x14ac:dyDescent="0.25">
      <c r="B1187" s="389"/>
      <c r="C1187" s="423"/>
      <c r="D1187" s="421">
        <f>D1185*C1187</f>
        <v>0</v>
      </c>
      <c r="E1187" s="421">
        <f>E1185*C1187</f>
        <v>0</v>
      </c>
      <c r="F1187" s="421">
        <f>F1185*C1187</f>
        <v>0</v>
      </c>
      <c r="G1187" s="421">
        <f>G1185*C1187</f>
        <v>0</v>
      </c>
      <c r="H1187" s="421">
        <f>H1185*C1187</f>
        <v>0</v>
      </c>
      <c r="I1187" s="421">
        <f>I1185*C1187</f>
        <v>0</v>
      </c>
      <c r="J1187" s="421">
        <f>J1185*C1187</f>
        <v>0</v>
      </c>
      <c r="K1187" s="424">
        <f>SUM(D1187:J1187)</f>
        <v>0</v>
      </c>
    </row>
    <row r="1188" spans="2:13" x14ac:dyDescent="0.25">
      <c r="B1188" s="389"/>
      <c r="C1188" s="423"/>
      <c r="D1188" s="421">
        <f>D1185*C1188</f>
        <v>0</v>
      </c>
      <c r="E1188" s="421">
        <f>E1185*C1188</f>
        <v>0</v>
      </c>
      <c r="F1188" s="421">
        <f>F1185*C1188</f>
        <v>0</v>
      </c>
      <c r="G1188" s="421">
        <f>G1185*C1188</f>
        <v>0</v>
      </c>
      <c r="H1188" s="421">
        <f>H1185*C1188</f>
        <v>0</v>
      </c>
      <c r="I1188" s="421">
        <f>I1185*C1188</f>
        <v>0</v>
      </c>
      <c r="J1188" s="421">
        <f>J1185*C1188</f>
        <v>0</v>
      </c>
      <c r="K1188" s="424">
        <f>SUM(D1188:J1188)</f>
        <v>0</v>
      </c>
    </row>
    <row r="1189" spans="2:13" ht="15" customHeight="1" x14ac:dyDescent="0.25">
      <c r="B1189" s="389"/>
      <c r="C1189" s="423"/>
      <c r="D1189" s="421">
        <f>D1185*C1189</f>
        <v>0</v>
      </c>
      <c r="E1189" s="421">
        <f>E1185*C1189</f>
        <v>0</v>
      </c>
      <c r="F1189" s="421">
        <f>F1185*C1189</f>
        <v>0</v>
      </c>
      <c r="G1189" s="421">
        <f>G1185*C1189</f>
        <v>0</v>
      </c>
      <c r="H1189" s="421">
        <f>H1185*C1189</f>
        <v>0</v>
      </c>
      <c r="I1189" s="421">
        <f>I1185*C1189</f>
        <v>0</v>
      </c>
      <c r="J1189" s="421">
        <f>J1185*C1189</f>
        <v>0</v>
      </c>
      <c r="K1189" s="424">
        <f>SUM(D1189:J1189)</f>
        <v>0</v>
      </c>
    </row>
    <row r="1190" spans="2:13" ht="15.75" thickBot="1" x14ac:dyDescent="0.3"/>
    <row r="1191" spans="2:13" ht="15" customHeight="1" thickBot="1" x14ac:dyDescent="0.3">
      <c r="B1191" s="436">
        <v>6440777</v>
      </c>
      <c r="C1191" s="411"/>
      <c r="D1191" s="407" t="s">
        <v>548</v>
      </c>
      <c r="E1191" s="408" t="s">
        <v>549</v>
      </c>
      <c r="F1191" s="408" t="s">
        <v>550</v>
      </c>
      <c r="G1191" s="408" t="s">
        <v>551</v>
      </c>
      <c r="H1191" s="408" t="s">
        <v>552</v>
      </c>
      <c r="I1191" s="408" t="s">
        <v>553</v>
      </c>
      <c r="J1191" s="408" t="s">
        <v>554</v>
      </c>
      <c r="K1191" s="408" t="s">
        <v>555</v>
      </c>
      <c r="M1191" s="437"/>
    </row>
    <row r="1192" spans="2:13" ht="15.75" thickBot="1" x14ac:dyDescent="0.3">
      <c r="B1192" s="414" t="s">
        <v>556</v>
      </c>
      <c r="C1192" s="415" t="s">
        <v>620</v>
      </c>
      <c r="D1192" s="416">
        <f>IF(ISERROR(VLOOKUP(B1191,'MD Usage'!$A$1:$W$5000,3,FALSE)),0,VLOOKUP(B1191,'MD Usage'!$A$1:$W$5000,3,FALSE))</f>
        <v>0</v>
      </c>
      <c r="E1192" s="416">
        <f>IF(ISERROR(VLOOKUP(B1191,'MD Usage'!$A$1:$W$5000,5,FALSE)),0,VLOOKUP(B1191,'MD Usage'!$A$1:$W$5000,5,FALSE))</f>
        <v>0</v>
      </c>
      <c r="F1192" s="416">
        <f>IF(ISERROR(VLOOKUP(B1191,'MD Usage'!$A$1:$W$5000,7,FALSE)),0,VLOOKUP(B1191,'MD Usage'!$A$1:$W$5000,7,FALSE))</f>
        <v>0</v>
      </c>
      <c r="G1192" s="416">
        <f>IF(ISERROR(VLOOKUP(B1191,'MD Usage'!$A$1:$W$5000,9,FALSE)),0,VLOOKUP(B1191,'MD Usage'!$A$1:$W$5000,9,FALSE))</f>
        <v>0</v>
      </c>
      <c r="H1192" s="416">
        <f>IF(ISERROR(VLOOKUP(B1191,'MD Usage'!$A$1:$W$5000,11,FALSE)),0,VLOOKUP(B1191,'MD Usage'!$A$1:$W$5000,11,FALSE))</f>
        <v>0</v>
      </c>
      <c r="I1192" s="416">
        <f>IF(ISERROR(VLOOKUP(B1191,'MD Usage'!A1:R2000,13,FALSE)),0,VLOOKUP(B1191,'MD Usage'!A1:R2000,13,FALSE))</f>
        <v>0</v>
      </c>
      <c r="J1192" s="416">
        <f>IF(ISERROR(VLOOKUP(B1191,'MD Usage'!A1:R2000,15,FALSE)),0,VLOOKUP(B1191,'MD Usage'!A1:R2000,15,FALSE))</f>
        <v>0</v>
      </c>
      <c r="K1192" s="418">
        <f>SUM(D1192:J1192)</f>
        <v>0</v>
      </c>
    </row>
    <row r="1193" spans="2:13" x14ac:dyDescent="0.25">
      <c r="B1193" s="419" t="s">
        <v>1854</v>
      </c>
      <c r="C1193" s="420">
        <v>6</v>
      </c>
      <c r="D1193" s="421">
        <f>D1192*C1193</f>
        <v>0</v>
      </c>
      <c r="E1193" s="421">
        <f>E1192*C1193</f>
        <v>0</v>
      </c>
      <c r="F1193" s="421">
        <f>F1192*C1193</f>
        <v>0</v>
      </c>
      <c r="G1193" s="421">
        <f>G1192*C1193</f>
        <v>0</v>
      </c>
      <c r="H1193" s="421">
        <f>H1192*C1193</f>
        <v>0</v>
      </c>
      <c r="I1193" s="421">
        <f>I1192*C1193</f>
        <v>0</v>
      </c>
      <c r="J1193" s="421">
        <f>J1192*C1193</f>
        <v>0</v>
      </c>
      <c r="K1193" s="422">
        <f>SUM(D1193:J1193)</f>
        <v>0</v>
      </c>
    </row>
    <row r="1194" spans="2:13" ht="15" customHeight="1" x14ac:dyDescent="0.25">
      <c r="B1194" s="389"/>
      <c r="C1194" s="423"/>
      <c r="D1194" s="421">
        <f>D1192*C1194</f>
        <v>0</v>
      </c>
      <c r="E1194" s="421">
        <f>E1192*C1194</f>
        <v>0</v>
      </c>
      <c r="F1194" s="421">
        <f>F1192*C1194</f>
        <v>0</v>
      </c>
      <c r="G1194" s="421">
        <f>G1192*C1194</f>
        <v>0</v>
      </c>
      <c r="H1194" s="421">
        <f>H1192*C1194</f>
        <v>0</v>
      </c>
      <c r="I1194" s="421">
        <f>I1192*C1194</f>
        <v>0</v>
      </c>
      <c r="J1194" s="421">
        <f>J1192*C1194</f>
        <v>0</v>
      </c>
      <c r="K1194" s="424">
        <f>SUM(D1194:J1194)</f>
        <v>0</v>
      </c>
    </row>
    <row r="1195" spans="2:13" x14ac:dyDescent="0.25">
      <c r="B1195" s="389"/>
      <c r="C1195" s="423"/>
      <c r="D1195" s="421">
        <f>D1192*C1195</f>
        <v>0</v>
      </c>
      <c r="E1195" s="421">
        <f>E1192*C1195</f>
        <v>0</v>
      </c>
      <c r="F1195" s="421">
        <f>F1192*C1195</f>
        <v>0</v>
      </c>
      <c r="G1195" s="421">
        <f>G1192*C1195</f>
        <v>0</v>
      </c>
      <c r="H1195" s="421">
        <f>H1192*C1195</f>
        <v>0</v>
      </c>
      <c r="I1195" s="421">
        <f>I1192*C1195</f>
        <v>0</v>
      </c>
      <c r="J1195" s="421">
        <f>J1192*C1195</f>
        <v>0</v>
      </c>
      <c r="K1195" s="424">
        <f>SUM(D1195:J1195)</f>
        <v>0</v>
      </c>
    </row>
    <row r="1196" spans="2:13" ht="15" customHeight="1" x14ac:dyDescent="0.25">
      <c r="B1196" s="389"/>
      <c r="C1196" s="423"/>
      <c r="D1196" s="421">
        <f>D1192*C1196</f>
        <v>0</v>
      </c>
      <c r="E1196" s="421">
        <f>E1192*C1196</f>
        <v>0</v>
      </c>
      <c r="F1196" s="421">
        <f>F1192*C1196</f>
        <v>0</v>
      </c>
      <c r="G1196" s="421">
        <f>G1192*C1196</f>
        <v>0</v>
      </c>
      <c r="H1196" s="421">
        <f>H1192*C1196</f>
        <v>0</v>
      </c>
      <c r="I1196" s="421">
        <f>I1192*C1196</f>
        <v>0</v>
      </c>
      <c r="J1196" s="421">
        <f>J1192*C1196</f>
        <v>0</v>
      </c>
      <c r="K1196" s="424">
        <f>SUM(D1196:J1196)</f>
        <v>0</v>
      </c>
    </row>
    <row r="1197" spans="2:13" ht="15" customHeight="1" thickBot="1" x14ac:dyDescent="0.3"/>
    <row r="1198" spans="2:13" ht="15" customHeight="1" thickBot="1" x14ac:dyDescent="0.3">
      <c r="B1198" s="432">
        <v>6440029</v>
      </c>
      <c r="C1198" s="411"/>
      <c r="D1198" s="407" t="s">
        <v>548</v>
      </c>
      <c r="E1198" s="408" t="s">
        <v>549</v>
      </c>
      <c r="F1198" s="408" t="s">
        <v>550</v>
      </c>
      <c r="G1198" s="408" t="s">
        <v>551</v>
      </c>
      <c r="H1198" s="408" t="s">
        <v>552</v>
      </c>
      <c r="I1198" s="408" t="s">
        <v>553</v>
      </c>
      <c r="J1198" s="408" t="s">
        <v>554</v>
      </c>
      <c r="K1198" s="408" t="s">
        <v>555</v>
      </c>
      <c r="M1198" s="414" t="s">
        <v>1862</v>
      </c>
    </row>
    <row r="1199" spans="2:13" ht="15.75" thickBot="1" x14ac:dyDescent="0.3">
      <c r="B1199" s="414" t="s">
        <v>556</v>
      </c>
      <c r="C1199" s="415" t="s">
        <v>620</v>
      </c>
      <c r="D1199" s="416">
        <f>IF(ISERROR(VLOOKUP(B1198,'MD Usage'!$A$1:$W$5000,3,FALSE)),0,VLOOKUP(B1198,'MD Usage'!$A$1:$W$5000,3,FALSE))</f>
        <v>0</v>
      </c>
      <c r="E1199" s="416">
        <f>IF(ISERROR(VLOOKUP(B1198,'MD Usage'!$A$1:$W$5000,5,FALSE)),0,VLOOKUP(B1198,'MD Usage'!$A$1:$W$5000,5,FALSE))</f>
        <v>2</v>
      </c>
      <c r="F1199" s="416">
        <f>IF(ISERROR(VLOOKUP(B1198,'MD Usage'!$A$1:$W$5000,7,FALSE)),0,VLOOKUP(B1198,'MD Usage'!$A$1:$W$5000,7,FALSE))</f>
        <v>0</v>
      </c>
      <c r="G1199" s="416">
        <f>IF(ISERROR(VLOOKUP(B1198,'MD Usage'!$A$1:$W$5000,9,FALSE)),0,VLOOKUP(B1198,'MD Usage'!$A$1:$W$5000,9,FALSE))</f>
        <v>1</v>
      </c>
      <c r="H1199" s="416">
        <f>IF(ISERROR(VLOOKUP(B1198,'MD Usage'!$A$1:$W$5000,11,FALSE)),0,VLOOKUP(B1198,'MD Usage'!$A$1:$W$5000,11,FALSE))</f>
        <v>2</v>
      </c>
      <c r="I1199" s="416">
        <f>IF(ISERROR(VLOOKUP(B1198,'MD Usage'!A1:R2000,13,FALSE)),0,VLOOKUP(B1198,'MD Usage'!A1:R2000,13,FALSE))</f>
        <v>2</v>
      </c>
      <c r="J1199" s="416">
        <f>IF(ISERROR(VLOOKUP(B1198,'MD Usage'!A1:R2000,15,FALSE)),0,VLOOKUP(B1198,'MD Usage'!A1:R2000,15,FALSE))</f>
        <v>3</v>
      </c>
      <c r="K1199" s="418">
        <f>SUM(D1199:J1199)</f>
        <v>10</v>
      </c>
    </row>
    <row r="1200" spans="2:13" x14ac:dyDescent="0.25">
      <c r="B1200" s="419" t="s">
        <v>1863</v>
      </c>
      <c r="C1200" s="420">
        <v>1</v>
      </c>
      <c r="D1200" s="421">
        <f>D1199*C1200</f>
        <v>0</v>
      </c>
      <c r="E1200" s="421">
        <f>E1199*C1200</f>
        <v>2</v>
      </c>
      <c r="F1200" s="421">
        <f>F1199*C1200</f>
        <v>0</v>
      </c>
      <c r="G1200" s="421">
        <f>G1199*C1200</f>
        <v>1</v>
      </c>
      <c r="H1200" s="421">
        <f>H1199*C1200</f>
        <v>2</v>
      </c>
      <c r="I1200" s="421">
        <f>I1199*C1200</f>
        <v>2</v>
      </c>
      <c r="J1200" s="421">
        <f>J1199*C1200</f>
        <v>3</v>
      </c>
      <c r="K1200" s="422">
        <f>SUM(D1200:J1200)</f>
        <v>10</v>
      </c>
    </row>
    <row r="1201" spans="2:13" ht="15" customHeight="1" x14ac:dyDescent="0.25">
      <c r="B1201" s="389"/>
      <c r="C1201" s="423"/>
      <c r="D1201" s="421">
        <f>D1199*C1201</f>
        <v>0</v>
      </c>
      <c r="E1201" s="421">
        <f>E1199*C1201</f>
        <v>0</v>
      </c>
      <c r="F1201" s="421">
        <f>F1199*C1201</f>
        <v>0</v>
      </c>
      <c r="G1201" s="421">
        <f>G1199*C1201</f>
        <v>0</v>
      </c>
      <c r="H1201" s="421">
        <f>H1199*C1201</f>
        <v>0</v>
      </c>
      <c r="I1201" s="421">
        <f>I1199*C1201</f>
        <v>0</v>
      </c>
      <c r="J1201" s="421">
        <f>J1199*C1201</f>
        <v>0</v>
      </c>
      <c r="K1201" s="424">
        <f>SUM(D1201:J1201)</f>
        <v>0</v>
      </c>
    </row>
    <row r="1202" spans="2:13" x14ac:dyDescent="0.25">
      <c r="B1202" s="389"/>
      <c r="C1202" s="423"/>
      <c r="D1202" s="421">
        <f>D1199*C1202</f>
        <v>0</v>
      </c>
      <c r="E1202" s="421">
        <f>E1199*C1202</f>
        <v>0</v>
      </c>
      <c r="F1202" s="421">
        <f>F1199*C1202</f>
        <v>0</v>
      </c>
      <c r="G1202" s="421">
        <f>G1199*C1202</f>
        <v>0</v>
      </c>
      <c r="H1202" s="421">
        <f>H1199*C1202</f>
        <v>0</v>
      </c>
      <c r="I1202" s="421">
        <f>I1199*C1202</f>
        <v>0</v>
      </c>
      <c r="J1202" s="421">
        <f>J1199*C1202</f>
        <v>0</v>
      </c>
      <c r="K1202" s="424">
        <f>SUM(D1202:J1202)</f>
        <v>0</v>
      </c>
    </row>
    <row r="1203" spans="2:13" x14ac:dyDescent="0.25">
      <c r="B1203" s="389"/>
      <c r="C1203" s="423"/>
      <c r="D1203" s="421">
        <f>D1199*C1203</f>
        <v>0</v>
      </c>
      <c r="E1203" s="421">
        <f>E1199*C1203</f>
        <v>0</v>
      </c>
      <c r="F1203" s="421">
        <f>F1199*C1203</f>
        <v>0</v>
      </c>
      <c r="G1203" s="421">
        <f>G1199*C1203</f>
        <v>0</v>
      </c>
      <c r="H1203" s="421">
        <f>H1199*C1203</f>
        <v>0</v>
      </c>
      <c r="I1203" s="421">
        <f>I1199*C1203</f>
        <v>0</v>
      </c>
      <c r="J1203" s="421">
        <f>J1199*C1203</f>
        <v>0</v>
      </c>
      <c r="K1203" s="424">
        <f>SUM(D1203:J1203)</f>
        <v>0</v>
      </c>
    </row>
    <row r="1204" spans="2:13" ht="15" customHeight="1" thickBot="1" x14ac:dyDescent="0.3"/>
    <row r="1205" spans="2:13" ht="15.75" thickBot="1" x14ac:dyDescent="0.3">
      <c r="B1205" s="432">
        <v>6490163</v>
      </c>
      <c r="C1205" s="411"/>
      <c r="D1205" s="407" t="s">
        <v>548</v>
      </c>
      <c r="E1205" s="408" t="s">
        <v>549</v>
      </c>
      <c r="F1205" s="408" t="s">
        <v>550</v>
      </c>
      <c r="G1205" s="408" t="s">
        <v>551</v>
      </c>
      <c r="H1205" s="408" t="s">
        <v>552</v>
      </c>
      <c r="I1205" s="408" t="s">
        <v>553</v>
      </c>
      <c r="J1205" s="408" t="s">
        <v>554</v>
      </c>
      <c r="K1205" s="408" t="s">
        <v>555</v>
      </c>
      <c r="M1205" s="414" t="s">
        <v>1865</v>
      </c>
    </row>
    <row r="1206" spans="2:13" ht="15" customHeight="1" thickBot="1" x14ac:dyDescent="0.3">
      <c r="B1206" s="414" t="s">
        <v>556</v>
      </c>
      <c r="C1206" s="415" t="s">
        <v>620</v>
      </c>
      <c r="D1206" s="416">
        <f>IF(ISERROR(VLOOKUP(B1205,'MD Usage'!$A$1:$W$5000,3,FALSE)),0,VLOOKUP(B1205,'MD Usage'!$A$1:$W$5000,3,FALSE))</f>
        <v>0</v>
      </c>
      <c r="E1206" s="416">
        <f>IF(ISERROR(VLOOKUP(B1205,'MD Usage'!$A$1:$W$5000,5,FALSE)),0,VLOOKUP(B1205,'MD Usage'!$A$1:$W$5000,5,FALSE))</f>
        <v>0</v>
      </c>
      <c r="F1206" s="416">
        <f>IF(ISERROR(VLOOKUP(B1205,'MD Usage'!$A$1:$W$5000,7,FALSE)),0,VLOOKUP(B1205,'MD Usage'!$A$1:$W$5000,7,FALSE))</f>
        <v>0</v>
      </c>
      <c r="G1206" s="416">
        <f>IF(ISERROR(VLOOKUP(B1205,'MD Usage'!$A$1:$W$5000,9,FALSE)),0,VLOOKUP(B1205,'MD Usage'!$A$1:$W$5000,9,FALSE))</f>
        <v>0</v>
      </c>
      <c r="H1206" s="416">
        <f>IF(ISERROR(VLOOKUP(B1205,'MD Usage'!$A$1:$W$5000,11,FALSE)),0,VLOOKUP(B1205,'MD Usage'!$A$1:$W$5000,11,FALSE))</f>
        <v>0</v>
      </c>
      <c r="I1206" s="416">
        <f>IF(ISERROR(VLOOKUP(B1205,'MD Usage'!A1:R2000,13,FALSE)),0,VLOOKUP(B1205,'MD Usage'!A1:R2000,13,FALSE))</f>
        <v>0</v>
      </c>
      <c r="J1206" s="416">
        <f>IF(ISERROR(VLOOKUP(B1205,'MD Usage'!A1:R2000,15,FALSE)),0,VLOOKUP(B1205,'MD Usage'!A1:R2000,15,FALSE))</f>
        <v>0</v>
      </c>
      <c r="K1206" s="418">
        <f>SUM(D1206:J1206)</f>
        <v>0</v>
      </c>
    </row>
    <row r="1207" spans="2:13" x14ac:dyDescent="0.25">
      <c r="B1207" s="419" t="s">
        <v>1863</v>
      </c>
      <c r="C1207" s="420"/>
      <c r="D1207" s="421">
        <f>D1206*C1207</f>
        <v>0</v>
      </c>
      <c r="E1207" s="421">
        <f>E1206*C1207</f>
        <v>0</v>
      </c>
      <c r="F1207" s="421">
        <f>F1206*C1207</f>
        <v>0</v>
      </c>
      <c r="G1207" s="421">
        <f>G1206*C1207</f>
        <v>0</v>
      </c>
      <c r="H1207" s="421">
        <f>H1206*C1207</f>
        <v>0</v>
      </c>
      <c r="I1207" s="421">
        <f>I1206*C1207</f>
        <v>0</v>
      </c>
      <c r="J1207" s="421">
        <f>J1206*C1207</f>
        <v>0</v>
      </c>
      <c r="K1207" s="422">
        <f>SUM(D1207:J1207)</f>
        <v>0</v>
      </c>
    </row>
    <row r="1208" spans="2:13" ht="15" customHeight="1" x14ac:dyDescent="0.25">
      <c r="B1208" s="389"/>
      <c r="C1208" s="423"/>
      <c r="D1208" s="421">
        <f>D1206*C1208</f>
        <v>0</v>
      </c>
      <c r="E1208" s="421">
        <f>E1206*C1208</f>
        <v>0</v>
      </c>
      <c r="F1208" s="421">
        <f>F1206*C1208</f>
        <v>0</v>
      </c>
      <c r="G1208" s="421">
        <f>G1206*C1208</f>
        <v>0</v>
      </c>
      <c r="H1208" s="421">
        <f>H1206*C1208</f>
        <v>0</v>
      </c>
      <c r="I1208" s="421">
        <f>I1206*C1208</f>
        <v>0</v>
      </c>
      <c r="J1208" s="421">
        <f>J1206*C1208</f>
        <v>0</v>
      </c>
      <c r="K1208" s="424">
        <f>SUM(D1208:J1208)</f>
        <v>0</v>
      </c>
    </row>
    <row r="1209" spans="2:13" x14ac:dyDescent="0.25">
      <c r="B1209" s="389"/>
      <c r="C1209" s="423"/>
      <c r="D1209" s="421">
        <f>D1206*C1209</f>
        <v>0</v>
      </c>
      <c r="E1209" s="421">
        <f>E1206*C1209</f>
        <v>0</v>
      </c>
      <c r="F1209" s="421">
        <f>F1206*C1209</f>
        <v>0</v>
      </c>
      <c r="G1209" s="421">
        <f>G1206*C1209</f>
        <v>0</v>
      </c>
      <c r="H1209" s="421">
        <f>H1206*C1209</f>
        <v>0</v>
      </c>
      <c r="I1209" s="421">
        <f>I1206*C1209</f>
        <v>0</v>
      </c>
      <c r="J1209" s="421">
        <f>J1206*C1209</f>
        <v>0</v>
      </c>
      <c r="K1209" s="424">
        <f>SUM(D1209:J1209)</f>
        <v>0</v>
      </c>
    </row>
    <row r="1210" spans="2:13" x14ac:dyDescent="0.25">
      <c r="B1210" s="389"/>
      <c r="C1210" s="423"/>
      <c r="D1210" s="421">
        <f>D1206*C1210</f>
        <v>0</v>
      </c>
      <c r="E1210" s="421">
        <f>E1206*C1210</f>
        <v>0</v>
      </c>
      <c r="F1210" s="421">
        <f>F1206*C1210</f>
        <v>0</v>
      </c>
      <c r="G1210" s="421">
        <f>G1206*C1210</f>
        <v>0</v>
      </c>
      <c r="H1210" s="421">
        <f>H1206*C1210</f>
        <v>0</v>
      </c>
      <c r="I1210" s="421">
        <f>I1206*C1210</f>
        <v>0</v>
      </c>
      <c r="J1210" s="421">
        <f>J1206*C1210</f>
        <v>0</v>
      </c>
      <c r="K1210" s="424">
        <f>SUM(D1210:J1210)</f>
        <v>0</v>
      </c>
    </row>
    <row r="1212" spans="2:13" ht="15" customHeight="1" thickBot="1" x14ac:dyDescent="0.3"/>
    <row r="1213" spans="2:13" ht="15" customHeight="1" thickBot="1" x14ac:dyDescent="0.3">
      <c r="B1213" s="414">
        <v>6450242</v>
      </c>
      <c r="C1213" s="411"/>
      <c r="D1213" s="407" t="s">
        <v>548</v>
      </c>
      <c r="E1213" s="408" t="s">
        <v>549</v>
      </c>
      <c r="F1213" s="408" t="s">
        <v>550</v>
      </c>
      <c r="G1213" s="408" t="s">
        <v>551</v>
      </c>
      <c r="H1213" s="408" t="s">
        <v>552</v>
      </c>
      <c r="I1213" s="408" t="s">
        <v>553</v>
      </c>
      <c r="J1213" s="408" t="s">
        <v>554</v>
      </c>
      <c r="K1213" s="408" t="s">
        <v>555</v>
      </c>
      <c r="M1213" s="426" t="s">
        <v>1868</v>
      </c>
    </row>
    <row r="1214" spans="2:13" ht="15.75" thickBot="1" x14ac:dyDescent="0.3">
      <c r="B1214" s="414" t="s">
        <v>556</v>
      </c>
      <c r="C1214" s="415" t="s">
        <v>620</v>
      </c>
      <c r="D1214" s="416">
        <f>IF(ISERROR(VLOOKUP(B1213,'MD Usage'!$A$1:$W$5000,3,FALSE)),0,VLOOKUP(B1213,'MD Usage'!$A$1:$W$5000,3,FALSE))</f>
        <v>15</v>
      </c>
      <c r="E1214" s="416">
        <f>IF(ISERROR(VLOOKUP(B1213,'MD Usage'!$A$1:$W$5000,5,FALSE)),0,VLOOKUP(B1213,'MD Usage'!$A$1:$W$5000,5,FALSE))</f>
        <v>0</v>
      </c>
      <c r="F1214" s="416">
        <f>IF(ISERROR(VLOOKUP(B1213,'MD Usage'!$A$1:$W$5000,7,FALSE)),0,VLOOKUP(B1213,'MD Usage'!$A$1:$W$5000,7,FALSE))</f>
        <v>0</v>
      </c>
      <c r="G1214" s="416">
        <f>IF(ISERROR(VLOOKUP(B1213,'MD Usage'!$A$1:$W$5000,9,FALSE)),0,VLOOKUP(B1213,'MD Usage'!$A$1:$W$5000,9,FALSE))</f>
        <v>0</v>
      </c>
      <c r="H1214" s="416">
        <f>IF(ISERROR(VLOOKUP(B1213,'MD Usage'!$A$1:$W$5000,11,FALSE)),0,VLOOKUP(B1213,'MD Usage'!$A$1:$W$5000,11,FALSE))</f>
        <v>0</v>
      </c>
      <c r="I1214" s="416">
        <f>IF(ISERROR(VLOOKUP(B1213,'MD Usage'!A1:R2000,13,FALSE)),0,VLOOKUP(B1213,'MD Usage'!A1:R2000,13,FALSE))</f>
        <v>0</v>
      </c>
      <c r="J1214" s="416">
        <f>IF(ISERROR(VLOOKUP(B1213,'MD Usage'!A1:R2000,15,FALSE)),0,VLOOKUP(B1213,'MD Usage'!A1:R2000,15,FALSE))</f>
        <v>0</v>
      </c>
      <c r="K1214" s="418">
        <f>SUM(D1214:J1214)</f>
        <v>15</v>
      </c>
    </row>
    <row r="1215" spans="2:13" x14ac:dyDescent="0.25">
      <c r="B1215" s="419" t="s">
        <v>916</v>
      </c>
      <c r="C1215" s="420">
        <v>2</v>
      </c>
      <c r="D1215" s="421">
        <f>D1214*C1215</f>
        <v>30</v>
      </c>
      <c r="E1215" s="421">
        <f>E1214*C1215</f>
        <v>0</v>
      </c>
      <c r="F1215" s="421">
        <f>F1214*C1215</f>
        <v>0</v>
      </c>
      <c r="G1215" s="421">
        <f>G1214*C1215</f>
        <v>0</v>
      </c>
      <c r="H1215" s="421">
        <f>H1214*C1215</f>
        <v>0</v>
      </c>
      <c r="I1215" s="421">
        <f>I1214*C1215</f>
        <v>0</v>
      </c>
      <c r="J1215" s="421">
        <f>J1214*C1215</f>
        <v>0</v>
      </c>
      <c r="K1215" s="422">
        <f>SUM(D1215:J1215)</f>
        <v>30</v>
      </c>
    </row>
    <row r="1216" spans="2:13" ht="15" customHeight="1" x14ac:dyDescent="0.25">
      <c r="B1216" s="389" t="s">
        <v>594</v>
      </c>
      <c r="C1216" s="423">
        <v>1</v>
      </c>
      <c r="D1216" s="421">
        <f>D1214*C1216</f>
        <v>15</v>
      </c>
      <c r="E1216" s="421">
        <f>E1214*C1216</f>
        <v>0</v>
      </c>
      <c r="F1216" s="421">
        <f>F1214*C1216</f>
        <v>0</v>
      </c>
      <c r="G1216" s="421">
        <f>G1214*C1216</f>
        <v>0</v>
      </c>
      <c r="H1216" s="421">
        <f>H1214*C1216</f>
        <v>0</v>
      </c>
      <c r="I1216" s="421">
        <f>I1214*C1216</f>
        <v>0</v>
      </c>
      <c r="J1216" s="421">
        <f>J1214*C1216</f>
        <v>0</v>
      </c>
      <c r="K1216" s="424">
        <f>SUM(D1216:J1216)</f>
        <v>15</v>
      </c>
    </row>
    <row r="1217" spans="2:11" x14ac:dyDescent="0.25">
      <c r="B1217" s="389" t="s">
        <v>578</v>
      </c>
      <c r="C1217" s="423">
        <v>4</v>
      </c>
      <c r="D1217" s="421">
        <f>D1214*C1217</f>
        <v>60</v>
      </c>
      <c r="E1217" s="421">
        <f>E1214*C1217</f>
        <v>0</v>
      </c>
      <c r="F1217" s="421">
        <f>F1214*C1217</f>
        <v>0</v>
      </c>
      <c r="G1217" s="421">
        <f>G1214*C1217</f>
        <v>0</v>
      </c>
      <c r="H1217" s="421">
        <f>H1214*C1217</f>
        <v>0</v>
      </c>
      <c r="I1217" s="421">
        <f>I1214*C1217</f>
        <v>0</v>
      </c>
      <c r="J1217" s="421">
        <f>J1214*C1217</f>
        <v>0</v>
      </c>
      <c r="K1217" s="424">
        <f>SUM(D1217:J1217)</f>
        <v>60</v>
      </c>
    </row>
    <row r="1218" spans="2:11" x14ac:dyDescent="0.25">
      <c r="B1218" s="389" t="s">
        <v>718</v>
      </c>
      <c r="C1218" s="423">
        <v>1.5</v>
      </c>
      <c r="D1218" s="421">
        <f>D1214*C1218</f>
        <v>22.5</v>
      </c>
      <c r="E1218" s="421">
        <f>E1214*C1218</f>
        <v>0</v>
      </c>
      <c r="F1218" s="421">
        <f>F1214*C1218</f>
        <v>0</v>
      </c>
      <c r="G1218" s="421">
        <f>G1214*C1218</f>
        <v>0</v>
      </c>
      <c r="H1218" s="421">
        <f>H1214*C1218</f>
        <v>0</v>
      </c>
      <c r="I1218" s="421">
        <f>I1214*C1218</f>
        <v>0</v>
      </c>
      <c r="J1218" s="421">
        <f>J1214*C1218</f>
        <v>0</v>
      </c>
      <c r="K1218" s="424">
        <f>SUM(D1218:J1218)</f>
        <v>22.5</v>
      </c>
    </row>
    <row r="1219" spans="2:11" ht="15" customHeight="1" thickBot="1" x14ac:dyDescent="0.3">
      <c r="B1219" s="389"/>
      <c r="C1219" s="423"/>
    </row>
    <row r="1220" spans="2:11" ht="15.75" thickBot="1" x14ac:dyDescent="0.3">
      <c r="B1220" s="414"/>
      <c r="C1220" s="411"/>
      <c r="D1220" s="407" t="s">
        <v>548</v>
      </c>
      <c r="E1220" s="408" t="s">
        <v>549</v>
      </c>
      <c r="F1220" s="408" t="s">
        <v>550</v>
      </c>
      <c r="G1220" s="408" t="s">
        <v>551</v>
      </c>
      <c r="H1220" s="408" t="s">
        <v>552</v>
      </c>
      <c r="I1220" s="408" t="s">
        <v>553</v>
      </c>
      <c r="J1220" s="408" t="s">
        <v>554</v>
      </c>
      <c r="K1220" s="408" t="s">
        <v>555</v>
      </c>
    </row>
    <row r="1221" spans="2:11" ht="15" customHeight="1" thickBot="1" x14ac:dyDescent="0.3">
      <c r="B1221" s="414" t="s">
        <v>556</v>
      </c>
      <c r="C1221" s="415" t="s">
        <v>620</v>
      </c>
      <c r="D1221" s="416">
        <f>IF(ISERROR(VLOOKUP(B1220,'MD Usage'!$A$1:$W$5000,3,FALSE)),0,VLOOKUP(B1220,'MD Usage'!$A$1:$W$5000,3,FALSE))</f>
        <v>0</v>
      </c>
      <c r="E1221" s="416">
        <f>IF(ISERROR(VLOOKUP(B1220,'MD Usage'!$A$1:$W$5000,5,FALSE)),0,VLOOKUP(B1220,'MD Usage'!$A$1:$W$5000,5,FALSE))</f>
        <v>0</v>
      </c>
      <c r="F1221" s="416">
        <f>IF(ISERROR(VLOOKUP(B1220,'MD Usage'!$A$1:$W$5000,7,FALSE)),0,VLOOKUP(B1220,'MD Usage'!$A$1:$W$5000,7,FALSE))</f>
        <v>0</v>
      </c>
      <c r="G1221" s="416">
        <f>IF(ISERROR(VLOOKUP(B1220,'MD Usage'!$A$1:$W$5000,9,FALSE)),0,VLOOKUP(B1220,'MD Usage'!$A$1:$W$5000,9,FALSE))</f>
        <v>0</v>
      </c>
      <c r="H1221" s="416">
        <f>IF(ISERROR(VLOOKUP(B1220,'MD Usage'!$A$1:$W$5000,11,FALSE)),0,VLOOKUP(B1220,'MD Usage'!$A$1:$W$5000,11,FALSE))</f>
        <v>0</v>
      </c>
      <c r="I1221" s="416">
        <f>IF(ISERROR(VLOOKUP(B1220,'MD Usage'!A1:R2000,13,FALSE)),0,VLOOKUP(B1220,'MD Usage'!A1:R2000,13,FALSE))</f>
        <v>0</v>
      </c>
      <c r="J1221" s="416">
        <f>IF(ISERROR(VLOOKUP(B1220,'MD Usage'!A1:R2000,15,FALSE)),0,VLOOKUP(B1220,'MD Usage'!A1:R2000,15,FALSE))</f>
        <v>0</v>
      </c>
      <c r="K1221" s="418">
        <f>SUM(D1221:J1221)</f>
        <v>0</v>
      </c>
    </row>
    <row r="1222" spans="2:11" x14ac:dyDescent="0.25">
      <c r="B1222" s="419"/>
      <c r="C1222" s="420"/>
      <c r="D1222" s="421">
        <f>D1221*C1222</f>
        <v>0</v>
      </c>
      <c r="E1222" s="421">
        <f>E1221*C1222</f>
        <v>0</v>
      </c>
      <c r="F1222" s="421">
        <f>F1221*C1222</f>
        <v>0</v>
      </c>
      <c r="G1222" s="421">
        <f>G1221*C1222</f>
        <v>0</v>
      </c>
      <c r="H1222" s="421">
        <f>H1221*C1222</f>
        <v>0</v>
      </c>
      <c r="I1222" s="421">
        <f>I1221*C1222</f>
        <v>0</v>
      </c>
      <c r="J1222" s="421">
        <f>J1221*C1222</f>
        <v>0</v>
      </c>
      <c r="K1222" s="422">
        <f>SUM(D1222:J1222)</f>
        <v>0</v>
      </c>
    </row>
    <row r="1223" spans="2:11" ht="15" customHeight="1" x14ac:dyDescent="0.25">
      <c r="B1223" s="389"/>
      <c r="C1223" s="423"/>
      <c r="D1223" s="421">
        <f>D1221*C1223</f>
        <v>0</v>
      </c>
      <c r="E1223" s="421">
        <f>E1221*C1223</f>
        <v>0</v>
      </c>
      <c r="F1223" s="421">
        <f>F1221*C1223</f>
        <v>0</v>
      </c>
      <c r="G1223" s="421">
        <f>G1221*C1223</f>
        <v>0</v>
      </c>
      <c r="H1223" s="421">
        <f>H1221*C1223</f>
        <v>0</v>
      </c>
      <c r="I1223" s="421">
        <f>I1221*C1223</f>
        <v>0</v>
      </c>
      <c r="J1223" s="421">
        <f>J1221*C1223</f>
        <v>0</v>
      </c>
      <c r="K1223" s="424">
        <f>SUM(D1223:J1223)</f>
        <v>0</v>
      </c>
    </row>
    <row r="1224" spans="2:11" x14ac:dyDescent="0.25">
      <c r="B1224" s="389"/>
      <c r="C1224" s="423"/>
      <c r="D1224" s="421">
        <f>D1221*C1224</f>
        <v>0</v>
      </c>
      <c r="E1224" s="421">
        <f>E1221*C1224</f>
        <v>0</v>
      </c>
      <c r="F1224" s="421">
        <f>F1221*C1224</f>
        <v>0</v>
      </c>
      <c r="G1224" s="421">
        <f>G1221*C1224</f>
        <v>0</v>
      </c>
      <c r="H1224" s="421">
        <f>H1221*C1224</f>
        <v>0</v>
      </c>
      <c r="I1224" s="421">
        <f>I1221*C1224</f>
        <v>0</v>
      </c>
      <c r="J1224" s="421">
        <f>J1221*C1224</f>
        <v>0</v>
      </c>
      <c r="K1224" s="424">
        <f>SUM(D1224:J1224)</f>
        <v>0</v>
      </c>
    </row>
    <row r="1225" spans="2:11" x14ac:dyDescent="0.25">
      <c r="B1225" s="389"/>
      <c r="C1225" s="423"/>
      <c r="D1225" s="421">
        <f>D1221*C1225</f>
        <v>0</v>
      </c>
      <c r="E1225" s="421">
        <f>E1221*C1225</f>
        <v>0</v>
      </c>
      <c r="F1225" s="421">
        <f>F1221*C1225</f>
        <v>0</v>
      </c>
      <c r="G1225" s="421">
        <f>G1221*C1225</f>
        <v>0</v>
      </c>
      <c r="H1225" s="421">
        <f>H1221*C1225</f>
        <v>0</v>
      </c>
      <c r="I1225" s="421">
        <f>I1221*C1225</f>
        <v>0</v>
      </c>
      <c r="J1225" s="421">
        <f>J1221*C1225</f>
        <v>0</v>
      </c>
      <c r="K1225" s="424">
        <f>SUM(D1225:J1225)</f>
        <v>0</v>
      </c>
    </row>
    <row r="1227" spans="2:11" ht="15" customHeight="1" thickBot="1" x14ac:dyDescent="0.3"/>
    <row r="1228" spans="2:11" ht="15" customHeight="1" thickBot="1" x14ac:dyDescent="0.3">
      <c r="B1228" s="414"/>
      <c r="C1228" s="411"/>
      <c r="D1228" s="407" t="s">
        <v>548</v>
      </c>
      <c r="E1228" s="408" t="s">
        <v>549</v>
      </c>
      <c r="F1228" s="408" t="s">
        <v>550</v>
      </c>
      <c r="G1228" s="408" t="s">
        <v>551</v>
      </c>
      <c r="H1228" s="408" t="s">
        <v>552</v>
      </c>
      <c r="I1228" s="408" t="s">
        <v>553</v>
      </c>
      <c r="J1228" s="408" t="s">
        <v>554</v>
      </c>
      <c r="K1228" s="408" t="s">
        <v>555</v>
      </c>
    </row>
    <row r="1229" spans="2:11" ht="15.75" thickBot="1" x14ac:dyDescent="0.3">
      <c r="B1229" s="414" t="s">
        <v>556</v>
      </c>
      <c r="C1229" s="415" t="s">
        <v>620</v>
      </c>
      <c r="D1229" s="416">
        <f>IF(ISERROR(VLOOKUP(B1228,'MD Usage'!$A$1:$W$5000,3,FALSE)),0,VLOOKUP(B1228,'MD Usage'!$A$1:$W$5000,3,FALSE))</f>
        <v>0</v>
      </c>
      <c r="E1229" s="416">
        <f>IF(ISERROR(VLOOKUP(B1228,'MD Usage'!$A$1:$W$5000,5,FALSE)),0,VLOOKUP(B1228,'MD Usage'!$A$1:$W$5000,5,FALSE))</f>
        <v>0</v>
      </c>
      <c r="F1229" s="416">
        <f>IF(ISERROR(VLOOKUP(B1228,'MD Usage'!$A$1:$W$5000,7,FALSE)),0,VLOOKUP(B1228,'MD Usage'!$A$1:$W$5000,7,FALSE))</f>
        <v>0</v>
      </c>
      <c r="G1229" s="416">
        <f>IF(ISERROR(VLOOKUP(B1228,'MD Usage'!$A$1:$W$5000,9,FALSE)),0,VLOOKUP(B1228,'MD Usage'!$A$1:$W$5000,9,FALSE))</f>
        <v>0</v>
      </c>
      <c r="H1229" s="416">
        <f>IF(ISERROR(VLOOKUP(B1228,'MD Usage'!$A$1:$W$5000,11,FALSE)),0,VLOOKUP(B1228,'MD Usage'!$A$1:$W$5000,11,FALSE))</f>
        <v>0</v>
      </c>
      <c r="I1229" s="416">
        <f>IF(ISERROR(VLOOKUP(B1228,'MD Usage'!A1:R2000,13,FALSE)),0,VLOOKUP(B1228,'MD Usage'!A1:R2000,13,FALSE))</f>
        <v>0</v>
      </c>
      <c r="J1229" s="416">
        <f>IF(ISERROR(VLOOKUP(B1228,'MD Usage'!A1:R2000,15,FALSE)),0,VLOOKUP(B1228,'MD Usage'!A1:R2000,15,FALSE))</f>
        <v>0</v>
      </c>
      <c r="K1229" s="418">
        <f>SUM(D1229:J1229)</f>
        <v>0</v>
      </c>
    </row>
    <row r="1230" spans="2:11" x14ac:dyDescent="0.25">
      <c r="B1230" s="419"/>
      <c r="C1230" s="420"/>
      <c r="D1230" s="421">
        <f>D1229*C1230</f>
        <v>0</v>
      </c>
      <c r="E1230" s="421">
        <f>E1229*C1230</f>
        <v>0</v>
      </c>
      <c r="F1230" s="421">
        <f>F1229*C1230</f>
        <v>0</v>
      </c>
      <c r="G1230" s="421">
        <f>G1229*C1230</f>
        <v>0</v>
      </c>
      <c r="H1230" s="421">
        <f>H1229*C1230</f>
        <v>0</v>
      </c>
      <c r="I1230" s="421">
        <f>I1229*C1230</f>
        <v>0</v>
      </c>
      <c r="J1230" s="421">
        <f>J1229*C1230</f>
        <v>0</v>
      </c>
      <c r="K1230" s="422">
        <f>SUM(D1230:J1230)</f>
        <v>0</v>
      </c>
    </row>
    <row r="1231" spans="2:11" ht="15" customHeight="1" x14ac:dyDescent="0.25">
      <c r="B1231" s="389"/>
      <c r="C1231" s="423"/>
      <c r="D1231" s="421">
        <f>D1229*C1231</f>
        <v>0</v>
      </c>
      <c r="E1231" s="421">
        <f>E1229*C1231</f>
        <v>0</v>
      </c>
      <c r="F1231" s="421">
        <f>F1229*C1231</f>
        <v>0</v>
      </c>
      <c r="G1231" s="421">
        <f>G1229*C1231</f>
        <v>0</v>
      </c>
      <c r="H1231" s="421">
        <f>H1229*C1231</f>
        <v>0</v>
      </c>
      <c r="I1231" s="421">
        <f>I1229*C1231</f>
        <v>0</v>
      </c>
      <c r="J1231" s="421">
        <f>J1229*C1231</f>
        <v>0</v>
      </c>
      <c r="K1231" s="424">
        <f>SUM(D1231:J1231)</f>
        <v>0</v>
      </c>
    </row>
    <row r="1232" spans="2:11" x14ac:dyDescent="0.25">
      <c r="B1232" s="389"/>
      <c r="C1232" s="423"/>
      <c r="D1232" s="421">
        <f>D1229*C1232</f>
        <v>0</v>
      </c>
      <c r="E1232" s="421">
        <f>E1229*C1232</f>
        <v>0</v>
      </c>
      <c r="F1232" s="421">
        <f>F1229*C1232</f>
        <v>0</v>
      </c>
      <c r="G1232" s="421">
        <f>G1229*C1232</f>
        <v>0</v>
      </c>
      <c r="H1232" s="421">
        <f>H1229*C1232</f>
        <v>0</v>
      </c>
      <c r="I1232" s="421">
        <f>I1229*C1232</f>
        <v>0</v>
      </c>
      <c r="J1232" s="421">
        <f>J1229*C1232</f>
        <v>0</v>
      </c>
      <c r="K1232" s="424">
        <f>SUM(D1232:J1232)</f>
        <v>0</v>
      </c>
    </row>
    <row r="1233" spans="2:11" x14ac:dyDescent="0.25">
      <c r="B1233" s="389"/>
      <c r="C1233" s="423"/>
      <c r="D1233" s="421">
        <f>D1229*C1233</f>
        <v>0</v>
      </c>
      <c r="E1233" s="421">
        <f>E1229*C1233</f>
        <v>0</v>
      </c>
      <c r="F1233" s="421">
        <f>F1229*C1233</f>
        <v>0</v>
      </c>
      <c r="G1233" s="421">
        <f>G1229*C1233</f>
        <v>0</v>
      </c>
      <c r="H1233" s="421">
        <f>H1229*C1233</f>
        <v>0</v>
      </c>
      <c r="I1233" s="421">
        <f>I1229*C1233</f>
        <v>0</v>
      </c>
      <c r="J1233" s="421">
        <f>J1229*C1233</f>
        <v>0</v>
      </c>
      <c r="K1233" s="424">
        <f>SUM(D1233:J1233)</f>
        <v>0</v>
      </c>
    </row>
    <row r="1234" spans="2:11" ht="15" customHeight="1" thickBot="1" x14ac:dyDescent="0.3"/>
    <row r="1235" spans="2:11" ht="15.75" thickBot="1" x14ac:dyDescent="0.3">
      <c r="B1235" s="414"/>
      <c r="C1235" s="411"/>
      <c r="D1235" s="407" t="s">
        <v>548</v>
      </c>
      <c r="E1235" s="408" t="s">
        <v>549</v>
      </c>
      <c r="F1235" s="408" t="s">
        <v>550</v>
      </c>
      <c r="G1235" s="408" t="s">
        <v>551</v>
      </c>
      <c r="H1235" s="408" t="s">
        <v>552</v>
      </c>
      <c r="I1235" s="408" t="s">
        <v>553</v>
      </c>
      <c r="J1235" s="408" t="s">
        <v>554</v>
      </c>
      <c r="K1235" s="408" t="s">
        <v>555</v>
      </c>
    </row>
    <row r="1236" spans="2:11" ht="15" customHeight="1" thickBot="1" x14ac:dyDescent="0.3">
      <c r="B1236" s="414" t="s">
        <v>556</v>
      </c>
      <c r="C1236" s="415" t="s">
        <v>620</v>
      </c>
      <c r="D1236" s="416">
        <f>IF(ISERROR(VLOOKUP(B1235,'MD Usage'!$A$1:$W$5000,3,FALSE)),0,VLOOKUP(B1235,'MD Usage'!$A$1:$W$5000,3,FALSE))</f>
        <v>0</v>
      </c>
      <c r="E1236" s="416">
        <f>IF(ISERROR(VLOOKUP(B1235,'MD Usage'!$A$1:$W$5000,5,FALSE)),0,VLOOKUP(B1235,'MD Usage'!$A$1:$W$5000,5,FALSE))</f>
        <v>0</v>
      </c>
      <c r="F1236" s="416">
        <f>IF(ISERROR(VLOOKUP(B1235,'MD Usage'!$A$1:$W$5000,7,FALSE)),0,VLOOKUP(B1235,'MD Usage'!$A$1:$W$5000,7,FALSE))</f>
        <v>0</v>
      </c>
      <c r="G1236" s="416">
        <f>IF(ISERROR(VLOOKUP(B1235,'MD Usage'!$A$1:$W$5000,9,FALSE)),0,VLOOKUP(B1235,'MD Usage'!$A$1:$W$5000,9,FALSE))</f>
        <v>0</v>
      </c>
      <c r="H1236" s="416">
        <f>IF(ISERROR(VLOOKUP(B1235,'MD Usage'!$A$1:$W$5000,11,FALSE)),0,VLOOKUP(B1235,'MD Usage'!$A$1:$W$5000,11,FALSE))</f>
        <v>0</v>
      </c>
      <c r="I1236" s="416">
        <f>IF(ISERROR(VLOOKUP(B1235,'MD Usage'!A1:R2000,13,FALSE)),0,VLOOKUP(B1235,'MD Usage'!A1:R2000,13,FALSE))</f>
        <v>0</v>
      </c>
      <c r="J1236" s="416">
        <f>IF(ISERROR(VLOOKUP(B1235,'MD Usage'!A1:R2000,15,FALSE)),0,VLOOKUP(B1235,'MD Usage'!A1:R2000,15,FALSE))</f>
        <v>0</v>
      </c>
      <c r="K1236" s="418">
        <f>SUM(D1236:J1236)</f>
        <v>0</v>
      </c>
    </row>
    <row r="1237" spans="2:11" x14ac:dyDescent="0.25">
      <c r="B1237" s="419"/>
      <c r="C1237" s="420"/>
      <c r="D1237" s="421">
        <f>D1236*C1237</f>
        <v>0</v>
      </c>
      <c r="E1237" s="421">
        <f>E1236*C1237</f>
        <v>0</v>
      </c>
      <c r="F1237" s="421">
        <f>F1236*C1237</f>
        <v>0</v>
      </c>
      <c r="G1237" s="421">
        <f>G1236*C1237</f>
        <v>0</v>
      </c>
      <c r="H1237" s="421">
        <f>H1236*C1237</f>
        <v>0</v>
      </c>
      <c r="I1237" s="421">
        <f>I1236*C1237</f>
        <v>0</v>
      </c>
      <c r="J1237" s="421">
        <f>J1236*C1237</f>
        <v>0</v>
      </c>
      <c r="K1237" s="422">
        <f>SUM(D1237:J1237)</f>
        <v>0</v>
      </c>
    </row>
    <row r="1238" spans="2:11" x14ac:dyDescent="0.25">
      <c r="B1238" s="389"/>
      <c r="C1238" s="423"/>
      <c r="D1238" s="421">
        <f>D1236*C1238</f>
        <v>0</v>
      </c>
      <c r="E1238" s="421">
        <f>E1236*C1238</f>
        <v>0</v>
      </c>
      <c r="F1238" s="421">
        <f>F1236*C1238</f>
        <v>0</v>
      </c>
      <c r="G1238" s="421">
        <f>G1236*C1238</f>
        <v>0</v>
      </c>
      <c r="H1238" s="421">
        <f>H1236*C1238</f>
        <v>0</v>
      </c>
      <c r="I1238" s="421">
        <f>I1236*C1238</f>
        <v>0</v>
      </c>
      <c r="J1238" s="421">
        <f>J1236*C1238</f>
        <v>0</v>
      </c>
      <c r="K1238" s="424">
        <f>SUM(D1238:J1238)</f>
        <v>0</v>
      </c>
    </row>
    <row r="1239" spans="2:11" x14ac:dyDescent="0.25">
      <c r="B1239" s="389"/>
      <c r="C1239" s="423"/>
      <c r="D1239" s="421">
        <f>D1236*C1239</f>
        <v>0</v>
      </c>
      <c r="E1239" s="421">
        <f>E1236*C1239</f>
        <v>0</v>
      </c>
      <c r="F1239" s="421">
        <f>F1236*C1239</f>
        <v>0</v>
      </c>
      <c r="G1239" s="421">
        <f>G1236*C1239</f>
        <v>0</v>
      </c>
      <c r="H1239" s="421">
        <f>H1236*C1239</f>
        <v>0</v>
      </c>
      <c r="I1239" s="421">
        <f>I1236*C1239</f>
        <v>0</v>
      </c>
      <c r="J1239" s="421">
        <f>J1236*C1239</f>
        <v>0</v>
      </c>
      <c r="K1239" s="424">
        <f>SUM(D1239:J1239)</f>
        <v>0</v>
      </c>
    </row>
    <row r="1240" spans="2:11" ht="15" customHeight="1" x14ac:dyDescent="0.25">
      <c r="B1240" s="389"/>
      <c r="C1240" s="423"/>
      <c r="D1240" s="421">
        <f>D1236*C1240</f>
        <v>0</v>
      </c>
      <c r="E1240" s="421">
        <f>E1236*C1240</f>
        <v>0</v>
      </c>
      <c r="F1240" s="421">
        <f>F1236*C1240</f>
        <v>0</v>
      </c>
      <c r="G1240" s="421">
        <f>G1236*C1240</f>
        <v>0</v>
      </c>
      <c r="H1240" s="421">
        <f>H1236*C1240</f>
        <v>0</v>
      </c>
      <c r="I1240" s="421">
        <f>I1236*C1240</f>
        <v>0</v>
      </c>
      <c r="J1240" s="421">
        <f>J1236*C1240</f>
        <v>0</v>
      </c>
      <c r="K1240" s="424">
        <f>SUM(D1240:J1240)</f>
        <v>0</v>
      </c>
    </row>
    <row r="1242" spans="2:11" ht="15" customHeight="1" thickBot="1" x14ac:dyDescent="0.3"/>
    <row r="1243" spans="2:11" ht="15.75" thickBot="1" x14ac:dyDescent="0.3">
      <c r="B1243" s="414"/>
      <c r="C1243" s="411"/>
      <c r="D1243" s="407" t="s">
        <v>548</v>
      </c>
      <c r="E1243" s="408" t="s">
        <v>549</v>
      </c>
      <c r="F1243" s="408" t="s">
        <v>550</v>
      </c>
      <c r="G1243" s="408" t="s">
        <v>551</v>
      </c>
      <c r="H1243" s="408" t="s">
        <v>552</v>
      </c>
      <c r="I1243" s="408" t="s">
        <v>553</v>
      </c>
      <c r="J1243" s="408" t="s">
        <v>554</v>
      </c>
      <c r="K1243" s="408" t="s">
        <v>555</v>
      </c>
    </row>
    <row r="1244" spans="2:11" ht="15" customHeight="1" thickBot="1" x14ac:dyDescent="0.3">
      <c r="B1244" s="414" t="s">
        <v>556</v>
      </c>
      <c r="C1244" s="415" t="s">
        <v>620</v>
      </c>
      <c r="D1244" s="416">
        <f>IF(ISERROR(VLOOKUP(B1243,'MD Usage'!$A$1:$W$5000,3,FALSE)),0,VLOOKUP(B1243,'MD Usage'!$A$1:$W$5000,3,FALSE))</f>
        <v>0</v>
      </c>
      <c r="E1244" s="416">
        <f>IF(ISERROR(VLOOKUP(B1243,'MD Usage'!$A$1:$W$5000,5,FALSE)),0,VLOOKUP(B1243,'MD Usage'!$A$1:$W$5000,5,FALSE))</f>
        <v>0</v>
      </c>
      <c r="F1244" s="416">
        <f>IF(ISERROR(VLOOKUP(B1243,'MD Usage'!$A$1:$W$5000,7,FALSE)),0,VLOOKUP(B1243,'MD Usage'!$A$1:$W$5000,7,FALSE))</f>
        <v>0</v>
      </c>
      <c r="G1244" s="416">
        <f>IF(ISERROR(VLOOKUP(B1243,'MD Usage'!$A$1:$W$5000,9,FALSE)),0,VLOOKUP(B1243,'MD Usage'!$A$1:$W$5000,9,FALSE))</f>
        <v>0</v>
      </c>
      <c r="H1244" s="416">
        <f>IF(ISERROR(VLOOKUP(B1243,'MD Usage'!$A$1:$W$5000,11,FALSE)),0,VLOOKUP(B1243,'MD Usage'!$A$1:$W$5000,11,FALSE))</f>
        <v>0</v>
      </c>
      <c r="I1244" s="416">
        <f>IF(ISERROR(VLOOKUP(B1243,'MD Usage'!A1:R2000,13,FALSE)),0,VLOOKUP(B1243,'MD Usage'!A1:R2000,13,FALSE))</f>
        <v>0</v>
      </c>
      <c r="J1244" s="416">
        <f>IF(ISERROR(VLOOKUP(B1243,'MD Usage'!A1:R2000,15,FALSE)),0,VLOOKUP(B1243,'MD Usage'!A1:R2000,15,FALSE))</f>
        <v>0</v>
      </c>
      <c r="K1244" s="418">
        <f>SUM(D1244:J1244)</f>
        <v>0</v>
      </c>
    </row>
    <row r="1245" spans="2:11" ht="15" customHeight="1" x14ac:dyDescent="0.25">
      <c r="B1245" s="419"/>
      <c r="C1245" s="420"/>
      <c r="D1245" s="421">
        <f>D1244*C1245</f>
        <v>0</v>
      </c>
      <c r="E1245" s="421">
        <f>E1244*C1245</f>
        <v>0</v>
      </c>
      <c r="F1245" s="421">
        <f>F1244*C1245</f>
        <v>0</v>
      </c>
      <c r="G1245" s="421">
        <f>G1244*C1245</f>
        <v>0</v>
      </c>
      <c r="H1245" s="421">
        <f>H1244*C1245</f>
        <v>0</v>
      </c>
      <c r="I1245" s="421">
        <f>I1244*C1245</f>
        <v>0</v>
      </c>
      <c r="J1245" s="421">
        <f>J1244*C1245</f>
        <v>0</v>
      </c>
      <c r="K1245" s="422">
        <f>SUM(D1245:J1245)</f>
        <v>0</v>
      </c>
    </row>
    <row r="1246" spans="2:11" x14ac:dyDescent="0.25">
      <c r="B1246" s="389"/>
      <c r="C1246" s="423"/>
      <c r="D1246" s="421">
        <f>D1244*C1246</f>
        <v>0</v>
      </c>
      <c r="E1246" s="421">
        <f>E1244*C1246</f>
        <v>0</v>
      </c>
      <c r="F1246" s="421">
        <f>F1244*C1246</f>
        <v>0</v>
      </c>
      <c r="G1246" s="421">
        <f>G1244*C1246</f>
        <v>0</v>
      </c>
      <c r="H1246" s="421">
        <f>H1244*C1246</f>
        <v>0</v>
      </c>
      <c r="I1246" s="421">
        <f>I1244*C1246</f>
        <v>0</v>
      </c>
      <c r="J1246" s="421">
        <f>J1244*C1246</f>
        <v>0</v>
      </c>
      <c r="K1246" s="424">
        <f>SUM(D1246:J1246)</f>
        <v>0</v>
      </c>
    </row>
    <row r="1247" spans="2:11" x14ac:dyDescent="0.25">
      <c r="B1247" s="389"/>
      <c r="C1247" s="423"/>
      <c r="D1247" s="421">
        <f>D1244*C1247</f>
        <v>0</v>
      </c>
      <c r="E1247" s="421">
        <f>E1244*C1247</f>
        <v>0</v>
      </c>
      <c r="F1247" s="421">
        <f>F1244*C1247</f>
        <v>0</v>
      </c>
      <c r="G1247" s="421">
        <f>G1244*C1247</f>
        <v>0</v>
      </c>
      <c r="H1247" s="421">
        <f>H1244*C1247</f>
        <v>0</v>
      </c>
      <c r="I1247" s="421">
        <f>I1244*C1247</f>
        <v>0</v>
      </c>
      <c r="J1247" s="421">
        <f>J1244*C1247</f>
        <v>0</v>
      </c>
      <c r="K1247" s="424">
        <f>SUM(D1247:J1247)</f>
        <v>0</v>
      </c>
    </row>
    <row r="1248" spans="2:11" x14ac:dyDescent="0.25">
      <c r="B1248" s="389"/>
      <c r="C1248" s="423"/>
      <c r="D1248" s="421">
        <f>D1244*C1248</f>
        <v>0</v>
      </c>
      <c r="E1248" s="421">
        <f>E1244*C1248</f>
        <v>0</v>
      </c>
      <c r="F1248" s="421">
        <f>F1244*C1248</f>
        <v>0</v>
      </c>
      <c r="G1248" s="421">
        <f>G1244*C1248</f>
        <v>0</v>
      </c>
      <c r="H1248" s="421">
        <f>H1244*C1248</f>
        <v>0</v>
      </c>
      <c r="I1248" s="421">
        <f>I1244*C1248</f>
        <v>0</v>
      </c>
      <c r="J1248" s="421">
        <f>J1244*C1248</f>
        <v>0</v>
      </c>
      <c r="K1248" s="424">
        <f>SUM(D1248:J1248)</f>
        <v>0</v>
      </c>
    </row>
    <row r="1249" spans="2:13" ht="15" customHeight="1" thickBot="1" x14ac:dyDescent="0.3"/>
    <row r="1250" spans="2:13" ht="15" customHeight="1" thickBot="1" x14ac:dyDescent="0.3">
      <c r="B1250" s="432"/>
      <c r="C1250" s="411"/>
      <c r="D1250" s="407" t="s">
        <v>548</v>
      </c>
      <c r="E1250" s="408" t="s">
        <v>549</v>
      </c>
      <c r="F1250" s="408" t="s">
        <v>550</v>
      </c>
      <c r="G1250" s="408" t="s">
        <v>551</v>
      </c>
      <c r="H1250" s="408" t="s">
        <v>552</v>
      </c>
      <c r="I1250" s="408" t="s">
        <v>553</v>
      </c>
      <c r="J1250" s="408" t="s">
        <v>554</v>
      </c>
      <c r="K1250" s="408" t="s">
        <v>555</v>
      </c>
      <c r="M1250" s="426"/>
    </row>
    <row r="1251" spans="2:13" ht="15.75" thickBot="1" x14ac:dyDescent="0.3">
      <c r="B1251" s="414" t="s">
        <v>556</v>
      </c>
      <c r="C1251" s="415" t="s">
        <v>620</v>
      </c>
      <c r="D1251" s="416">
        <f>IF(ISERROR(VLOOKUP(B1250,'MD Usage'!$A$1:$W$5000,3,FALSE)),0,VLOOKUP(B1250,'MD Usage'!$A$1:$W$5000,3,FALSE))</f>
        <v>0</v>
      </c>
      <c r="E1251" s="416">
        <f>IF(ISERROR(VLOOKUP(B1250,'MD Usage'!$A$1:$W$5000,5,FALSE)),0,VLOOKUP(B1250,'MD Usage'!$A$1:$W$5000,5,FALSE))</f>
        <v>0</v>
      </c>
      <c r="F1251" s="416">
        <f>IF(ISERROR(VLOOKUP(B1250,'MD Usage'!$A$1:$W$5000,7,FALSE)),0,VLOOKUP(B1250,'MD Usage'!$A$1:$W$5000,7,FALSE))</f>
        <v>0</v>
      </c>
      <c r="G1251" s="416">
        <f>IF(ISERROR(VLOOKUP(B1250,'MD Usage'!$A$1:$W$5000,9,FALSE)),0,VLOOKUP(B1250,'MD Usage'!$A$1:$W$5000,9,FALSE))</f>
        <v>0</v>
      </c>
      <c r="H1251" s="416">
        <f>IF(ISERROR(VLOOKUP(B1250,'MD Usage'!$A$1:$W$5000,11,FALSE)),0,VLOOKUP(B1250,'MD Usage'!$A$1:$W$5000,11,FALSE))</f>
        <v>0</v>
      </c>
      <c r="I1251" s="416">
        <f>IF(ISERROR(VLOOKUP(B1250,'MD Usage'!A1:R2000,13,FALSE)),0,VLOOKUP(B1250,'MD Usage'!A1:R2000,13,FALSE))</f>
        <v>0</v>
      </c>
      <c r="J1251" s="416">
        <f>IF(ISERROR(VLOOKUP(B1250,'MD Usage'!A1:R2000,15,FALSE)),0,VLOOKUP(B1250,'MD Usage'!A1:R2000,15,FALSE))</f>
        <v>0</v>
      </c>
      <c r="K1251" s="418">
        <f>SUM(D1251:J1251)</f>
        <v>0</v>
      </c>
    </row>
    <row r="1252" spans="2:13" ht="15" customHeight="1" x14ac:dyDescent="0.25">
      <c r="B1252" s="383"/>
      <c r="C1252" s="420"/>
      <c r="D1252" s="421">
        <f>D1251*C1252</f>
        <v>0</v>
      </c>
      <c r="E1252" s="421">
        <f>E1251*C1252</f>
        <v>0</v>
      </c>
      <c r="F1252" s="421">
        <f>F1251*C1252</f>
        <v>0</v>
      </c>
      <c r="G1252" s="421">
        <f>G1251*C1252</f>
        <v>0</v>
      </c>
      <c r="H1252" s="421">
        <f>H1251*C1252</f>
        <v>0</v>
      </c>
      <c r="I1252" s="421">
        <f>I1251*C1252</f>
        <v>0</v>
      </c>
      <c r="J1252" s="421">
        <f>J1251*C1252</f>
        <v>0</v>
      </c>
      <c r="K1252" s="422">
        <f>SUM(D1252:J1252)</f>
        <v>0</v>
      </c>
    </row>
    <row r="1253" spans="2:13" x14ac:dyDescent="0.25">
      <c r="B1253" s="389"/>
      <c r="C1253" s="423"/>
      <c r="D1253" s="421">
        <f>D1251*C1253</f>
        <v>0</v>
      </c>
      <c r="E1253" s="421">
        <f>E1251*C1253</f>
        <v>0</v>
      </c>
      <c r="F1253" s="421">
        <f>F1251*C1253</f>
        <v>0</v>
      </c>
      <c r="G1253" s="421">
        <f>G1251*C1253</f>
        <v>0</v>
      </c>
      <c r="H1253" s="421">
        <f>H1251*C1253</f>
        <v>0</v>
      </c>
      <c r="I1253" s="421">
        <f>I1251*C1253</f>
        <v>0</v>
      </c>
      <c r="J1253" s="421">
        <f>J1251*C1253</f>
        <v>0</v>
      </c>
      <c r="K1253" s="424">
        <f>SUM(D1253:J1253)</f>
        <v>0</v>
      </c>
    </row>
    <row r="1254" spans="2:13" x14ac:dyDescent="0.25">
      <c r="B1254" s="389"/>
      <c r="C1254" s="423"/>
      <c r="D1254" s="421">
        <f>D1251*C1254</f>
        <v>0</v>
      </c>
      <c r="E1254" s="421">
        <f>E1251*C1254</f>
        <v>0</v>
      </c>
      <c r="F1254" s="421">
        <f>F1251*C1254</f>
        <v>0</v>
      </c>
      <c r="G1254" s="421">
        <f>G1251*C1254</f>
        <v>0</v>
      </c>
      <c r="H1254" s="421">
        <f>H1251*C1254</f>
        <v>0</v>
      </c>
      <c r="I1254" s="421">
        <f>I1251*C1254</f>
        <v>0</v>
      </c>
      <c r="J1254" s="421">
        <f>J1251*C1254</f>
        <v>0</v>
      </c>
      <c r="K1254" s="424">
        <f>SUM(D1254:J1254)</f>
        <v>0</v>
      </c>
    </row>
    <row r="1255" spans="2:13" x14ac:dyDescent="0.25">
      <c r="B1255" s="389"/>
      <c r="C1255" s="423"/>
      <c r="D1255" s="421">
        <f>D1251*C1255</f>
        <v>0</v>
      </c>
      <c r="E1255" s="421">
        <f>E1251*C1255</f>
        <v>0</v>
      </c>
      <c r="F1255" s="421">
        <f>F1251*C1255</f>
        <v>0</v>
      </c>
      <c r="G1255" s="421">
        <f>G1251*C1255</f>
        <v>0</v>
      </c>
      <c r="H1255" s="421">
        <f>H1251*C1255</f>
        <v>0</v>
      </c>
      <c r="I1255" s="421">
        <f>I1251*C1255</f>
        <v>0</v>
      </c>
      <c r="J1255" s="421">
        <f>J1251*C1255</f>
        <v>0</v>
      </c>
      <c r="K1255" s="424">
        <f>SUM(D1255:J1255)</f>
        <v>0</v>
      </c>
    </row>
    <row r="1257" spans="2:13" ht="15" customHeight="1" thickBot="1" x14ac:dyDescent="0.3"/>
    <row r="1258" spans="2:13" ht="15.75" thickBot="1" x14ac:dyDescent="0.3">
      <c r="B1258" s="432"/>
      <c r="C1258" s="411"/>
      <c r="D1258" s="407" t="s">
        <v>548</v>
      </c>
      <c r="E1258" s="408" t="s">
        <v>549</v>
      </c>
      <c r="F1258" s="408" t="s">
        <v>550</v>
      </c>
      <c r="G1258" s="408" t="s">
        <v>551</v>
      </c>
      <c r="H1258" s="408" t="s">
        <v>552</v>
      </c>
      <c r="I1258" s="408" t="s">
        <v>553</v>
      </c>
      <c r="J1258" s="408" t="s">
        <v>554</v>
      </c>
      <c r="K1258" s="408" t="s">
        <v>555</v>
      </c>
      <c r="M1258" s="414"/>
    </row>
    <row r="1259" spans="2:13" ht="15.75" thickBot="1" x14ac:dyDescent="0.3">
      <c r="B1259" s="414" t="s">
        <v>556</v>
      </c>
      <c r="C1259" s="415" t="s">
        <v>620</v>
      </c>
      <c r="D1259" s="416">
        <f>IF(ISERROR(VLOOKUP(B1258,'MD Usage'!$A$1:$W$5000,3,FALSE)),0,VLOOKUP(B1258,'MD Usage'!$A$1:$W$5000,3,FALSE))</f>
        <v>0</v>
      </c>
      <c r="E1259" s="416">
        <f>IF(ISERROR(VLOOKUP(B1258,'MD Usage'!$A$1:$W$5000,5,FALSE)),0,VLOOKUP(B1258,'MD Usage'!$A$1:$W$5000,5,FALSE))</f>
        <v>0</v>
      </c>
      <c r="F1259" s="416">
        <f>IF(ISERROR(VLOOKUP(B1258,'MD Usage'!$A$1:$W$5000,7,FALSE)),0,VLOOKUP(B1258,'MD Usage'!$A$1:$W$5000,7,FALSE))</f>
        <v>0</v>
      </c>
      <c r="G1259" s="416">
        <f>IF(ISERROR(VLOOKUP(B1258,'MD Usage'!$A$1:$W$5000,9,FALSE)),0,VLOOKUP(B1258,'MD Usage'!$A$1:$W$5000,9,FALSE))</f>
        <v>0</v>
      </c>
      <c r="H1259" s="416">
        <f>IF(ISERROR(VLOOKUP(B1258,'MD Usage'!$A$1:$W$5000,11,FALSE)),0,VLOOKUP(B1258,'MD Usage'!$A$1:$W$5000,11,FALSE))</f>
        <v>0</v>
      </c>
      <c r="I1259" s="416">
        <f>IF(ISERROR(VLOOKUP(B1258,'MD Usage'!A1:R2000,13,FALSE)),0,VLOOKUP(B1258,'MD Usage'!A1:R2000,13,FALSE))</f>
        <v>0</v>
      </c>
      <c r="J1259" s="416">
        <f>IF(ISERROR(VLOOKUP(B1258,'MD Usage'!A1:R2000,15,FALSE)),0,VLOOKUP(B1258,'MD Usage'!A1:R2000,15,FALSE))</f>
        <v>0</v>
      </c>
      <c r="K1259" s="418">
        <f>SUM(D1259:J1259)</f>
        <v>0</v>
      </c>
    </row>
    <row r="1260" spans="2:13" x14ac:dyDescent="0.25">
      <c r="B1260" s="419"/>
      <c r="C1260" s="420"/>
      <c r="D1260" s="421">
        <f>D1259*C1260</f>
        <v>0</v>
      </c>
      <c r="E1260" s="421">
        <f>E1259*C1260</f>
        <v>0</v>
      </c>
      <c r="F1260" s="421">
        <f>F1259*C1260</f>
        <v>0</v>
      </c>
      <c r="G1260" s="421">
        <f>G1259*C1260</f>
        <v>0</v>
      </c>
      <c r="H1260" s="421">
        <f>H1259*C1260</f>
        <v>0</v>
      </c>
      <c r="I1260" s="421">
        <f>I1259*C1260</f>
        <v>0</v>
      </c>
      <c r="J1260" s="421">
        <f>J1259*C1260</f>
        <v>0</v>
      </c>
      <c r="K1260" s="422">
        <f>SUM(D1260:J1260)</f>
        <v>0</v>
      </c>
    </row>
    <row r="1261" spans="2:13" ht="15" customHeight="1" x14ac:dyDescent="0.25">
      <c r="B1261" s="389"/>
      <c r="C1261" s="423"/>
      <c r="D1261" s="421">
        <f>D1259*C1261</f>
        <v>0</v>
      </c>
      <c r="E1261" s="421">
        <f>E1259*C1261</f>
        <v>0</v>
      </c>
      <c r="F1261" s="421">
        <f>F1259*C1261</f>
        <v>0</v>
      </c>
      <c r="G1261" s="421">
        <f>G1259*C1261</f>
        <v>0</v>
      </c>
      <c r="H1261" s="421">
        <f>H1259*C1261</f>
        <v>0</v>
      </c>
      <c r="I1261" s="421">
        <f>I1259*C1261</f>
        <v>0</v>
      </c>
      <c r="J1261" s="421">
        <f>J1259*C1261</f>
        <v>0</v>
      </c>
      <c r="K1261" s="424">
        <f>SUM(D1261:J1261)</f>
        <v>0</v>
      </c>
    </row>
    <row r="1262" spans="2:13" x14ac:dyDescent="0.25">
      <c r="B1262" s="389"/>
      <c r="C1262" s="423"/>
      <c r="D1262" s="421">
        <f>D1259*C1262</f>
        <v>0</v>
      </c>
      <c r="E1262" s="421">
        <f>E1259*C1262</f>
        <v>0</v>
      </c>
      <c r="F1262" s="421">
        <f>F1259*C1262</f>
        <v>0</v>
      </c>
      <c r="G1262" s="421">
        <f>G1259*C1262</f>
        <v>0</v>
      </c>
      <c r="H1262" s="421">
        <f>H1259*C1262</f>
        <v>0</v>
      </c>
      <c r="I1262" s="421">
        <f>I1259*C1262</f>
        <v>0</v>
      </c>
      <c r="J1262" s="421">
        <f>J1259*C1262</f>
        <v>0</v>
      </c>
      <c r="K1262" s="424">
        <f>SUM(D1262:J1262)</f>
        <v>0</v>
      </c>
    </row>
    <row r="1263" spans="2:13" x14ac:dyDescent="0.25">
      <c r="B1263" s="389"/>
      <c r="C1263" s="423"/>
      <c r="D1263" s="421">
        <f>D1259*C1263</f>
        <v>0</v>
      </c>
      <c r="E1263" s="421">
        <f>E1259*C1263</f>
        <v>0</v>
      </c>
      <c r="F1263" s="421">
        <f>F1259*C1263</f>
        <v>0</v>
      </c>
      <c r="G1263" s="421">
        <f>G1259*C1263</f>
        <v>0</v>
      </c>
      <c r="H1263" s="421">
        <f>H1259*C1263</f>
        <v>0</v>
      </c>
      <c r="I1263" s="421">
        <f>I1259*C1263</f>
        <v>0</v>
      </c>
      <c r="J1263" s="421">
        <f>J1259*C1263</f>
        <v>0</v>
      </c>
      <c r="K1263" s="424">
        <f>SUM(D1263:J1263)</f>
        <v>0</v>
      </c>
    </row>
    <row r="1264" spans="2:13" ht="15" customHeight="1" thickBot="1" x14ac:dyDescent="0.3"/>
    <row r="1265" spans="1:23" ht="15.75" thickBot="1" x14ac:dyDescent="0.3">
      <c r="B1265" s="432"/>
      <c r="C1265" s="411"/>
      <c r="D1265" s="407" t="s">
        <v>548</v>
      </c>
      <c r="E1265" s="408" t="s">
        <v>549</v>
      </c>
      <c r="F1265" s="408" t="s">
        <v>550</v>
      </c>
      <c r="G1265" s="408" t="s">
        <v>551</v>
      </c>
      <c r="H1265" s="408" t="s">
        <v>552</v>
      </c>
      <c r="I1265" s="408" t="s">
        <v>553</v>
      </c>
      <c r="J1265" s="408" t="s">
        <v>554</v>
      </c>
      <c r="K1265" s="408" t="s">
        <v>555</v>
      </c>
      <c r="M1265" s="414"/>
    </row>
    <row r="1266" spans="1:23" ht="15" customHeight="1" thickBot="1" x14ac:dyDescent="0.3">
      <c r="B1266" s="414" t="s">
        <v>556</v>
      </c>
      <c r="C1266" s="415" t="s">
        <v>620</v>
      </c>
      <c r="D1266" s="416">
        <f>IF(ISERROR(VLOOKUP(B1265,'MD Usage'!$A$1:$W$5000,3,FALSE)),0,VLOOKUP(B1265,'MD Usage'!$A$1:$W$5000,3,FALSE))</f>
        <v>0</v>
      </c>
      <c r="E1266" s="416">
        <f>IF(ISERROR(VLOOKUP(B1265,'MD Usage'!$A$1:$W$5000,5,FALSE)),0,VLOOKUP(B1265,'MD Usage'!$A$1:$W$5000,5,FALSE))</f>
        <v>0</v>
      </c>
      <c r="F1266" s="416">
        <f>IF(ISERROR(VLOOKUP(B1265,'MD Usage'!$A$1:$W$5000,7,FALSE)),0,VLOOKUP(B1265,'MD Usage'!$A$1:$W$5000,7,FALSE))</f>
        <v>0</v>
      </c>
      <c r="G1266" s="416">
        <f>IF(ISERROR(VLOOKUP(B1265,'MD Usage'!$A$1:$W$5000,9,FALSE)),0,VLOOKUP(B1265,'MD Usage'!$A$1:$W$5000,9,FALSE))</f>
        <v>0</v>
      </c>
      <c r="H1266" s="416">
        <f>IF(ISERROR(VLOOKUP(B1265,'MD Usage'!$A$1:$W$5000,11,FALSE)),0,VLOOKUP(B1265,'MD Usage'!$A$1:$W$5000,11,FALSE))</f>
        <v>0</v>
      </c>
      <c r="I1266" s="416">
        <f>IF(ISERROR(VLOOKUP(B1265,'MD Usage'!A1:R2000,13,FALSE)),0,VLOOKUP(B1265,'MD Usage'!A1:R2000,13,FALSE))</f>
        <v>0</v>
      </c>
      <c r="J1266" s="416">
        <f>IF(ISERROR(VLOOKUP(B1265,'MD Usage'!A1:R2000,15,FALSE)),0,VLOOKUP(B1265,'MD Usage'!A1:R2000,15,FALSE))</f>
        <v>0</v>
      </c>
      <c r="K1266" s="418">
        <f>SUM(D1266:J1266)</f>
        <v>0</v>
      </c>
    </row>
    <row r="1267" spans="1:23" x14ac:dyDescent="0.25">
      <c r="B1267" s="419"/>
      <c r="C1267" s="420"/>
      <c r="D1267" s="421">
        <f>D1266*C1267</f>
        <v>0</v>
      </c>
      <c r="E1267" s="421">
        <f>E1266*C1267</f>
        <v>0</v>
      </c>
      <c r="F1267" s="421">
        <f>F1266*C1267</f>
        <v>0</v>
      </c>
      <c r="G1267" s="421">
        <f>G1266*C1267</f>
        <v>0</v>
      </c>
      <c r="H1267" s="421">
        <f>H1266*C1267</f>
        <v>0</v>
      </c>
      <c r="I1267" s="421">
        <f>I1266*C1267</f>
        <v>0</v>
      </c>
      <c r="J1267" s="421">
        <f>J1266*C1267</f>
        <v>0</v>
      </c>
      <c r="K1267" s="422">
        <f>SUM(D1267:J1267)</f>
        <v>0</v>
      </c>
    </row>
    <row r="1268" spans="1:23" x14ac:dyDescent="0.25">
      <c r="B1268" s="389"/>
      <c r="C1268" s="423"/>
      <c r="D1268" s="421">
        <f>D1266*C1268</f>
        <v>0</v>
      </c>
      <c r="E1268" s="421">
        <f>E1266*C1268</f>
        <v>0</v>
      </c>
      <c r="F1268" s="421">
        <f>F1266*C1268</f>
        <v>0</v>
      </c>
      <c r="G1268" s="421">
        <f>G1266*C1268</f>
        <v>0</v>
      </c>
      <c r="H1268" s="421">
        <f>H1266*C1268</f>
        <v>0</v>
      </c>
      <c r="I1268" s="421">
        <f>I1266*C1268</f>
        <v>0</v>
      </c>
      <c r="J1268" s="421">
        <f>J1266*C1268</f>
        <v>0</v>
      </c>
      <c r="K1268" s="424">
        <f>SUM(D1268:J1268)</f>
        <v>0</v>
      </c>
    </row>
    <row r="1269" spans="1:23" x14ac:dyDescent="0.25">
      <c r="B1269" s="389"/>
      <c r="C1269" s="423"/>
      <c r="D1269" s="421">
        <f>D1266*C1269</f>
        <v>0</v>
      </c>
      <c r="E1269" s="421">
        <f>E1266*C1269</f>
        <v>0</v>
      </c>
      <c r="F1269" s="421">
        <f>F1266*C1269</f>
        <v>0</v>
      </c>
      <c r="G1269" s="421">
        <f>G1266*C1269</f>
        <v>0</v>
      </c>
      <c r="H1269" s="421">
        <f>H1266*C1269</f>
        <v>0</v>
      </c>
      <c r="I1269" s="421">
        <f>I1266*C1269</f>
        <v>0</v>
      </c>
      <c r="J1269" s="421">
        <f>J1266*C1269</f>
        <v>0</v>
      </c>
      <c r="K1269" s="424">
        <f>SUM(D1269:J1269)</f>
        <v>0</v>
      </c>
    </row>
    <row r="1270" spans="1:23" x14ac:dyDescent="0.25">
      <c r="B1270" s="389"/>
      <c r="C1270" s="423"/>
      <c r="D1270" s="421">
        <f>D1266*C1270</f>
        <v>0</v>
      </c>
      <c r="E1270" s="421">
        <f>E1266*C1270</f>
        <v>0</v>
      </c>
      <c r="F1270" s="421">
        <f>F1266*C1270</f>
        <v>0</v>
      </c>
      <c r="G1270" s="421">
        <f>G1266*C1270</f>
        <v>0</v>
      </c>
      <c r="H1270" s="421">
        <f>H1266*C1270</f>
        <v>0</v>
      </c>
      <c r="I1270" s="421">
        <f>I1266*C1270</f>
        <v>0</v>
      </c>
      <c r="J1270" s="421">
        <f>J1266*C1270</f>
        <v>0</v>
      </c>
      <c r="K1270" s="424">
        <f>SUM(D1270:J1270)</f>
        <v>0</v>
      </c>
    </row>
    <row r="1271" spans="1:23" ht="15" customHeight="1" x14ac:dyDescent="0.25">
      <c r="A1271" s="839" t="s">
        <v>735</v>
      </c>
      <c r="B1271" s="839"/>
      <c r="C1271" s="839"/>
      <c r="D1271" s="839"/>
      <c r="E1271" s="839"/>
      <c r="F1271" s="839"/>
      <c r="G1271" s="839"/>
      <c r="H1271" s="839"/>
      <c r="I1271" s="839"/>
      <c r="J1271" s="839"/>
      <c r="K1271" s="839"/>
      <c r="L1271" s="839"/>
      <c r="M1271" s="839"/>
      <c r="N1271" s="839"/>
      <c r="O1271" s="839"/>
      <c r="P1271" s="839"/>
      <c r="Q1271" s="839"/>
      <c r="R1271" s="839"/>
      <c r="S1271" s="839"/>
      <c r="T1271" s="839"/>
      <c r="U1271" s="839"/>
      <c r="V1271" s="839"/>
      <c r="W1271" s="839"/>
    </row>
    <row r="1272" spans="1:23" ht="15" customHeight="1" thickBot="1" x14ac:dyDescent="0.3"/>
    <row r="1273" spans="1:23" ht="15.75" thickBot="1" x14ac:dyDescent="0.3">
      <c r="B1273" s="432">
        <v>6490380</v>
      </c>
      <c r="C1273" s="411"/>
      <c r="D1273" s="407" t="s">
        <v>548</v>
      </c>
      <c r="E1273" s="408" t="s">
        <v>549</v>
      </c>
      <c r="F1273" s="408" t="s">
        <v>550</v>
      </c>
      <c r="G1273" s="408" t="s">
        <v>551</v>
      </c>
      <c r="H1273" s="408" t="s">
        <v>552</v>
      </c>
      <c r="I1273" s="408" t="s">
        <v>553</v>
      </c>
      <c r="J1273" s="408" t="s">
        <v>554</v>
      </c>
      <c r="K1273" s="408" t="s">
        <v>555</v>
      </c>
      <c r="M1273" s="426" t="s">
        <v>736</v>
      </c>
    </row>
    <row r="1274" spans="1:23" ht="15.75" thickBot="1" x14ac:dyDescent="0.3">
      <c r="B1274" s="414" t="s">
        <v>556</v>
      </c>
      <c r="C1274" s="415" t="s">
        <v>620</v>
      </c>
      <c r="D1274" s="416">
        <f>IF(ISERROR(VLOOKUP(B1273,'MD Usage'!$A$1:$W$5000,3,FALSE)),0,VLOOKUP(B1273,'MD Usage'!$A$1:$W$5000,3,FALSE))</f>
        <v>0</v>
      </c>
      <c r="E1274" s="416">
        <f>IF(ISERROR(VLOOKUP(B1273,'MD Usage'!$A$1:$W$5000,5,FALSE)),0,VLOOKUP(B1273,'MD Usage'!$A$1:$W$5000,5,FALSE))</f>
        <v>0</v>
      </c>
      <c r="F1274" s="416">
        <f>IF(ISERROR(VLOOKUP(B1273,'MD Usage'!$A$1:$W$5000,7,FALSE)),0,VLOOKUP(B1273,'MD Usage'!$A$1:$W$5000,7,FALSE))</f>
        <v>0</v>
      </c>
      <c r="G1274" s="416">
        <f>IF(ISERROR(VLOOKUP(B1273,'MD Usage'!$A$1:$W$5000,9,FALSE)),0,VLOOKUP(B1273,'MD Usage'!$A$1:$W$5000,9,FALSE))</f>
        <v>0</v>
      </c>
      <c r="H1274" s="416">
        <f>IF(ISERROR(VLOOKUP(B1273,'MD Usage'!$A$1:$W$5000,11,FALSE)),0,VLOOKUP(B1273,'MD Usage'!$A$1:$W$5000,11,FALSE))</f>
        <v>0</v>
      </c>
      <c r="I1274" s="416">
        <f>IF(ISERROR(VLOOKUP(B1273,'MD Usage'!A1:R2000,13,FALSE)),0,VLOOKUP(B1273,'MD Usage'!A1:R2000,13,FALSE))</f>
        <v>1</v>
      </c>
      <c r="J1274" s="416">
        <f>IF(ISERROR(VLOOKUP(B1273,'MD Usage'!A1:R2000,15,FALSE)),0,VLOOKUP(B1273,'MD Usage'!A1:R2000,15,FALSE))</f>
        <v>0</v>
      </c>
      <c r="K1274" s="418">
        <f>SUM(D1274:J1274)</f>
        <v>1</v>
      </c>
    </row>
    <row r="1275" spans="1:23" ht="15" customHeight="1" x14ac:dyDescent="0.25">
      <c r="B1275" s="419" t="s">
        <v>594</v>
      </c>
      <c r="C1275" s="420">
        <v>1</v>
      </c>
      <c r="D1275" s="421">
        <f>D1274*C1275</f>
        <v>0</v>
      </c>
      <c r="E1275" s="421">
        <f>E1274*C1275</f>
        <v>0</v>
      </c>
      <c r="F1275" s="421">
        <f>F1274*C1275</f>
        <v>0</v>
      </c>
      <c r="G1275" s="421">
        <f>G1274*C1275</f>
        <v>0</v>
      </c>
      <c r="H1275" s="421">
        <f>H1274*C1275</f>
        <v>0</v>
      </c>
      <c r="I1275" s="421">
        <f>I1274*C1275</f>
        <v>1</v>
      </c>
      <c r="J1275" s="421">
        <f>J1274*C1275</f>
        <v>0</v>
      </c>
      <c r="K1275" s="422">
        <f>SUM(D1275:J1275)</f>
        <v>1</v>
      </c>
    </row>
    <row r="1276" spans="1:23" x14ac:dyDescent="0.25">
      <c r="B1276" s="389" t="s">
        <v>1826</v>
      </c>
      <c r="C1276" s="423">
        <v>1</v>
      </c>
      <c r="D1276" s="421">
        <f>D1274*C1276</f>
        <v>0</v>
      </c>
      <c r="E1276" s="421">
        <f>E1274*C1276</f>
        <v>0</v>
      </c>
      <c r="F1276" s="421">
        <f>F1274*C1276</f>
        <v>0</v>
      </c>
      <c r="G1276" s="421">
        <f>G1274*C1276</f>
        <v>0</v>
      </c>
      <c r="H1276" s="421">
        <f>H1274*C1276</f>
        <v>0</v>
      </c>
      <c r="I1276" s="421">
        <f>I1274*C1276</f>
        <v>1</v>
      </c>
      <c r="J1276" s="421">
        <f>J1274*C1276</f>
        <v>0</v>
      </c>
      <c r="K1276" s="424">
        <f>SUM(D1276:J1276)</f>
        <v>1</v>
      </c>
    </row>
    <row r="1277" spans="1:23" x14ac:dyDescent="0.25">
      <c r="B1277" s="389"/>
      <c r="C1277" s="423"/>
      <c r="D1277" s="421">
        <f>D1274*C1277</f>
        <v>0</v>
      </c>
      <c r="E1277" s="421">
        <f>E1274*C1277</f>
        <v>0</v>
      </c>
      <c r="F1277" s="421">
        <f>F1274*C1277</f>
        <v>0</v>
      </c>
      <c r="G1277" s="421">
        <f>G1274*C1277</f>
        <v>0</v>
      </c>
      <c r="H1277" s="421">
        <f>H1274*C1277</f>
        <v>0</v>
      </c>
      <c r="I1277" s="421">
        <f>I1274*C1277</f>
        <v>0</v>
      </c>
      <c r="J1277" s="421">
        <f>J1274*C1277</f>
        <v>0</v>
      </c>
      <c r="K1277" s="424">
        <f>SUM(D1277:J1277)</f>
        <v>0</v>
      </c>
    </row>
    <row r="1278" spans="1:23" x14ac:dyDescent="0.25">
      <c r="B1278" s="389"/>
      <c r="C1278" s="423"/>
      <c r="D1278" s="421">
        <f>D1274*C1278</f>
        <v>0</v>
      </c>
      <c r="E1278" s="421">
        <f>E1274*C1278</f>
        <v>0</v>
      </c>
      <c r="F1278" s="421">
        <f>F1274*C1278</f>
        <v>0</v>
      </c>
      <c r="G1278" s="421">
        <f>G1274*C1278</f>
        <v>0</v>
      </c>
      <c r="H1278" s="421">
        <f>H1274*C1278</f>
        <v>0</v>
      </c>
      <c r="I1278" s="421">
        <f>I1274*C1278</f>
        <v>0</v>
      </c>
      <c r="J1278" s="421">
        <f>J1274*C1278</f>
        <v>0</v>
      </c>
      <c r="K1278" s="424">
        <f>SUM(D1278:J1278)</f>
        <v>0</v>
      </c>
    </row>
    <row r="1279" spans="1:23" ht="15" customHeight="1" thickBot="1" x14ac:dyDescent="0.3"/>
    <row r="1280" spans="1:23" ht="15" customHeight="1" thickBot="1" x14ac:dyDescent="0.3">
      <c r="B1280" s="432">
        <v>6490409</v>
      </c>
      <c r="C1280" s="411"/>
      <c r="D1280" s="407" t="s">
        <v>548</v>
      </c>
      <c r="E1280" s="408" t="s">
        <v>549</v>
      </c>
      <c r="F1280" s="408" t="s">
        <v>550</v>
      </c>
      <c r="G1280" s="408" t="s">
        <v>551</v>
      </c>
      <c r="H1280" s="408" t="s">
        <v>552</v>
      </c>
      <c r="I1280" s="408" t="s">
        <v>553</v>
      </c>
      <c r="J1280" s="408" t="s">
        <v>554</v>
      </c>
      <c r="K1280" s="408" t="s">
        <v>555</v>
      </c>
      <c r="M1280" s="426" t="s">
        <v>737</v>
      </c>
    </row>
    <row r="1281" spans="2:13" ht="15.75" thickBot="1" x14ac:dyDescent="0.3">
      <c r="B1281" s="414" t="s">
        <v>556</v>
      </c>
      <c r="C1281" s="415" t="s">
        <v>620</v>
      </c>
      <c r="D1281" s="416">
        <f>IF(ISERROR(VLOOKUP(B1280,'MD Usage'!$A$1:$W$5000,3,FALSE)),0,VLOOKUP(B1280,'MD Usage'!$A$1:$W$5000,3,FALSE))</f>
        <v>0</v>
      </c>
      <c r="E1281" s="416">
        <f>IF(ISERROR(VLOOKUP(B1280,'MD Usage'!$A$1:$W$5000,5,FALSE)),0,VLOOKUP(B1280,'MD Usage'!$A$1:$W$5000,5,FALSE))</f>
        <v>0</v>
      </c>
      <c r="F1281" s="416">
        <f>IF(ISERROR(VLOOKUP(B1280,'MD Usage'!$A$1:$W$5000,7,FALSE)),0,VLOOKUP(B1280,'MD Usage'!$A$1:$W$5000,7,FALSE))</f>
        <v>0</v>
      </c>
      <c r="G1281" s="416">
        <f>IF(ISERROR(VLOOKUP(B1280,'MD Usage'!$A$1:$W$5000,9,FALSE)),0,VLOOKUP(B1280,'MD Usage'!$A$1:$W$5000,9,FALSE))</f>
        <v>0</v>
      </c>
      <c r="H1281" s="416">
        <f>IF(ISERROR(VLOOKUP(B1280,'MD Usage'!$A$1:$W$5000,11,FALSE)),0,VLOOKUP(B1280,'MD Usage'!$A$1:$W$5000,11,FALSE))</f>
        <v>1</v>
      </c>
      <c r="I1281" s="416">
        <f>IF(ISERROR(VLOOKUP(B1280,'MD Usage'!A1:R2000,13,FALSE)),0,VLOOKUP(B1280,'MD Usage'!A1:R2000,13,FALSE))</f>
        <v>0</v>
      </c>
      <c r="J1281" s="416">
        <f>IF(ISERROR(VLOOKUP(B1280,'MD Usage'!A1:R2000,15,FALSE)),0,VLOOKUP(B1280,'MD Usage'!A1:R2000,15,FALSE))</f>
        <v>1</v>
      </c>
      <c r="K1281" s="418">
        <f>SUM(D1281:J1281)</f>
        <v>2</v>
      </c>
    </row>
    <row r="1282" spans="2:13" x14ac:dyDescent="0.25">
      <c r="B1282" s="419" t="s">
        <v>594</v>
      </c>
      <c r="C1282" s="420">
        <v>1</v>
      </c>
      <c r="D1282" s="421">
        <f>D1281*C1282</f>
        <v>0</v>
      </c>
      <c r="E1282" s="421">
        <f>E1281*C1282</f>
        <v>0</v>
      </c>
      <c r="F1282" s="421">
        <f>F1281*C1282</f>
        <v>0</v>
      </c>
      <c r="G1282" s="421">
        <f>G1281*C1282</f>
        <v>0</v>
      </c>
      <c r="H1282" s="421">
        <f>H1281*C1282</f>
        <v>1</v>
      </c>
      <c r="I1282" s="421">
        <f>I1281*C1282</f>
        <v>0</v>
      </c>
      <c r="J1282" s="421">
        <f>J1281*C1282</f>
        <v>1</v>
      </c>
      <c r="K1282" s="422">
        <f>SUM(D1282:J1282)</f>
        <v>2</v>
      </c>
    </row>
    <row r="1283" spans="2:13" x14ac:dyDescent="0.25">
      <c r="B1283" s="389" t="s">
        <v>1826</v>
      </c>
      <c r="C1283" s="423">
        <v>1</v>
      </c>
      <c r="D1283" s="421">
        <f>D1281*C1283</f>
        <v>0</v>
      </c>
      <c r="E1283" s="421">
        <f>E1281*C1283</f>
        <v>0</v>
      </c>
      <c r="F1283" s="421">
        <f>F1281*C1283</f>
        <v>0</v>
      </c>
      <c r="G1283" s="421">
        <f>G1281*C1283</f>
        <v>0</v>
      </c>
      <c r="H1283" s="421">
        <f>H1281*C1283</f>
        <v>1</v>
      </c>
      <c r="I1283" s="421">
        <f>I1281*C1283</f>
        <v>0</v>
      </c>
      <c r="J1283" s="421">
        <f>J1281*C1283</f>
        <v>1</v>
      </c>
      <c r="K1283" s="424">
        <f>SUM(D1283:J1283)</f>
        <v>2</v>
      </c>
    </row>
    <row r="1284" spans="2:13" x14ac:dyDescent="0.25">
      <c r="B1284" s="389"/>
      <c r="C1284" s="423"/>
      <c r="D1284" s="421">
        <f>D1281*C1284</f>
        <v>0</v>
      </c>
      <c r="E1284" s="421">
        <f>E1281*C1284</f>
        <v>0</v>
      </c>
      <c r="F1284" s="421">
        <f>F1281*C1284</f>
        <v>0</v>
      </c>
      <c r="G1284" s="421">
        <f>G1281*C1284</f>
        <v>0</v>
      </c>
      <c r="H1284" s="421">
        <f>H1281*C1284</f>
        <v>0</v>
      </c>
      <c r="I1284" s="421">
        <f>I1281*C1284</f>
        <v>0</v>
      </c>
      <c r="J1284" s="421">
        <f>J1281*C1284</f>
        <v>0</v>
      </c>
      <c r="K1284" s="424">
        <f>SUM(D1284:J1284)</f>
        <v>0</v>
      </c>
    </row>
    <row r="1285" spans="2:13" x14ac:dyDescent="0.25">
      <c r="B1285" s="389"/>
      <c r="C1285" s="423"/>
      <c r="D1285" s="421">
        <f>D1281*C1285</f>
        <v>0</v>
      </c>
      <c r="E1285" s="421">
        <f>E1281*C1285</f>
        <v>0</v>
      </c>
      <c r="F1285" s="421">
        <f>F1281*C1285</f>
        <v>0</v>
      </c>
      <c r="G1285" s="421">
        <f>G1281*C1285</f>
        <v>0</v>
      </c>
      <c r="H1285" s="421">
        <f>H1281*C1285</f>
        <v>0</v>
      </c>
      <c r="I1285" s="421">
        <f>I1281*C1285</f>
        <v>0</v>
      </c>
      <c r="J1285" s="421">
        <f>J1281*C1285</f>
        <v>0</v>
      </c>
      <c r="K1285" s="424">
        <f>SUM(D1285:J1285)</f>
        <v>0</v>
      </c>
    </row>
    <row r="1287" spans="2:13" ht="15" customHeight="1" thickBot="1" x14ac:dyDescent="0.3"/>
    <row r="1288" spans="2:13" ht="15" customHeight="1" thickBot="1" x14ac:dyDescent="0.3">
      <c r="B1288" s="432">
        <v>6490156</v>
      </c>
      <c r="C1288" s="411"/>
      <c r="D1288" s="407" t="s">
        <v>548</v>
      </c>
      <c r="E1288" s="408" t="s">
        <v>549</v>
      </c>
      <c r="F1288" s="408" t="s">
        <v>550</v>
      </c>
      <c r="G1288" s="408" t="s">
        <v>551</v>
      </c>
      <c r="H1288" s="408" t="s">
        <v>552</v>
      </c>
      <c r="I1288" s="408" t="s">
        <v>553</v>
      </c>
      <c r="J1288" s="408" t="s">
        <v>554</v>
      </c>
      <c r="K1288" s="408" t="s">
        <v>555</v>
      </c>
      <c r="M1288" s="426" t="s">
        <v>738</v>
      </c>
    </row>
    <row r="1289" spans="2:13" ht="15" customHeight="1" thickBot="1" x14ac:dyDescent="0.3">
      <c r="B1289" s="414" t="s">
        <v>556</v>
      </c>
      <c r="C1289" s="415" t="s">
        <v>620</v>
      </c>
      <c r="D1289" s="416">
        <f>IF(ISERROR(VLOOKUP(B1288,'MD Usage'!$A$1:$W$5000,3,FALSE)),0,VLOOKUP(B1288,'MD Usage'!$A$1:$W$5000,3,FALSE))</f>
        <v>0</v>
      </c>
      <c r="E1289" s="416">
        <f>IF(ISERROR(VLOOKUP(B1288,'MD Usage'!$A$1:$W$5000,5,FALSE)),0,VLOOKUP(B1288,'MD Usage'!$A$1:$W$5000,5,FALSE))</f>
        <v>3</v>
      </c>
      <c r="F1289" s="416">
        <f>IF(ISERROR(VLOOKUP(B1288,'MD Usage'!$A$1:$W$5000,7,FALSE)),0,VLOOKUP(B1288,'MD Usage'!$A$1:$W$5000,7,FALSE))</f>
        <v>1</v>
      </c>
      <c r="G1289" s="416">
        <f>IF(ISERROR(VLOOKUP(B1288,'MD Usage'!$A$1:$W$5000,9,FALSE)),0,VLOOKUP(B1288,'MD Usage'!$A$1:$W$5000,9,FALSE))</f>
        <v>2</v>
      </c>
      <c r="H1289" s="416">
        <f>IF(ISERROR(VLOOKUP(B1288,'MD Usage'!$A$1:$W$5000,11,FALSE)),0,VLOOKUP(B1288,'MD Usage'!$A$1:$W$5000,11,FALSE))</f>
        <v>4</v>
      </c>
      <c r="I1289" s="416">
        <f>IF(ISERROR(VLOOKUP(B1288,'MD Usage'!A1:R2000,13,FALSE)),0,VLOOKUP(B1288,'MD Usage'!A1:R2000,13,FALSE))</f>
        <v>9</v>
      </c>
      <c r="J1289" s="416">
        <f>IF(ISERROR(VLOOKUP(B1288,'MD Usage'!A1:R2000,15,FALSE)),0,VLOOKUP(B1288,'MD Usage'!A1:R2000,15,FALSE))</f>
        <v>3</v>
      </c>
      <c r="K1289" s="418">
        <f>SUM(D1289:J1289)</f>
        <v>22</v>
      </c>
    </row>
    <row r="1290" spans="2:13" ht="15" customHeight="1" x14ac:dyDescent="0.25">
      <c r="B1290" s="419" t="s">
        <v>926</v>
      </c>
      <c r="C1290" s="420">
        <v>1</v>
      </c>
      <c r="D1290" s="421">
        <f>D1289*C1290</f>
        <v>0</v>
      </c>
      <c r="E1290" s="421">
        <f>E1289*C1290</f>
        <v>3</v>
      </c>
      <c r="F1290" s="421">
        <f>F1289*C1290</f>
        <v>1</v>
      </c>
      <c r="G1290" s="421">
        <f>G1289*C1290</f>
        <v>2</v>
      </c>
      <c r="H1290" s="421">
        <f>H1289*C1290</f>
        <v>4</v>
      </c>
      <c r="I1290" s="421">
        <f>I1289*C1290</f>
        <v>9</v>
      </c>
      <c r="J1290" s="421">
        <f>J1289*C1290</f>
        <v>3</v>
      </c>
      <c r="K1290" s="422">
        <f>SUM(D1290:J1290)</f>
        <v>22</v>
      </c>
    </row>
    <row r="1291" spans="2:13" x14ac:dyDescent="0.25">
      <c r="B1291" s="389"/>
      <c r="C1291" s="423"/>
      <c r="D1291" s="421">
        <f>D1289*C1291</f>
        <v>0</v>
      </c>
      <c r="E1291" s="421">
        <f>E1289*C1291</f>
        <v>0</v>
      </c>
      <c r="F1291" s="421">
        <f>F1289*C1291</f>
        <v>0</v>
      </c>
      <c r="G1291" s="421">
        <f>G1289*C1291</f>
        <v>0</v>
      </c>
      <c r="H1291" s="421">
        <f>H1289*C1291</f>
        <v>0</v>
      </c>
      <c r="I1291" s="421">
        <f>I1289*C1291</f>
        <v>0</v>
      </c>
      <c r="J1291" s="421">
        <f>J1289*C1291</f>
        <v>0</v>
      </c>
      <c r="K1291" s="424">
        <f>SUM(D1291:J1291)</f>
        <v>0</v>
      </c>
    </row>
    <row r="1292" spans="2:13" x14ac:dyDescent="0.25">
      <c r="B1292" s="389"/>
      <c r="C1292" s="423"/>
      <c r="D1292" s="421">
        <f>D1289*C1292</f>
        <v>0</v>
      </c>
      <c r="E1292" s="421">
        <f>E1289*C1292</f>
        <v>0</v>
      </c>
      <c r="F1292" s="421">
        <f>F1289*C1292</f>
        <v>0</v>
      </c>
      <c r="G1292" s="421">
        <f>G1289*C1292</f>
        <v>0</v>
      </c>
      <c r="H1292" s="421">
        <f>H1289*C1292</f>
        <v>0</v>
      </c>
      <c r="I1292" s="421">
        <f>I1289*C1292</f>
        <v>0</v>
      </c>
      <c r="J1292" s="421">
        <f>J1289*C1292</f>
        <v>0</v>
      </c>
      <c r="K1292" s="424">
        <f>SUM(D1292:J1292)</f>
        <v>0</v>
      </c>
    </row>
    <row r="1293" spans="2:13" x14ac:dyDescent="0.25">
      <c r="B1293" s="389"/>
      <c r="C1293" s="423"/>
      <c r="D1293" s="421">
        <f>D1289*C1293</f>
        <v>0</v>
      </c>
      <c r="E1293" s="421">
        <f>E1289*C1293</f>
        <v>0</v>
      </c>
      <c r="F1293" s="421">
        <f>F1289*C1293</f>
        <v>0</v>
      </c>
      <c r="G1293" s="421">
        <f>G1289*C1293</f>
        <v>0</v>
      </c>
      <c r="H1293" s="421">
        <f>H1289*C1293</f>
        <v>0</v>
      </c>
      <c r="I1293" s="421">
        <f>I1289*C1293</f>
        <v>0</v>
      </c>
      <c r="J1293" s="421">
        <f>J1289*C1293</f>
        <v>0</v>
      </c>
      <c r="K1293" s="424">
        <f>SUM(D1293:J1293)</f>
        <v>0</v>
      </c>
    </row>
    <row r="1294" spans="2:13" ht="15" customHeight="1" thickBot="1" x14ac:dyDescent="0.3"/>
    <row r="1295" spans="2:13" ht="15" customHeight="1" thickBot="1" x14ac:dyDescent="0.3">
      <c r="B1295" s="432">
        <v>6490442</v>
      </c>
      <c r="C1295" s="411"/>
      <c r="D1295" s="407" t="s">
        <v>548</v>
      </c>
      <c r="E1295" s="408" t="s">
        <v>549</v>
      </c>
      <c r="F1295" s="408" t="s">
        <v>550</v>
      </c>
      <c r="G1295" s="408" t="s">
        <v>551</v>
      </c>
      <c r="H1295" s="408" t="s">
        <v>552</v>
      </c>
      <c r="I1295" s="408" t="s">
        <v>553</v>
      </c>
      <c r="J1295" s="408" t="s">
        <v>554</v>
      </c>
      <c r="K1295" s="408" t="s">
        <v>555</v>
      </c>
      <c r="M1295" s="426" t="s">
        <v>738</v>
      </c>
    </row>
    <row r="1296" spans="2:13" ht="15.75" thickBot="1" x14ac:dyDescent="0.3">
      <c r="B1296" s="414" t="s">
        <v>556</v>
      </c>
      <c r="C1296" s="415" t="s">
        <v>620</v>
      </c>
      <c r="D1296" s="416">
        <f>IF(ISERROR(VLOOKUP(B1295,'MD Usage'!$A$1:$W$5000,3,FALSE)),0,VLOOKUP(B1295,'MD Usage'!$A$1:$W$5000,3,FALSE))</f>
        <v>0</v>
      </c>
      <c r="E1296" s="416">
        <f>IF(ISERROR(VLOOKUP(B1295,'MD Usage'!$A$1:$W$5000,5,FALSE)),0,VLOOKUP(B1295,'MD Usage'!$A$1:$W$5000,5,FALSE))</f>
        <v>0</v>
      </c>
      <c r="F1296" s="416">
        <f>IF(ISERROR(VLOOKUP(B1295,'MD Usage'!$A$1:$W$5000,7,FALSE)),0,VLOOKUP(B1295,'MD Usage'!$A$1:$W$5000,7,FALSE))</f>
        <v>2</v>
      </c>
      <c r="G1296" s="416">
        <f>IF(ISERROR(VLOOKUP(B1295,'MD Usage'!$A$1:$W$5000,9,FALSE)),0,VLOOKUP(B1295,'MD Usage'!$A$1:$W$5000,9,FALSE))</f>
        <v>0</v>
      </c>
      <c r="H1296" s="416">
        <f>IF(ISERROR(VLOOKUP(B1295,'MD Usage'!$A$1:$W$5000,11,FALSE)),0,VLOOKUP(B1295,'MD Usage'!$A$1:$W$5000,11,FALSE))</f>
        <v>0</v>
      </c>
      <c r="I1296" s="416">
        <f>IF(ISERROR(VLOOKUP(B1295,'MD Usage'!A1:R2000,13,FALSE)),0,VLOOKUP(B1295,'MD Usage'!A1:R2000,13,FALSE))</f>
        <v>4</v>
      </c>
      <c r="J1296" s="416">
        <f>IF(ISERROR(VLOOKUP(B1295,'MD Usage'!A1:R2000,15,FALSE)),0,VLOOKUP(B1295,'MD Usage'!A1:R2000,15,FALSE))</f>
        <v>0</v>
      </c>
      <c r="K1296" s="418">
        <f>SUM(D1296:J1296)</f>
        <v>6</v>
      </c>
    </row>
    <row r="1297" spans="2:13" x14ac:dyDescent="0.25">
      <c r="B1297" s="419" t="s">
        <v>926</v>
      </c>
      <c r="C1297" s="420">
        <v>1</v>
      </c>
      <c r="D1297" s="421">
        <f>D1296*C1297</f>
        <v>0</v>
      </c>
      <c r="E1297" s="421">
        <f>E1296*C1297</f>
        <v>0</v>
      </c>
      <c r="F1297" s="421">
        <f>F1296*C1297</f>
        <v>2</v>
      </c>
      <c r="G1297" s="421">
        <f>G1296*C1297</f>
        <v>0</v>
      </c>
      <c r="H1297" s="421">
        <f>H1296*C1297</f>
        <v>0</v>
      </c>
      <c r="I1297" s="421">
        <f>I1296*C1297</f>
        <v>4</v>
      </c>
      <c r="J1297" s="421">
        <f>J1296*C1297</f>
        <v>0</v>
      </c>
      <c r="K1297" s="422">
        <f>SUM(D1297:J1297)</f>
        <v>6</v>
      </c>
    </row>
    <row r="1298" spans="2:13" x14ac:dyDescent="0.25">
      <c r="B1298" s="389"/>
      <c r="C1298" s="423"/>
      <c r="D1298" s="421">
        <f>D1296*C1298</f>
        <v>0</v>
      </c>
      <c r="E1298" s="421">
        <f>E1296*C1298</f>
        <v>0</v>
      </c>
      <c r="F1298" s="421">
        <f>F1296*C1298</f>
        <v>0</v>
      </c>
      <c r="G1298" s="421">
        <f>G1296*C1298</f>
        <v>0</v>
      </c>
      <c r="H1298" s="421">
        <f>H1296*C1298</f>
        <v>0</v>
      </c>
      <c r="I1298" s="421">
        <f>I1296*C1298</f>
        <v>0</v>
      </c>
      <c r="J1298" s="421">
        <f>J1296*C1298</f>
        <v>0</v>
      </c>
      <c r="K1298" s="424">
        <f>SUM(D1298:J1298)</f>
        <v>0</v>
      </c>
    </row>
    <row r="1299" spans="2:13" ht="15" customHeight="1" x14ac:dyDescent="0.25">
      <c r="B1299" s="389"/>
      <c r="C1299" s="423"/>
      <c r="D1299" s="421">
        <f>D1296*C1299</f>
        <v>0</v>
      </c>
      <c r="E1299" s="421">
        <f>E1296*C1299</f>
        <v>0</v>
      </c>
      <c r="F1299" s="421">
        <f>F1296*C1299</f>
        <v>0</v>
      </c>
      <c r="G1299" s="421">
        <f>G1296*C1299</f>
        <v>0</v>
      </c>
      <c r="H1299" s="421">
        <f>H1296*C1299</f>
        <v>0</v>
      </c>
      <c r="I1299" s="421">
        <f>I1296*C1299</f>
        <v>0</v>
      </c>
      <c r="J1299" s="421">
        <f>J1296*C1299</f>
        <v>0</v>
      </c>
      <c r="K1299" s="424">
        <f>SUM(D1299:J1299)</f>
        <v>0</v>
      </c>
    </row>
    <row r="1300" spans="2:13" x14ac:dyDescent="0.25">
      <c r="B1300" s="389"/>
      <c r="C1300" s="423"/>
      <c r="D1300" s="421">
        <f>D1296*C1300</f>
        <v>0</v>
      </c>
      <c r="E1300" s="421">
        <f>E1296*C1300</f>
        <v>0</v>
      </c>
      <c r="F1300" s="421">
        <f>F1296*C1300</f>
        <v>0</v>
      </c>
      <c r="G1300" s="421">
        <f>G1296*C1300</f>
        <v>0</v>
      </c>
      <c r="H1300" s="421">
        <f>H1296*C1300</f>
        <v>0</v>
      </c>
      <c r="I1300" s="421">
        <f>I1296*C1300</f>
        <v>0</v>
      </c>
      <c r="J1300" s="421">
        <f>J1296*C1300</f>
        <v>0</v>
      </c>
      <c r="K1300" s="424">
        <f>SUM(D1300:J1300)</f>
        <v>0</v>
      </c>
    </row>
    <row r="1302" spans="2:13" ht="15" customHeight="1" thickBot="1" x14ac:dyDescent="0.3"/>
    <row r="1303" spans="2:13" ht="15.75" thickBot="1" x14ac:dyDescent="0.3">
      <c r="B1303" s="432">
        <v>6490816</v>
      </c>
      <c r="C1303" s="411"/>
      <c r="D1303" s="407" t="s">
        <v>548</v>
      </c>
      <c r="E1303" s="408" t="s">
        <v>549</v>
      </c>
      <c r="F1303" s="408" t="s">
        <v>550</v>
      </c>
      <c r="G1303" s="408" t="s">
        <v>551</v>
      </c>
      <c r="H1303" s="408" t="s">
        <v>552</v>
      </c>
      <c r="I1303" s="408" t="s">
        <v>553</v>
      </c>
      <c r="J1303" s="408" t="s">
        <v>554</v>
      </c>
      <c r="K1303" s="408" t="s">
        <v>555</v>
      </c>
      <c r="M1303" s="426" t="s">
        <v>738</v>
      </c>
    </row>
    <row r="1304" spans="2:13" ht="15" customHeight="1" thickBot="1" x14ac:dyDescent="0.3">
      <c r="B1304" s="414" t="s">
        <v>556</v>
      </c>
      <c r="C1304" s="415" t="s">
        <v>620</v>
      </c>
      <c r="D1304" s="416">
        <f>IF(ISERROR(VLOOKUP(B1303,'MD Usage'!$A$1:$W$5000,3,FALSE)),0,VLOOKUP(B1303,'MD Usage'!$A$1:$W$5000,3,FALSE))</f>
        <v>0</v>
      </c>
      <c r="E1304" s="416">
        <f>IF(ISERROR(VLOOKUP(B1303,'MD Usage'!$A$1:$W$5000,5,FALSE)),0,VLOOKUP(B1303,'MD Usage'!$A$1:$W$5000,5,FALSE))</f>
        <v>0</v>
      </c>
      <c r="F1304" s="416">
        <f>IF(ISERROR(VLOOKUP(B1303,'MD Usage'!$A$1:$W$5000,7,FALSE)),0,VLOOKUP(B1303,'MD Usage'!$A$1:$W$5000,7,FALSE))</f>
        <v>0</v>
      </c>
      <c r="G1304" s="416">
        <f>IF(ISERROR(VLOOKUP(B1303,'MD Usage'!$A$1:$W$5000,9,FALSE)),0,VLOOKUP(B1303,'MD Usage'!$A$1:$W$5000,9,FALSE))</f>
        <v>0</v>
      </c>
      <c r="H1304" s="416">
        <f>IF(ISERROR(VLOOKUP(B1303,'MD Usage'!$A$1:$W$5000,11,FALSE)),0,VLOOKUP(B1303,'MD Usage'!$A$1:$W$5000,11,FALSE))</f>
        <v>1</v>
      </c>
      <c r="I1304" s="416">
        <f>IF(ISERROR(VLOOKUP(B1303,'MD Usage'!A1:R2000,13,FALSE)),0,VLOOKUP(B1303,'MD Usage'!A1:R2000,13,FALSE))</f>
        <v>0</v>
      </c>
      <c r="J1304" s="416">
        <f>IF(ISERROR(VLOOKUP(B1303,'MD Usage'!A1:R2000,15,FALSE)),0,VLOOKUP(B1303,'MD Usage'!A1:R2000,15,FALSE))</f>
        <v>0</v>
      </c>
      <c r="K1304" s="418">
        <f>SUM(D1304:J1304)</f>
        <v>1</v>
      </c>
    </row>
    <row r="1305" spans="2:13" x14ac:dyDescent="0.25">
      <c r="B1305" s="383" t="s">
        <v>926</v>
      </c>
      <c r="C1305" s="420">
        <v>1</v>
      </c>
      <c r="D1305" s="421">
        <f>D1304*C1305</f>
        <v>0</v>
      </c>
      <c r="E1305" s="421">
        <f>E1304*C1305</f>
        <v>0</v>
      </c>
      <c r="F1305" s="421">
        <f>F1304*C1305</f>
        <v>0</v>
      </c>
      <c r="G1305" s="421">
        <f>G1304*C1305</f>
        <v>0</v>
      </c>
      <c r="H1305" s="421">
        <f>H1304*C1305</f>
        <v>1</v>
      </c>
      <c r="I1305" s="421">
        <f>I1304*C1305</f>
        <v>0</v>
      </c>
      <c r="J1305" s="421">
        <f>J1304*C1305</f>
        <v>0</v>
      </c>
      <c r="K1305" s="422">
        <f>SUM(D1305:J1305)</f>
        <v>1</v>
      </c>
    </row>
    <row r="1306" spans="2:13" x14ac:dyDescent="0.25">
      <c r="B1306" s="389"/>
      <c r="C1306" s="423"/>
      <c r="D1306" s="421">
        <f>D1304*C1306</f>
        <v>0</v>
      </c>
      <c r="E1306" s="421">
        <f>E1304*C1306</f>
        <v>0</v>
      </c>
      <c r="F1306" s="421">
        <f>F1304*C1306</f>
        <v>0</v>
      </c>
      <c r="G1306" s="421">
        <f>G1304*C1306</f>
        <v>0</v>
      </c>
      <c r="H1306" s="421">
        <f>H1304*C1306</f>
        <v>0</v>
      </c>
      <c r="I1306" s="421">
        <f>I1304*C1306</f>
        <v>0</v>
      </c>
      <c r="J1306" s="421">
        <f>J1304*C1306</f>
        <v>0</v>
      </c>
      <c r="K1306" s="424">
        <f>SUM(D1306:J1306)</f>
        <v>0</v>
      </c>
    </row>
    <row r="1307" spans="2:13" x14ac:dyDescent="0.25">
      <c r="B1307" s="389"/>
      <c r="C1307" s="423"/>
      <c r="D1307" s="421">
        <f>D1304*C1307</f>
        <v>0</v>
      </c>
      <c r="E1307" s="421">
        <f>E1304*C1307</f>
        <v>0</v>
      </c>
      <c r="F1307" s="421">
        <f>F1304*C1307</f>
        <v>0</v>
      </c>
      <c r="G1307" s="421">
        <f>G1304*C1307</f>
        <v>0</v>
      </c>
      <c r="H1307" s="421">
        <f>H1304*C1307</f>
        <v>0</v>
      </c>
      <c r="I1307" s="421">
        <f>I1304*C1307</f>
        <v>0</v>
      </c>
      <c r="J1307" s="421">
        <f>J1304*C1307</f>
        <v>0</v>
      </c>
      <c r="K1307" s="424">
        <f>SUM(D1307:J1307)</f>
        <v>0</v>
      </c>
    </row>
    <row r="1308" spans="2:13" x14ac:dyDescent="0.25">
      <c r="B1308" s="389"/>
      <c r="C1308" s="423"/>
      <c r="D1308" s="421">
        <f>D1304*C1308</f>
        <v>0</v>
      </c>
      <c r="E1308" s="421">
        <f>E1304*C1308</f>
        <v>0</v>
      </c>
      <c r="F1308" s="421">
        <f>F1304*C1308</f>
        <v>0</v>
      </c>
      <c r="G1308" s="421">
        <f>G1304*C1308</f>
        <v>0</v>
      </c>
      <c r="H1308" s="421">
        <f>H1304*C1308</f>
        <v>0</v>
      </c>
      <c r="I1308" s="421">
        <f>I1304*C1308</f>
        <v>0</v>
      </c>
      <c r="J1308" s="421">
        <f>J1304*C1308</f>
        <v>0</v>
      </c>
      <c r="K1308" s="424">
        <f>SUM(D1308:J1308)</f>
        <v>0</v>
      </c>
    </row>
    <row r="1309" spans="2:13" ht="15" customHeight="1" thickBot="1" x14ac:dyDescent="0.3"/>
    <row r="1310" spans="2:13" ht="15.75" thickBot="1" x14ac:dyDescent="0.3">
      <c r="B1310" s="414">
        <v>6490157</v>
      </c>
      <c r="C1310" s="411"/>
      <c r="D1310" s="407" t="s">
        <v>548</v>
      </c>
      <c r="E1310" s="408" t="s">
        <v>549</v>
      </c>
      <c r="F1310" s="408" t="s">
        <v>550</v>
      </c>
      <c r="G1310" s="408" t="s">
        <v>551</v>
      </c>
      <c r="H1310" s="408" t="s">
        <v>552</v>
      </c>
      <c r="I1310" s="408" t="s">
        <v>553</v>
      </c>
      <c r="J1310" s="408" t="s">
        <v>554</v>
      </c>
      <c r="K1310" s="408" t="s">
        <v>555</v>
      </c>
      <c r="M1310" s="426" t="s">
        <v>739</v>
      </c>
    </row>
    <row r="1311" spans="2:13" ht="15.75" thickBot="1" x14ac:dyDescent="0.3">
      <c r="B1311" s="414" t="s">
        <v>556</v>
      </c>
      <c r="C1311" s="415" t="s">
        <v>620</v>
      </c>
      <c r="D1311" s="416">
        <f>IF(ISERROR(VLOOKUP(B1310,'MD Usage'!$A$1:$W$5000,3,FALSE)),0,VLOOKUP(B1310,'MD Usage'!$A$1:$W$5000,3,FALSE))</f>
        <v>0</v>
      </c>
      <c r="E1311" s="416">
        <f>IF(ISERROR(VLOOKUP(B1310,'MD Usage'!$A$1:$W$5000,5,FALSE)),0,VLOOKUP(B1310,'MD Usage'!$A$1:$W$5000,5,FALSE))</f>
        <v>0</v>
      </c>
      <c r="F1311" s="416">
        <f>IF(ISERROR(VLOOKUP(B1310,'MD Usage'!$A$1:$W$5000,7,FALSE)),0,VLOOKUP(B1310,'MD Usage'!$A$1:$W$5000,7,FALSE))</f>
        <v>0</v>
      </c>
      <c r="G1311" s="416">
        <f>IF(ISERROR(VLOOKUP(B1310,'MD Usage'!$A$1:$W$5000,9,FALSE)),0,VLOOKUP(B1310,'MD Usage'!$A$1:$W$5000,9,FALSE))</f>
        <v>0</v>
      </c>
      <c r="H1311" s="416">
        <f>IF(ISERROR(VLOOKUP(B1310,'MD Usage'!$A$1:$W$5000,11,FALSE)),0,VLOOKUP(B1310,'MD Usage'!$A$1:$W$5000,11,FALSE))</f>
        <v>4</v>
      </c>
      <c r="I1311" s="416">
        <f>IF(ISERROR(VLOOKUP(B1310,'MD Usage'!A1:R2000,13,FALSE)),0,VLOOKUP(B1310,'MD Usage'!A1:R2000,13,FALSE))</f>
        <v>0</v>
      </c>
      <c r="J1311" s="416">
        <f>IF(ISERROR(VLOOKUP(B1310,'MD Usage'!A1:R2000,15,FALSE)),0,VLOOKUP(B1310,'MD Usage'!A1:R2000,15,FALSE))</f>
        <v>0</v>
      </c>
      <c r="K1311" s="418">
        <f>SUM(D1311:J1311)</f>
        <v>4</v>
      </c>
    </row>
    <row r="1312" spans="2:13" x14ac:dyDescent="0.25">
      <c r="B1312" s="419" t="s">
        <v>593</v>
      </c>
      <c r="C1312" s="420">
        <v>4</v>
      </c>
      <c r="D1312" s="421">
        <f>D1311*C1312</f>
        <v>0</v>
      </c>
      <c r="E1312" s="421">
        <f>E1311*C1312</f>
        <v>0</v>
      </c>
      <c r="F1312" s="421">
        <f>F1311*C1312</f>
        <v>0</v>
      </c>
      <c r="G1312" s="421">
        <f>G1311*C1312</f>
        <v>0</v>
      </c>
      <c r="H1312" s="421">
        <f>H1311*C1312</f>
        <v>16</v>
      </c>
      <c r="I1312" s="421">
        <f>I1311*C1312</f>
        <v>0</v>
      </c>
      <c r="J1312" s="421">
        <f>J1311*C1312</f>
        <v>0</v>
      </c>
      <c r="K1312" s="422">
        <f>SUM(D1312:J1312)</f>
        <v>16</v>
      </c>
    </row>
    <row r="1313" spans="2:13" x14ac:dyDescent="0.25">
      <c r="B1313" s="389"/>
      <c r="C1313" s="423"/>
      <c r="D1313" s="421">
        <f>D1311*C1313</f>
        <v>0</v>
      </c>
      <c r="E1313" s="421">
        <f>E1311*C1313</f>
        <v>0</v>
      </c>
      <c r="F1313" s="421">
        <f>F1311*C1313</f>
        <v>0</v>
      </c>
      <c r="G1313" s="421">
        <f>G1311*C1313</f>
        <v>0</v>
      </c>
      <c r="H1313" s="421">
        <f>H1311*C1313</f>
        <v>0</v>
      </c>
      <c r="I1313" s="421">
        <f>I1311*C1313</f>
        <v>0</v>
      </c>
      <c r="J1313" s="421">
        <f>J1311*C1313</f>
        <v>0</v>
      </c>
      <c r="K1313" s="424">
        <f>SUM(D1313:J1313)</f>
        <v>0</v>
      </c>
    </row>
    <row r="1314" spans="2:13" ht="15" customHeight="1" x14ac:dyDescent="0.25">
      <c r="B1314" s="389"/>
      <c r="C1314" s="423"/>
      <c r="D1314" s="421">
        <f>D1311*C1314</f>
        <v>0</v>
      </c>
      <c r="E1314" s="421">
        <f>E1311*C1314</f>
        <v>0</v>
      </c>
      <c r="F1314" s="421">
        <f>F1311*C1314</f>
        <v>0</v>
      </c>
      <c r="G1314" s="421">
        <f>G1311*C1314</f>
        <v>0</v>
      </c>
      <c r="H1314" s="421">
        <f>H1311*C1314</f>
        <v>0</v>
      </c>
      <c r="I1314" s="421">
        <f>I1311*C1314</f>
        <v>0</v>
      </c>
      <c r="J1314" s="421">
        <f>J1311*C1314</f>
        <v>0</v>
      </c>
      <c r="K1314" s="424">
        <f>SUM(D1314:J1314)</f>
        <v>0</v>
      </c>
    </row>
    <row r="1315" spans="2:13" x14ac:dyDescent="0.25">
      <c r="B1315" s="389"/>
      <c r="C1315" s="423"/>
      <c r="D1315" s="421">
        <f>D1311*C1315</f>
        <v>0</v>
      </c>
      <c r="E1315" s="421">
        <f>E1311*C1315</f>
        <v>0</v>
      </c>
      <c r="F1315" s="421">
        <f>F1311*C1315</f>
        <v>0</v>
      </c>
      <c r="G1315" s="421">
        <f>G1311*C1315</f>
        <v>0</v>
      </c>
      <c r="H1315" s="421">
        <f>H1311*C1315</f>
        <v>0</v>
      </c>
      <c r="I1315" s="421">
        <f>I1311*C1315</f>
        <v>0</v>
      </c>
      <c r="J1315" s="421">
        <f>J1311*C1315</f>
        <v>0</v>
      </c>
      <c r="K1315" s="424">
        <f>SUM(D1315:J1315)</f>
        <v>0</v>
      </c>
    </row>
    <row r="1317" spans="2:13" ht="15" customHeight="1" thickBot="1" x14ac:dyDescent="0.3"/>
    <row r="1318" spans="2:13" ht="15.75" thickBot="1" x14ac:dyDescent="0.3">
      <c r="B1318" s="414">
        <v>6490158</v>
      </c>
      <c r="C1318" s="411"/>
      <c r="D1318" s="407" t="s">
        <v>548</v>
      </c>
      <c r="E1318" s="408" t="s">
        <v>549</v>
      </c>
      <c r="F1318" s="408" t="s">
        <v>550</v>
      </c>
      <c r="G1318" s="408" t="s">
        <v>551</v>
      </c>
      <c r="H1318" s="408" t="s">
        <v>552</v>
      </c>
      <c r="I1318" s="408" t="s">
        <v>553</v>
      </c>
      <c r="J1318" s="408" t="s">
        <v>554</v>
      </c>
      <c r="K1318" s="408" t="s">
        <v>555</v>
      </c>
      <c r="M1318" s="426" t="s">
        <v>740</v>
      </c>
    </row>
    <row r="1319" spans="2:13" ht="15" customHeight="1" thickBot="1" x14ac:dyDescent="0.3">
      <c r="B1319" s="414" t="s">
        <v>556</v>
      </c>
      <c r="C1319" s="415" t="s">
        <v>620</v>
      </c>
      <c r="D1319" s="416">
        <f>IF(ISERROR(VLOOKUP(B1318,'MD Usage'!$A$1:$W$5000,3,FALSE)),0,VLOOKUP(B1318,'MD Usage'!$A$1:$W$5000,3,FALSE))</f>
        <v>0</v>
      </c>
      <c r="E1319" s="416">
        <f>IF(ISERROR(VLOOKUP(B1318,'MD Usage'!$A$1:$W$5000,5,FALSE)),0,VLOOKUP(B1318,'MD Usage'!$A$1:$W$5000,5,FALSE))</f>
        <v>0</v>
      </c>
      <c r="F1319" s="416">
        <f>IF(ISERROR(VLOOKUP(B1318,'MD Usage'!$A$1:$W$5000,7,FALSE)),0,VLOOKUP(B1318,'MD Usage'!$A$1:$W$5000,7,FALSE))</f>
        <v>1</v>
      </c>
      <c r="G1319" s="416">
        <f>IF(ISERROR(VLOOKUP(B1318,'MD Usage'!$A$1:$W$5000,9,FALSE)),0,VLOOKUP(B1318,'MD Usage'!$A$1:$W$5000,9,FALSE))</f>
        <v>0</v>
      </c>
      <c r="H1319" s="416">
        <f>IF(ISERROR(VLOOKUP(B1318,'MD Usage'!$A$1:$W$5000,11,FALSE)),0,VLOOKUP(B1318,'MD Usage'!$A$1:$W$5000,11,FALSE))</f>
        <v>1</v>
      </c>
      <c r="I1319" s="416">
        <f>IF(ISERROR(VLOOKUP(B1318,'MD Usage'!A1:R2000,13,FALSE)),0,VLOOKUP(B1318,'MD Usage'!A1:R2000,13,FALSE))</f>
        <v>2</v>
      </c>
      <c r="J1319" s="416">
        <f>IF(ISERROR(VLOOKUP(B1318,'MD Usage'!A1:R2000,15,FALSE)),0,VLOOKUP(B1318,'MD Usage'!A1:R2000,15,FALSE))</f>
        <v>0</v>
      </c>
      <c r="K1319" s="418">
        <f>SUM(D1319:J1319)</f>
        <v>4</v>
      </c>
    </row>
    <row r="1320" spans="2:13" x14ac:dyDescent="0.25">
      <c r="B1320" s="419" t="s">
        <v>570</v>
      </c>
      <c r="C1320" s="420">
        <v>3</v>
      </c>
      <c r="D1320" s="421">
        <f>D1319*C1320</f>
        <v>0</v>
      </c>
      <c r="E1320" s="421">
        <f>E1319*C1320</f>
        <v>0</v>
      </c>
      <c r="F1320" s="421">
        <f>F1319*C1320</f>
        <v>3</v>
      </c>
      <c r="G1320" s="421">
        <f>G1319*C1320</f>
        <v>0</v>
      </c>
      <c r="H1320" s="421">
        <f>H1319*C1320</f>
        <v>3</v>
      </c>
      <c r="I1320" s="421">
        <f>I1319*C1320</f>
        <v>6</v>
      </c>
      <c r="J1320" s="421">
        <f>J1319*C1320</f>
        <v>0</v>
      </c>
      <c r="K1320" s="422">
        <f>SUM(D1320:J1320)</f>
        <v>12</v>
      </c>
    </row>
    <row r="1321" spans="2:13" x14ac:dyDescent="0.25">
      <c r="B1321" s="389"/>
      <c r="C1321" s="423"/>
      <c r="D1321" s="421">
        <f>D1319*C1321</f>
        <v>0</v>
      </c>
      <c r="E1321" s="421">
        <f>E1319*C1321</f>
        <v>0</v>
      </c>
      <c r="F1321" s="421">
        <f>F1319*C1321</f>
        <v>0</v>
      </c>
      <c r="G1321" s="421">
        <f>G1319*C1321</f>
        <v>0</v>
      </c>
      <c r="H1321" s="421">
        <f>H1319*C1321</f>
        <v>0</v>
      </c>
      <c r="I1321" s="421">
        <f>I1319*C1321</f>
        <v>0</v>
      </c>
      <c r="J1321" s="421">
        <f>J1319*C1321</f>
        <v>0</v>
      </c>
      <c r="K1321" s="424">
        <f>SUM(D1321:J1321)</f>
        <v>0</v>
      </c>
    </row>
    <row r="1322" spans="2:13" x14ac:dyDescent="0.25">
      <c r="B1322" s="389"/>
      <c r="C1322" s="423"/>
      <c r="D1322" s="421">
        <f>D1319*C1322</f>
        <v>0</v>
      </c>
      <c r="E1322" s="421">
        <f>E1319*C1322</f>
        <v>0</v>
      </c>
      <c r="F1322" s="421">
        <f>F1319*C1322</f>
        <v>0</v>
      </c>
      <c r="G1322" s="421">
        <f>G1319*C1322</f>
        <v>0</v>
      </c>
      <c r="H1322" s="421">
        <f>H1319*C1322</f>
        <v>0</v>
      </c>
      <c r="I1322" s="421">
        <f>I1319*C1322</f>
        <v>0</v>
      </c>
      <c r="J1322" s="421">
        <f>J1319*C1322</f>
        <v>0</v>
      </c>
      <c r="K1322" s="424">
        <f>SUM(D1322:J1322)</f>
        <v>0</v>
      </c>
    </row>
    <row r="1323" spans="2:13" x14ac:dyDescent="0.25">
      <c r="B1323" s="389"/>
      <c r="C1323" s="423"/>
      <c r="D1323" s="421">
        <f>D1319*C1323</f>
        <v>0</v>
      </c>
      <c r="E1323" s="421">
        <f>E1319*C1323</f>
        <v>0</v>
      </c>
      <c r="F1323" s="421">
        <f>F1319*C1323</f>
        <v>0</v>
      </c>
      <c r="G1323" s="421">
        <f>G1319*C1323</f>
        <v>0</v>
      </c>
      <c r="H1323" s="421">
        <f>H1319*C1323</f>
        <v>0</v>
      </c>
      <c r="I1323" s="421">
        <f>I1319*C1323</f>
        <v>0</v>
      </c>
      <c r="J1323" s="421">
        <f>J1319*C1323</f>
        <v>0</v>
      </c>
      <c r="K1323" s="424">
        <f>SUM(D1323:J1323)</f>
        <v>0</v>
      </c>
    </row>
    <row r="1324" spans="2:13" ht="15" customHeight="1" thickBot="1" x14ac:dyDescent="0.3"/>
    <row r="1325" spans="2:13" ht="15.75" thickBot="1" x14ac:dyDescent="0.3">
      <c r="B1325" s="414">
        <v>6490444</v>
      </c>
      <c r="C1325" s="411"/>
      <c r="D1325" s="407" t="s">
        <v>548</v>
      </c>
      <c r="E1325" s="408" t="s">
        <v>549</v>
      </c>
      <c r="F1325" s="408" t="s">
        <v>550</v>
      </c>
      <c r="G1325" s="408" t="s">
        <v>551</v>
      </c>
      <c r="H1325" s="408" t="s">
        <v>552</v>
      </c>
      <c r="I1325" s="408" t="s">
        <v>553</v>
      </c>
      <c r="J1325" s="408" t="s">
        <v>554</v>
      </c>
      <c r="K1325" s="408" t="s">
        <v>555</v>
      </c>
      <c r="M1325" s="426" t="s">
        <v>741</v>
      </c>
    </row>
    <row r="1326" spans="2:13" ht="15.75" thickBot="1" x14ac:dyDescent="0.3">
      <c r="B1326" s="414" t="s">
        <v>556</v>
      </c>
      <c r="C1326" s="415" t="s">
        <v>620</v>
      </c>
      <c r="D1326" s="416">
        <f>IF(ISERROR(VLOOKUP(B1325,'MD Usage'!$A$1:$W$5000,3,FALSE)),0,VLOOKUP(B1325,'MD Usage'!$A$1:$W$5000,3,FALSE))</f>
        <v>0</v>
      </c>
      <c r="E1326" s="416">
        <f>IF(ISERROR(VLOOKUP(B1325,'MD Usage'!$A$1:$W$5000,5,FALSE)),0,VLOOKUP(B1325,'MD Usage'!$A$1:$W$5000,5,FALSE))</f>
        <v>1</v>
      </c>
      <c r="F1326" s="416">
        <f>IF(ISERROR(VLOOKUP(B1325,'MD Usage'!$A$1:$W$5000,7,FALSE)),0,VLOOKUP(B1325,'MD Usage'!$A$1:$W$5000,7,FALSE))</f>
        <v>0</v>
      </c>
      <c r="G1326" s="416">
        <f>IF(ISERROR(VLOOKUP(B1325,'MD Usage'!$A$1:$W$5000,9,FALSE)),0,VLOOKUP(B1325,'MD Usage'!$A$1:$W$5000,9,FALSE))</f>
        <v>0</v>
      </c>
      <c r="H1326" s="416">
        <f>IF(ISERROR(VLOOKUP(B1325,'MD Usage'!$A$1:$W$5000,11,FALSE)),0,VLOOKUP(B1325,'MD Usage'!$A$1:$W$5000,11,FALSE))</f>
        <v>0</v>
      </c>
      <c r="I1326" s="416">
        <f>IF(ISERROR(VLOOKUP(B1325,'MD Usage'!A1:R2000,13,FALSE)),0,VLOOKUP(B1325,'MD Usage'!A1:R2000,13,FALSE))</f>
        <v>0</v>
      </c>
      <c r="J1326" s="416">
        <f>IF(ISERROR(VLOOKUP(B1325,'MD Usage'!A1:R2000,15,FALSE)),0,VLOOKUP(B1325,'MD Usage'!A1:R2000,15,FALSE))</f>
        <v>0</v>
      </c>
      <c r="K1326" s="418">
        <f>SUM(D1326:J1326)</f>
        <v>1</v>
      </c>
    </row>
    <row r="1327" spans="2:13" x14ac:dyDescent="0.25">
      <c r="B1327" s="419" t="s">
        <v>570</v>
      </c>
      <c r="C1327" s="420">
        <v>3</v>
      </c>
      <c r="D1327" s="421">
        <f>D1326*C1327</f>
        <v>0</v>
      </c>
      <c r="E1327" s="421">
        <f>E1326*C1327</f>
        <v>3</v>
      </c>
      <c r="F1327" s="421">
        <f>F1326*C1327</f>
        <v>0</v>
      </c>
      <c r="G1327" s="421">
        <f>G1326*C1327</f>
        <v>0</v>
      </c>
      <c r="H1327" s="421">
        <f>H1326*C1327</f>
        <v>0</v>
      </c>
      <c r="I1327" s="421">
        <f>I1326*C1327</f>
        <v>0</v>
      </c>
      <c r="J1327" s="421">
        <f>J1326*C1327</f>
        <v>0</v>
      </c>
      <c r="K1327" s="422">
        <f>SUM(D1327:J1327)</f>
        <v>3</v>
      </c>
    </row>
    <row r="1328" spans="2:13" x14ac:dyDescent="0.25">
      <c r="B1328" s="389"/>
      <c r="C1328" s="423"/>
      <c r="D1328" s="421">
        <f>D1326*C1328</f>
        <v>0</v>
      </c>
      <c r="E1328" s="421">
        <f>E1326*C1328</f>
        <v>0</v>
      </c>
      <c r="F1328" s="421">
        <f>F1326*C1328</f>
        <v>0</v>
      </c>
      <c r="G1328" s="421">
        <f>G1326*C1328</f>
        <v>0</v>
      </c>
      <c r="H1328" s="421">
        <f>H1326*C1328</f>
        <v>0</v>
      </c>
      <c r="I1328" s="421">
        <f>I1326*C1328</f>
        <v>0</v>
      </c>
      <c r="J1328" s="421">
        <f>J1326*C1328</f>
        <v>0</v>
      </c>
      <c r="K1328" s="424">
        <f>SUM(D1328:J1328)</f>
        <v>0</v>
      </c>
    </row>
    <row r="1329" spans="2:13" ht="15" customHeight="1" x14ac:dyDescent="0.25">
      <c r="B1329" s="389"/>
      <c r="C1329" s="423"/>
      <c r="D1329" s="421">
        <f>D1326*C1329</f>
        <v>0</v>
      </c>
      <c r="E1329" s="421">
        <f>E1326*C1329</f>
        <v>0</v>
      </c>
      <c r="F1329" s="421">
        <f>F1326*C1329</f>
        <v>0</v>
      </c>
      <c r="G1329" s="421">
        <f>G1326*C1329</f>
        <v>0</v>
      </c>
      <c r="H1329" s="421">
        <f>H1326*C1329</f>
        <v>0</v>
      </c>
      <c r="I1329" s="421">
        <f>I1326*C1329</f>
        <v>0</v>
      </c>
      <c r="J1329" s="421">
        <f>J1326*C1329</f>
        <v>0</v>
      </c>
      <c r="K1329" s="424">
        <f>SUM(D1329:J1329)</f>
        <v>0</v>
      </c>
    </row>
    <row r="1330" spans="2:13" x14ac:dyDescent="0.25">
      <c r="B1330" s="389"/>
      <c r="C1330" s="423"/>
      <c r="D1330" s="421">
        <f>D1326*C1330</f>
        <v>0</v>
      </c>
      <c r="E1330" s="421">
        <f>E1326*C1330</f>
        <v>0</v>
      </c>
      <c r="F1330" s="421">
        <f>F1326*C1330</f>
        <v>0</v>
      </c>
      <c r="G1330" s="421">
        <f>G1326*C1330</f>
        <v>0</v>
      </c>
      <c r="H1330" s="421">
        <f>H1326*C1330</f>
        <v>0</v>
      </c>
      <c r="I1330" s="421">
        <f>I1326*C1330</f>
        <v>0</v>
      </c>
      <c r="J1330" s="421">
        <f>J1326*C1330</f>
        <v>0</v>
      </c>
      <c r="K1330" s="424">
        <f>SUM(D1330:J1330)</f>
        <v>0</v>
      </c>
    </row>
    <row r="1332" spans="2:13" ht="15" customHeight="1" thickBot="1" x14ac:dyDescent="0.3"/>
    <row r="1333" spans="2:13" ht="15.75" thickBot="1" x14ac:dyDescent="0.3">
      <c r="B1333" s="414">
        <v>6490818</v>
      </c>
      <c r="C1333" s="411"/>
      <c r="D1333" s="407" t="s">
        <v>548</v>
      </c>
      <c r="E1333" s="408" t="s">
        <v>549</v>
      </c>
      <c r="F1333" s="408" t="s">
        <v>550</v>
      </c>
      <c r="G1333" s="408" t="s">
        <v>551</v>
      </c>
      <c r="H1333" s="408" t="s">
        <v>552</v>
      </c>
      <c r="I1333" s="408" t="s">
        <v>553</v>
      </c>
      <c r="J1333" s="408" t="s">
        <v>554</v>
      </c>
      <c r="K1333" s="408" t="s">
        <v>555</v>
      </c>
      <c r="M1333" s="426" t="s">
        <v>740</v>
      </c>
    </row>
    <row r="1334" spans="2:13" ht="15" customHeight="1" thickBot="1" x14ac:dyDescent="0.3">
      <c r="B1334" s="414" t="s">
        <v>556</v>
      </c>
      <c r="C1334" s="415" t="s">
        <v>620</v>
      </c>
      <c r="D1334" s="416">
        <f>IF(ISERROR(VLOOKUP(B1333,'MD Usage'!$A$1:$W$5000,3,FALSE)),0,VLOOKUP(B1333,'MD Usage'!$A$1:$W$5000,3,FALSE))</f>
        <v>0</v>
      </c>
      <c r="E1334" s="416">
        <f>IF(ISERROR(VLOOKUP(B1333,'MD Usage'!$A$1:$W$5000,5,FALSE)),0,VLOOKUP(B1333,'MD Usage'!$A$1:$W$5000,5,FALSE))</f>
        <v>0</v>
      </c>
      <c r="F1334" s="416">
        <f>IF(ISERROR(VLOOKUP(B1333,'MD Usage'!$A$1:$W$5000,7,FALSE)),0,VLOOKUP(B1333,'MD Usage'!$A$1:$W$5000,7,FALSE))</f>
        <v>0</v>
      </c>
      <c r="G1334" s="416">
        <f>IF(ISERROR(VLOOKUP(B1333,'MD Usage'!$A$1:$W$5000,9,FALSE)),0,VLOOKUP(B1333,'MD Usage'!$A$1:$W$5000,9,FALSE))</f>
        <v>0</v>
      </c>
      <c r="H1334" s="416">
        <f>IF(ISERROR(VLOOKUP(B1333,'MD Usage'!$A$1:$W$5000,11,FALSE)),0,VLOOKUP(B1333,'MD Usage'!$A$1:$W$5000,11,FALSE))</f>
        <v>0</v>
      </c>
      <c r="I1334" s="416">
        <f>IF(ISERROR(VLOOKUP(B1333,'MD Usage'!A1:R2000,13,FALSE)),0,VLOOKUP(B1333,'MD Usage'!A1:R2000,13,FALSE))</f>
        <v>0</v>
      </c>
      <c r="J1334" s="416">
        <f>IF(ISERROR(VLOOKUP(B1333,'MD Usage'!A1:R2000,15,FALSE)),0,VLOOKUP(B1333,'MD Usage'!A1:R2000,15,FALSE))</f>
        <v>0</v>
      </c>
      <c r="K1334" s="418">
        <f>SUM(D1334:J1334)</f>
        <v>0</v>
      </c>
    </row>
    <row r="1335" spans="2:13" x14ac:dyDescent="0.25">
      <c r="B1335" s="419" t="s">
        <v>570</v>
      </c>
      <c r="C1335" s="420">
        <v>3</v>
      </c>
      <c r="D1335" s="421">
        <f>D1334*C1335</f>
        <v>0</v>
      </c>
      <c r="E1335" s="421">
        <f>E1334*C1335</f>
        <v>0</v>
      </c>
      <c r="F1335" s="421">
        <f>F1334*C1335</f>
        <v>0</v>
      </c>
      <c r="G1335" s="421">
        <f>G1334*C1335</f>
        <v>0</v>
      </c>
      <c r="H1335" s="421">
        <f>H1334*C1335</f>
        <v>0</v>
      </c>
      <c r="I1335" s="421">
        <f>I1334*C1335</f>
        <v>0</v>
      </c>
      <c r="J1335" s="421">
        <f>J1334*C1335</f>
        <v>0</v>
      </c>
      <c r="K1335" s="422">
        <f>SUM(D1335:J1335)</f>
        <v>0</v>
      </c>
    </row>
    <row r="1336" spans="2:13" x14ac:dyDescent="0.25">
      <c r="B1336" s="389"/>
      <c r="C1336" s="423"/>
      <c r="D1336" s="421">
        <f>D1334*C1336</f>
        <v>0</v>
      </c>
      <c r="E1336" s="421">
        <f>E1334*C1336</f>
        <v>0</v>
      </c>
      <c r="F1336" s="421">
        <f>F1334*C1336</f>
        <v>0</v>
      </c>
      <c r="G1336" s="421">
        <f>G1334*C1336</f>
        <v>0</v>
      </c>
      <c r="H1336" s="421">
        <f>H1334*C1336</f>
        <v>0</v>
      </c>
      <c r="I1336" s="421">
        <f>I1334*C1336</f>
        <v>0</v>
      </c>
      <c r="J1336" s="421">
        <f>J1334*C1336</f>
        <v>0</v>
      </c>
      <c r="K1336" s="424">
        <f>SUM(D1336:J1336)</f>
        <v>0</v>
      </c>
    </row>
    <row r="1337" spans="2:13" x14ac:dyDescent="0.25">
      <c r="B1337" s="389"/>
      <c r="C1337" s="423"/>
      <c r="D1337" s="421">
        <f>D1334*C1337</f>
        <v>0</v>
      </c>
      <c r="E1337" s="421">
        <f>E1334*C1337</f>
        <v>0</v>
      </c>
      <c r="F1337" s="421">
        <f>F1334*C1337</f>
        <v>0</v>
      </c>
      <c r="G1337" s="421">
        <f>G1334*C1337</f>
        <v>0</v>
      </c>
      <c r="H1337" s="421">
        <f>H1334*C1337</f>
        <v>0</v>
      </c>
      <c r="I1337" s="421">
        <f>I1334*C1337</f>
        <v>0</v>
      </c>
      <c r="J1337" s="421">
        <f>J1334*C1337</f>
        <v>0</v>
      </c>
      <c r="K1337" s="424">
        <f>SUM(D1337:J1337)</f>
        <v>0</v>
      </c>
    </row>
    <row r="1338" spans="2:13" x14ac:dyDescent="0.25">
      <c r="B1338" s="389"/>
      <c r="C1338" s="423"/>
      <c r="D1338" s="421">
        <f>D1334*C1338</f>
        <v>0</v>
      </c>
      <c r="E1338" s="421">
        <f>E1334*C1338</f>
        <v>0</v>
      </c>
      <c r="F1338" s="421">
        <f>F1334*C1338</f>
        <v>0</v>
      </c>
      <c r="G1338" s="421">
        <f>G1334*C1338</f>
        <v>0</v>
      </c>
      <c r="H1338" s="421">
        <f>H1334*C1338</f>
        <v>0</v>
      </c>
      <c r="I1338" s="421">
        <f>I1334*C1338</f>
        <v>0</v>
      </c>
      <c r="J1338" s="421">
        <f>J1334*C1338</f>
        <v>0</v>
      </c>
      <c r="K1338" s="424">
        <f>SUM(D1338:J1338)</f>
        <v>0</v>
      </c>
    </row>
    <row r="1339" spans="2:13" ht="15" customHeight="1" thickBot="1" x14ac:dyDescent="0.3"/>
    <row r="1340" spans="2:13" ht="15.75" thickBot="1" x14ac:dyDescent="0.3">
      <c r="B1340" s="414">
        <v>6490159</v>
      </c>
      <c r="C1340" s="411"/>
      <c r="D1340" s="407" t="s">
        <v>548</v>
      </c>
      <c r="E1340" s="408" t="s">
        <v>549</v>
      </c>
      <c r="F1340" s="408" t="s">
        <v>550</v>
      </c>
      <c r="G1340" s="408" t="s">
        <v>551</v>
      </c>
      <c r="H1340" s="408" t="s">
        <v>552</v>
      </c>
      <c r="I1340" s="408" t="s">
        <v>553</v>
      </c>
      <c r="J1340" s="408" t="s">
        <v>554</v>
      </c>
      <c r="K1340" s="408" t="s">
        <v>555</v>
      </c>
      <c r="M1340" s="426" t="s">
        <v>742</v>
      </c>
    </row>
    <row r="1341" spans="2:13" ht="15.75" thickBot="1" x14ac:dyDescent="0.3">
      <c r="B1341" s="414" t="s">
        <v>556</v>
      </c>
      <c r="C1341" s="415" t="s">
        <v>620</v>
      </c>
      <c r="D1341" s="416">
        <f>IF(ISERROR(VLOOKUP(B1340,'MD Usage'!$A$1:$W$5000,3,FALSE)),0,VLOOKUP(B1340,'MD Usage'!$A$1:$W$5000,3,FALSE))</f>
        <v>0</v>
      </c>
      <c r="E1341" s="416">
        <f>IF(ISERROR(VLOOKUP(B1340,'MD Usage'!$A$1:$W$5000,5,FALSE)),0,VLOOKUP(B1340,'MD Usage'!$A$1:$W$5000,5,FALSE))</f>
        <v>0</v>
      </c>
      <c r="F1341" s="416">
        <f>IF(ISERROR(VLOOKUP(B1340,'MD Usage'!$A$1:$W$5000,7,FALSE)),0,VLOOKUP(B1340,'MD Usage'!$A$1:$W$5000,7,FALSE))</f>
        <v>0</v>
      </c>
      <c r="G1341" s="416">
        <f>IF(ISERROR(VLOOKUP(B1340,'MD Usage'!$A$1:$W$5000,9,FALSE)),0,VLOOKUP(B1340,'MD Usage'!$A$1:$W$5000,9,FALSE))</f>
        <v>0</v>
      </c>
      <c r="H1341" s="416">
        <f>IF(ISERROR(VLOOKUP(B1340,'MD Usage'!$A$1:$W$5000,11,FALSE)),0,VLOOKUP(B1340,'MD Usage'!$A$1:$W$5000,11,FALSE))</f>
        <v>0</v>
      </c>
      <c r="I1341" s="416">
        <f>IF(ISERROR(VLOOKUP(B1340,'MD Usage'!A1:R2000,13,FALSE)),0,VLOOKUP(B1340,'MD Usage'!A1:R2000,13,FALSE))</f>
        <v>0</v>
      </c>
      <c r="J1341" s="416">
        <f>IF(ISERROR(VLOOKUP(B1340,'MD Usage'!A1:R2000,15,FALSE)),0,VLOOKUP(B1340,'MD Usage'!A1:R2000,15,FALSE))</f>
        <v>0</v>
      </c>
      <c r="K1341" s="418">
        <f>SUM(D1341:J1341)</f>
        <v>0</v>
      </c>
    </row>
    <row r="1342" spans="2:13" x14ac:dyDescent="0.25">
      <c r="B1342" s="419" t="s">
        <v>463</v>
      </c>
      <c r="C1342" s="420">
        <v>6</v>
      </c>
      <c r="D1342" s="421">
        <f>D1341*C1342</f>
        <v>0</v>
      </c>
      <c r="E1342" s="421">
        <f>E1341*C1342</f>
        <v>0</v>
      </c>
      <c r="F1342" s="421">
        <f>F1341*C1342</f>
        <v>0</v>
      </c>
      <c r="G1342" s="421">
        <f>G1341*C1342</f>
        <v>0</v>
      </c>
      <c r="H1342" s="421">
        <f>H1341*C1342</f>
        <v>0</v>
      </c>
      <c r="I1342" s="421">
        <f>I1341*C1342</f>
        <v>0</v>
      </c>
      <c r="J1342" s="421">
        <f>J1341*C1342</f>
        <v>0</v>
      </c>
      <c r="K1342" s="422">
        <f>SUM(D1342:J1342)</f>
        <v>0</v>
      </c>
    </row>
    <row r="1343" spans="2:13" x14ac:dyDescent="0.25">
      <c r="B1343" s="389"/>
      <c r="C1343" s="423"/>
      <c r="D1343" s="421">
        <f>D1341*C1343</f>
        <v>0</v>
      </c>
      <c r="E1343" s="421">
        <f>E1341*C1343</f>
        <v>0</v>
      </c>
      <c r="F1343" s="421">
        <f>F1341*C1343</f>
        <v>0</v>
      </c>
      <c r="G1343" s="421">
        <f>G1341*C1343</f>
        <v>0</v>
      </c>
      <c r="H1343" s="421">
        <f>H1341*C1343</f>
        <v>0</v>
      </c>
      <c r="I1343" s="421">
        <f>I1341*C1343</f>
        <v>0</v>
      </c>
      <c r="J1343" s="421">
        <f>J1341*C1343</f>
        <v>0</v>
      </c>
      <c r="K1343" s="424">
        <f>SUM(D1343:J1343)</f>
        <v>0</v>
      </c>
    </row>
    <row r="1344" spans="2:13" ht="15" customHeight="1" x14ac:dyDescent="0.25">
      <c r="B1344" s="389"/>
      <c r="C1344" s="423"/>
      <c r="D1344" s="421">
        <f>D1341*C1344</f>
        <v>0</v>
      </c>
      <c r="E1344" s="421">
        <f>E1341*C1344</f>
        <v>0</v>
      </c>
      <c r="F1344" s="421">
        <f>F1341*C1344</f>
        <v>0</v>
      </c>
      <c r="G1344" s="421">
        <f>G1341*C1344</f>
        <v>0</v>
      </c>
      <c r="H1344" s="421">
        <f>H1341*C1344</f>
        <v>0</v>
      </c>
      <c r="I1344" s="421">
        <f>I1341*C1344</f>
        <v>0</v>
      </c>
      <c r="J1344" s="421">
        <f>J1341*C1344</f>
        <v>0</v>
      </c>
      <c r="K1344" s="424">
        <f>SUM(D1344:J1344)</f>
        <v>0</v>
      </c>
    </row>
    <row r="1345" spans="2:13" x14ac:dyDescent="0.25">
      <c r="B1345" s="389"/>
      <c r="C1345" s="423"/>
      <c r="D1345" s="421">
        <f>D1341*C1345</f>
        <v>0</v>
      </c>
      <c r="E1345" s="421">
        <f>E1341*C1345</f>
        <v>0</v>
      </c>
      <c r="F1345" s="421">
        <f>F1341*C1345</f>
        <v>0</v>
      </c>
      <c r="G1345" s="421">
        <f>G1341*C1345</f>
        <v>0</v>
      </c>
      <c r="H1345" s="421">
        <f>H1341*C1345</f>
        <v>0</v>
      </c>
      <c r="I1345" s="421">
        <f>I1341*C1345</f>
        <v>0</v>
      </c>
      <c r="J1345" s="421">
        <f>J1341*C1345</f>
        <v>0</v>
      </c>
      <c r="K1345" s="424">
        <f>SUM(D1345:J1345)</f>
        <v>0</v>
      </c>
    </row>
    <row r="1347" spans="2:13" ht="15.75" thickBot="1" x14ac:dyDescent="0.3"/>
    <row r="1348" spans="2:13" ht="15" customHeight="1" thickBot="1" x14ac:dyDescent="0.3">
      <c r="B1348" s="414">
        <v>6490445</v>
      </c>
      <c r="C1348" s="411"/>
      <c r="D1348" s="407" t="s">
        <v>548</v>
      </c>
      <c r="E1348" s="408" t="s">
        <v>549</v>
      </c>
      <c r="F1348" s="408" t="s">
        <v>550</v>
      </c>
      <c r="G1348" s="408" t="s">
        <v>551</v>
      </c>
      <c r="H1348" s="408" t="s">
        <v>552</v>
      </c>
      <c r="I1348" s="408" t="s">
        <v>553</v>
      </c>
      <c r="J1348" s="408" t="s">
        <v>554</v>
      </c>
      <c r="K1348" s="408" t="s">
        <v>555</v>
      </c>
      <c r="M1348" s="426" t="s">
        <v>742</v>
      </c>
    </row>
    <row r="1349" spans="2:13" ht="15" customHeight="1" thickBot="1" x14ac:dyDescent="0.3">
      <c r="B1349" s="414" t="s">
        <v>556</v>
      </c>
      <c r="C1349" s="415" t="s">
        <v>620</v>
      </c>
      <c r="D1349" s="416">
        <f>IF(ISERROR(VLOOKUP(B1348,'MD Usage'!$A$1:$W$5000,3,FALSE)),0,VLOOKUP(B1348,'MD Usage'!$A$1:$W$5000,3,FALSE))</f>
        <v>0</v>
      </c>
      <c r="E1349" s="416">
        <f>IF(ISERROR(VLOOKUP(B1348,'MD Usage'!$A$1:$W$5000,5,FALSE)),0,VLOOKUP(B1348,'MD Usage'!$A$1:$W$5000,5,FALSE))</f>
        <v>0</v>
      </c>
      <c r="F1349" s="416">
        <f>IF(ISERROR(VLOOKUP(B1348,'MD Usage'!$A$1:$W$5000,7,FALSE)),0,VLOOKUP(B1348,'MD Usage'!$A$1:$W$5000,7,FALSE))</f>
        <v>0</v>
      </c>
      <c r="G1349" s="416">
        <f>IF(ISERROR(VLOOKUP(B1348,'MD Usage'!$A$1:$W$5000,9,FALSE)),0,VLOOKUP(B1348,'MD Usage'!$A$1:$W$5000,9,FALSE))</f>
        <v>0</v>
      </c>
      <c r="H1349" s="416">
        <f>IF(ISERROR(VLOOKUP(B1348,'MD Usage'!$A$1:$W$5000,11,FALSE)),0,VLOOKUP(B1348,'MD Usage'!$A$1:$W$5000,11,FALSE))</f>
        <v>0</v>
      </c>
      <c r="I1349" s="416">
        <f>IF(ISERROR(VLOOKUP(B1348,'MD Usage'!A1:R2000,13,FALSE)),0,VLOOKUP(B1348,'MD Usage'!A1:R2000,13,FALSE))</f>
        <v>0</v>
      </c>
      <c r="J1349" s="416">
        <f>IF(ISERROR(VLOOKUP(B1348,'MD Usage'!A1:R2000,15,FALSE)),0,VLOOKUP(B1348,'MD Usage'!A1:R2000,15,FALSE))</f>
        <v>0</v>
      </c>
      <c r="K1349" s="418">
        <f>SUM(D1349:J1349)</f>
        <v>0</v>
      </c>
    </row>
    <row r="1350" spans="2:13" x14ac:dyDescent="0.25">
      <c r="B1350" s="419" t="s">
        <v>463</v>
      </c>
      <c r="C1350" s="420">
        <v>6</v>
      </c>
      <c r="D1350" s="421">
        <f>D1349*C1350</f>
        <v>0</v>
      </c>
      <c r="E1350" s="421">
        <f>E1349*C1350</f>
        <v>0</v>
      </c>
      <c r="F1350" s="421">
        <f>F1349*C1350</f>
        <v>0</v>
      </c>
      <c r="G1350" s="421">
        <f>G1349*C1350</f>
        <v>0</v>
      </c>
      <c r="H1350" s="421">
        <f>H1349*C1350</f>
        <v>0</v>
      </c>
      <c r="I1350" s="421">
        <f>I1349*C1350</f>
        <v>0</v>
      </c>
      <c r="J1350" s="421">
        <f>J1349*C1350</f>
        <v>0</v>
      </c>
      <c r="K1350" s="422">
        <f>SUM(D1350:J1350)</f>
        <v>0</v>
      </c>
    </row>
    <row r="1351" spans="2:13" x14ac:dyDescent="0.25">
      <c r="B1351" s="389"/>
      <c r="C1351" s="423"/>
      <c r="D1351" s="421">
        <f>D1349*C1351</f>
        <v>0</v>
      </c>
      <c r="E1351" s="421">
        <f>E1349*C1351</f>
        <v>0</v>
      </c>
      <c r="F1351" s="421">
        <f>F1349*C1351</f>
        <v>0</v>
      </c>
      <c r="G1351" s="421">
        <f>G1349*C1351</f>
        <v>0</v>
      </c>
      <c r="H1351" s="421">
        <f>H1349*C1351</f>
        <v>0</v>
      </c>
      <c r="I1351" s="421">
        <f>I1349*C1351</f>
        <v>0</v>
      </c>
      <c r="J1351" s="421">
        <f>J1349*C1351</f>
        <v>0</v>
      </c>
      <c r="K1351" s="424">
        <f>SUM(D1351:J1351)</f>
        <v>0</v>
      </c>
    </row>
    <row r="1352" spans="2:13" x14ac:dyDescent="0.25">
      <c r="B1352" s="389"/>
      <c r="C1352" s="423"/>
      <c r="D1352" s="421">
        <f>D1349*C1352</f>
        <v>0</v>
      </c>
      <c r="E1352" s="421">
        <f>E1349*C1352</f>
        <v>0</v>
      </c>
      <c r="F1352" s="421">
        <f>F1349*C1352</f>
        <v>0</v>
      </c>
      <c r="G1352" s="421">
        <f>G1349*C1352</f>
        <v>0</v>
      </c>
      <c r="H1352" s="421">
        <f>H1349*C1352</f>
        <v>0</v>
      </c>
      <c r="I1352" s="421">
        <f>I1349*C1352</f>
        <v>0</v>
      </c>
      <c r="J1352" s="421">
        <f>J1349*C1352</f>
        <v>0</v>
      </c>
      <c r="K1352" s="424">
        <f>SUM(D1352:J1352)</f>
        <v>0</v>
      </c>
    </row>
    <row r="1353" spans="2:13" x14ac:dyDescent="0.25">
      <c r="B1353" s="389"/>
      <c r="C1353" s="423"/>
      <c r="D1353" s="421">
        <f>D1349*C1353</f>
        <v>0</v>
      </c>
      <c r="E1353" s="421">
        <f>E1349*C1353</f>
        <v>0</v>
      </c>
      <c r="F1353" s="421">
        <f>F1349*C1353</f>
        <v>0</v>
      </c>
      <c r="G1353" s="421">
        <f>G1349*C1353</f>
        <v>0</v>
      </c>
      <c r="H1353" s="421">
        <f>H1349*C1353</f>
        <v>0</v>
      </c>
      <c r="I1353" s="421">
        <f>I1349*C1353</f>
        <v>0</v>
      </c>
      <c r="J1353" s="421">
        <f>J1349*C1353</f>
        <v>0</v>
      </c>
      <c r="K1353" s="424">
        <f>SUM(D1353:J1353)</f>
        <v>0</v>
      </c>
    </row>
    <row r="1354" spans="2:13" ht="15" customHeight="1" thickBot="1" x14ac:dyDescent="0.3"/>
    <row r="1355" spans="2:13" ht="15.75" thickBot="1" x14ac:dyDescent="0.3">
      <c r="B1355" s="414">
        <v>6490819</v>
      </c>
      <c r="C1355" s="411"/>
      <c r="D1355" s="407" t="s">
        <v>548</v>
      </c>
      <c r="E1355" s="408" t="s">
        <v>549</v>
      </c>
      <c r="F1355" s="408" t="s">
        <v>550</v>
      </c>
      <c r="G1355" s="408" t="s">
        <v>551</v>
      </c>
      <c r="H1355" s="408" t="s">
        <v>552</v>
      </c>
      <c r="I1355" s="408" t="s">
        <v>553</v>
      </c>
      <c r="J1355" s="408" t="s">
        <v>554</v>
      </c>
      <c r="K1355" s="408" t="s">
        <v>555</v>
      </c>
      <c r="M1355" s="426" t="s">
        <v>742</v>
      </c>
    </row>
    <row r="1356" spans="2:13" ht="15.75" thickBot="1" x14ac:dyDescent="0.3">
      <c r="B1356" s="414" t="s">
        <v>556</v>
      </c>
      <c r="C1356" s="415" t="s">
        <v>620</v>
      </c>
      <c r="D1356" s="416">
        <f>IF(ISERROR(VLOOKUP(B1355,'MD Usage'!$A$1:$W$5000,3,FALSE)),0,VLOOKUP(B1355,'MD Usage'!$A$1:$W$5000,3,FALSE))</f>
        <v>0</v>
      </c>
      <c r="E1356" s="416">
        <f>IF(ISERROR(VLOOKUP(B1355,'MD Usage'!$A$1:$W$5000,5,FALSE)),0,VLOOKUP(B1355,'MD Usage'!$A$1:$W$5000,5,FALSE))</f>
        <v>0</v>
      </c>
      <c r="F1356" s="416">
        <f>IF(ISERROR(VLOOKUP(B1355,'MD Usage'!$A$1:$W$5000,7,FALSE)),0,VLOOKUP(B1355,'MD Usage'!$A$1:$W$5000,7,FALSE))</f>
        <v>0</v>
      </c>
      <c r="G1356" s="416">
        <f>IF(ISERROR(VLOOKUP(B1355,'MD Usage'!$A$1:$W$5000,9,FALSE)),0,VLOOKUP(B1355,'MD Usage'!$A$1:$W$5000,9,FALSE))</f>
        <v>0</v>
      </c>
      <c r="H1356" s="416">
        <f>IF(ISERROR(VLOOKUP(B1355,'MD Usage'!$A$1:$W$5000,11,FALSE)),0,VLOOKUP(B1355,'MD Usage'!$A$1:$W$5000,11,FALSE))</f>
        <v>0</v>
      </c>
      <c r="I1356" s="416">
        <f>IF(ISERROR(VLOOKUP(B1355,'MD Usage'!A1:R2000,13,FALSE)),0,VLOOKUP(B1355,'MD Usage'!A1:R2000,13,FALSE))</f>
        <v>0</v>
      </c>
      <c r="J1356" s="416">
        <f>IF(ISERROR(VLOOKUP(B1355,'MD Usage'!A1:R2000,15,FALSE)),0,VLOOKUP(B1355,'MD Usage'!A1:R2000,15,FALSE))</f>
        <v>0</v>
      </c>
      <c r="K1356" s="418">
        <f t="shared" ref="K1356:K1361" si="70">SUM(D1356:J1356)</f>
        <v>0</v>
      </c>
    </row>
    <row r="1357" spans="2:13" x14ac:dyDescent="0.25">
      <c r="B1357" s="419" t="s">
        <v>463</v>
      </c>
      <c r="C1357" s="420">
        <v>6</v>
      </c>
      <c r="D1357" s="421">
        <f>D1356*C1357</f>
        <v>0</v>
      </c>
      <c r="E1357" s="421">
        <f>E1356*C1357</f>
        <v>0</v>
      </c>
      <c r="F1357" s="421">
        <f>F1356*C1357</f>
        <v>0</v>
      </c>
      <c r="G1357" s="421">
        <f>G1356*C1357</f>
        <v>0</v>
      </c>
      <c r="H1357" s="421">
        <f>H1356*C1357</f>
        <v>0</v>
      </c>
      <c r="I1357" s="421">
        <f>I1356*C1357</f>
        <v>0</v>
      </c>
      <c r="J1357" s="421">
        <f>J1356*C1357</f>
        <v>0</v>
      </c>
      <c r="K1357" s="422">
        <f t="shared" si="70"/>
        <v>0</v>
      </c>
    </row>
    <row r="1358" spans="2:13" x14ac:dyDescent="0.25">
      <c r="B1358" s="389"/>
      <c r="C1358" s="423"/>
      <c r="D1358" s="421">
        <f>D1356*C1358</f>
        <v>0</v>
      </c>
      <c r="E1358" s="421">
        <f>E1356*C1358</f>
        <v>0</v>
      </c>
      <c r="F1358" s="421">
        <f>F1356*C1358</f>
        <v>0</v>
      </c>
      <c r="G1358" s="421">
        <f>G1356*C1358</f>
        <v>0</v>
      </c>
      <c r="H1358" s="421">
        <f>H1356*C1358</f>
        <v>0</v>
      </c>
      <c r="I1358" s="421">
        <f>I1356*C1358</f>
        <v>0</v>
      </c>
      <c r="J1358" s="421">
        <f>J1356*C1358</f>
        <v>0</v>
      </c>
      <c r="K1358" s="424">
        <f t="shared" si="70"/>
        <v>0</v>
      </c>
    </row>
    <row r="1359" spans="2:13" ht="15" customHeight="1" x14ac:dyDescent="0.25">
      <c r="B1359" s="389"/>
      <c r="C1359" s="423"/>
      <c r="D1359" s="421">
        <f>D1356*C1359</f>
        <v>0</v>
      </c>
      <c r="E1359" s="421">
        <f>E1356*C1359</f>
        <v>0</v>
      </c>
      <c r="F1359" s="421">
        <f>F1356*C1359</f>
        <v>0</v>
      </c>
      <c r="G1359" s="421">
        <f>G1356*C1359</f>
        <v>0</v>
      </c>
      <c r="H1359" s="421">
        <f>H1356*C1359</f>
        <v>0</v>
      </c>
      <c r="I1359" s="421">
        <f>I1356*C1359</f>
        <v>0</v>
      </c>
      <c r="J1359" s="421">
        <f>J1356*C1359</f>
        <v>0</v>
      </c>
      <c r="K1359" s="424">
        <f t="shared" si="70"/>
        <v>0</v>
      </c>
    </row>
    <row r="1360" spans="2:13" x14ac:dyDescent="0.25">
      <c r="B1360" s="389"/>
      <c r="C1360" s="423"/>
      <c r="D1360" s="421">
        <f>D1356*C1360</f>
        <v>0</v>
      </c>
      <c r="E1360" s="421">
        <f>E1356*C1360</f>
        <v>0</v>
      </c>
      <c r="F1360" s="421">
        <f>F1356*C1360</f>
        <v>0</v>
      </c>
      <c r="G1360" s="421">
        <f>G1356*C1360</f>
        <v>0</v>
      </c>
      <c r="H1360" s="421">
        <f>H1356*C1360</f>
        <v>0</v>
      </c>
      <c r="I1360" s="421">
        <f>I1356*C1360</f>
        <v>0</v>
      </c>
      <c r="J1360" s="421">
        <f>J1356*C1360</f>
        <v>0</v>
      </c>
      <c r="K1360" s="424">
        <f t="shared" si="70"/>
        <v>0</v>
      </c>
    </row>
    <row r="1361" spans="2:13" x14ac:dyDescent="0.25">
      <c r="B1361" s="389"/>
      <c r="C1361" s="423"/>
      <c r="D1361" s="421">
        <f>D1356*C1361</f>
        <v>0</v>
      </c>
      <c r="E1361" s="421">
        <f>E1356*C1361</f>
        <v>0</v>
      </c>
      <c r="F1361" s="421">
        <f>F1356*C1361</f>
        <v>0</v>
      </c>
      <c r="G1361" s="421">
        <f>G1356*C1361</f>
        <v>0</v>
      </c>
      <c r="H1361" s="421">
        <f>H1356*C1361</f>
        <v>0</v>
      </c>
      <c r="I1361" s="421">
        <f>I1356*C1361</f>
        <v>0</v>
      </c>
      <c r="J1361" s="421">
        <f>J1356*C1361</f>
        <v>0</v>
      </c>
      <c r="K1361" s="424">
        <f t="shared" si="70"/>
        <v>0</v>
      </c>
    </row>
    <row r="1363" spans="2:13" ht="15.75" thickBot="1" x14ac:dyDescent="0.3"/>
    <row r="1364" spans="2:13" ht="15" customHeight="1" thickBot="1" x14ac:dyDescent="0.3">
      <c r="B1364" s="414">
        <v>6490140</v>
      </c>
      <c r="C1364" s="411"/>
      <c r="D1364" s="407" t="s">
        <v>548</v>
      </c>
      <c r="E1364" s="408" t="s">
        <v>549</v>
      </c>
      <c r="F1364" s="408" t="s">
        <v>550</v>
      </c>
      <c r="G1364" s="408" t="s">
        <v>551</v>
      </c>
      <c r="H1364" s="408" t="s">
        <v>552</v>
      </c>
      <c r="I1364" s="408" t="s">
        <v>553</v>
      </c>
      <c r="J1364" s="408" t="s">
        <v>554</v>
      </c>
      <c r="K1364" s="408" t="s">
        <v>555</v>
      </c>
      <c r="M1364" s="426" t="s">
        <v>743</v>
      </c>
    </row>
    <row r="1365" spans="2:13" ht="15.75" thickBot="1" x14ac:dyDescent="0.3">
      <c r="B1365" s="414" t="s">
        <v>556</v>
      </c>
      <c r="C1365" s="415" t="s">
        <v>620</v>
      </c>
      <c r="D1365" s="416">
        <f>IF(ISERROR(VLOOKUP(B1364,'MD Usage'!$A$1:$W$5000,3,FALSE)),0,VLOOKUP(B1364,'MD Usage'!$A$1:$W$5000,3,FALSE))</f>
        <v>1</v>
      </c>
      <c r="E1365" s="416">
        <f>IF(ISERROR(VLOOKUP(B1364,'MD Usage'!$A$1:$W$5000,5,FALSE)),0,VLOOKUP(B1364,'MD Usage'!$A$1:$W$5000,5,FALSE))</f>
        <v>1</v>
      </c>
      <c r="F1365" s="416">
        <f>IF(ISERROR(VLOOKUP(B1364,'MD Usage'!$A$1:$W$5000,7,FALSE)),0,VLOOKUP(B1364,'MD Usage'!$A$1:$W$5000,7,FALSE))</f>
        <v>0</v>
      </c>
      <c r="G1365" s="416">
        <f>IF(ISERROR(VLOOKUP(B1364,'MD Usage'!$A$1:$W$5000,9,FALSE)),0,VLOOKUP(B1364,'MD Usage'!$A$1:$W$5000,9,FALSE))</f>
        <v>2</v>
      </c>
      <c r="H1365" s="416">
        <f>IF(ISERROR(VLOOKUP(B1364,'MD Usage'!$A$1:$W$5000,11,FALSE)),0,VLOOKUP(B1364,'MD Usage'!$A$1:$W$5000,11,FALSE))</f>
        <v>2</v>
      </c>
      <c r="I1365" s="416">
        <f>IF(ISERROR(VLOOKUP(B1364,'MD Usage'!A1:R2000,13,FALSE)),0,VLOOKUP(B1364,'MD Usage'!A1:R2000,13,FALSE))</f>
        <v>2</v>
      </c>
      <c r="J1365" s="416">
        <f>IF(ISERROR(VLOOKUP(B1364,'MD Usage'!A1:R2000,15,FALSE)),0,VLOOKUP(B1364,'MD Usage'!A1:R2000,15,FALSE))</f>
        <v>2</v>
      </c>
      <c r="K1365" s="418">
        <f>SUM(D1365:J1365)</f>
        <v>10</v>
      </c>
    </row>
    <row r="1366" spans="2:13" x14ac:dyDescent="0.25">
      <c r="B1366" s="419" t="s">
        <v>64</v>
      </c>
      <c r="C1366" s="420">
        <v>6</v>
      </c>
      <c r="D1366" s="421">
        <f>D1365*C1366</f>
        <v>6</v>
      </c>
      <c r="E1366" s="421">
        <f>E1365*C1366</f>
        <v>6</v>
      </c>
      <c r="F1366" s="421">
        <f>F1365*C1366</f>
        <v>0</v>
      </c>
      <c r="G1366" s="421">
        <f>G1365*C1366</f>
        <v>12</v>
      </c>
      <c r="H1366" s="421">
        <f>H1365*C1366</f>
        <v>12</v>
      </c>
      <c r="I1366" s="421">
        <f>I1365*C1366</f>
        <v>12</v>
      </c>
      <c r="J1366" s="421">
        <f>J1365*C1366</f>
        <v>12</v>
      </c>
      <c r="K1366" s="422">
        <f>SUM(D1366:J1366)</f>
        <v>60</v>
      </c>
    </row>
    <row r="1367" spans="2:13" x14ac:dyDescent="0.25">
      <c r="B1367" s="389"/>
      <c r="C1367" s="423"/>
      <c r="D1367" s="421">
        <f>D1365*C1367</f>
        <v>0</v>
      </c>
      <c r="E1367" s="421">
        <f>E1365*C1367</f>
        <v>0</v>
      </c>
      <c r="F1367" s="421">
        <f>F1365*C1367</f>
        <v>0</v>
      </c>
      <c r="G1367" s="421">
        <f>G1365*C1367</f>
        <v>0</v>
      </c>
      <c r="H1367" s="421">
        <f>H1365*C1367</f>
        <v>0</v>
      </c>
      <c r="I1367" s="421">
        <f>I1365*C1367</f>
        <v>0</v>
      </c>
      <c r="J1367" s="421">
        <f>J1365*C1367</f>
        <v>0</v>
      </c>
      <c r="K1367" s="424">
        <f>SUM(D1367:J1367)</f>
        <v>0</v>
      </c>
    </row>
    <row r="1368" spans="2:13" x14ac:dyDescent="0.25">
      <c r="B1368" s="389"/>
      <c r="C1368" s="423"/>
      <c r="D1368" s="421">
        <f>D1365*C1368</f>
        <v>0</v>
      </c>
      <c r="E1368" s="421">
        <f>E1365*C1368</f>
        <v>0</v>
      </c>
      <c r="F1368" s="421">
        <f>F1365*C1368</f>
        <v>0</v>
      </c>
      <c r="G1368" s="421">
        <f>G1365*C1368</f>
        <v>0</v>
      </c>
      <c r="H1368" s="421">
        <f>H1365*C1368</f>
        <v>0</v>
      </c>
      <c r="I1368" s="421">
        <f>I1365*C1368</f>
        <v>0</v>
      </c>
      <c r="J1368" s="421">
        <f>J1365*C1368</f>
        <v>0</v>
      </c>
      <c r="K1368" s="424">
        <f>SUM(D1368:J1368)</f>
        <v>0</v>
      </c>
    </row>
    <row r="1369" spans="2:13" ht="15" customHeight="1" x14ac:dyDescent="0.25">
      <c r="B1369" s="389"/>
      <c r="C1369" s="423"/>
      <c r="D1369" s="421">
        <f>D1365*C1369</f>
        <v>0</v>
      </c>
      <c r="E1369" s="421">
        <f>E1365*C1369</f>
        <v>0</v>
      </c>
      <c r="F1369" s="421">
        <f>F1365*C1369</f>
        <v>0</v>
      </c>
      <c r="G1369" s="421">
        <f>G1365*C1369</f>
        <v>0</v>
      </c>
      <c r="H1369" s="421">
        <f>H1365*C1369</f>
        <v>0</v>
      </c>
      <c r="I1369" s="421">
        <f>I1365*C1369</f>
        <v>0</v>
      </c>
      <c r="J1369" s="421">
        <f>J1365*C1369</f>
        <v>0</v>
      </c>
      <c r="K1369" s="424">
        <f>SUM(D1369:J1369)</f>
        <v>0</v>
      </c>
    </row>
    <row r="1370" spans="2:13" ht="15.75" thickBot="1" x14ac:dyDescent="0.3"/>
    <row r="1371" spans="2:13" ht="15.75" thickBot="1" x14ac:dyDescent="0.3">
      <c r="B1371" s="414">
        <v>6490439</v>
      </c>
      <c r="C1371" s="411"/>
      <c r="D1371" s="407" t="s">
        <v>548</v>
      </c>
      <c r="E1371" s="408" t="s">
        <v>549</v>
      </c>
      <c r="F1371" s="408" t="s">
        <v>550</v>
      </c>
      <c r="G1371" s="408" t="s">
        <v>551</v>
      </c>
      <c r="H1371" s="408" t="s">
        <v>552</v>
      </c>
      <c r="I1371" s="408" t="s">
        <v>553</v>
      </c>
      <c r="J1371" s="408" t="s">
        <v>554</v>
      </c>
      <c r="K1371" s="408" t="s">
        <v>555</v>
      </c>
      <c r="M1371" s="426" t="s">
        <v>744</v>
      </c>
    </row>
    <row r="1372" spans="2:13" ht="15.75" thickBot="1" x14ac:dyDescent="0.3">
      <c r="B1372" s="414" t="s">
        <v>556</v>
      </c>
      <c r="C1372" s="415" t="s">
        <v>620</v>
      </c>
      <c r="D1372" s="416">
        <f>IF(ISERROR(VLOOKUP(B1371,'MD Usage'!$A$1:$W$5000,3,FALSE)),0,VLOOKUP(B1371,'MD Usage'!$A$1:$W$5000,3,FALSE))</f>
        <v>0</v>
      </c>
      <c r="E1372" s="416">
        <f>IF(ISERROR(VLOOKUP(B1371,'MD Usage'!$A$1:$W$5000,5,FALSE)),0,VLOOKUP(B1371,'MD Usage'!$A$1:$W$5000,5,FALSE))</f>
        <v>0</v>
      </c>
      <c r="F1372" s="416">
        <f>IF(ISERROR(VLOOKUP(B1371,'MD Usage'!$A$1:$W$5000,7,FALSE)),0,VLOOKUP(B1371,'MD Usage'!$A$1:$W$5000,7,FALSE))</f>
        <v>0</v>
      </c>
      <c r="G1372" s="416">
        <f>IF(ISERROR(VLOOKUP(B1371,'MD Usage'!$A$1:$W$5000,9,FALSE)),0,VLOOKUP(B1371,'MD Usage'!$A$1:$W$5000,9,FALSE))</f>
        <v>2</v>
      </c>
      <c r="H1372" s="416">
        <f>IF(ISERROR(VLOOKUP(B1371,'MD Usage'!$A$1:$W$5000,11,FALSE)),0,VLOOKUP(B1371,'MD Usage'!$A$1:$W$5000,11,FALSE))</f>
        <v>2</v>
      </c>
      <c r="I1372" s="416">
        <f>IF(ISERROR(VLOOKUP(B1371,'MD Usage'!A1:R2000,13,FALSE)),0,VLOOKUP(B1371,'MD Usage'!A1:R2000,13,FALSE))</f>
        <v>3</v>
      </c>
      <c r="J1372" s="416">
        <f>IF(ISERROR(VLOOKUP(B1371,'MD Usage'!A1:R2000,15,FALSE)),0,VLOOKUP(B1371,'MD Usage'!A1:R2000,15,FALSE))</f>
        <v>1</v>
      </c>
      <c r="K1372" s="418">
        <f>SUM(D1372:J1372)</f>
        <v>8</v>
      </c>
    </row>
    <row r="1373" spans="2:13" x14ac:dyDescent="0.25">
      <c r="B1373" s="419" t="s">
        <v>625</v>
      </c>
      <c r="C1373" s="420">
        <v>1.5</v>
      </c>
      <c r="D1373" s="421">
        <f>D1372*C1373</f>
        <v>0</v>
      </c>
      <c r="E1373" s="421">
        <f>E1372*C1373</f>
        <v>0</v>
      </c>
      <c r="F1373" s="421">
        <f>F1372*C1373</f>
        <v>0</v>
      </c>
      <c r="G1373" s="421">
        <f>G1372*C1373</f>
        <v>3</v>
      </c>
      <c r="H1373" s="421">
        <f>H1372*C1373</f>
        <v>3</v>
      </c>
      <c r="I1373" s="421">
        <f>I1372*C1373</f>
        <v>4.5</v>
      </c>
      <c r="J1373" s="421">
        <f>J1372*C1373</f>
        <v>1.5</v>
      </c>
      <c r="K1373" s="422">
        <f>SUM(D1373:J1373)</f>
        <v>12</v>
      </c>
    </row>
    <row r="1374" spans="2:13" ht="15" customHeight="1" x14ac:dyDescent="0.25">
      <c r="B1374" s="389"/>
      <c r="C1374" s="423"/>
      <c r="D1374" s="421">
        <f>D1372*C1374</f>
        <v>0</v>
      </c>
      <c r="E1374" s="421">
        <f>E1372*C1374</f>
        <v>0</v>
      </c>
      <c r="F1374" s="421">
        <f>F1372*C1374</f>
        <v>0</v>
      </c>
      <c r="G1374" s="421">
        <f>G1372*C1374</f>
        <v>0</v>
      </c>
      <c r="H1374" s="421">
        <f>H1372*C1374</f>
        <v>0</v>
      </c>
      <c r="I1374" s="421">
        <f>I1372*C1374</f>
        <v>0</v>
      </c>
      <c r="J1374" s="421">
        <f>J1372*C1374</f>
        <v>0</v>
      </c>
      <c r="K1374" s="424">
        <f>SUM(D1374:J1374)</f>
        <v>0</v>
      </c>
    </row>
    <row r="1375" spans="2:13" ht="15" customHeight="1" x14ac:dyDescent="0.25">
      <c r="B1375" s="389"/>
      <c r="C1375" s="423"/>
      <c r="D1375" s="421">
        <f>D1372*C1375</f>
        <v>0</v>
      </c>
      <c r="E1375" s="421">
        <f>E1372*C1375</f>
        <v>0</v>
      </c>
      <c r="F1375" s="421">
        <f>F1372*C1375</f>
        <v>0</v>
      </c>
      <c r="G1375" s="421">
        <f>G1372*C1375</f>
        <v>0</v>
      </c>
      <c r="H1375" s="421">
        <f>H1372*C1375</f>
        <v>0</v>
      </c>
      <c r="I1375" s="421">
        <f>I1372*C1375</f>
        <v>0</v>
      </c>
      <c r="J1375" s="421">
        <f>J1372*C1375</f>
        <v>0</v>
      </c>
      <c r="K1375" s="424">
        <f>SUM(D1375:J1375)</f>
        <v>0</v>
      </c>
    </row>
    <row r="1376" spans="2:13" x14ac:dyDescent="0.25">
      <c r="B1376" s="389"/>
      <c r="C1376" s="423"/>
      <c r="D1376" s="421">
        <f>D1372*C1376</f>
        <v>0</v>
      </c>
      <c r="E1376" s="421">
        <f>E1372*C1376</f>
        <v>0</v>
      </c>
      <c r="F1376" s="421">
        <f>F1372*C1376</f>
        <v>0</v>
      </c>
      <c r="G1376" s="421">
        <f>G1372*C1376</f>
        <v>0</v>
      </c>
      <c r="H1376" s="421">
        <f>H1372*C1376</f>
        <v>0</v>
      </c>
      <c r="I1376" s="421">
        <f>I1372*C1376</f>
        <v>0</v>
      </c>
      <c r="J1376" s="421">
        <f>J1372*C1376</f>
        <v>0</v>
      </c>
      <c r="K1376" s="424">
        <f>SUM(D1376:J1376)</f>
        <v>0</v>
      </c>
    </row>
    <row r="1377" spans="2:13" ht="15.75" thickBot="1" x14ac:dyDescent="0.3"/>
    <row r="1378" spans="2:13" ht="15.75" thickBot="1" x14ac:dyDescent="0.3">
      <c r="B1378" s="414">
        <v>6490448</v>
      </c>
      <c r="C1378" s="411"/>
      <c r="D1378" s="407" t="s">
        <v>548</v>
      </c>
      <c r="E1378" s="408" t="s">
        <v>549</v>
      </c>
      <c r="F1378" s="408" t="s">
        <v>550</v>
      </c>
      <c r="G1378" s="408" t="s">
        <v>551</v>
      </c>
      <c r="H1378" s="408" t="s">
        <v>552</v>
      </c>
      <c r="I1378" s="408" t="s">
        <v>553</v>
      </c>
      <c r="J1378" s="408" t="s">
        <v>554</v>
      </c>
      <c r="K1378" s="408" t="s">
        <v>555</v>
      </c>
      <c r="M1378" s="426" t="s">
        <v>744</v>
      </c>
    </row>
    <row r="1379" spans="2:13" ht="15.75" thickBot="1" x14ac:dyDescent="0.3">
      <c r="B1379" s="414" t="s">
        <v>556</v>
      </c>
      <c r="C1379" s="415" t="s">
        <v>620</v>
      </c>
      <c r="D1379" s="416">
        <f>IF(ISERROR(VLOOKUP(B1378,'MD Usage'!$A$1:$W$5000,3,FALSE)),0,VLOOKUP(B1378,'MD Usage'!$A$1:$W$5000,3,FALSE))</f>
        <v>0</v>
      </c>
      <c r="E1379" s="416">
        <f>IF(ISERROR(VLOOKUP(B1378,'MD Usage'!$A$1:$W$5000,5,FALSE)),0,VLOOKUP(B1378,'MD Usage'!$A$1:$W$5000,5,FALSE))</f>
        <v>0</v>
      </c>
      <c r="F1379" s="416">
        <f>IF(ISERROR(VLOOKUP(B1378,'MD Usage'!$A$1:$W$5000,7,FALSE)),0,VLOOKUP(B1378,'MD Usage'!$A$1:$W$5000,7,FALSE))</f>
        <v>0</v>
      </c>
      <c r="G1379" s="416">
        <f>IF(ISERROR(VLOOKUP(B1378,'MD Usage'!$A$1:$W$5000,9,FALSE)),0,VLOOKUP(B1378,'MD Usage'!$A$1:$W$5000,9,FALSE))</f>
        <v>0</v>
      </c>
      <c r="H1379" s="416">
        <f>IF(ISERROR(VLOOKUP(B1378,'MD Usage'!$A$1:$W$5000,11,FALSE)),0,VLOOKUP(B1378,'MD Usage'!$A$1:$W$5000,11,FALSE))</f>
        <v>0</v>
      </c>
      <c r="I1379" s="416">
        <f>IF(ISERROR(VLOOKUP(B1378,'MD Usage'!A1:R2000,13,FALSE)),0,VLOOKUP(B1378,'MD Usage'!A1:R2000,13,FALSE))</f>
        <v>1</v>
      </c>
      <c r="J1379" s="416">
        <f>IF(ISERROR(VLOOKUP(B1378,'MD Usage'!A1:R2000,15,FALSE)),0,VLOOKUP(B1378,'MD Usage'!A1:R2000,15,FALSE))</f>
        <v>2</v>
      </c>
      <c r="K1379" s="418">
        <f>SUM(D1379:J1379)</f>
        <v>3</v>
      </c>
    </row>
    <row r="1380" spans="2:13" ht="15" customHeight="1" x14ac:dyDescent="0.25">
      <c r="B1380" s="419" t="s">
        <v>625</v>
      </c>
      <c r="C1380" s="420">
        <v>1.5</v>
      </c>
      <c r="D1380" s="421">
        <f>D1379*C1380</f>
        <v>0</v>
      </c>
      <c r="E1380" s="421">
        <f>E1379*C1380</f>
        <v>0</v>
      </c>
      <c r="F1380" s="421">
        <f>F1379*C1380</f>
        <v>0</v>
      </c>
      <c r="G1380" s="421">
        <f>G1379*C1380</f>
        <v>0</v>
      </c>
      <c r="H1380" s="421">
        <f>H1379*C1380</f>
        <v>0</v>
      </c>
      <c r="I1380" s="421">
        <f>I1379*C1380</f>
        <v>1.5</v>
      </c>
      <c r="J1380" s="421">
        <f>J1379*C1380</f>
        <v>3</v>
      </c>
      <c r="K1380" s="422">
        <f>SUM(D1380:J1380)</f>
        <v>4.5</v>
      </c>
    </row>
    <row r="1381" spans="2:13" x14ac:dyDescent="0.25">
      <c r="B1381" s="389"/>
      <c r="C1381" s="423"/>
      <c r="D1381" s="421">
        <f>D1379*C1381</f>
        <v>0</v>
      </c>
      <c r="E1381" s="421">
        <f>E1379*C1381</f>
        <v>0</v>
      </c>
      <c r="F1381" s="421">
        <f>F1379*C1381</f>
        <v>0</v>
      </c>
      <c r="G1381" s="421">
        <f>G1379*C1381</f>
        <v>0</v>
      </c>
      <c r="H1381" s="421">
        <f>H1379*C1381</f>
        <v>0</v>
      </c>
      <c r="I1381" s="421">
        <f>I1379*C1381</f>
        <v>0</v>
      </c>
      <c r="J1381" s="421">
        <f>J1379*C1381</f>
        <v>0</v>
      </c>
      <c r="K1381" s="424">
        <f>SUM(D1381:J1381)</f>
        <v>0</v>
      </c>
    </row>
    <row r="1382" spans="2:13" x14ac:dyDescent="0.25">
      <c r="B1382" s="389"/>
      <c r="C1382" s="423"/>
      <c r="D1382" s="421">
        <f>D1379*C1382</f>
        <v>0</v>
      </c>
      <c r="E1382" s="421">
        <f>E1379*C1382</f>
        <v>0</v>
      </c>
      <c r="F1382" s="421">
        <f>F1379*C1382</f>
        <v>0</v>
      </c>
      <c r="G1382" s="421">
        <f>G1379*C1382</f>
        <v>0</v>
      </c>
      <c r="H1382" s="421">
        <f>H1379*C1382</f>
        <v>0</v>
      </c>
      <c r="I1382" s="421">
        <f>I1379*C1382</f>
        <v>0</v>
      </c>
      <c r="J1382" s="421">
        <f>J1379*C1382</f>
        <v>0</v>
      </c>
      <c r="K1382" s="424">
        <f>SUM(D1382:J1382)</f>
        <v>0</v>
      </c>
    </row>
    <row r="1383" spans="2:13" x14ac:dyDescent="0.25">
      <c r="B1383" s="389"/>
      <c r="C1383" s="423"/>
      <c r="D1383" s="421">
        <f>D1379*C1383</f>
        <v>0</v>
      </c>
      <c r="E1383" s="421">
        <f>E1379*C1383</f>
        <v>0</v>
      </c>
      <c r="F1383" s="421">
        <f>F1379*C1383</f>
        <v>0</v>
      </c>
      <c r="G1383" s="421">
        <f>G1379*C1383</f>
        <v>0</v>
      </c>
      <c r="H1383" s="421">
        <f>H1379*C1383</f>
        <v>0</v>
      </c>
      <c r="I1383" s="421">
        <f>I1379*C1383</f>
        <v>0</v>
      </c>
      <c r="J1383" s="421">
        <f>J1379*C1383</f>
        <v>0</v>
      </c>
      <c r="K1383" s="424">
        <f>SUM(D1383:J1383)</f>
        <v>0</v>
      </c>
    </row>
    <row r="1384" spans="2:13" ht="15.75" thickBot="1" x14ac:dyDescent="0.3"/>
    <row r="1385" spans="2:13" ht="15" customHeight="1" thickBot="1" x14ac:dyDescent="0.3">
      <c r="B1385" s="414">
        <v>6490821</v>
      </c>
      <c r="C1385" s="411"/>
      <c r="D1385" s="407" t="s">
        <v>548</v>
      </c>
      <c r="E1385" s="408" t="s">
        <v>549</v>
      </c>
      <c r="F1385" s="408" t="s">
        <v>550</v>
      </c>
      <c r="G1385" s="408" t="s">
        <v>551</v>
      </c>
      <c r="H1385" s="408" t="s">
        <v>552</v>
      </c>
      <c r="I1385" s="408" t="s">
        <v>553</v>
      </c>
      <c r="J1385" s="408" t="s">
        <v>554</v>
      </c>
      <c r="K1385" s="408" t="s">
        <v>555</v>
      </c>
      <c r="M1385" s="426" t="s">
        <v>744</v>
      </c>
    </row>
    <row r="1386" spans="2:13" ht="15.75" thickBot="1" x14ac:dyDescent="0.3">
      <c r="B1386" s="414" t="s">
        <v>556</v>
      </c>
      <c r="C1386" s="415" t="s">
        <v>620</v>
      </c>
      <c r="D1386" s="416">
        <f>IF(ISERROR(VLOOKUP(B1385,'MD Usage'!$A$1:$W$5000,3,FALSE)),0,VLOOKUP(B1385,'MD Usage'!$A$1:$W$5000,3,FALSE))</f>
        <v>0</v>
      </c>
      <c r="E1386" s="416">
        <f>IF(ISERROR(VLOOKUP(B1385,'MD Usage'!$A$1:$W$5000,5,FALSE)),0,VLOOKUP(B1385,'MD Usage'!$A$1:$W$5000,5,FALSE))</f>
        <v>1</v>
      </c>
      <c r="F1386" s="416">
        <f>IF(ISERROR(VLOOKUP(B1385,'MD Usage'!$A$1:$W$5000,7,FALSE)),0,VLOOKUP(B1385,'MD Usage'!$A$1:$W$5000,7,FALSE))</f>
        <v>0</v>
      </c>
      <c r="G1386" s="416">
        <f>IF(ISERROR(VLOOKUP(B1385,'MD Usage'!$A$1:$W$5000,9,FALSE)),0,VLOOKUP(B1385,'MD Usage'!$A$1:$W$5000,9,FALSE))</f>
        <v>1</v>
      </c>
      <c r="H1386" s="416">
        <f>IF(ISERROR(VLOOKUP(B1385,'MD Usage'!$A$1:$W$5000,11,FALSE)),0,VLOOKUP(B1385,'MD Usage'!$A$1:$W$5000,11,FALSE))</f>
        <v>2</v>
      </c>
      <c r="I1386" s="416">
        <f>IF(ISERROR(VLOOKUP(B1385,'MD Usage'!A1:R2000,13,FALSE)),0,VLOOKUP(B1385,'MD Usage'!A1:R2000,13,FALSE))</f>
        <v>1</v>
      </c>
      <c r="J1386" s="416">
        <f>IF(ISERROR(VLOOKUP(B1385,'MD Usage'!A1:R2000,15,FALSE)),0,VLOOKUP(B1385,'MD Usage'!A1:R2000,15,FALSE))</f>
        <v>0</v>
      </c>
      <c r="K1386" s="418">
        <f>SUM(D1386:J1386)</f>
        <v>5</v>
      </c>
    </row>
    <row r="1387" spans="2:13" x14ac:dyDescent="0.25">
      <c r="B1387" s="419" t="s">
        <v>625</v>
      </c>
      <c r="C1387" s="420">
        <v>1.5</v>
      </c>
      <c r="D1387" s="421">
        <f>D1386*C1387</f>
        <v>0</v>
      </c>
      <c r="E1387" s="421">
        <f>E1386*C1387</f>
        <v>1.5</v>
      </c>
      <c r="F1387" s="421">
        <f>F1386*C1387</f>
        <v>0</v>
      </c>
      <c r="G1387" s="421">
        <f>G1386*C1387</f>
        <v>1.5</v>
      </c>
      <c r="H1387" s="421">
        <f>H1386*C1387</f>
        <v>3</v>
      </c>
      <c r="I1387" s="421">
        <f>I1386*C1387</f>
        <v>1.5</v>
      </c>
      <c r="J1387" s="421">
        <f>J1386*C1387</f>
        <v>0</v>
      </c>
      <c r="K1387" s="422">
        <f>SUM(D1387:J1387)</f>
        <v>7.5</v>
      </c>
    </row>
    <row r="1388" spans="2:13" x14ac:dyDescent="0.25">
      <c r="B1388" s="389"/>
      <c r="C1388" s="423"/>
      <c r="D1388" s="421">
        <f>D1386*C1388</f>
        <v>0</v>
      </c>
      <c r="E1388" s="421">
        <f>E1386*C1388</f>
        <v>0</v>
      </c>
      <c r="F1388" s="421">
        <f>F1386*C1388</f>
        <v>0</v>
      </c>
      <c r="G1388" s="421">
        <f>G1386*C1388</f>
        <v>0</v>
      </c>
      <c r="H1388" s="421">
        <f>H1386*C1388</f>
        <v>0</v>
      </c>
      <c r="I1388" s="421">
        <f>I1386*C1388</f>
        <v>0</v>
      </c>
      <c r="J1388" s="421">
        <f>J1386*C1388</f>
        <v>0</v>
      </c>
      <c r="K1388" s="424">
        <f>SUM(D1388:J1388)</f>
        <v>0</v>
      </c>
    </row>
    <row r="1389" spans="2:13" x14ac:dyDescent="0.25">
      <c r="B1389" s="389"/>
      <c r="C1389" s="423"/>
      <c r="D1389" s="421">
        <f>D1386*C1389</f>
        <v>0</v>
      </c>
      <c r="E1389" s="421">
        <f>E1386*C1389</f>
        <v>0</v>
      </c>
      <c r="F1389" s="421">
        <f>F1386*C1389</f>
        <v>0</v>
      </c>
      <c r="G1389" s="421">
        <f>G1386*C1389</f>
        <v>0</v>
      </c>
      <c r="H1389" s="421">
        <f>H1386*C1389</f>
        <v>0</v>
      </c>
      <c r="I1389" s="421">
        <f>I1386*C1389</f>
        <v>0</v>
      </c>
      <c r="J1389" s="421">
        <f>J1386*C1389</f>
        <v>0</v>
      </c>
      <c r="K1389" s="424">
        <f>SUM(D1389:J1389)</f>
        <v>0</v>
      </c>
    </row>
    <row r="1390" spans="2:13" ht="15" customHeight="1" x14ac:dyDescent="0.25">
      <c r="B1390" s="389"/>
      <c r="C1390" s="423"/>
      <c r="D1390" s="421">
        <f>D1386*C1390</f>
        <v>0</v>
      </c>
      <c r="E1390" s="421">
        <f>E1386*C1390</f>
        <v>0</v>
      </c>
      <c r="F1390" s="421">
        <f>F1386*C1390</f>
        <v>0</v>
      </c>
      <c r="G1390" s="421">
        <f>G1386*C1390</f>
        <v>0</v>
      </c>
      <c r="H1390" s="421">
        <f>H1386*C1390</f>
        <v>0</v>
      </c>
      <c r="I1390" s="421">
        <f>I1386*C1390</f>
        <v>0</v>
      </c>
      <c r="J1390" s="421">
        <f>J1386*C1390</f>
        <v>0</v>
      </c>
      <c r="K1390" s="424">
        <f>SUM(D1390:J1390)</f>
        <v>0</v>
      </c>
    </row>
    <row r="1391" spans="2:13" ht="15.75" thickBot="1" x14ac:dyDescent="0.3"/>
    <row r="1392" spans="2:13" ht="15.75" thickBot="1" x14ac:dyDescent="0.3">
      <c r="B1392" s="414">
        <v>6490416</v>
      </c>
      <c r="C1392" s="411"/>
      <c r="D1392" s="407" t="s">
        <v>548</v>
      </c>
      <c r="E1392" s="408" t="s">
        <v>549</v>
      </c>
      <c r="F1392" s="408" t="s">
        <v>550</v>
      </c>
      <c r="G1392" s="408" t="s">
        <v>551</v>
      </c>
      <c r="H1392" s="408" t="s">
        <v>552</v>
      </c>
      <c r="I1392" s="408" t="s">
        <v>553</v>
      </c>
      <c r="J1392" s="408" t="s">
        <v>554</v>
      </c>
      <c r="K1392" s="408" t="s">
        <v>555</v>
      </c>
      <c r="M1392" s="426" t="s">
        <v>745</v>
      </c>
    </row>
    <row r="1393" spans="2:13" ht="15.75" thickBot="1" x14ac:dyDescent="0.3">
      <c r="B1393" s="414" t="s">
        <v>556</v>
      </c>
      <c r="C1393" s="415" t="s">
        <v>620</v>
      </c>
      <c r="D1393" s="416">
        <f>IF(ISERROR(VLOOKUP(B1392,'MD Usage'!$A$1:$W$5000,3,FALSE)),0,VLOOKUP(B1392,'MD Usage'!$A$1:$W$5000,3,FALSE))</f>
        <v>0</v>
      </c>
      <c r="E1393" s="416">
        <f>IF(ISERROR(VLOOKUP(B1392,'MD Usage'!$A$1:$W$5000,5,FALSE)),0,VLOOKUP(B1392,'MD Usage'!$A$1:$W$5000,5,FALSE))</f>
        <v>0</v>
      </c>
      <c r="F1393" s="416">
        <f>IF(ISERROR(VLOOKUP(B1392,'MD Usage'!$A$1:$W$5000,7,FALSE)),0,VLOOKUP(B1392,'MD Usage'!$A$1:$W$5000,7,FALSE))</f>
        <v>2</v>
      </c>
      <c r="G1393" s="416">
        <f>IF(ISERROR(VLOOKUP(B1392,'MD Usage'!$A$1:$W$5000,9,FALSE)),0,VLOOKUP(B1392,'MD Usage'!$A$1:$W$5000,9,FALSE))</f>
        <v>0</v>
      </c>
      <c r="H1393" s="416">
        <f>IF(ISERROR(VLOOKUP(B1392,'MD Usage'!$A$1:$W$5000,11,FALSE)),0,VLOOKUP(B1392,'MD Usage'!$A$1:$W$5000,11,FALSE))</f>
        <v>2</v>
      </c>
      <c r="I1393" s="416">
        <f>IF(ISERROR(VLOOKUP(B1392,'MD Usage'!A1:R2000,13,FALSE)),0,VLOOKUP(B1392,'MD Usage'!A1:R2000,13,FALSE))</f>
        <v>0</v>
      </c>
      <c r="J1393" s="416">
        <f>IF(ISERROR(VLOOKUP(B1392,'MD Usage'!A1:R2000,15,FALSE)),0,VLOOKUP(B1392,'MD Usage'!A1:R2000,15,FALSE))</f>
        <v>0</v>
      </c>
      <c r="K1393" s="418">
        <f>SUM(D1393:J1393)</f>
        <v>4</v>
      </c>
    </row>
    <row r="1394" spans="2:13" x14ac:dyDescent="0.25">
      <c r="B1394" s="419" t="s">
        <v>70</v>
      </c>
      <c r="C1394" s="420">
        <v>6</v>
      </c>
      <c r="D1394" s="421">
        <f>D1393*C1394</f>
        <v>0</v>
      </c>
      <c r="E1394" s="421">
        <f>E1393*C1394</f>
        <v>0</v>
      </c>
      <c r="F1394" s="421">
        <f>F1393*C1394</f>
        <v>12</v>
      </c>
      <c r="G1394" s="421">
        <f>G1393*C1394</f>
        <v>0</v>
      </c>
      <c r="H1394" s="421">
        <f>H1393*C1394</f>
        <v>12</v>
      </c>
      <c r="I1394" s="421">
        <f>I1393*C1394</f>
        <v>0</v>
      </c>
      <c r="J1394" s="421">
        <f>J1393*C1394</f>
        <v>0</v>
      </c>
      <c r="K1394" s="422">
        <f>SUM(D1394:J1394)</f>
        <v>24</v>
      </c>
    </row>
    <row r="1395" spans="2:13" x14ac:dyDescent="0.25">
      <c r="B1395" s="389"/>
      <c r="C1395" s="423"/>
      <c r="D1395" s="421">
        <f>D1393*C1395</f>
        <v>0</v>
      </c>
      <c r="E1395" s="421">
        <f>E1393*C1395</f>
        <v>0</v>
      </c>
      <c r="F1395" s="421">
        <f>F1393*C1395</f>
        <v>0</v>
      </c>
      <c r="G1395" s="421">
        <f>G1393*C1395</f>
        <v>0</v>
      </c>
      <c r="H1395" s="421">
        <f>H1393*C1395</f>
        <v>0</v>
      </c>
      <c r="I1395" s="421">
        <f>I1393*C1395</f>
        <v>0</v>
      </c>
      <c r="J1395" s="421">
        <f>J1393*C1395</f>
        <v>0</v>
      </c>
      <c r="K1395" s="424">
        <f>SUM(D1395:J1395)</f>
        <v>0</v>
      </c>
    </row>
    <row r="1396" spans="2:13" ht="15" customHeight="1" x14ac:dyDescent="0.25">
      <c r="B1396" s="389"/>
      <c r="C1396" s="423"/>
      <c r="D1396" s="421">
        <f>D1393*C1396</f>
        <v>0</v>
      </c>
      <c r="E1396" s="421">
        <f>E1393*C1396</f>
        <v>0</v>
      </c>
      <c r="F1396" s="421">
        <f>F1393*C1396</f>
        <v>0</v>
      </c>
      <c r="G1396" s="421">
        <f>G1393*C1396</f>
        <v>0</v>
      </c>
      <c r="H1396" s="421">
        <f>H1393*C1396</f>
        <v>0</v>
      </c>
      <c r="I1396" s="421">
        <f>I1393*C1396</f>
        <v>0</v>
      </c>
      <c r="J1396" s="421">
        <f>J1393*C1396</f>
        <v>0</v>
      </c>
      <c r="K1396" s="424">
        <f>SUM(D1396:J1396)</f>
        <v>0</v>
      </c>
    </row>
    <row r="1397" spans="2:13" x14ac:dyDescent="0.25">
      <c r="B1397" s="389"/>
      <c r="C1397" s="423"/>
      <c r="D1397" s="421">
        <f>D1393*C1397</f>
        <v>0</v>
      </c>
      <c r="E1397" s="421">
        <f>E1393*C1397</f>
        <v>0</v>
      </c>
      <c r="F1397" s="421">
        <f>F1393*C1397</f>
        <v>0</v>
      </c>
      <c r="G1397" s="421">
        <f>G1393*C1397</f>
        <v>0</v>
      </c>
      <c r="H1397" s="421">
        <f>H1393*C1397</f>
        <v>0</v>
      </c>
      <c r="I1397" s="421">
        <f>I1393*C1397</f>
        <v>0</v>
      </c>
      <c r="J1397" s="421">
        <f>J1393*C1397</f>
        <v>0</v>
      </c>
      <c r="K1397" s="424">
        <f>SUM(D1397:J1397)</f>
        <v>0</v>
      </c>
    </row>
    <row r="1398" spans="2:13" ht="15.75" thickBot="1" x14ac:dyDescent="0.3"/>
    <row r="1399" spans="2:13" ht="15.75" thickBot="1" x14ac:dyDescent="0.3">
      <c r="B1399" s="414">
        <v>6490873</v>
      </c>
      <c r="C1399" s="411"/>
      <c r="D1399" s="407" t="s">
        <v>548</v>
      </c>
      <c r="E1399" s="408" t="s">
        <v>549</v>
      </c>
      <c r="F1399" s="408" t="s">
        <v>550</v>
      </c>
      <c r="G1399" s="408" t="s">
        <v>551</v>
      </c>
      <c r="H1399" s="408" t="s">
        <v>552</v>
      </c>
      <c r="I1399" s="408" t="s">
        <v>553</v>
      </c>
      <c r="J1399" s="408" t="s">
        <v>554</v>
      </c>
      <c r="K1399" s="408" t="s">
        <v>555</v>
      </c>
      <c r="M1399" s="426" t="s">
        <v>746</v>
      </c>
    </row>
    <row r="1400" spans="2:13" ht="15.75" thickBot="1" x14ac:dyDescent="0.3">
      <c r="B1400" s="414" t="s">
        <v>556</v>
      </c>
      <c r="C1400" s="415" t="s">
        <v>620</v>
      </c>
      <c r="D1400" s="416">
        <f>IF(ISERROR(VLOOKUP(B1399,'MD Usage'!$A$1:$W$5000,3,FALSE)),0,VLOOKUP(B1399,'MD Usage'!$A$1:$W$5000,3,FALSE))</f>
        <v>0</v>
      </c>
      <c r="E1400" s="416">
        <f>IF(ISERROR(VLOOKUP(B1399,'MD Usage'!$A$1:$W$5000,5,FALSE)),0,VLOOKUP(B1399,'MD Usage'!$A$1:$W$5000,5,FALSE))</f>
        <v>0</v>
      </c>
      <c r="F1400" s="416">
        <f>IF(ISERROR(VLOOKUP(B1399,'MD Usage'!$A$1:$W$5000,7,FALSE)),0,VLOOKUP(B1399,'MD Usage'!$A$1:$W$5000,7,FALSE))</f>
        <v>0</v>
      </c>
      <c r="G1400" s="416">
        <f>IF(ISERROR(VLOOKUP(B1399,'MD Usage'!$A$1:$W$5000,9,FALSE)),0,VLOOKUP(B1399,'MD Usage'!$A$1:$W$5000,9,FALSE))</f>
        <v>0</v>
      </c>
      <c r="H1400" s="416">
        <f>IF(ISERROR(VLOOKUP(B1399,'MD Usage'!$A$1:$W$5000,11,FALSE)),0,VLOOKUP(B1399,'MD Usage'!$A$1:$W$5000,11,FALSE))</f>
        <v>0</v>
      </c>
      <c r="I1400" s="416">
        <f>IF(ISERROR(VLOOKUP(B1399,'MD Usage'!A1:R2000,13,FALSE)),0,VLOOKUP(B1399,'MD Usage'!A1:R2000,13,FALSE))</f>
        <v>0</v>
      </c>
      <c r="J1400" s="416">
        <f>IF(ISERROR(VLOOKUP(B1399,'MD Usage'!A1:R2000,15,FALSE)),0,VLOOKUP(B1399,'MD Usage'!A1:R2000,15,FALSE))</f>
        <v>0</v>
      </c>
      <c r="K1400" s="418">
        <f>SUM(D1400:J1400)</f>
        <v>0</v>
      </c>
    </row>
    <row r="1401" spans="2:13" ht="15" customHeight="1" x14ac:dyDescent="0.25">
      <c r="B1401" s="419" t="s">
        <v>1822</v>
      </c>
      <c r="C1401" s="420">
        <v>1</v>
      </c>
      <c r="D1401" s="421">
        <f>D1400*C1401</f>
        <v>0</v>
      </c>
      <c r="E1401" s="421">
        <f>E1400*C1401</f>
        <v>0</v>
      </c>
      <c r="F1401" s="421">
        <f>F1400*C1401</f>
        <v>0</v>
      </c>
      <c r="G1401" s="421">
        <f>G1400*C1401</f>
        <v>0</v>
      </c>
      <c r="H1401" s="421">
        <f>H1400*C1401</f>
        <v>0</v>
      </c>
      <c r="I1401" s="421">
        <f>I1400*C1401</f>
        <v>0</v>
      </c>
      <c r="J1401" s="421">
        <f>J1400*C1401</f>
        <v>0</v>
      </c>
      <c r="K1401" s="422">
        <f>SUM(D1401:J1401)</f>
        <v>0</v>
      </c>
    </row>
    <row r="1402" spans="2:13" x14ac:dyDescent="0.25">
      <c r="B1402" s="389"/>
      <c r="C1402" s="423"/>
      <c r="D1402" s="421">
        <f>D1400*C1402</f>
        <v>0</v>
      </c>
      <c r="E1402" s="421">
        <f>E1400*C1402</f>
        <v>0</v>
      </c>
      <c r="F1402" s="421">
        <f>F1400*C1402</f>
        <v>0</v>
      </c>
      <c r="G1402" s="421">
        <f>G1400*C1402</f>
        <v>0</v>
      </c>
      <c r="H1402" s="421">
        <f>H1400*C1402</f>
        <v>0</v>
      </c>
      <c r="I1402" s="421">
        <f>I1400*C1402</f>
        <v>0</v>
      </c>
      <c r="J1402" s="421">
        <f>J1400*C1402</f>
        <v>0</v>
      </c>
      <c r="K1402" s="424">
        <f>SUM(D1402:J1402)</f>
        <v>0</v>
      </c>
    </row>
    <row r="1403" spans="2:13" x14ac:dyDescent="0.25">
      <c r="B1403" s="389"/>
      <c r="C1403" s="423"/>
      <c r="D1403" s="421">
        <f>D1400*C1403</f>
        <v>0</v>
      </c>
      <c r="E1403" s="421">
        <f>E1400*C1403</f>
        <v>0</v>
      </c>
      <c r="F1403" s="421">
        <f>F1400*C1403</f>
        <v>0</v>
      </c>
      <c r="G1403" s="421">
        <f>G1400*C1403</f>
        <v>0</v>
      </c>
      <c r="H1403" s="421">
        <f>H1400*C1403</f>
        <v>0</v>
      </c>
      <c r="I1403" s="421">
        <f>I1400*C1403</f>
        <v>0</v>
      </c>
      <c r="J1403" s="421">
        <f>J1400*C1403</f>
        <v>0</v>
      </c>
      <c r="K1403" s="424">
        <f>SUM(D1403:J1403)</f>
        <v>0</v>
      </c>
    </row>
    <row r="1404" spans="2:13" x14ac:dyDescent="0.25">
      <c r="B1404" s="389"/>
      <c r="C1404" s="423"/>
      <c r="D1404" s="421">
        <f>D1400*C1404</f>
        <v>0</v>
      </c>
      <c r="E1404" s="421">
        <f>E1400*C1404</f>
        <v>0</v>
      </c>
      <c r="F1404" s="421">
        <f>F1400*C1404</f>
        <v>0</v>
      </c>
      <c r="G1404" s="421">
        <f>G1400*C1404</f>
        <v>0</v>
      </c>
      <c r="H1404" s="421">
        <f>H1400*C1404</f>
        <v>0</v>
      </c>
      <c r="I1404" s="421">
        <f>I1400*C1404</f>
        <v>0</v>
      </c>
      <c r="J1404" s="421">
        <f>J1400*C1404</f>
        <v>0</v>
      </c>
      <c r="K1404" s="424">
        <f>SUM(D1404:J1404)</f>
        <v>0</v>
      </c>
    </row>
    <row r="1405" spans="2:13" ht="15.75" thickBot="1" x14ac:dyDescent="0.3"/>
    <row r="1406" spans="2:13" ht="15" customHeight="1" thickBot="1" x14ac:dyDescent="0.3">
      <c r="B1406" s="414">
        <v>6490085</v>
      </c>
      <c r="C1406" s="411"/>
      <c r="D1406" s="407" t="s">
        <v>548</v>
      </c>
      <c r="E1406" s="408" t="s">
        <v>549</v>
      </c>
      <c r="F1406" s="408" t="s">
        <v>550</v>
      </c>
      <c r="G1406" s="408" t="s">
        <v>551</v>
      </c>
      <c r="H1406" s="408" t="s">
        <v>552</v>
      </c>
      <c r="I1406" s="408" t="s">
        <v>553</v>
      </c>
      <c r="J1406" s="408" t="s">
        <v>554</v>
      </c>
      <c r="K1406" s="408" t="s">
        <v>555</v>
      </c>
      <c r="M1406" s="426" t="s">
        <v>747</v>
      </c>
    </row>
    <row r="1407" spans="2:13" ht="15.75" thickBot="1" x14ac:dyDescent="0.3">
      <c r="B1407" s="414" t="s">
        <v>556</v>
      </c>
      <c r="C1407" s="415" t="s">
        <v>620</v>
      </c>
      <c r="D1407" s="416">
        <f>IF(ISERROR(VLOOKUP(B1406,'MD Usage'!$A$1:$W$5000,3,FALSE)),0,VLOOKUP(B1406,'MD Usage'!$A$1:$W$5000,3,FALSE))</f>
        <v>1</v>
      </c>
      <c r="E1407" s="416">
        <f>IF(ISERROR(VLOOKUP(B1406,'MD Usage'!$A$1:$W$5000,5,FALSE)),0,VLOOKUP(B1406,'MD Usage'!$A$1:$W$5000,5,FALSE))</f>
        <v>1</v>
      </c>
      <c r="F1407" s="416">
        <f>IF(ISERROR(VLOOKUP(B1406,'MD Usage'!$A$1:$W$5000,7,FALSE)),0,VLOOKUP(B1406,'MD Usage'!$A$1:$W$5000,7,FALSE))</f>
        <v>1</v>
      </c>
      <c r="G1407" s="416">
        <f>IF(ISERROR(VLOOKUP(B1406,'MD Usage'!$A$1:$W$5000,9,FALSE)),0,VLOOKUP(B1406,'MD Usage'!$A$1:$W$5000,9,FALSE))</f>
        <v>3</v>
      </c>
      <c r="H1407" s="416">
        <f>IF(ISERROR(VLOOKUP(B1406,'MD Usage'!$A$1:$W$5000,11,FALSE)),0,VLOOKUP(B1406,'MD Usage'!$A$1:$W$5000,11,FALSE))</f>
        <v>4</v>
      </c>
      <c r="I1407" s="416">
        <f>IF(ISERROR(VLOOKUP(B1406,'MD Usage'!A1:R2000,13,FALSE)),0,VLOOKUP(B1406,'MD Usage'!A1:R2000,13,FALSE))</f>
        <v>9</v>
      </c>
      <c r="J1407" s="416">
        <f>IF(ISERROR(VLOOKUP(B1406,'MD Usage'!A1:R2000,15,FALSE)),0,VLOOKUP(B1406,'MD Usage'!A1:R2000,15,FALSE))</f>
        <v>2</v>
      </c>
      <c r="K1407" s="418">
        <f>SUM(D1407:J1407)</f>
        <v>21</v>
      </c>
    </row>
    <row r="1408" spans="2:13" x14ac:dyDescent="0.25">
      <c r="B1408" s="419" t="s">
        <v>557</v>
      </c>
      <c r="C1408" s="420">
        <v>1</v>
      </c>
      <c r="D1408" s="421">
        <f>D1407*C1408</f>
        <v>1</v>
      </c>
      <c r="E1408" s="421">
        <f>E1407*C1408</f>
        <v>1</v>
      </c>
      <c r="F1408" s="421">
        <f>F1407*C1408</f>
        <v>1</v>
      </c>
      <c r="G1408" s="421">
        <f>G1407*C1408</f>
        <v>3</v>
      </c>
      <c r="H1408" s="421">
        <f>H1407*C1408</f>
        <v>4</v>
      </c>
      <c r="I1408" s="421">
        <f>I1407*C1408</f>
        <v>9</v>
      </c>
      <c r="J1408" s="421">
        <f>J1407*C1408</f>
        <v>2</v>
      </c>
      <c r="K1408" s="422">
        <f>SUM(D1408:J1408)</f>
        <v>21</v>
      </c>
    </row>
    <row r="1409" spans="2:13" x14ac:dyDescent="0.25">
      <c r="B1409" s="389"/>
      <c r="C1409" s="423"/>
      <c r="D1409" s="421">
        <f>D1407*C1409</f>
        <v>0</v>
      </c>
      <c r="E1409" s="421">
        <f>E1407*C1409</f>
        <v>0</v>
      </c>
      <c r="F1409" s="421">
        <f>F1407*C1409</f>
        <v>0</v>
      </c>
      <c r="G1409" s="421">
        <f>G1407*C1409</f>
        <v>0</v>
      </c>
      <c r="H1409" s="421">
        <f>H1407*C1409</f>
        <v>0</v>
      </c>
      <c r="I1409" s="421">
        <f>I1407*C1409</f>
        <v>0</v>
      </c>
      <c r="J1409" s="421">
        <f>J1407*C1409</f>
        <v>0</v>
      </c>
      <c r="K1409" s="424">
        <f>SUM(D1409:J1409)</f>
        <v>0</v>
      </c>
    </row>
    <row r="1410" spans="2:13" x14ac:dyDescent="0.25">
      <c r="B1410" s="389"/>
      <c r="C1410" s="423"/>
      <c r="D1410" s="421">
        <f>D1407*C1410</f>
        <v>0</v>
      </c>
      <c r="E1410" s="421">
        <f>E1407*C1410</f>
        <v>0</v>
      </c>
      <c r="F1410" s="421">
        <f>F1407*C1410</f>
        <v>0</v>
      </c>
      <c r="G1410" s="421">
        <f>G1407*C1410</f>
        <v>0</v>
      </c>
      <c r="H1410" s="421">
        <f>H1407*C1410</f>
        <v>0</v>
      </c>
      <c r="I1410" s="421">
        <f>I1407*C1410</f>
        <v>0</v>
      </c>
      <c r="J1410" s="421">
        <f>J1407*C1410</f>
        <v>0</v>
      </c>
      <c r="K1410" s="424">
        <f>SUM(D1410:J1410)</f>
        <v>0</v>
      </c>
    </row>
    <row r="1411" spans="2:13" x14ac:dyDescent="0.25">
      <c r="B1411" s="389"/>
      <c r="C1411" s="423"/>
      <c r="D1411" s="421">
        <f>D1407*C1411</f>
        <v>0</v>
      </c>
      <c r="E1411" s="421">
        <f>E1407*C1411</f>
        <v>0</v>
      </c>
      <c r="F1411" s="421">
        <f>F1407*C1411</f>
        <v>0</v>
      </c>
      <c r="G1411" s="421">
        <f>G1407*C1411</f>
        <v>0</v>
      </c>
      <c r="H1411" s="421">
        <f>H1407*C1411</f>
        <v>0</v>
      </c>
      <c r="I1411" s="421">
        <f>I1407*C1411</f>
        <v>0</v>
      </c>
      <c r="J1411" s="421">
        <f>J1407*C1411</f>
        <v>0</v>
      </c>
      <c r="K1411" s="424">
        <f>SUM(D1411:J1411)</f>
        <v>0</v>
      </c>
    </row>
    <row r="1412" spans="2:13" ht="15" customHeight="1" thickBot="1" x14ac:dyDescent="0.3"/>
    <row r="1413" spans="2:13" ht="15.75" thickBot="1" x14ac:dyDescent="0.3">
      <c r="B1413" s="414">
        <v>6490083</v>
      </c>
      <c r="C1413" s="411"/>
      <c r="D1413" s="407" t="s">
        <v>548</v>
      </c>
      <c r="E1413" s="408" t="s">
        <v>549</v>
      </c>
      <c r="F1413" s="408" t="s">
        <v>550</v>
      </c>
      <c r="G1413" s="408" t="s">
        <v>551</v>
      </c>
      <c r="H1413" s="408" t="s">
        <v>552</v>
      </c>
      <c r="I1413" s="408" t="s">
        <v>553</v>
      </c>
      <c r="J1413" s="408" t="s">
        <v>554</v>
      </c>
      <c r="K1413" s="408" t="s">
        <v>555</v>
      </c>
      <c r="M1413" s="426" t="s">
        <v>748</v>
      </c>
    </row>
    <row r="1414" spans="2:13" ht="15.75" thickBot="1" x14ac:dyDescent="0.3">
      <c r="B1414" s="414" t="s">
        <v>556</v>
      </c>
      <c r="C1414" s="415" t="s">
        <v>620</v>
      </c>
      <c r="D1414" s="416">
        <f>IF(ISERROR(VLOOKUP(B1413,'MD Usage'!$A$1:$W$5000,3,FALSE)),0,VLOOKUP(B1413,'MD Usage'!$A$1:$W$5000,3,FALSE))</f>
        <v>0</v>
      </c>
      <c r="E1414" s="416">
        <f>IF(ISERROR(VLOOKUP(B1413,'MD Usage'!$A$1:$W$5000,5,FALSE)),0,VLOOKUP(B1413,'MD Usage'!$A$1:$W$5000,5,FALSE))</f>
        <v>1</v>
      </c>
      <c r="F1414" s="416">
        <f>IF(ISERROR(VLOOKUP(B1413,'MD Usage'!$A$1:$W$5000,7,FALSE)),0,VLOOKUP(B1413,'MD Usage'!$A$1:$W$5000,7,FALSE))</f>
        <v>0</v>
      </c>
      <c r="G1414" s="416">
        <f>IF(ISERROR(VLOOKUP(B1413,'MD Usage'!$A$1:$W$5000,9,FALSE)),0,VLOOKUP(B1413,'MD Usage'!$A$1:$W$5000,9,FALSE))</f>
        <v>1</v>
      </c>
      <c r="H1414" s="416">
        <f>IF(ISERROR(VLOOKUP(B1413,'MD Usage'!$A$1:$W$5000,11,FALSE)),0,VLOOKUP(B1413,'MD Usage'!$A$1:$W$5000,11,FALSE))</f>
        <v>2</v>
      </c>
      <c r="I1414" s="416">
        <f>IF(ISERROR(VLOOKUP(B1413,'MD Usage'!A1:R2000,13,FALSE)),0,VLOOKUP(B1413,'MD Usage'!A1:R2000,13,FALSE))</f>
        <v>0</v>
      </c>
      <c r="J1414" s="416">
        <f>IF(ISERROR(VLOOKUP(B1413,'MD Usage'!A1:R2000,15,FALSE)),0,VLOOKUP(B1413,'MD Usage'!A1:R2000,15,FALSE))</f>
        <v>3</v>
      </c>
      <c r="K1414" s="418">
        <f>SUM(D1414:J1414)</f>
        <v>7</v>
      </c>
    </row>
    <row r="1415" spans="2:13" x14ac:dyDescent="0.25">
      <c r="B1415" s="419" t="s">
        <v>558</v>
      </c>
      <c r="C1415" s="420">
        <v>1</v>
      </c>
      <c r="D1415" s="421">
        <f>D1414*C1415</f>
        <v>0</v>
      </c>
      <c r="E1415" s="421">
        <f>E1414*C1415</f>
        <v>1</v>
      </c>
      <c r="F1415" s="421">
        <f>F1414*C1415</f>
        <v>0</v>
      </c>
      <c r="G1415" s="421">
        <f>G1414*C1415</f>
        <v>1</v>
      </c>
      <c r="H1415" s="421">
        <f>H1414*C1415</f>
        <v>2</v>
      </c>
      <c r="I1415" s="421">
        <f>I1414*C1415</f>
        <v>0</v>
      </c>
      <c r="J1415" s="421">
        <f>J1414*C1415</f>
        <v>3</v>
      </c>
      <c r="K1415" s="422">
        <f>SUM(D1415:J1415)</f>
        <v>7</v>
      </c>
    </row>
    <row r="1416" spans="2:13" x14ac:dyDescent="0.25">
      <c r="B1416" s="389"/>
      <c r="C1416" s="423"/>
      <c r="D1416" s="421">
        <f>D1414*C1416</f>
        <v>0</v>
      </c>
      <c r="E1416" s="421">
        <f>E1414*C1416</f>
        <v>0</v>
      </c>
      <c r="F1416" s="421">
        <f>F1414*C1416</f>
        <v>0</v>
      </c>
      <c r="G1416" s="421">
        <f>G1414*C1416</f>
        <v>0</v>
      </c>
      <c r="H1416" s="421">
        <f>H1414*C1416</f>
        <v>0</v>
      </c>
      <c r="I1416" s="421">
        <f>I1414*C1416</f>
        <v>0</v>
      </c>
      <c r="J1416" s="421">
        <f>J1414*C1416</f>
        <v>0</v>
      </c>
      <c r="K1416" s="424">
        <f>SUM(D1416:J1416)</f>
        <v>0</v>
      </c>
    </row>
    <row r="1417" spans="2:13" ht="15" customHeight="1" x14ac:dyDescent="0.25">
      <c r="B1417" s="389"/>
      <c r="C1417" s="423"/>
      <c r="D1417" s="421">
        <f>D1414*C1417</f>
        <v>0</v>
      </c>
      <c r="E1417" s="421">
        <f>E1414*C1417</f>
        <v>0</v>
      </c>
      <c r="F1417" s="421">
        <f>F1414*C1417</f>
        <v>0</v>
      </c>
      <c r="G1417" s="421">
        <f>G1414*C1417</f>
        <v>0</v>
      </c>
      <c r="H1417" s="421">
        <f>H1414*C1417</f>
        <v>0</v>
      </c>
      <c r="I1417" s="421">
        <f>I1414*C1417</f>
        <v>0</v>
      </c>
      <c r="J1417" s="421">
        <f>J1414*C1417</f>
        <v>0</v>
      </c>
      <c r="K1417" s="424">
        <f>SUM(D1417:J1417)</f>
        <v>0</v>
      </c>
    </row>
    <row r="1418" spans="2:13" x14ac:dyDescent="0.25">
      <c r="B1418" s="389"/>
      <c r="C1418" s="423"/>
      <c r="D1418" s="421">
        <f>D1414*C1418</f>
        <v>0</v>
      </c>
      <c r="E1418" s="421">
        <f>E1414*C1418</f>
        <v>0</v>
      </c>
      <c r="F1418" s="421">
        <f>F1414*C1418</f>
        <v>0</v>
      </c>
      <c r="G1418" s="421">
        <f>G1414*C1418</f>
        <v>0</v>
      </c>
      <c r="H1418" s="421">
        <f>H1414*C1418</f>
        <v>0</v>
      </c>
      <c r="I1418" s="421">
        <f>I1414*C1418</f>
        <v>0</v>
      </c>
      <c r="J1418" s="421">
        <f>J1414*C1418</f>
        <v>0</v>
      </c>
      <c r="K1418" s="424">
        <f>SUM(D1418:J1418)</f>
        <v>0</v>
      </c>
    </row>
    <row r="1419" spans="2:13" ht="15.75" thickBot="1" x14ac:dyDescent="0.3"/>
    <row r="1420" spans="2:13" ht="15.75" thickBot="1" x14ac:dyDescent="0.3">
      <c r="B1420" s="414">
        <v>6490039</v>
      </c>
      <c r="C1420" s="411"/>
      <c r="D1420" s="407" t="s">
        <v>548</v>
      </c>
      <c r="E1420" s="408" t="s">
        <v>549</v>
      </c>
      <c r="F1420" s="408" t="s">
        <v>550</v>
      </c>
      <c r="G1420" s="408" t="s">
        <v>551</v>
      </c>
      <c r="H1420" s="408" t="s">
        <v>552</v>
      </c>
      <c r="I1420" s="408" t="s">
        <v>553</v>
      </c>
      <c r="J1420" s="408" t="s">
        <v>554</v>
      </c>
      <c r="K1420" s="408" t="s">
        <v>555</v>
      </c>
      <c r="M1420" s="426" t="s">
        <v>749</v>
      </c>
    </row>
    <row r="1421" spans="2:13" ht="15.75" thickBot="1" x14ac:dyDescent="0.3">
      <c r="B1421" s="414" t="s">
        <v>556</v>
      </c>
      <c r="C1421" s="415" t="s">
        <v>620</v>
      </c>
      <c r="D1421" s="416">
        <f>IF(ISERROR(VLOOKUP(B1420,'MD Usage'!$A$1:$W$5000,3,FALSE)),0,VLOOKUP(B1420,'MD Usage'!$A$1:$W$5000,3,FALSE))</f>
        <v>2</v>
      </c>
      <c r="E1421" s="416">
        <f>IF(ISERROR(VLOOKUP(B1420,'MD Usage'!$A$1:$W$5000,5,FALSE)),0,VLOOKUP(B1420,'MD Usage'!$A$1:$W$5000,5,FALSE))</f>
        <v>5</v>
      </c>
      <c r="F1421" s="416">
        <f>IF(ISERROR(VLOOKUP(B1420,'MD Usage'!$A$1:$W$5000,7,FALSE)),0,VLOOKUP(B1420,'MD Usage'!$A$1:$W$5000,7,FALSE))</f>
        <v>4</v>
      </c>
      <c r="G1421" s="416">
        <f>IF(ISERROR(VLOOKUP(B1420,'MD Usage'!$A$1:$W$5000,9,FALSE)),0,VLOOKUP(B1420,'MD Usage'!$A$1:$W$5000,9,FALSE))</f>
        <v>3</v>
      </c>
      <c r="H1421" s="416">
        <f>IF(ISERROR(VLOOKUP(B1420,'MD Usage'!$A$1:$W$5000,11,FALSE)),0,VLOOKUP(B1420,'MD Usage'!$A$1:$W$5000,11,FALSE))</f>
        <v>15</v>
      </c>
      <c r="I1421" s="416">
        <f>IF(ISERROR(VLOOKUP(B1420,'MD Usage'!A1:R2000,13,FALSE)),0,VLOOKUP(B1420,'MD Usage'!A1:R2000,13,FALSE))</f>
        <v>19</v>
      </c>
      <c r="J1421" s="416">
        <f>IF(ISERROR(VLOOKUP(B1420,'MD Usage'!A1:R2000,15,FALSE)),0,VLOOKUP(B1420,'MD Usage'!A1:R2000,15,FALSE))</f>
        <v>5</v>
      </c>
      <c r="K1421" s="418">
        <f>SUM(D1421:J1421)</f>
        <v>53</v>
      </c>
    </row>
    <row r="1422" spans="2:13" ht="15" customHeight="1" x14ac:dyDescent="0.25">
      <c r="B1422" s="419" t="s">
        <v>559</v>
      </c>
      <c r="C1422" s="420">
        <v>1</v>
      </c>
      <c r="D1422" s="421">
        <f>D1421*C1422</f>
        <v>2</v>
      </c>
      <c r="E1422" s="421">
        <f>E1421*C1422</f>
        <v>5</v>
      </c>
      <c r="F1422" s="421">
        <f>F1421*C1422</f>
        <v>4</v>
      </c>
      <c r="G1422" s="421">
        <f>G1421*C1422</f>
        <v>3</v>
      </c>
      <c r="H1422" s="421">
        <f>H1421*C1422</f>
        <v>15</v>
      </c>
      <c r="I1422" s="421">
        <f>I1421*C1422</f>
        <v>19</v>
      </c>
      <c r="J1422" s="421">
        <f>J1421*C1422</f>
        <v>5</v>
      </c>
      <c r="K1422" s="422">
        <f>SUM(D1422:J1422)</f>
        <v>53</v>
      </c>
    </row>
    <row r="1423" spans="2:13" x14ac:dyDescent="0.25">
      <c r="B1423" s="389"/>
      <c r="C1423" s="423"/>
      <c r="D1423" s="421">
        <f>D1421*C1423</f>
        <v>0</v>
      </c>
      <c r="E1423" s="421">
        <f>E1421*C1423</f>
        <v>0</v>
      </c>
      <c r="F1423" s="421">
        <f>F1421*C1423</f>
        <v>0</v>
      </c>
      <c r="G1423" s="421">
        <f>G1421*C1423</f>
        <v>0</v>
      </c>
      <c r="H1423" s="421">
        <f>H1421*C1423</f>
        <v>0</v>
      </c>
      <c r="I1423" s="421">
        <f>I1421*C1423</f>
        <v>0</v>
      </c>
      <c r="J1423" s="421">
        <f>J1421*C1423</f>
        <v>0</v>
      </c>
      <c r="K1423" s="424">
        <f>SUM(D1423:J1423)</f>
        <v>0</v>
      </c>
    </row>
    <row r="1424" spans="2:13" x14ac:dyDescent="0.25">
      <c r="B1424" s="389"/>
      <c r="C1424" s="423"/>
      <c r="D1424" s="421">
        <f>D1421*C1424</f>
        <v>0</v>
      </c>
      <c r="E1424" s="421">
        <f>E1421*C1424</f>
        <v>0</v>
      </c>
      <c r="F1424" s="421">
        <f>F1421*C1424</f>
        <v>0</v>
      </c>
      <c r="G1424" s="421">
        <f>G1421*C1424</f>
        <v>0</v>
      </c>
      <c r="H1424" s="421">
        <f>H1421*C1424</f>
        <v>0</v>
      </c>
      <c r="I1424" s="421">
        <f>I1421*C1424</f>
        <v>0</v>
      </c>
      <c r="J1424" s="421">
        <f>J1421*C1424</f>
        <v>0</v>
      </c>
      <c r="K1424" s="424">
        <f>SUM(D1424:J1424)</f>
        <v>0</v>
      </c>
    </row>
    <row r="1425" spans="2:13" x14ac:dyDescent="0.25">
      <c r="B1425" s="389"/>
      <c r="C1425" s="423"/>
      <c r="D1425" s="421">
        <f>D1421*C1425</f>
        <v>0</v>
      </c>
      <c r="E1425" s="421">
        <f>E1421*C1425</f>
        <v>0</v>
      </c>
      <c r="F1425" s="421">
        <f>F1421*C1425</f>
        <v>0</v>
      </c>
      <c r="G1425" s="421">
        <f>G1421*C1425</f>
        <v>0</v>
      </c>
      <c r="H1425" s="421">
        <f>H1421*C1425</f>
        <v>0</v>
      </c>
      <c r="I1425" s="421">
        <f>I1421*C1425</f>
        <v>0</v>
      </c>
      <c r="J1425" s="421">
        <f>J1421*C1425</f>
        <v>0</v>
      </c>
      <c r="K1425" s="424">
        <f>SUM(D1425:J1425)</f>
        <v>0</v>
      </c>
    </row>
    <row r="1426" spans="2:13" ht="15.75" thickBot="1" x14ac:dyDescent="0.3"/>
    <row r="1427" spans="2:13" ht="15" customHeight="1" thickBot="1" x14ac:dyDescent="0.3">
      <c r="B1427" s="432">
        <v>6490447</v>
      </c>
      <c r="C1427" s="411"/>
      <c r="D1427" s="407" t="s">
        <v>548</v>
      </c>
      <c r="E1427" s="408" t="s">
        <v>549</v>
      </c>
      <c r="F1427" s="408" t="s">
        <v>550</v>
      </c>
      <c r="G1427" s="408" t="s">
        <v>551</v>
      </c>
      <c r="H1427" s="408" t="s">
        <v>552</v>
      </c>
      <c r="I1427" s="408" t="s">
        <v>553</v>
      </c>
      <c r="J1427" s="408" t="s">
        <v>554</v>
      </c>
      <c r="K1427" s="408" t="s">
        <v>555</v>
      </c>
      <c r="M1427" s="426" t="s">
        <v>750</v>
      </c>
    </row>
    <row r="1428" spans="2:13" ht="15.75" thickBot="1" x14ac:dyDescent="0.3">
      <c r="B1428" s="414" t="s">
        <v>556</v>
      </c>
      <c r="C1428" s="415" t="s">
        <v>620</v>
      </c>
      <c r="D1428" s="416">
        <f>IF(ISERROR(VLOOKUP(B1427,'MD Usage'!$A$1:$W$5000,3,FALSE)),0,VLOOKUP(B1427,'MD Usage'!$A$1:$W$5000,3,FALSE))</f>
        <v>0</v>
      </c>
      <c r="E1428" s="416">
        <f>IF(ISERROR(VLOOKUP(B1427,'MD Usage'!$A$1:$W$5000,5,FALSE)),0,VLOOKUP(B1427,'MD Usage'!$A$1:$W$5000,5,FALSE))</f>
        <v>0</v>
      </c>
      <c r="F1428" s="416">
        <f>IF(ISERROR(VLOOKUP(B1427,'MD Usage'!$A$1:$W$5000,7,FALSE)),0,VLOOKUP(B1427,'MD Usage'!$A$1:$W$5000,7,FALSE))</f>
        <v>0</v>
      </c>
      <c r="G1428" s="416">
        <f>IF(ISERROR(VLOOKUP(B1427,'MD Usage'!$A$1:$W$5000,9,FALSE)),0,VLOOKUP(B1427,'MD Usage'!$A$1:$W$5000,9,FALSE))</f>
        <v>0</v>
      </c>
      <c r="H1428" s="416">
        <f>IF(ISERROR(VLOOKUP(B1427,'MD Usage'!$A$1:$W$5000,11,FALSE)),0,VLOOKUP(B1427,'MD Usage'!$A$1:$W$5000,11,FALSE))</f>
        <v>0</v>
      </c>
      <c r="I1428" s="416">
        <f>IF(ISERROR(VLOOKUP(B1427,'MD Usage'!A1:R2000,13,FALSE)),0,VLOOKUP(B1427,'MD Usage'!A1:R2000,13,FALSE))</f>
        <v>0</v>
      </c>
      <c r="J1428" s="416">
        <f>IF(ISERROR(VLOOKUP(B1427,'MD Usage'!A1:R2000,15,FALSE)),0,VLOOKUP(B1427,'MD Usage'!A1:R2000,15,FALSE))</f>
        <v>0</v>
      </c>
      <c r="K1428" s="418">
        <f>SUM(D1428:J1428)</f>
        <v>0</v>
      </c>
    </row>
    <row r="1429" spans="2:13" x14ac:dyDescent="0.25">
      <c r="B1429" s="419" t="s">
        <v>572</v>
      </c>
      <c r="C1429" s="420">
        <v>1</v>
      </c>
      <c r="D1429" s="421">
        <f>D1428*C1429</f>
        <v>0</v>
      </c>
      <c r="E1429" s="421">
        <f>E1428*C1429</f>
        <v>0</v>
      </c>
      <c r="F1429" s="421">
        <f>F1428*C1429</f>
        <v>0</v>
      </c>
      <c r="G1429" s="421">
        <f>G1428*C1429</f>
        <v>0</v>
      </c>
      <c r="H1429" s="421">
        <f>H1428*C1429</f>
        <v>0</v>
      </c>
      <c r="I1429" s="421">
        <f>I1428*C1429</f>
        <v>0</v>
      </c>
      <c r="J1429" s="421">
        <f>J1428*C1429</f>
        <v>0</v>
      </c>
      <c r="K1429" s="422">
        <f>SUM(D1429:J1429)</f>
        <v>0</v>
      </c>
    </row>
    <row r="1430" spans="2:13" x14ac:dyDescent="0.25">
      <c r="B1430" s="389"/>
      <c r="C1430" s="423"/>
      <c r="D1430" s="421">
        <f>D1428*C1430</f>
        <v>0</v>
      </c>
      <c r="E1430" s="421">
        <f>E1428*C1430</f>
        <v>0</v>
      </c>
      <c r="F1430" s="421">
        <f>F1428*C1430</f>
        <v>0</v>
      </c>
      <c r="G1430" s="421">
        <f>G1428*C1430</f>
        <v>0</v>
      </c>
      <c r="H1430" s="421">
        <f>H1428*C1430</f>
        <v>0</v>
      </c>
      <c r="I1430" s="421">
        <f>I1428*C1430</f>
        <v>0</v>
      </c>
      <c r="J1430" s="421">
        <f>J1428*C1430</f>
        <v>0</v>
      </c>
      <c r="K1430" s="424">
        <f>SUM(D1430:J1430)</f>
        <v>0</v>
      </c>
    </row>
    <row r="1431" spans="2:13" x14ac:dyDescent="0.25">
      <c r="B1431" s="389"/>
      <c r="C1431" s="423"/>
      <c r="D1431" s="421">
        <f>D1428*C1431</f>
        <v>0</v>
      </c>
      <c r="E1431" s="421">
        <f>E1428*C1431</f>
        <v>0</v>
      </c>
      <c r="F1431" s="421">
        <f>F1428*C1431</f>
        <v>0</v>
      </c>
      <c r="G1431" s="421">
        <f>G1428*C1431</f>
        <v>0</v>
      </c>
      <c r="H1431" s="421">
        <f>H1428*C1431</f>
        <v>0</v>
      </c>
      <c r="I1431" s="421">
        <f>I1428*C1431</f>
        <v>0</v>
      </c>
      <c r="J1431" s="421">
        <f>J1428*C1431</f>
        <v>0</v>
      </c>
      <c r="K1431" s="424">
        <f>SUM(D1431:J1431)</f>
        <v>0</v>
      </c>
    </row>
    <row r="1432" spans="2:13" ht="15" customHeight="1" x14ac:dyDescent="0.25">
      <c r="B1432" s="389"/>
      <c r="C1432" s="423"/>
      <c r="D1432" s="421">
        <f>D1428*C1432</f>
        <v>0</v>
      </c>
      <c r="E1432" s="421">
        <f>E1428*C1432</f>
        <v>0</v>
      </c>
      <c r="F1432" s="421">
        <f>F1428*C1432</f>
        <v>0</v>
      </c>
      <c r="G1432" s="421">
        <f>G1428*C1432</f>
        <v>0</v>
      </c>
      <c r="H1432" s="421">
        <f>H1428*C1432</f>
        <v>0</v>
      </c>
      <c r="I1432" s="421">
        <f>I1428*C1432</f>
        <v>0</v>
      </c>
      <c r="J1432" s="421">
        <f>J1428*C1432</f>
        <v>0</v>
      </c>
      <c r="K1432" s="424">
        <f>SUM(D1432:J1432)</f>
        <v>0</v>
      </c>
    </row>
    <row r="1433" spans="2:13" ht="15.75" thickBot="1" x14ac:dyDescent="0.3"/>
    <row r="1434" spans="2:13" ht="15.75" thickBot="1" x14ac:dyDescent="0.3">
      <c r="B1434" s="414">
        <v>6490820</v>
      </c>
      <c r="C1434" s="411"/>
      <c r="D1434" s="407" t="s">
        <v>548</v>
      </c>
      <c r="E1434" s="408" t="s">
        <v>549</v>
      </c>
      <c r="F1434" s="408" t="s">
        <v>550</v>
      </c>
      <c r="G1434" s="408" t="s">
        <v>551</v>
      </c>
      <c r="H1434" s="408" t="s">
        <v>552</v>
      </c>
      <c r="I1434" s="408" t="s">
        <v>553</v>
      </c>
      <c r="J1434" s="408" t="s">
        <v>554</v>
      </c>
      <c r="K1434" s="408" t="s">
        <v>555</v>
      </c>
      <c r="M1434" s="426" t="s">
        <v>750</v>
      </c>
    </row>
    <row r="1435" spans="2:13" ht="15.75" thickBot="1" x14ac:dyDescent="0.3">
      <c r="B1435" s="414" t="s">
        <v>556</v>
      </c>
      <c r="C1435" s="415" t="s">
        <v>620</v>
      </c>
      <c r="D1435" s="416">
        <f>IF(ISERROR(VLOOKUP(B1434,'MD Usage'!$A$1:$W$5000,3,FALSE)),0,VLOOKUP(B1434,'MD Usage'!$A$1:$W$5000,3,FALSE))</f>
        <v>0</v>
      </c>
      <c r="E1435" s="416">
        <f>IF(ISERROR(VLOOKUP(B1434,'MD Usage'!$A$1:$W$5000,5,FALSE)),0,VLOOKUP(B1434,'MD Usage'!$A$1:$W$5000,5,FALSE))</f>
        <v>0</v>
      </c>
      <c r="F1435" s="416">
        <f>IF(ISERROR(VLOOKUP(B1434,'MD Usage'!$A$1:$W$5000,7,FALSE)),0,VLOOKUP(B1434,'MD Usage'!$A$1:$W$5000,7,FALSE))</f>
        <v>0</v>
      </c>
      <c r="G1435" s="416">
        <f>IF(ISERROR(VLOOKUP(B1434,'MD Usage'!$A$1:$W$5000,9,FALSE)),0,VLOOKUP(B1434,'MD Usage'!$A$1:$W$5000,9,FALSE))</f>
        <v>0</v>
      </c>
      <c r="H1435" s="416">
        <f>IF(ISERROR(VLOOKUP(B1434,'MD Usage'!$A$1:$W$5000,11,FALSE)),0,VLOOKUP(B1434,'MD Usage'!$A$1:$W$5000,11,FALSE))</f>
        <v>0</v>
      </c>
      <c r="I1435" s="416">
        <f>IF(ISERROR(VLOOKUP(B1434,'MD Usage'!A1:R2000,13,FALSE)),0,VLOOKUP(B1434,'MD Usage'!A1:R2000,13,FALSE))</f>
        <v>1</v>
      </c>
      <c r="J1435" s="416">
        <f>IF(ISERROR(VLOOKUP(B1434,'MD Usage'!A1:R2000,15,FALSE)),0,VLOOKUP(B1434,'MD Usage'!A1:R2000,15,FALSE))</f>
        <v>0</v>
      </c>
      <c r="K1435" s="418">
        <f>SUM(D1435:J1435)</f>
        <v>1</v>
      </c>
    </row>
    <row r="1436" spans="2:13" x14ac:dyDescent="0.25">
      <c r="B1436" s="419" t="s">
        <v>572</v>
      </c>
      <c r="C1436" s="420">
        <v>1</v>
      </c>
      <c r="D1436" s="421">
        <f>D1435*C1436</f>
        <v>0</v>
      </c>
      <c r="E1436" s="421">
        <f>E1435*C1436</f>
        <v>0</v>
      </c>
      <c r="F1436" s="421">
        <f>F1435*C1436</f>
        <v>0</v>
      </c>
      <c r="G1436" s="421">
        <f>G1435*C1436</f>
        <v>0</v>
      </c>
      <c r="H1436" s="421">
        <f>H1435*C1436</f>
        <v>0</v>
      </c>
      <c r="I1436" s="421">
        <f>I1435*C1436</f>
        <v>1</v>
      </c>
      <c r="J1436" s="421">
        <f>J1435*C1436</f>
        <v>0</v>
      </c>
      <c r="K1436" s="422">
        <f>SUM(D1436:J1436)</f>
        <v>1</v>
      </c>
    </row>
    <row r="1437" spans="2:13" x14ac:dyDescent="0.25">
      <c r="B1437" s="389"/>
      <c r="C1437" s="423"/>
      <c r="D1437" s="421">
        <f>D1435*C1437</f>
        <v>0</v>
      </c>
      <c r="E1437" s="421">
        <f>E1435*C1437</f>
        <v>0</v>
      </c>
      <c r="F1437" s="421">
        <f>F1435*C1437</f>
        <v>0</v>
      </c>
      <c r="G1437" s="421">
        <f>G1435*C1437</f>
        <v>0</v>
      </c>
      <c r="H1437" s="421">
        <f>H1435*C1437</f>
        <v>0</v>
      </c>
      <c r="I1437" s="421">
        <f>I1435*C1437</f>
        <v>0</v>
      </c>
      <c r="J1437" s="421">
        <f>J1435*C1437</f>
        <v>0</v>
      </c>
      <c r="K1437" s="424">
        <f>SUM(D1437:J1437)</f>
        <v>0</v>
      </c>
    </row>
    <row r="1438" spans="2:13" x14ac:dyDescent="0.25">
      <c r="B1438" s="389"/>
      <c r="C1438" s="423"/>
      <c r="D1438" s="421">
        <f>D1435*C1438</f>
        <v>0</v>
      </c>
      <c r="E1438" s="421">
        <f>E1435*C1438</f>
        <v>0</v>
      </c>
      <c r="F1438" s="421">
        <f>F1435*C1438</f>
        <v>0</v>
      </c>
      <c r="G1438" s="421">
        <f>G1435*C1438</f>
        <v>0</v>
      </c>
      <c r="H1438" s="421">
        <f>H1435*C1438</f>
        <v>0</v>
      </c>
      <c r="I1438" s="421">
        <f>I1435*C1438</f>
        <v>0</v>
      </c>
      <c r="J1438" s="421">
        <f>J1435*C1438</f>
        <v>0</v>
      </c>
      <c r="K1438" s="424">
        <f>SUM(D1438:J1438)</f>
        <v>0</v>
      </c>
    </row>
    <row r="1439" spans="2:13" ht="15" customHeight="1" x14ac:dyDescent="0.25">
      <c r="B1439" s="389"/>
      <c r="C1439" s="423"/>
      <c r="D1439" s="421">
        <f>D1435*C1439</f>
        <v>0</v>
      </c>
      <c r="E1439" s="421">
        <f>E1435*C1439</f>
        <v>0</v>
      </c>
      <c r="F1439" s="421">
        <f>F1435*C1439</f>
        <v>0</v>
      </c>
      <c r="G1439" s="421">
        <f>G1435*C1439</f>
        <v>0</v>
      </c>
      <c r="H1439" s="421">
        <f>H1435*C1439</f>
        <v>0</v>
      </c>
      <c r="I1439" s="421">
        <f>I1435*C1439</f>
        <v>0</v>
      </c>
      <c r="J1439" s="421">
        <f>J1435*C1439</f>
        <v>0</v>
      </c>
      <c r="K1439" s="424">
        <f>SUM(D1439:J1439)</f>
        <v>0</v>
      </c>
    </row>
    <row r="1440" spans="2:13" ht="15.75" thickBot="1" x14ac:dyDescent="0.3"/>
    <row r="1441" spans="2:13" ht="15.75" thickBot="1" x14ac:dyDescent="0.3">
      <c r="B1441" s="414">
        <v>6490084</v>
      </c>
      <c r="C1441" s="411"/>
      <c r="D1441" s="407" t="s">
        <v>548</v>
      </c>
      <c r="E1441" s="408" t="s">
        <v>549</v>
      </c>
      <c r="F1441" s="408" t="s">
        <v>550</v>
      </c>
      <c r="G1441" s="408" t="s">
        <v>551</v>
      </c>
      <c r="H1441" s="408" t="s">
        <v>552</v>
      </c>
      <c r="I1441" s="408" t="s">
        <v>553</v>
      </c>
      <c r="J1441" s="408" t="s">
        <v>554</v>
      </c>
      <c r="K1441" s="408" t="s">
        <v>555</v>
      </c>
      <c r="M1441" s="426" t="s">
        <v>751</v>
      </c>
    </row>
    <row r="1442" spans="2:13" ht="15.75" thickBot="1" x14ac:dyDescent="0.3">
      <c r="B1442" s="414"/>
      <c r="C1442" s="415"/>
      <c r="D1442" s="416">
        <f>IF(ISERROR(VLOOKUP(B1441,'MD Usage'!$A$1:$W$5000,3,FALSE)),0,VLOOKUP(B1441,'MD Usage'!$A$1:$W$5000,3,FALSE))</f>
        <v>17</v>
      </c>
      <c r="E1442" s="416">
        <f>IF(ISERROR(VLOOKUP(B1441,'MD Usage'!$A$1:$W$5000,5,FALSE)),0,VLOOKUP(B1441,'MD Usage'!$A$1:$W$5000,5,FALSE))</f>
        <v>5</v>
      </c>
      <c r="F1442" s="416">
        <f>IF(ISERROR(VLOOKUP(B1441,'MD Usage'!$A$1:$W$5000,7,FALSE)),0,VLOOKUP(B1441,'MD Usage'!$A$1:$W$5000,7,FALSE))</f>
        <v>13</v>
      </c>
      <c r="G1442" s="416">
        <f>IF(ISERROR(VLOOKUP(B1441,'MD Usage'!$A$1:$W$5000,9,FALSE)),0,VLOOKUP(B1441,'MD Usage'!$A$1:$W$5000,9,FALSE))</f>
        <v>13</v>
      </c>
      <c r="H1442" s="416">
        <f>IF(ISERROR(VLOOKUP(B1441,'MD Usage'!$A$1:$W$5000,11,FALSE)),0,VLOOKUP(B1441,'MD Usage'!$A$1:$W$5000,11,FALSE))</f>
        <v>30</v>
      </c>
      <c r="I1442" s="416">
        <f>IF(ISERROR(VLOOKUP(B1441,'MD Usage'!A1:R2000,13,FALSE)),0,VLOOKUP(B1441,'MD Usage'!A1:R2000,13,FALSE))</f>
        <v>21</v>
      </c>
      <c r="J1442" s="416">
        <f>IF(ISERROR(VLOOKUP(B1441,'MD Usage'!A1:R2000,15,FALSE)),0,VLOOKUP(B1441,'MD Usage'!A1:R2000,15,FALSE))</f>
        <v>13</v>
      </c>
      <c r="K1442" s="418">
        <f>SUM(D1442:J1442)</f>
        <v>112</v>
      </c>
    </row>
    <row r="1443" spans="2:13" x14ac:dyDescent="0.25">
      <c r="B1443" s="419" t="s">
        <v>561</v>
      </c>
      <c r="C1443" s="420">
        <v>1</v>
      </c>
      <c r="D1443" s="421">
        <f>D1442*C1443</f>
        <v>17</v>
      </c>
      <c r="E1443" s="421">
        <f>E1442*C1443</f>
        <v>5</v>
      </c>
      <c r="F1443" s="421">
        <f>F1442*C1443</f>
        <v>13</v>
      </c>
      <c r="G1443" s="421">
        <f>G1442*C1443</f>
        <v>13</v>
      </c>
      <c r="H1443" s="421">
        <f>H1442*C1443</f>
        <v>30</v>
      </c>
      <c r="I1443" s="421">
        <f>I1442*C1443</f>
        <v>21</v>
      </c>
      <c r="J1443" s="421">
        <f>J1442*C1443</f>
        <v>13</v>
      </c>
      <c r="K1443" s="422">
        <f>SUM(D1443:J1443)</f>
        <v>112</v>
      </c>
    </row>
    <row r="1444" spans="2:13" x14ac:dyDescent="0.25">
      <c r="B1444" s="389"/>
      <c r="C1444" s="423"/>
      <c r="D1444" s="421">
        <f>D1442*C1444</f>
        <v>0</v>
      </c>
      <c r="E1444" s="421">
        <f>E1442*C1444</f>
        <v>0</v>
      </c>
      <c r="F1444" s="421">
        <f>F1442*C1444</f>
        <v>0</v>
      </c>
      <c r="G1444" s="421">
        <f>G1442*C1444</f>
        <v>0</v>
      </c>
      <c r="H1444" s="421">
        <f>H1442*C1444</f>
        <v>0</v>
      </c>
      <c r="I1444" s="421">
        <f>I1442*C1444</f>
        <v>0</v>
      </c>
      <c r="J1444" s="421">
        <f>J1442*C1444</f>
        <v>0</v>
      </c>
      <c r="K1444" s="424">
        <f>SUM(D1444:J1444)</f>
        <v>0</v>
      </c>
    </row>
    <row r="1445" spans="2:13" x14ac:dyDescent="0.25">
      <c r="B1445" s="389"/>
      <c r="C1445" s="423"/>
      <c r="D1445" s="421">
        <f>D1442*C1445</f>
        <v>0</v>
      </c>
      <c r="E1445" s="421">
        <f>E1442*C1445</f>
        <v>0</v>
      </c>
      <c r="F1445" s="421">
        <f>F1442*C1445</f>
        <v>0</v>
      </c>
      <c r="G1445" s="421">
        <f>G1442*C1445</f>
        <v>0</v>
      </c>
      <c r="H1445" s="421">
        <f>H1442*C1445</f>
        <v>0</v>
      </c>
      <c r="I1445" s="421">
        <f>I1442*C1445</f>
        <v>0</v>
      </c>
      <c r="J1445" s="421">
        <f>J1442*C1445</f>
        <v>0</v>
      </c>
      <c r="K1445" s="424">
        <f>SUM(D1445:J1445)</f>
        <v>0</v>
      </c>
    </row>
    <row r="1446" spans="2:13" ht="15" customHeight="1" x14ac:dyDescent="0.25">
      <c r="B1446" s="389"/>
      <c r="C1446" s="423"/>
      <c r="D1446" s="421">
        <f>D1442*C1446</f>
        <v>0</v>
      </c>
      <c r="E1446" s="421">
        <f>E1442*C1446</f>
        <v>0</v>
      </c>
      <c r="F1446" s="421">
        <f>F1442*C1446</f>
        <v>0</v>
      </c>
      <c r="G1446" s="421">
        <f>G1442*C1446</f>
        <v>0</v>
      </c>
      <c r="H1446" s="421">
        <f>H1442*C1446</f>
        <v>0</v>
      </c>
      <c r="I1446" s="421">
        <f>I1442*C1446</f>
        <v>0</v>
      </c>
      <c r="J1446" s="421">
        <f>J1442*C1446</f>
        <v>0</v>
      </c>
      <c r="K1446" s="424">
        <f>SUM(D1446:J1446)</f>
        <v>0</v>
      </c>
    </row>
    <row r="1447" spans="2:13" ht="15.75" thickBot="1" x14ac:dyDescent="0.3"/>
    <row r="1448" spans="2:13" ht="15.75" thickBot="1" x14ac:dyDescent="0.3">
      <c r="B1448" s="414">
        <v>6436175</v>
      </c>
      <c r="C1448" s="411"/>
      <c r="D1448" s="407" t="s">
        <v>548</v>
      </c>
      <c r="E1448" s="408" t="s">
        <v>549</v>
      </c>
      <c r="F1448" s="408" t="s">
        <v>550</v>
      </c>
      <c r="G1448" s="408" t="s">
        <v>551</v>
      </c>
      <c r="H1448" s="408" t="s">
        <v>552</v>
      </c>
      <c r="I1448" s="408" t="s">
        <v>553</v>
      </c>
      <c r="J1448" s="408" t="s">
        <v>554</v>
      </c>
      <c r="K1448" s="408" t="s">
        <v>555</v>
      </c>
      <c r="M1448" s="426" t="s">
        <v>752</v>
      </c>
    </row>
    <row r="1449" spans="2:13" ht="15.75" thickBot="1" x14ac:dyDescent="0.3">
      <c r="B1449" s="414" t="s">
        <v>556</v>
      </c>
      <c r="C1449" s="415" t="s">
        <v>620</v>
      </c>
      <c r="D1449" s="416">
        <f>IF(ISERROR(VLOOKUP(B1448,'MD Usage'!$A$1:$W$5000,3,FALSE)),0,VLOOKUP(B1448,'MD Usage'!$A$1:$W$5000,3,FALSE))</f>
        <v>0</v>
      </c>
      <c r="E1449" s="416">
        <f>IF(ISERROR(VLOOKUP(B1448,'MD Usage'!$A$1:$W$5000,5,FALSE)),0,VLOOKUP(B1448,'MD Usage'!$A$1:$W$5000,5,FALSE))</f>
        <v>0</v>
      </c>
      <c r="F1449" s="416">
        <f>IF(ISERROR(VLOOKUP(B1448,'MD Usage'!$A$1:$W$5000,7,FALSE)),0,VLOOKUP(B1448,'MD Usage'!$A$1:$W$5000,7,FALSE))</f>
        <v>0</v>
      </c>
      <c r="G1449" s="416">
        <f>IF(ISERROR(VLOOKUP(B1448,'MD Usage'!$A$1:$W$5000,9,FALSE)),0,VLOOKUP(B1448,'MD Usage'!$A$1:$W$5000,9,FALSE))</f>
        <v>0</v>
      </c>
      <c r="H1449" s="416">
        <f>IF(ISERROR(VLOOKUP(B1448,'MD Usage'!$A$1:$W$5000,11,FALSE)),0,VLOOKUP(B1448,'MD Usage'!$A$1:$W$5000,11,FALSE))</f>
        <v>0</v>
      </c>
      <c r="I1449" s="416">
        <f>IF(ISERROR(VLOOKUP(B1448,'MD Usage'!A1:R2000,13,FALSE)),0,VLOOKUP(B1448,'MD Usage'!A1:R2000,13,FALSE))</f>
        <v>0</v>
      </c>
      <c r="J1449" s="416">
        <f>IF(ISERROR(VLOOKUP(B1448,'MD Usage'!A1:R2000,15,FALSE)),0,VLOOKUP(B1448,'MD Usage'!A1:R2000,15,FALSE))</f>
        <v>0</v>
      </c>
      <c r="K1449" s="418">
        <f>SUM(D1449:J1449)</f>
        <v>0</v>
      </c>
    </row>
    <row r="1450" spans="2:13" x14ac:dyDescent="0.25">
      <c r="B1450" s="419" t="s">
        <v>592</v>
      </c>
      <c r="C1450" s="420">
        <v>1</v>
      </c>
      <c r="D1450" s="421">
        <f>D1449*C1450</f>
        <v>0</v>
      </c>
      <c r="E1450" s="421">
        <f>E1449*C1450</f>
        <v>0</v>
      </c>
      <c r="F1450" s="421">
        <f>F1449*C1450</f>
        <v>0</v>
      </c>
      <c r="G1450" s="421">
        <f>G1449*C1450</f>
        <v>0</v>
      </c>
      <c r="H1450" s="421">
        <f>H1449*C1450</f>
        <v>0</v>
      </c>
      <c r="I1450" s="421">
        <f>I1449*C1450</f>
        <v>0</v>
      </c>
      <c r="J1450" s="421">
        <f>J1449*C1450</f>
        <v>0</v>
      </c>
      <c r="K1450" s="422">
        <f>SUM(D1450:J1450)</f>
        <v>0</v>
      </c>
    </row>
    <row r="1451" spans="2:13" x14ac:dyDescent="0.25">
      <c r="B1451" s="389"/>
      <c r="C1451" s="423"/>
      <c r="D1451" s="421">
        <f>D1449*C1451</f>
        <v>0</v>
      </c>
      <c r="E1451" s="421">
        <f>E1449*C1451</f>
        <v>0</v>
      </c>
      <c r="F1451" s="421">
        <f>F1449*C1451</f>
        <v>0</v>
      </c>
      <c r="G1451" s="421">
        <f>G1449*C1451</f>
        <v>0</v>
      </c>
      <c r="H1451" s="421">
        <f>H1449*C1451</f>
        <v>0</v>
      </c>
      <c r="I1451" s="421">
        <f>I1449*C1451</f>
        <v>0</v>
      </c>
      <c r="J1451" s="421">
        <f>J1449*C1451</f>
        <v>0</v>
      </c>
      <c r="K1451" s="424">
        <f>SUM(D1451:J1451)</f>
        <v>0</v>
      </c>
    </row>
    <row r="1452" spans="2:13" x14ac:dyDescent="0.25">
      <c r="B1452" s="389"/>
      <c r="C1452" s="423"/>
      <c r="D1452" s="421">
        <f>D1449*C1452</f>
        <v>0</v>
      </c>
      <c r="E1452" s="421">
        <f>E1449*C1452</f>
        <v>0</v>
      </c>
      <c r="F1452" s="421">
        <f>F1449*C1452</f>
        <v>0</v>
      </c>
      <c r="G1452" s="421">
        <f>G1449*C1452</f>
        <v>0</v>
      </c>
      <c r="H1452" s="421">
        <f>H1449*C1452</f>
        <v>0</v>
      </c>
      <c r="I1452" s="421">
        <f>I1449*C1452</f>
        <v>0</v>
      </c>
      <c r="J1452" s="421">
        <f>J1449*C1452</f>
        <v>0</v>
      </c>
      <c r="K1452" s="424">
        <f>SUM(D1452:J1452)</f>
        <v>0</v>
      </c>
    </row>
    <row r="1453" spans="2:13" ht="15" customHeight="1" x14ac:dyDescent="0.25">
      <c r="B1453" s="389"/>
      <c r="C1453" s="423"/>
      <c r="D1453" s="421">
        <f>D1449*C1453</f>
        <v>0</v>
      </c>
      <c r="E1453" s="421">
        <f>E1449*C1453</f>
        <v>0</v>
      </c>
      <c r="F1453" s="421">
        <f>F1449*C1453</f>
        <v>0</v>
      </c>
      <c r="G1453" s="421">
        <f>G1449*C1453</f>
        <v>0</v>
      </c>
      <c r="H1453" s="421">
        <f>H1449*C1453</f>
        <v>0</v>
      </c>
      <c r="I1453" s="421">
        <f>I1449*C1453</f>
        <v>0</v>
      </c>
      <c r="J1453" s="421">
        <f>J1449*C1453</f>
        <v>0</v>
      </c>
      <c r="K1453" s="424">
        <f>SUM(D1453:J1453)</f>
        <v>0</v>
      </c>
    </row>
    <row r="1454" spans="2:13" ht="15.75" thickBot="1" x14ac:dyDescent="0.3"/>
    <row r="1455" spans="2:13" ht="15.75" thickBot="1" x14ac:dyDescent="0.3">
      <c r="B1455" s="414">
        <v>6490260</v>
      </c>
      <c r="C1455" s="411"/>
      <c r="D1455" s="407" t="s">
        <v>548</v>
      </c>
      <c r="E1455" s="408" t="s">
        <v>549</v>
      </c>
      <c r="F1455" s="408" t="s">
        <v>550</v>
      </c>
      <c r="G1455" s="408" t="s">
        <v>551</v>
      </c>
      <c r="H1455" s="408" t="s">
        <v>552</v>
      </c>
      <c r="I1455" s="408" t="s">
        <v>553</v>
      </c>
      <c r="J1455" s="408" t="s">
        <v>554</v>
      </c>
      <c r="K1455" s="408" t="s">
        <v>555</v>
      </c>
      <c r="M1455" s="426" t="s">
        <v>753</v>
      </c>
    </row>
    <row r="1456" spans="2:13" ht="15.75" thickBot="1" x14ac:dyDescent="0.3">
      <c r="B1456" s="414" t="s">
        <v>556</v>
      </c>
      <c r="C1456" s="415" t="s">
        <v>620</v>
      </c>
      <c r="D1456" s="416">
        <f>IF(ISERROR(VLOOKUP(B1455,'MD Usage'!$A$1:$W$5000,3,FALSE)),0,VLOOKUP(B1455,'MD Usage'!$A$1:$W$5000,3,FALSE))</f>
        <v>0</v>
      </c>
      <c r="E1456" s="416">
        <f>IF(ISERROR(VLOOKUP(B1455,'MD Usage'!$A$1:$W$5000,5,FALSE)),0,VLOOKUP(B1455,'MD Usage'!$A$1:$W$5000,5,FALSE))</f>
        <v>0</v>
      </c>
      <c r="F1456" s="416">
        <f>IF(ISERROR(VLOOKUP(B1455,'MD Usage'!$A$1:$W$5000,7,FALSE)),0,VLOOKUP(B1455,'MD Usage'!$A$1:$W$5000,7,FALSE))</f>
        <v>0</v>
      </c>
      <c r="G1456" s="416">
        <f>IF(ISERROR(VLOOKUP(B1455,'MD Usage'!$A$1:$W$5000,9,FALSE)),0,VLOOKUP(B1455,'MD Usage'!$A$1:$W$5000,9,FALSE))</f>
        <v>1</v>
      </c>
      <c r="H1456" s="416">
        <f>IF(ISERROR(VLOOKUP(B1455,'MD Usage'!$A$1:$W$5000,11,FALSE)),0,VLOOKUP(B1455,'MD Usage'!$A$1:$W$5000,11,FALSE))</f>
        <v>2</v>
      </c>
      <c r="I1456" s="416">
        <f>IF(ISERROR(VLOOKUP(B1455,'MD Usage'!A1:R2000,13,FALSE)),0,VLOOKUP(B1455,'MD Usage'!A1:R2000,13,FALSE))</f>
        <v>1</v>
      </c>
      <c r="J1456" s="416">
        <f>IF(ISERROR(VLOOKUP(B1455,'MD Usage'!A1:R2000,15,FALSE)),0,VLOOKUP(B1455,'MD Usage'!A1:R2000,15,FALSE))</f>
        <v>0</v>
      </c>
      <c r="K1456" s="418">
        <f>SUM(D1456:J1456)</f>
        <v>4</v>
      </c>
    </row>
    <row r="1457" spans="2:13" x14ac:dyDescent="0.25">
      <c r="B1457" s="419" t="s">
        <v>563</v>
      </c>
      <c r="C1457" s="420">
        <v>1</v>
      </c>
      <c r="D1457" s="421">
        <f>D1456*C1457</f>
        <v>0</v>
      </c>
      <c r="E1457" s="421">
        <f>E1456*C1457</f>
        <v>0</v>
      </c>
      <c r="F1457" s="421">
        <f>F1456*C1457</f>
        <v>0</v>
      </c>
      <c r="G1457" s="421">
        <f>G1456*C1457</f>
        <v>1</v>
      </c>
      <c r="H1457" s="421">
        <f>H1456*C1457</f>
        <v>2</v>
      </c>
      <c r="I1457" s="421">
        <f>I1456*C1457</f>
        <v>1</v>
      </c>
      <c r="J1457" s="421">
        <f>J1456*C1457</f>
        <v>0</v>
      </c>
      <c r="K1457" s="422">
        <f>SUM(D1457:J1457)</f>
        <v>4</v>
      </c>
    </row>
    <row r="1458" spans="2:13" x14ac:dyDescent="0.25">
      <c r="B1458" s="389"/>
      <c r="C1458" s="423"/>
      <c r="D1458" s="421">
        <f>D1456*C1458</f>
        <v>0</v>
      </c>
      <c r="E1458" s="421">
        <f>E1456*C1458</f>
        <v>0</v>
      </c>
      <c r="F1458" s="421">
        <f>F1456*C1458</f>
        <v>0</v>
      </c>
      <c r="G1458" s="421">
        <f>G1456*C1458</f>
        <v>0</v>
      </c>
      <c r="H1458" s="421">
        <f>H1456*C1458</f>
        <v>0</v>
      </c>
      <c r="I1458" s="421">
        <f>I1456*C1458</f>
        <v>0</v>
      </c>
      <c r="J1458" s="421">
        <f>J1456*C1458</f>
        <v>0</v>
      </c>
      <c r="K1458" s="424">
        <f>SUM(D1458:J1458)</f>
        <v>0</v>
      </c>
    </row>
    <row r="1459" spans="2:13" x14ac:dyDescent="0.25">
      <c r="B1459" s="389"/>
      <c r="C1459" s="423"/>
      <c r="D1459" s="421">
        <f>D1456*C1459</f>
        <v>0</v>
      </c>
      <c r="E1459" s="421">
        <f>E1456*C1459</f>
        <v>0</v>
      </c>
      <c r="F1459" s="421">
        <f>F1456*C1459</f>
        <v>0</v>
      </c>
      <c r="G1459" s="421">
        <f>G1456*C1459</f>
        <v>0</v>
      </c>
      <c r="H1459" s="421">
        <f>H1456*C1459</f>
        <v>0</v>
      </c>
      <c r="I1459" s="421">
        <f>I1456*C1459</f>
        <v>0</v>
      </c>
      <c r="J1459" s="421">
        <f>J1456*C1459</f>
        <v>0</v>
      </c>
      <c r="K1459" s="424">
        <f>SUM(D1459:J1459)</f>
        <v>0</v>
      </c>
    </row>
    <row r="1460" spans="2:13" ht="15" customHeight="1" x14ac:dyDescent="0.25">
      <c r="B1460" s="389"/>
      <c r="C1460" s="423"/>
      <c r="D1460" s="421">
        <f>D1456*C1460</f>
        <v>0</v>
      </c>
      <c r="E1460" s="421">
        <f>E1456*C1460</f>
        <v>0</v>
      </c>
      <c r="F1460" s="421">
        <f>F1456*C1460</f>
        <v>0</v>
      </c>
      <c r="G1460" s="421">
        <f>G1456*C1460</f>
        <v>0</v>
      </c>
      <c r="H1460" s="421">
        <f>H1456*C1460</f>
        <v>0</v>
      </c>
      <c r="I1460" s="421">
        <f>I1456*C1460</f>
        <v>0</v>
      </c>
      <c r="J1460" s="421">
        <f>J1456*C1460</f>
        <v>0</v>
      </c>
      <c r="K1460" s="424">
        <f>SUM(D1460:J1460)</f>
        <v>0</v>
      </c>
    </row>
    <row r="1461" spans="2:13" ht="15.75" thickBot="1" x14ac:dyDescent="0.3"/>
    <row r="1462" spans="2:13" ht="15.75" thickBot="1" x14ac:dyDescent="0.3">
      <c r="B1462" s="414">
        <v>6490258</v>
      </c>
      <c r="C1462" s="411"/>
      <c r="D1462" s="407" t="s">
        <v>548</v>
      </c>
      <c r="E1462" s="408" t="s">
        <v>549</v>
      </c>
      <c r="F1462" s="408" t="s">
        <v>550</v>
      </c>
      <c r="G1462" s="408" t="s">
        <v>551</v>
      </c>
      <c r="H1462" s="408" t="s">
        <v>552</v>
      </c>
      <c r="I1462" s="408" t="s">
        <v>553</v>
      </c>
      <c r="J1462" s="408" t="s">
        <v>554</v>
      </c>
      <c r="K1462" s="408" t="s">
        <v>555</v>
      </c>
      <c r="M1462" s="426" t="s">
        <v>753</v>
      </c>
    </row>
    <row r="1463" spans="2:13" ht="15.75" thickBot="1" x14ac:dyDescent="0.3">
      <c r="B1463" s="414" t="s">
        <v>556</v>
      </c>
      <c r="C1463" s="415" t="s">
        <v>620</v>
      </c>
      <c r="D1463" s="416">
        <f>IF(ISERROR(VLOOKUP(B1462,'MD Usage'!$A$1:$W$5000,3,FALSE)),0,VLOOKUP(B1462,'MD Usage'!$A$1:$W$5000,3,FALSE))</f>
        <v>0</v>
      </c>
      <c r="E1463" s="416">
        <f>IF(ISERROR(VLOOKUP(B1462,'MD Usage'!$A$1:$W$5000,5,FALSE)),0,VLOOKUP(B1462,'MD Usage'!$A$1:$W$5000,5,FALSE))</f>
        <v>0</v>
      </c>
      <c r="F1463" s="416">
        <f>IF(ISERROR(VLOOKUP(B1462,'MD Usage'!$A$1:$W$5000,7,FALSE)),0,VLOOKUP(B1462,'MD Usage'!$A$1:$W$5000,7,FALSE))</f>
        <v>0</v>
      </c>
      <c r="G1463" s="416">
        <f>IF(ISERROR(VLOOKUP(B1462,'MD Usage'!$A$1:$W$5000,9,FALSE)),0,VLOOKUP(B1462,'MD Usage'!$A$1:$W$5000,9,FALSE))</f>
        <v>0</v>
      </c>
      <c r="H1463" s="416">
        <f>IF(ISERROR(VLOOKUP(B1462,'MD Usage'!$A$1:$W$5000,11,FALSE)),0,VLOOKUP(B1462,'MD Usage'!$A$1:$W$5000,11,FALSE))</f>
        <v>0</v>
      </c>
      <c r="I1463" s="416">
        <f>IF(ISERROR(VLOOKUP(B1462,'MD Usage'!A1:R2000,13,FALSE)),0,VLOOKUP(B1462,'MD Usage'!A1:R2000,13,FALSE))</f>
        <v>0</v>
      </c>
      <c r="J1463" s="416">
        <f>IF(ISERROR(VLOOKUP(B1462,'MD Usage'!A1:R2000,15,FALSE)),0,VLOOKUP(B1462,'MD Usage'!A1:R2000,15,FALSE))</f>
        <v>0</v>
      </c>
      <c r="K1463" s="418">
        <f>SUM(D1463:J1463)</f>
        <v>0</v>
      </c>
    </row>
    <row r="1464" spans="2:13" x14ac:dyDescent="0.25">
      <c r="B1464" s="419" t="s">
        <v>563</v>
      </c>
      <c r="C1464" s="420">
        <v>1</v>
      </c>
      <c r="D1464" s="421">
        <f>D1463*C1464</f>
        <v>0</v>
      </c>
      <c r="E1464" s="421">
        <f>E1463*C1464</f>
        <v>0</v>
      </c>
      <c r="F1464" s="421">
        <f>F1463*C1464</f>
        <v>0</v>
      </c>
      <c r="G1464" s="421">
        <f>G1463*C1464</f>
        <v>0</v>
      </c>
      <c r="H1464" s="421">
        <f>H1463*C1464</f>
        <v>0</v>
      </c>
      <c r="I1464" s="421">
        <f>I1463*C1464</f>
        <v>0</v>
      </c>
      <c r="J1464" s="421">
        <f>J1463*C1464</f>
        <v>0</v>
      </c>
      <c r="K1464" s="422">
        <f>SUM(D1464:J1464)</f>
        <v>0</v>
      </c>
    </row>
    <row r="1465" spans="2:13" x14ac:dyDescent="0.25">
      <c r="B1465" s="389"/>
      <c r="C1465" s="423"/>
      <c r="D1465" s="421">
        <f>D1463*C1465</f>
        <v>0</v>
      </c>
      <c r="E1465" s="421">
        <f>E1463*C1465</f>
        <v>0</v>
      </c>
      <c r="F1465" s="421">
        <f>F1463*C1465</f>
        <v>0</v>
      </c>
      <c r="G1465" s="421">
        <f>G1463*C1465</f>
        <v>0</v>
      </c>
      <c r="H1465" s="421">
        <f>H1463*C1465</f>
        <v>0</v>
      </c>
      <c r="I1465" s="421">
        <f>I1463*C1465</f>
        <v>0</v>
      </c>
      <c r="J1465" s="421">
        <f>J1463*C1465</f>
        <v>0</v>
      </c>
      <c r="K1465" s="424">
        <f>SUM(D1465:J1465)</f>
        <v>0</v>
      </c>
    </row>
    <row r="1466" spans="2:13" x14ac:dyDescent="0.25">
      <c r="B1466" s="389"/>
      <c r="C1466" s="423"/>
      <c r="D1466" s="421">
        <f>D1463*C1466</f>
        <v>0</v>
      </c>
      <c r="E1466" s="421">
        <f>E1463*C1466</f>
        <v>0</v>
      </c>
      <c r="F1466" s="421">
        <f>F1463*C1466</f>
        <v>0</v>
      </c>
      <c r="G1466" s="421">
        <f>G1463*C1466</f>
        <v>0</v>
      </c>
      <c r="H1466" s="421">
        <f>H1463*C1466</f>
        <v>0</v>
      </c>
      <c r="I1466" s="421">
        <f>I1463*C1466</f>
        <v>0</v>
      </c>
      <c r="J1466" s="421">
        <f>J1463*C1466</f>
        <v>0</v>
      </c>
      <c r="K1466" s="424">
        <f>SUM(D1466:J1466)</f>
        <v>0</v>
      </c>
    </row>
    <row r="1467" spans="2:13" ht="15" customHeight="1" x14ac:dyDescent="0.25">
      <c r="B1467" s="389"/>
      <c r="C1467" s="423"/>
      <c r="D1467" s="421">
        <f>D1463*C1467</f>
        <v>0</v>
      </c>
      <c r="E1467" s="421">
        <f>E1463*C1467</f>
        <v>0</v>
      </c>
      <c r="F1467" s="421">
        <f>F1463*C1467</f>
        <v>0</v>
      </c>
      <c r="G1467" s="421">
        <f>G1463*C1467</f>
        <v>0</v>
      </c>
      <c r="H1467" s="421">
        <f>H1463*C1467</f>
        <v>0</v>
      </c>
      <c r="I1467" s="421">
        <f>I1463*C1467</f>
        <v>0</v>
      </c>
      <c r="J1467" s="421">
        <f>J1463*C1467</f>
        <v>0</v>
      </c>
      <c r="K1467" s="424">
        <f>SUM(D1467:J1467)</f>
        <v>0</v>
      </c>
    </row>
    <row r="1468" spans="2:13" ht="15.75" thickBot="1" x14ac:dyDescent="0.3"/>
    <row r="1469" spans="2:13" ht="15.75" thickBot="1" x14ac:dyDescent="0.3">
      <c r="B1469" s="432">
        <v>6490495</v>
      </c>
      <c r="C1469" s="411"/>
      <c r="D1469" s="407" t="s">
        <v>548</v>
      </c>
      <c r="E1469" s="408" t="s">
        <v>549</v>
      </c>
      <c r="F1469" s="408" t="s">
        <v>550</v>
      </c>
      <c r="G1469" s="408" t="s">
        <v>551</v>
      </c>
      <c r="H1469" s="408" t="s">
        <v>552</v>
      </c>
      <c r="I1469" s="408" t="s">
        <v>553</v>
      </c>
      <c r="J1469" s="408" t="s">
        <v>554</v>
      </c>
      <c r="K1469" s="408" t="s">
        <v>555</v>
      </c>
      <c r="M1469" s="414" t="s">
        <v>754</v>
      </c>
    </row>
    <row r="1470" spans="2:13" ht="15.75" thickBot="1" x14ac:dyDescent="0.3">
      <c r="B1470" s="414" t="s">
        <v>556</v>
      </c>
      <c r="C1470" s="415" t="s">
        <v>620</v>
      </c>
      <c r="D1470" s="416">
        <f>IF(ISERROR(VLOOKUP(B1469,'MD Usage'!$A$1:$W$5000,3,FALSE)),0,VLOOKUP(B1469,'MD Usage'!$A$1:$W$5000,3,FALSE))</f>
        <v>1</v>
      </c>
      <c r="E1470" s="416">
        <f>IF(ISERROR(VLOOKUP(B1469,'MD Usage'!$A$1:$W$5000,5,FALSE)),0,VLOOKUP(B1469,'MD Usage'!$A$1:$W$5000,5,FALSE))</f>
        <v>0</v>
      </c>
      <c r="F1470" s="416">
        <f>IF(ISERROR(VLOOKUP(B1469,'MD Usage'!$A$1:$W$5000,7,FALSE)),0,VLOOKUP(B1469,'MD Usage'!$A$1:$W$5000,7,FALSE))</f>
        <v>0</v>
      </c>
      <c r="G1470" s="416">
        <f>IF(ISERROR(VLOOKUP(B1469,'MD Usage'!$A$1:$W$5000,9,FALSE)),0,VLOOKUP(B1469,'MD Usage'!$A$1:$W$5000,9,FALSE))</f>
        <v>0</v>
      </c>
      <c r="H1470" s="416">
        <f>IF(ISERROR(VLOOKUP(B1469,'MD Usage'!$A$1:$W$5000,11,FALSE)),0,VLOOKUP(B1469,'MD Usage'!$A$1:$W$5000,11,FALSE))</f>
        <v>1</v>
      </c>
      <c r="I1470" s="416">
        <f>IF(ISERROR(VLOOKUP(B1469,'MD Usage'!A1:R2000,13,FALSE)),0,VLOOKUP(B1469,'MD Usage'!A1:R2000,13,FALSE))</f>
        <v>0</v>
      </c>
      <c r="J1470" s="416">
        <f>IF(ISERROR(VLOOKUP(B1469,'MD Usage'!A1:R2000,15,FALSE)),0,VLOOKUP(B1469,'MD Usage'!A1:R2000,15,FALSE))</f>
        <v>1</v>
      </c>
      <c r="K1470" s="418">
        <f>SUM(D1470:J1470)</f>
        <v>3</v>
      </c>
    </row>
    <row r="1471" spans="2:13" x14ac:dyDescent="0.25">
      <c r="B1471" s="419" t="s">
        <v>70</v>
      </c>
      <c r="C1471" s="420">
        <v>3</v>
      </c>
      <c r="D1471" s="421">
        <f>D1470*C1471</f>
        <v>3</v>
      </c>
      <c r="E1471" s="421">
        <f>E1470*C1471</f>
        <v>0</v>
      </c>
      <c r="F1471" s="421">
        <f>F1470*C1471</f>
        <v>0</v>
      </c>
      <c r="G1471" s="421">
        <f>G1470*C1471</f>
        <v>0</v>
      </c>
      <c r="H1471" s="421">
        <f>H1470*C1471</f>
        <v>3</v>
      </c>
      <c r="I1471" s="421">
        <f>I1470*C1471</f>
        <v>0</v>
      </c>
      <c r="J1471" s="421">
        <f>J1470*C1471</f>
        <v>3</v>
      </c>
      <c r="K1471" s="422">
        <f>SUM(D1471:J1471)</f>
        <v>9</v>
      </c>
    </row>
    <row r="1472" spans="2:13" x14ac:dyDescent="0.25">
      <c r="B1472" s="389"/>
      <c r="C1472" s="423"/>
      <c r="D1472" s="421">
        <f>D1470*C1472</f>
        <v>0</v>
      </c>
      <c r="E1472" s="421">
        <f>E1470*C1472</f>
        <v>0</v>
      </c>
      <c r="F1472" s="421">
        <f>F1470*C1472</f>
        <v>0</v>
      </c>
      <c r="G1472" s="421">
        <f>G1470*C1472</f>
        <v>0</v>
      </c>
      <c r="H1472" s="421">
        <f>H1470*C1472</f>
        <v>0</v>
      </c>
      <c r="I1472" s="421">
        <f>I1470*C1472</f>
        <v>0</v>
      </c>
      <c r="J1472" s="421">
        <f>J1470*C1472</f>
        <v>0</v>
      </c>
      <c r="K1472" s="424">
        <f>SUM(D1472:J1472)</f>
        <v>0</v>
      </c>
    </row>
    <row r="1473" spans="2:13" x14ac:dyDescent="0.25">
      <c r="B1473" s="389"/>
      <c r="C1473" s="423"/>
      <c r="D1473" s="421">
        <f>D1470*C1473</f>
        <v>0</v>
      </c>
      <c r="E1473" s="421">
        <f>E1470*C1473</f>
        <v>0</v>
      </c>
      <c r="F1473" s="421">
        <f>F1470*C1473</f>
        <v>0</v>
      </c>
      <c r="G1473" s="421">
        <f>G1470*C1473</f>
        <v>0</v>
      </c>
      <c r="H1473" s="421">
        <f>H1470*C1473</f>
        <v>0</v>
      </c>
      <c r="I1473" s="421">
        <f>I1470*C1473</f>
        <v>0</v>
      </c>
      <c r="J1473" s="421">
        <f>J1470*C1473</f>
        <v>0</v>
      </c>
      <c r="K1473" s="424">
        <f>SUM(D1473:J1473)</f>
        <v>0</v>
      </c>
    </row>
    <row r="1474" spans="2:13" ht="15" customHeight="1" x14ac:dyDescent="0.25">
      <c r="B1474" s="389"/>
      <c r="C1474" s="423"/>
      <c r="D1474" s="421">
        <f>D1470*C1474</f>
        <v>0</v>
      </c>
      <c r="E1474" s="421">
        <f>E1470*C1474</f>
        <v>0</v>
      </c>
      <c r="F1474" s="421">
        <f>F1470*C1474</f>
        <v>0</v>
      </c>
      <c r="G1474" s="421">
        <f>G1470*C1474</f>
        <v>0</v>
      </c>
      <c r="H1474" s="421">
        <f>H1470*C1474</f>
        <v>0</v>
      </c>
      <c r="I1474" s="421">
        <f>I1470*C1474</f>
        <v>0</v>
      </c>
      <c r="J1474" s="421">
        <f>J1470*C1474</f>
        <v>0</v>
      </c>
      <c r="K1474" s="424">
        <f>SUM(D1474:J1474)</f>
        <v>0</v>
      </c>
    </row>
    <row r="1475" spans="2:13" ht="15.75" thickBot="1" x14ac:dyDescent="0.3"/>
    <row r="1476" spans="2:13" ht="15.75" thickBot="1" x14ac:dyDescent="0.3">
      <c r="B1476" s="432">
        <v>6490499</v>
      </c>
      <c r="C1476" s="411"/>
      <c r="D1476" s="407" t="s">
        <v>548</v>
      </c>
      <c r="E1476" s="408" t="s">
        <v>549</v>
      </c>
      <c r="F1476" s="408" t="s">
        <v>550</v>
      </c>
      <c r="G1476" s="408" t="s">
        <v>551</v>
      </c>
      <c r="H1476" s="408" t="s">
        <v>552</v>
      </c>
      <c r="I1476" s="408" t="s">
        <v>553</v>
      </c>
      <c r="J1476" s="408" t="s">
        <v>554</v>
      </c>
      <c r="K1476" s="408" t="s">
        <v>555</v>
      </c>
      <c r="M1476" s="426" t="s">
        <v>755</v>
      </c>
    </row>
    <row r="1477" spans="2:13" ht="15.75" thickBot="1" x14ac:dyDescent="0.3">
      <c r="B1477" s="414" t="s">
        <v>556</v>
      </c>
      <c r="C1477" s="415" t="s">
        <v>620</v>
      </c>
      <c r="D1477" s="416">
        <f>IF(ISERROR(VLOOKUP(B1476,'MD Usage'!$A$1:$W$5000,3,FALSE)),0,VLOOKUP(B1476,'MD Usage'!$A$1:$W$5000,3,FALSE))</f>
        <v>0</v>
      </c>
      <c r="E1477" s="416">
        <f>IF(ISERROR(VLOOKUP(B1476,'MD Usage'!$A$1:$W$5000,5,FALSE)),0,VLOOKUP(B1476,'MD Usage'!$A$1:$W$5000,5,FALSE))</f>
        <v>1</v>
      </c>
      <c r="F1477" s="416">
        <f>IF(ISERROR(VLOOKUP(B1476,'MD Usage'!$A$1:$W$5000,7,FALSE)),0,VLOOKUP(B1476,'MD Usage'!$A$1:$W$5000,7,FALSE))</f>
        <v>2</v>
      </c>
      <c r="G1477" s="416">
        <f>IF(ISERROR(VLOOKUP(B1476,'MD Usage'!$A$1:$W$5000,9,FALSE)),0,VLOOKUP(B1476,'MD Usage'!$A$1:$W$5000,9,FALSE))</f>
        <v>2</v>
      </c>
      <c r="H1477" s="416">
        <f>IF(ISERROR(VLOOKUP(B1476,'MD Usage'!$A$1:$W$5000,11,FALSE)),0,VLOOKUP(B1476,'MD Usage'!$A$1:$W$5000,11,FALSE))</f>
        <v>2</v>
      </c>
      <c r="I1477" s="416">
        <f>IF(ISERROR(VLOOKUP(B1476,'MD Usage'!A1:R2000,13,FALSE)),0,VLOOKUP(B1476,'MD Usage'!A1:R2000,13,FALSE))</f>
        <v>3</v>
      </c>
      <c r="J1477" s="416">
        <f>IF(ISERROR(VLOOKUP(B1476,'MD Usage'!A1:R2000,15,FALSE)),0,VLOOKUP(B1476,'MD Usage'!A1:R2000,15,FALSE))</f>
        <v>4</v>
      </c>
      <c r="K1477" s="418">
        <f>SUM(D1477:J1477)</f>
        <v>14</v>
      </c>
    </row>
    <row r="1478" spans="2:13" x14ac:dyDescent="0.25">
      <c r="B1478" s="419" t="s">
        <v>578</v>
      </c>
      <c r="C1478" s="420">
        <v>3</v>
      </c>
      <c r="D1478" s="421">
        <f>D1477*C1478</f>
        <v>0</v>
      </c>
      <c r="E1478" s="421">
        <f>E1477*C1478</f>
        <v>3</v>
      </c>
      <c r="F1478" s="421">
        <f>F1477*C1478</f>
        <v>6</v>
      </c>
      <c r="G1478" s="421">
        <f>G1477*C1478</f>
        <v>6</v>
      </c>
      <c r="H1478" s="421">
        <f>H1477*C1478</f>
        <v>6</v>
      </c>
      <c r="I1478" s="421">
        <f>I1477*C1478</f>
        <v>9</v>
      </c>
      <c r="J1478" s="421">
        <f>J1477*C1478</f>
        <v>12</v>
      </c>
      <c r="K1478" s="422">
        <f>SUM(D1478:J1478)</f>
        <v>42</v>
      </c>
    </row>
    <row r="1479" spans="2:13" x14ac:dyDescent="0.25">
      <c r="B1479" s="389"/>
      <c r="C1479" s="423"/>
      <c r="D1479" s="421">
        <f>D1477*C1479</f>
        <v>0</v>
      </c>
      <c r="E1479" s="421">
        <f>E1477*C1479</f>
        <v>0</v>
      </c>
      <c r="F1479" s="421">
        <f>F1477*C1479</f>
        <v>0</v>
      </c>
      <c r="G1479" s="421">
        <f>G1477*C1479</f>
        <v>0</v>
      </c>
      <c r="H1479" s="421">
        <f>H1477*C1479</f>
        <v>0</v>
      </c>
      <c r="I1479" s="421">
        <f>I1477*C1479</f>
        <v>0</v>
      </c>
      <c r="J1479" s="421">
        <f>J1477*C1479</f>
        <v>0</v>
      </c>
      <c r="K1479" s="424">
        <f>SUM(D1479:J1479)</f>
        <v>0</v>
      </c>
    </row>
    <row r="1480" spans="2:13" x14ac:dyDescent="0.25">
      <c r="B1480" s="389"/>
      <c r="C1480" s="423"/>
      <c r="D1480" s="421">
        <f>D1477*C1480</f>
        <v>0</v>
      </c>
      <c r="E1480" s="421">
        <f>E1477*C1480</f>
        <v>0</v>
      </c>
      <c r="F1480" s="421">
        <f>F1477*C1480</f>
        <v>0</v>
      </c>
      <c r="G1480" s="421">
        <f>G1477*C1480</f>
        <v>0</v>
      </c>
      <c r="H1480" s="421">
        <f>H1477*C1480</f>
        <v>0</v>
      </c>
      <c r="I1480" s="421">
        <f>I1477*C1480</f>
        <v>0</v>
      </c>
      <c r="J1480" s="421">
        <f>J1477*C1480</f>
        <v>0</v>
      </c>
      <c r="K1480" s="424">
        <f>SUM(D1480:J1480)</f>
        <v>0</v>
      </c>
    </row>
    <row r="1481" spans="2:13" ht="15" customHeight="1" x14ac:dyDescent="0.25">
      <c r="B1481" s="389"/>
      <c r="C1481" s="423"/>
      <c r="D1481" s="421">
        <f>D1477*C1481</f>
        <v>0</v>
      </c>
      <c r="E1481" s="421">
        <f>E1477*C1481</f>
        <v>0</v>
      </c>
      <c r="F1481" s="421">
        <f>F1477*C1481</f>
        <v>0</v>
      </c>
      <c r="G1481" s="421">
        <f>G1477*C1481</f>
        <v>0</v>
      </c>
      <c r="H1481" s="421">
        <f>H1477*C1481</f>
        <v>0</v>
      </c>
      <c r="I1481" s="421">
        <f>I1477*C1481</f>
        <v>0</v>
      </c>
      <c r="J1481" s="421">
        <f>J1477*C1481</f>
        <v>0</v>
      </c>
      <c r="K1481" s="424">
        <f>SUM(D1481:J1481)</f>
        <v>0</v>
      </c>
    </row>
    <row r="1482" spans="2:13" ht="15.75" thickBot="1" x14ac:dyDescent="0.3"/>
    <row r="1483" spans="2:13" ht="15.75" thickBot="1" x14ac:dyDescent="0.3">
      <c r="B1483" s="432">
        <v>6490161</v>
      </c>
      <c r="C1483" s="411"/>
      <c r="D1483" s="407" t="s">
        <v>548</v>
      </c>
      <c r="E1483" s="408" t="s">
        <v>549</v>
      </c>
      <c r="F1483" s="408" t="s">
        <v>550</v>
      </c>
      <c r="G1483" s="408" t="s">
        <v>551</v>
      </c>
      <c r="H1483" s="408" t="s">
        <v>552</v>
      </c>
      <c r="I1483" s="408" t="s">
        <v>553</v>
      </c>
      <c r="J1483" s="408" t="s">
        <v>554</v>
      </c>
      <c r="K1483" s="408" t="s">
        <v>555</v>
      </c>
      <c r="M1483" s="414" t="s">
        <v>756</v>
      </c>
    </row>
    <row r="1484" spans="2:13" ht="15.75" thickBot="1" x14ac:dyDescent="0.3">
      <c r="B1484" s="414" t="s">
        <v>556</v>
      </c>
      <c r="C1484" s="415" t="s">
        <v>620</v>
      </c>
      <c r="D1484" s="416">
        <f>IF(ISERROR(VLOOKUP(B1483,'MD Usage'!$A$1:$W$5000,3,FALSE)),0,VLOOKUP(B1483,'MD Usage'!$A$1:$W$5000,3,FALSE))</f>
        <v>0</v>
      </c>
      <c r="E1484" s="416">
        <f>IF(ISERROR(VLOOKUP(B1483,'MD Usage'!$A$1:$W$5000,5,FALSE)),0,VLOOKUP(B1483,'MD Usage'!$A$1:$W$5000,5,FALSE))</f>
        <v>0</v>
      </c>
      <c r="F1484" s="416">
        <f>IF(ISERROR(VLOOKUP(B1483,'MD Usage'!$A$1:$W$5000,7,FALSE)),0,VLOOKUP(B1483,'MD Usage'!$A$1:$W$5000,7,FALSE))</f>
        <v>0</v>
      </c>
      <c r="G1484" s="416">
        <f>IF(ISERROR(VLOOKUP(B1483,'MD Usage'!$A$1:$W$5000,9,FALSE)),0,VLOOKUP(B1483,'MD Usage'!$A$1:$W$5000,9,FALSE))</f>
        <v>0</v>
      </c>
      <c r="H1484" s="416">
        <f>IF(ISERROR(VLOOKUP(B1483,'MD Usage'!$A$1:$W$5000,11,FALSE)),0,VLOOKUP(B1483,'MD Usage'!$A$1:$W$5000,11,FALSE))</f>
        <v>0</v>
      </c>
      <c r="I1484" s="416">
        <f>IF(ISERROR(VLOOKUP(B1483,'MD Usage'!A1:R2000,13,FALSE)),0,VLOOKUP(B1483,'MD Usage'!A1:R2000,13,FALSE))</f>
        <v>0</v>
      </c>
      <c r="J1484" s="416">
        <f>IF(ISERROR(VLOOKUP(B1483,'MD Usage'!A1:R2000,15,FALSE)),0,VLOOKUP(B1483,'MD Usage'!A1:R2000,15,FALSE))</f>
        <v>0</v>
      </c>
      <c r="K1484" s="418">
        <f>SUM(D1484:J1484)</f>
        <v>0</v>
      </c>
    </row>
    <row r="1485" spans="2:13" ht="15" customHeight="1" x14ac:dyDescent="0.25">
      <c r="B1485" s="419" t="s">
        <v>568</v>
      </c>
      <c r="C1485" s="420">
        <v>1</v>
      </c>
      <c r="D1485" s="421">
        <f>D1484*C1485</f>
        <v>0</v>
      </c>
      <c r="E1485" s="421">
        <f>E1484*C1485</f>
        <v>0</v>
      </c>
      <c r="F1485" s="421">
        <f>F1484*C1485</f>
        <v>0</v>
      </c>
      <c r="G1485" s="421">
        <f>G1484*C1485</f>
        <v>0</v>
      </c>
      <c r="H1485" s="421">
        <f>H1484*C1485</f>
        <v>0</v>
      </c>
      <c r="I1485" s="421">
        <f>I1484*C1485</f>
        <v>0</v>
      </c>
      <c r="J1485" s="421">
        <f>J1484*C1485</f>
        <v>0</v>
      </c>
      <c r="K1485" s="422">
        <f>SUM(D1485:J1485)</f>
        <v>0</v>
      </c>
    </row>
    <row r="1486" spans="2:13" x14ac:dyDescent="0.25">
      <c r="B1486" s="389"/>
      <c r="C1486" s="423"/>
      <c r="D1486" s="421">
        <f>D1484*C1486</f>
        <v>0</v>
      </c>
      <c r="E1486" s="421">
        <f>E1484*C1486</f>
        <v>0</v>
      </c>
      <c r="F1486" s="421">
        <f>F1484*C1486</f>
        <v>0</v>
      </c>
      <c r="G1486" s="421">
        <f>G1484*C1486</f>
        <v>0</v>
      </c>
      <c r="H1486" s="421">
        <f>H1484*C1486</f>
        <v>0</v>
      </c>
      <c r="I1486" s="421">
        <f>I1484*C1486</f>
        <v>0</v>
      </c>
      <c r="J1486" s="421">
        <f>J1484*C1486</f>
        <v>0</v>
      </c>
      <c r="K1486" s="424">
        <f>SUM(D1486:J1486)</f>
        <v>0</v>
      </c>
    </row>
    <row r="1487" spans="2:13" x14ac:dyDescent="0.25">
      <c r="B1487" s="389"/>
      <c r="C1487" s="423"/>
      <c r="D1487" s="421">
        <f>D1484*C1487</f>
        <v>0</v>
      </c>
      <c r="E1487" s="421">
        <f>E1484*C1487</f>
        <v>0</v>
      </c>
      <c r="F1487" s="421">
        <f>F1484*C1487</f>
        <v>0</v>
      </c>
      <c r="G1487" s="421">
        <f>G1484*C1487</f>
        <v>0</v>
      </c>
      <c r="H1487" s="421">
        <f>H1484*C1487</f>
        <v>0</v>
      </c>
      <c r="I1487" s="421">
        <f>I1484*C1487</f>
        <v>0</v>
      </c>
      <c r="J1487" s="421">
        <f>J1484*C1487</f>
        <v>0</v>
      </c>
      <c r="K1487" s="424">
        <f>SUM(D1487:J1487)</f>
        <v>0</v>
      </c>
    </row>
    <row r="1488" spans="2:13" ht="15" customHeight="1" x14ac:dyDescent="0.25">
      <c r="B1488" s="389"/>
      <c r="C1488" s="423"/>
      <c r="D1488" s="421">
        <f>D1484*C1488</f>
        <v>0</v>
      </c>
      <c r="E1488" s="421">
        <f>E1484*C1488</f>
        <v>0</v>
      </c>
      <c r="F1488" s="421">
        <f>F1484*C1488</f>
        <v>0</v>
      </c>
      <c r="G1488" s="421">
        <f>G1484*C1488</f>
        <v>0</v>
      </c>
      <c r="H1488" s="421">
        <f>H1484*C1488</f>
        <v>0</v>
      </c>
      <c r="I1488" s="421">
        <f>I1484*C1488</f>
        <v>0</v>
      </c>
      <c r="J1488" s="421">
        <f>J1484*C1488</f>
        <v>0</v>
      </c>
      <c r="K1488" s="424">
        <f>SUM(D1488:J1488)</f>
        <v>0</v>
      </c>
    </row>
    <row r="1489" spans="2:13" ht="15.75" thickBot="1" x14ac:dyDescent="0.3"/>
    <row r="1490" spans="2:13" ht="15.75" thickBot="1" x14ac:dyDescent="0.3">
      <c r="B1490" s="414">
        <v>6490147</v>
      </c>
      <c r="C1490" s="411"/>
      <c r="D1490" s="407" t="s">
        <v>548</v>
      </c>
      <c r="E1490" s="408" t="s">
        <v>549</v>
      </c>
      <c r="F1490" s="408" t="s">
        <v>550</v>
      </c>
      <c r="G1490" s="408" t="s">
        <v>551</v>
      </c>
      <c r="H1490" s="408" t="s">
        <v>552</v>
      </c>
      <c r="I1490" s="408" t="s">
        <v>553</v>
      </c>
      <c r="J1490" s="408" t="s">
        <v>554</v>
      </c>
      <c r="K1490" s="408" t="s">
        <v>555</v>
      </c>
      <c r="M1490" s="426" t="s">
        <v>757</v>
      </c>
    </row>
    <row r="1491" spans="2:13" ht="15.75" thickBot="1" x14ac:dyDescent="0.3">
      <c r="B1491" s="414"/>
      <c r="C1491" s="415"/>
      <c r="D1491" s="416">
        <f>IF(ISERROR(VLOOKUP(B1490,'MD Usage'!$A$1:$W$5000,3,FALSE)),0,VLOOKUP(B1490,'MD Usage'!$A$1:$W$5000,3,FALSE))</f>
        <v>2</v>
      </c>
      <c r="E1491" s="416">
        <f>IF(ISERROR(VLOOKUP(B1490,'MD Usage'!$A$1:$W$5000,5,FALSE)),0,VLOOKUP(B1490,'MD Usage'!$A$1:$W$5000,5,FALSE))</f>
        <v>2</v>
      </c>
      <c r="F1491" s="416">
        <f>IF(ISERROR(VLOOKUP(B1490,'MD Usage'!$A$1:$W$5000,7,FALSE)),0,VLOOKUP(B1490,'MD Usage'!$A$1:$W$5000,7,FALSE))</f>
        <v>4</v>
      </c>
      <c r="G1491" s="416">
        <f>IF(ISERROR(VLOOKUP(B1490,'MD Usage'!$A$1:$W$5000,9,FALSE)),0,VLOOKUP(B1490,'MD Usage'!$A$1:$W$5000,9,FALSE))</f>
        <v>88</v>
      </c>
      <c r="H1491" s="416">
        <f>IF(ISERROR(VLOOKUP(B1490,'MD Usage'!$A$1:$W$5000,11,FALSE)),0,VLOOKUP(B1490,'MD Usage'!$A$1:$W$5000,11,FALSE))</f>
        <v>10</v>
      </c>
      <c r="I1491" s="416">
        <f>IF(ISERROR(VLOOKUP(B1490,'MD Usage'!A1:R2000,13,FALSE)),0,VLOOKUP(B1490,'MD Usage'!A1:R2000,13,FALSE))</f>
        <v>13</v>
      </c>
      <c r="J1491" s="416">
        <f>IF(ISERROR(VLOOKUP(B1490,'MD Usage'!A1:R2000,15,FALSE)),0,VLOOKUP(B1490,'MD Usage'!A1:R2000,15,FALSE))</f>
        <v>4</v>
      </c>
      <c r="K1491" s="418">
        <f>SUM(D1491:J1491)</f>
        <v>123</v>
      </c>
    </row>
    <row r="1492" spans="2:13" x14ac:dyDescent="0.25">
      <c r="B1492" s="419" t="s">
        <v>64</v>
      </c>
      <c r="C1492" s="420">
        <v>3</v>
      </c>
      <c r="D1492" s="421">
        <f>D1491*C1492</f>
        <v>6</v>
      </c>
      <c r="E1492" s="421">
        <f>E1491*C1492</f>
        <v>6</v>
      </c>
      <c r="F1492" s="421">
        <f>F1491*C1492</f>
        <v>12</v>
      </c>
      <c r="G1492" s="421">
        <f>G1491*C1492</f>
        <v>264</v>
      </c>
      <c r="H1492" s="421">
        <f>H1491*C1492</f>
        <v>30</v>
      </c>
      <c r="I1492" s="421">
        <f>I1491*C1492</f>
        <v>39</v>
      </c>
      <c r="J1492" s="421">
        <f>J1491*C1492</f>
        <v>12</v>
      </c>
      <c r="K1492" s="422">
        <f>SUM(D1492:J1492)</f>
        <v>369</v>
      </c>
    </row>
    <row r="1493" spans="2:13" x14ac:dyDescent="0.25">
      <c r="B1493" s="389"/>
      <c r="C1493" s="423"/>
      <c r="D1493" s="421">
        <f>D1491*C1493</f>
        <v>0</v>
      </c>
      <c r="E1493" s="421">
        <f>E1491*C1493</f>
        <v>0</v>
      </c>
      <c r="F1493" s="421">
        <f>F1491*C1493</f>
        <v>0</v>
      </c>
      <c r="G1493" s="421">
        <f>G1491*C1493</f>
        <v>0</v>
      </c>
      <c r="H1493" s="421">
        <f>H1491*C1493</f>
        <v>0</v>
      </c>
      <c r="I1493" s="421">
        <f>I1491*C1493</f>
        <v>0</v>
      </c>
      <c r="J1493" s="421">
        <f>J1491*C1493</f>
        <v>0</v>
      </c>
      <c r="K1493" s="424">
        <f>SUM(D1493:J1493)</f>
        <v>0</v>
      </c>
    </row>
    <row r="1494" spans="2:13" x14ac:dyDescent="0.25">
      <c r="B1494" s="389"/>
      <c r="C1494" s="423"/>
      <c r="D1494" s="421">
        <f>D1491*C1494</f>
        <v>0</v>
      </c>
      <c r="E1494" s="421">
        <f>E1491*C1494</f>
        <v>0</v>
      </c>
      <c r="F1494" s="421">
        <f>F1491*C1494</f>
        <v>0</v>
      </c>
      <c r="G1494" s="421">
        <f>G1491*C1494</f>
        <v>0</v>
      </c>
      <c r="H1494" s="421">
        <f>H1491*C1494</f>
        <v>0</v>
      </c>
      <c r="I1494" s="421">
        <f>I1491*C1494</f>
        <v>0</v>
      </c>
      <c r="J1494" s="421">
        <f>J1491*C1494</f>
        <v>0</v>
      </c>
      <c r="K1494" s="424">
        <f>SUM(D1494:J1494)</f>
        <v>0</v>
      </c>
    </row>
    <row r="1495" spans="2:13" ht="15" customHeight="1" x14ac:dyDescent="0.25">
      <c r="B1495" s="389"/>
      <c r="C1495" s="423"/>
      <c r="D1495" s="421">
        <f>D1491*C1495</f>
        <v>0</v>
      </c>
      <c r="E1495" s="421">
        <f>E1491*C1495</f>
        <v>0</v>
      </c>
      <c r="F1495" s="421">
        <f>F1491*C1495</f>
        <v>0</v>
      </c>
      <c r="G1495" s="421">
        <f>G1491*C1495</f>
        <v>0</v>
      </c>
      <c r="H1495" s="421">
        <f>H1491*C1495</f>
        <v>0</v>
      </c>
      <c r="I1495" s="421">
        <f>I1491*C1495</f>
        <v>0</v>
      </c>
      <c r="J1495" s="421">
        <f>J1491*C1495</f>
        <v>0</v>
      </c>
      <c r="K1495" s="424">
        <f>SUM(D1495:J1495)</f>
        <v>0</v>
      </c>
    </row>
    <row r="1496" spans="2:13" ht="15.75" thickBot="1" x14ac:dyDescent="0.3"/>
    <row r="1497" spans="2:13" ht="15.75" thickBot="1" x14ac:dyDescent="0.3">
      <c r="B1497" s="414">
        <v>6439107</v>
      </c>
      <c r="C1497" s="411"/>
      <c r="D1497" s="407" t="s">
        <v>548</v>
      </c>
      <c r="E1497" s="408" t="s">
        <v>549</v>
      </c>
      <c r="F1497" s="408" t="s">
        <v>550</v>
      </c>
      <c r="G1497" s="408" t="s">
        <v>551</v>
      </c>
      <c r="H1497" s="408" t="s">
        <v>552</v>
      </c>
      <c r="I1497" s="408" t="s">
        <v>553</v>
      </c>
      <c r="J1497" s="408" t="s">
        <v>554</v>
      </c>
      <c r="K1497" s="408" t="s">
        <v>555</v>
      </c>
      <c r="M1497" s="426" t="s">
        <v>758</v>
      </c>
    </row>
    <row r="1498" spans="2:13" ht="15.75" thickBot="1" x14ac:dyDescent="0.3">
      <c r="B1498" s="414" t="s">
        <v>556</v>
      </c>
      <c r="C1498" s="415" t="s">
        <v>620</v>
      </c>
      <c r="D1498" s="416">
        <f>IF(ISERROR(VLOOKUP(B1497,'MD Usage'!$A$1:$W$5000,3,FALSE)),0,VLOOKUP(B1497,'MD Usage'!$A$1:$W$5000,3,FALSE))</f>
        <v>0</v>
      </c>
      <c r="E1498" s="416">
        <f>IF(ISERROR(VLOOKUP(B1497,'MD Usage'!$A$1:$W$5000,5,FALSE)),0,VLOOKUP(B1497,'MD Usage'!$A$1:$W$5000,5,FALSE))</f>
        <v>0</v>
      </c>
      <c r="F1498" s="416">
        <f>IF(ISERROR(VLOOKUP(B1497,'MD Usage'!$A$1:$W$5000,7,FALSE)),0,VLOOKUP(B1497,'MD Usage'!$A$1:$W$5000,7,FALSE))</f>
        <v>0</v>
      </c>
      <c r="G1498" s="416">
        <f>IF(ISERROR(VLOOKUP(B1497,'MD Usage'!$A$1:$W$5000,9,FALSE)),0,VLOOKUP(B1497,'MD Usage'!$A$1:$W$5000,9,FALSE))</f>
        <v>0</v>
      </c>
      <c r="H1498" s="416">
        <f>IF(ISERROR(VLOOKUP(B1497,'MD Usage'!$A$1:$W$5000,11,FALSE)),0,VLOOKUP(B1497,'MD Usage'!$A$1:$W$5000,11,FALSE))</f>
        <v>1</v>
      </c>
      <c r="I1498" s="416">
        <f>IF(ISERROR(VLOOKUP(B1497,'MD Usage'!A1:R2000,13,FALSE)),0,VLOOKUP(B1497,'MD Usage'!A1:R2000,13,FALSE))</f>
        <v>0</v>
      </c>
      <c r="J1498" s="416">
        <f>IF(ISERROR(VLOOKUP(B1497,'MD Usage'!A1:R2000,15,FALSE)),0,VLOOKUP(B1497,'MD Usage'!A1:R2000,15,FALSE))</f>
        <v>0</v>
      </c>
      <c r="K1498" s="418">
        <f>SUM(D1498:J1498)</f>
        <v>1</v>
      </c>
    </row>
    <row r="1499" spans="2:13" ht="15" customHeight="1" x14ac:dyDescent="0.25">
      <c r="B1499" s="419" t="s">
        <v>59</v>
      </c>
      <c r="C1499" s="420">
        <v>1</v>
      </c>
      <c r="D1499" s="421">
        <f>D1498*C1499</f>
        <v>0</v>
      </c>
      <c r="E1499" s="421">
        <f>E1498*C1499</f>
        <v>0</v>
      </c>
      <c r="F1499" s="421">
        <f>F1498*C1499</f>
        <v>0</v>
      </c>
      <c r="G1499" s="421">
        <f>G1498*C1499</f>
        <v>0</v>
      </c>
      <c r="H1499" s="421">
        <f>H1498*C1499</f>
        <v>1</v>
      </c>
      <c r="I1499" s="421">
        <f>I1498*C1499</f>
        <v>0</v>
      </c>
      <c r="J1499" s="421">
        <f>J1498*C1499</f>
        <v>0</v>
      </c>
      <c r="K1499" s="422">
        <f>SUM(D1499:J1499)</f>
        <v>1</v>
      </c>
    </row>
    <row r="1500" spans="2:13" x14ac:dyDescent="0.25">
      <c r="B1500" s="389"/>
      <c r="C1500" s="423"/>
      <c r="D1500" s="421">
        <f>D1498*C1500</f>
        <v>0</v>
      </c>
      <c r="E1500" s="421">
        <f>E1498*C1500</f>
        <v>0</v>
      </c>
      <c r="F1500" s="421">
        <f>F1498*C1500</f>
        <v>0</v>
      </c>
      <c r="G1500" s="421">
        <f>G1498*C1500</f>
        <v>0</v>
      </c>
      <c r="H1500" s="421">
        <f>H1498*C1500</f>
        <v>0</v>
      </c>
      <c r="I1500" s="421">
        <f>I1498*C1500</f>
        <v>0</v>
      </c>
      <c r="J1500" s="421">
        <f>J1498*C1500</f>
        <v>0</v>
      </c>
      <c r="K1500" s="424">
        <f>SUM(D1500:J1500)</f>
        <v>0</v>
      </c>
    </row>
    <row r="1501" spans="2:13" x14ac:dyDescent="0.25">
      <c r="B1501" s="389"/>
      <c r="C1501" s="423"/>
      <c r="D1501" s="421">
        <f>D1498*C1501</f>
        <v>0</v>
      </c>
      <c r="E1501" s="421">
        <f>E1498*C1501</f>
        <v>0</v>
      </c>
      <c r="F1501" s="421">
        <f>F1498*C1501</f>
        <v>0</v>
      </c>
      <c r="G1501" s="421">
        <f>G1498*C1501</f>
        <v>0</v>
      </c>
      <c r="H1501" s="421">
        <f>H1498*C1501</f>
        <v>0</v>
      </c>
      <c r="I1501" s="421">
        <f>I1498*C1501</f>
        <v>0</v>
      </c>
      <c r="J1501" s="421">
        <f>J1498*C1501</f>
        <v>0</v>
      </c>
      <c r="K1501" s="424">
        <f>SUM(D1501:J1501)</f>
        <v>0</v>
      </c>
    </row>
    <row r="1502" spans="2:13" ht="15" customHeight="1" x14ac:dyDescent="0.25">
      <c r="B1502" s="389"/>
      <c r="C1502" s="423"/>
      <c r="D1502" s="421">
        <f>D1498*C1502</f>
        <v>0</v>
      </c>
      <c r="E1502" s="421">
        <f>E1498*C1502</f>
        <v>0</v>
      </c>
      <c r="F1502" s="421">
        <f>F1498*C1502</f>
        <v>0</v>
      </c>
      <c r="G1502" s="421">
        <f>G1498*C1502</f>
        <v>0</v>
      </c>
      <c r="H1502" s="421">
        <f>H1498*C1502</f>
        <v>0</v>
      </c>
      <c r="I1502" s="421">
        <f>I1498*C1502</f>
        <v>0</v>
      </c>
      <c r="J1502" s="421">
        <f>J1498*C1502</f>
        <v>0</v>
      </c>
      <c r="K1502" s="424">
        <f>SUM(D1502:J1502)</f>
        <v>0</v>
      </c>
    </row>
    <row r="1503" spans="2:13" ht="15.75" thickBot="1" x14ac:dyDescent="0.3"/>
    <row r="1504" spans="2:13" ht="15.75" thickBot="1" x14ac:dyDescent="0.3">
      <c r="B1504" s="414">
        <v>6490874</v>
      </c>
      <c r="C1504" s="411"/>
      <c r="D1504" s="407" t="s">
        <v>548</v>
      </c>
      <c r="E1504" s="408" t="s">
        <v>549</v>
      </c>
      <c r="F1504" s="408" t="s">
        <v>550</v>
      </c>
      <c r="G1504" s="408" t="s">
        <v>551</v>
      </c>
      <c r="H1504" s="408" t="s">
        <v>552</v>
      </c>
      <c r="I1504" s="408" t="s">
        <v>553</v>
      </c>
      <c r="J1504" s="408" t="s">
        <v>554</v>
      </c>
      <c r="K1504" s="408" t="s">
        <v>555</v>
      </c>
      <c r="M1504" s="426" t="s">
        <v>759</v>
      </c>
    </row>
    <row r="1505" spans="2:13" ht="15.75" thickBot="1" x14ac:dyDescent="0.3">
      <c r="B1505" s="414" t="s">
        <v>556</v>
      </c>
      <c r="C1505" s="415" t="s">
        <v>620</v>
      </c>
      <c r="D1505" s="416">
        <f>IF(ISERROR(VLOOKUP(B1504,'MD Usage'!$A$1:$W$5000,3,FALSE)),0,VLOOKUP(B1504,'MD Usage'!$A$1:$W$5000,3,FALSE))</f>
        <v>0</v>
      </c>
      <c r="E1505" s="416">
        <f>IF(ISERROR(VLOOKUP(B1504,'MD Usage'!$A$1:$W$5000,5,FALSE)),0,VLOOKUP(B1504,'MD Usage'!$A$1:$W$5000,5,FALSE))</f>
        <v>0</v>
      </c>
      <c r="F1505" s="416">
        <f>IF(ISERROR(VLOOKUP(B1504,'MD Usage'!$A$1:$W$5000,7,FALSE)),0,VLOOKUP(B1504,'MD Usage'!$A$1:$W$5000,7,FALSE))</f>
        <v>0</v>
      </c>
      <c r="G1505" s="416">
        <f>IF(ISERROR(VLOOKUP(B1504,'MD Usage'!$A$1:$W$5000,9,FALSE)),0,VLOOKUP(B1504,'MD Usage'!$A$1:$W$5000,9,FALSE))</f>
        <v>0</v>
      </c>
      <c r="H1505" s="416">
        <f>IF(ISERROR(VLOOKUP(B1504,'MD Usage'!$A$1:$W$5000,11,FALSE)),0,VLOOKUP(B1504,'MD Usage'!$A$1:$W$5000,11,FALSE))</f>
        <v>0</v>
      </c>
      <c r="I1505" s="416">
        <f>IF(ISERROR(VLOOKUP(B1504,'MD Usage'!A1:R2000,13,FALSE)),0,VLOOKUP(B1504,'MD Usage'!A1:R2000,13,FALSE))</f>
        <v>0</v>
      </c>
      <c r="J1505" s="416">
        <f>IF(ISERROR(VLOOKUP(B1504,'MD Usage'!A1:R2000,15,FALSE)),0,VLOOKUP(B1504,'MD Usage'!A1:R2000,15,FALSE))</f>
        <v>0</v>
      </c>
      <c r="K1505" s="418">
        <f>SUM(D1505:J1505)</f>
        <v>0</v>
      </c>
    </row>
    <row r="1506" spans="2:13" x14ac:dyDescent="0.25">
      <c r="B1506" s="387" t="s">
        <v>562</v>
      </c>
      <c r="C1506" s="420">
        <v>1</v>
      </c>
      <c r="D1506" s="421">
        <f>D1505*C1506</f>
        <v>0</v>
      </c>
      <c r="E1506" s="421">
        <f>E1505*C1506</f>
        <v>0</v>
      </c>
      <c r="F1506" s="421">
        <f>F1505*C1506</f>
        <v>0</v>
      </c>
      <c r="G1506" s="421">
        <f>G1505*C1506</f>
        <v>0</v>
      </c>
      <c r="H1506" s="421">
        <f>H1505*C1506</f>
        <v>0</v>
      </c>
      <c r="I1506" s="421">
        <f>I1505*C1506</f>
        <v>0</v>
      </c>
      <c r="J1506" s="421">
        <f>J1505*C1506</f>
        <v>0</v>
      </c>
      <c r="K1506" s="422">
        <f>SUM(D1506:J1506)</f>
        <v>0</v>
      </c>
    </row>
    <row r="1507" spans="2:13" x14ac:dyDescent="0.25">
      <c r="B1507" s="387"/>
      <c r="C1507" s="423"/>
      <c r="D1507" s="421">
        <f>D1505*C1507</f>
        <v>0</v>
      </c>
      <c r="E1507" s="421">
        <f>E1505*C1507</f>
        <v>0</v>
      </c>
      <c r="F1507" s="421">
        <f>F1505*C1507</f>
        <v>0</v>
      </c>
      <c r="G1507" s="421">
        <f>G1505*C1507</f>
        <v>0</v>
      </c>
      <c r="H1507" s="421">
        <f>H1505*C1507</f>
        <v>0</v>
      </c>
      <c r="I1507" s="421">
        <f>I1505*C1507</f>
        <v>0</v>
      </c>
      <c r="J1507" s="421">
        <f>J1505*C1507</f>
        <v>0</v>
      </c>
      <c r="K1507" s="424">
        <f>SUM(D1507:J1507)</f>
        <v>0</v>
      </c>
    </row>
    <row r="1508" spans="2:13" x14ac:dyDescent="0.25">
      <c r="B1508" s="387"/>
      <c r="C1508" s="423"/>
      <c r="D1508" s="421">
        <f>D1505*C1508</f>
        <v>0</v>
      </c>
      <c r="E1508" s="421">
        <f>E1505*C1508</f>
        <v>0</v>
      </c>
      <c r="F1508" s="421">
        <f>F1505*C1508</f>
        <v>0</v>
      </c>
      <c r="G1508" s="421">
        <f>G1505*C1508</f>
        <v>0</v>
      </c>
      <c r="H1508" s="421">
        <f>H1505*C1508</f>
        <v>0</v>
      </c>
      <c r="I1508" s="421">
        <f>I1505*C1508</f>
        <v>0</v>
      </c>
      <c r="J1508" s="421">
        <f>J1505*C1508</f>
        <v>0</v>
      </c>
      <c r="K1508" s="424">
        <f>SUM(D1508:J1508)</f>
        <v>0</v>
      </c>
    </row>
    <row r="1509" spans="2:13" ht="15" customHeight="1" x14ac:dyDescent="0.25">
      <c r="B1509" s="389"/>
      <c r="C1509" s="423"/>
      <c r="D1509" s="421">
        <f>D1505*C1509</f>
        <v>0</v>
      </c>
      <c r="E1509" s="421">
        <f>E1505*C1509</f>
        <v>0</v>
      </c>
      <c r="F1509" s="421">
        <f>F1505*C1509</f>
        <v>0</v>
      </c>
      <c r="G1509" s="421">
        <f>G1505*C1509</f>
        <v>0</v>
      </c>
      <c r="H1509" s="421">
        <f>H1505*C1509</f>
        <v>0</v>
      </c>
      <c r="I1509" s="421">
        <f>I1505*C1509</f>
        <v>0</v>
      </c>
      <c r="J1509" s="421">
        <f>J1505*C1509</f>
        <v>0</v>
      </c>
      <c r="K1509" s="424">
        <f>SUM(D1509:J1509)</f>
        <v>0</v>
      </c>
    </row>
    <row r="1510" spans="2:13" ht="15.75" thickBot="1" x14ac:dyDescent="0.3"/>
    <row r="1511" spans="2:13" ht="15.75" thickBot="1" x14ac:dyDescent="0.3">
      <c r="B1511" s="432">
        <v>6490089</v>
      </c>
      <c r="C1511" s="411"/>
      <c r="D1511" s="407" t="s">
        <v>548</v>
      </c>
      <c r="E1511" s="408" t="s">
        <v>549</v>
      </c>
      <c r="F1511" s="408" t="s">
        <v>550</v>
      </c>
      <c r="G1511" s="408" t="s">
        <v>551</v>
      </c>
      <c r="H1511" s="408" t="s">
        <v>552</v>
      </c>
      <c r="I1511" s="408" t="s">
        <v>553</v>
      </c>
      <c r="J1511" s="408" t="s">
        <v>554</v>
      </c>
      <c r="K1511" s="408" t="s">
        <v>555</v>
      </c>
      <c r="M1511" s="414" t="s">
        <v>760</v>
      </c>
    </row>
    <row r="1512" spans="2:13" ht="15.75" thickBot="1" x14ac:dyDescent="0.3">
      <c r="B1512" s="414" t="s">
        <v>556</v>
      </c>
      <c r="C1512" s="415" t="s">
        <v>620</v>
      </c>
      <c r="D1512" s="416">
        <f>IF(ISERROR(VLOOKUP(B1511,'MD Usage'!$A$1:$W$5000,3,FALSE)),0,VLOOKUP(B1511,'MD Usage'!$A$1:$W$5000,3,FALSE))</f>
        <v>1</v>
      </c>
      <c r="E1512" s="416">
        <f>IF(ISERROR(VLOOKUP(B1511,'MD Usage'!$A$1:$W$5000,5,FALSE)),0,VLOOKUP(B1511,'MD Usage'!$A$1:$W$5000,5,FALSE))</f>
        <v>1</v>
      </c>
      <c r="F1512" s="416">
        <f>IF(ISERROR(VLOOKUP(B1511,'MD Usage'!$A$1:$W$5000,7,FALSE)),0,VLOOKUP(B1511,'MD Usage'!$A$1:$W$5000,7,FALSE))</f>
        <v>3</v>
      </c>
      <c r="G1512" s="416">
        <f>IF(ISERROR(VLOOKUP(B1511,'MD Usage'!$A$1:$W$5000,9,FALSE)),0,VLOOKUP(B1511,'MD Usage'!$A$1:$W$5000,9,FALSE))</f>
        <v>2</v>
      </c>
      <c r="H1512" s="416">
        <f>IF(ISERROR(VLOOKUP(B1511,'MD Usage'!$A$1:$W$5000,11,FALSE)),0,VLOOKUP(B1511,'MD Usage'!$A$1:$W$5000,11,FALSE))</f>
        <v>3</v>
      </c>
      <c r="I1512" s="416">
        <f>IF(ISERROR(VLOOKUP(B1511,'MD Usage'!A1:R2000,13,FALSE)),0,VLOOKUP(B1511,'MD Usage'!A1:R2000,13,FALSE))</f>
        <v>6</v>
      </c>
      <c r="J1512" s="416">
        <f>IF(ISERROR(VLOOKUP(B1511,'MD Usage'!A1:R2000,15,FALSE)),0,VLOOKUP(B1511,'MD Usage'!A1:R2000,15,FALSE))</f>
        <v>5</v>
      </c>
      <c r="K1512" s="418">
        <f>SUM(D1512:J1512)</f>
        <v>21</v>
      </c>
    </row>
    <row r="1513" spans="2:13" ht="15" customHeight="1" x14ac:dyDescent="0.25">
      <c r="B1513" s="419" t="s">
        <v>560</v>
      </c>
      <c r="C1513" s="420">
        <v>1</v>
      </c>
      <c r="D1513" s="421">
        <f>D1512*C1513</f>
        <v>1</v>
      </c>
      <c r="E1513" s="421">
        <f>E1512*C1513</f>
        <v>1</v>
      </c>
      <c r="F1513" s="421">
        <f>F1512*C1513</f>
        <v>3</v>
      </c>
      <c r="G1513" s="421">
        <f>G1512*C1513</f>
        <v>2</v>
      </c>
      <c r="H1513" s="421">
        <f>H1512*C1513</f>
        <v>3</v>
      </c>
      <c r="I1513" s="421">
        <f>I1512*C1513</f>
        <v>6</v>
      </c>
      <c r="J1513" s="421">
        <f>J1512*C1513</f>
        <v>5</v>
      </c>
      <c r="K1513" s="422">
        <f>SUM(D1513:J1513)</f>
        <v>21</v>
      </c>
    </row>
    <row r="1514" spans="2:13" x14ac:dyDescent="0.25">
      <c r="B1514" s="389"/>
      <c r="C1514" s="423"/>
      <c r="D1514" s="421">
        <f>D1512*C1514</f>
        <v>0</v>
      </c>
      <c r="E1514" s="421">
        <f>E1512*C1514</f>
        <v>0</v>
      </c>
      <c r="F1514" s="421">
        <f>F1512*C1514</f>
        <v>0</v>
      </c>
      <c r="G1514" s="421">
        <f>G1512*C1514</f>
        <v>0</v>
      </c>
      <c r="H1514" s="421">
        <f>H1512*C1514</f>
        <v>0</v>
      </c>
      <c r="I1514" s="421">
        <f>I1512*C1514</f>
        <v>0</v>
      </c>
      <c r="J1514" s="421">
        <f>J1512*C1514</f>
        <v>0</v>
      </c>
      <c r="K1514" s="424">
        <f>SUM(D1514:J1514)</f>
        <v>0</v>
      </c>
    </row>
    <row r="1515" spans="2:13" x14ac:dyDescent="0.25">
      <c r="B1515" s="389"/>
      <c r="C1515" s="423"/>
      <c r="D1515" s="421">
        <f>D1512*C1515</f>
        <v>0</v>
      </c>
      <c r="E1515" s="421">
        <f>E1512*C1515</f>
        <v>0</v>
      </c>
      <c r="F1515" s="421">
        <f>F1512*C1515</f>
        <v>0</v>
      </c>
      <c r="G1515" s="421">
        <f>G1512*C1515</f>
        <v>0</v>
      </c>
      <c r="H1515" s="421">
        <f>H1512*C1515</f>
        <v>0</v>
      </c>
      <c r="I1515" s="421">
        <f>I1512*C1515</f>
        <v>0</v>
      </c>
      <c r="J1515" s="421">
        <f>J1512*C1515</f>
        <v>0</v>
      </c>
      <c r="K1515" s="424">
        <f>SUM(D1515:J1515)</f>
        <v>0</v>
      </c>
    </row>
    <row r="1516" spans="2:13" ht="15" customHeight="1" x14ac:dyDescent="0.25">
      <c r="B1516" s="389"/>
      <c r="C1516" s="423"/>
      <c r="D1516" s="421">
        <f>D1512*C1516</f>
        <v>0</v>
      </c>
      <c r="E1516" s="421">
        <f>E1512*C1516</f>
        <v>0</v>
      </c>
      <c r="F1516" s="421">
        <f>F1512*C1516</f>
        <v>0</v>
      </c>
      <c r="G1516" s="421">
        <f>G1512*C1516</f>
        <v>0</v>
      </c>
      <c r="H1516" s="421">
        <f>H1512*C1516</f>
        <v>0</v>
      </c>
      <c r="I1516" s="421">
        <f>I1512*C1516</f>
        <v>0</v>
      </c>
      <c r="J1516" s="421">
        <f>J1512*C1516</f>
        <v>0</v>
      </c>
      <c r="K1516" s="424">
        <f>SUM(D1516:J1516)</f>
        <v>0</v>
      </c>
    </row>
    <row r="1517" spans="2:13" ht="15.75" thickBot="1" x14ac:dyDescent="0.3"/>
    <row r="1518" spans="2:13" ht="15.75" thickBot="1" x14ac:dyDescent="0.3">
      <c r="B1518" s="432">
        <v>6490221</v>
      </c>
      <c r="C1518" s="411"/>
      <c r="D1518" s="407" t="s">
        <v>548</v>
      </c>
      <c r="E1518" s="408" t="s">
        <v>549</v>
      </c>
      <c r="F1518" s="408" t="s">
        <v>550</v>
      </c>
      <c r="G1518" s="408" t="s">
        <v>551</v>
      </c>
      <c r="H1518" s="408" t="s">
        <v>552</v>
      </c>
      <c r="I1518" s="408" t="s">
        <v>553</v>
      </c>
      <c r="J1518" s="408" t="s">
        <v>554</v>
      </c>
      <c r="K1518" s="408" t="s">
        <v>555</v>
      </c>
      <c r="M1518" s="414" t="s">
        <v>761</v>
      </c>
    </row>
    <row r="1519" spans="2:13" ht="15.75" thickBot="1" x14ac:dyDescent="0.3">
      <c r="B1519" s="414" t="s">
        <v>556</v>
      </c>
      <c r="C1519" s="415" t="s">
        <v>620</v>
      </c>
      <c r="D1519" s="416">
        <f>IF(ISERROR(VLOOKUP(B1518,'MD Usage'!$A$1:$W$5000,3,FALSE)),0,VLOOKUP(B1518,'MD Usage'!$A$1:$W$5000,3,FALSE))</f>
        <v>0</v>
      </c>
      <c r="E1519" s="416">
        <f>IF(ISERROR(VLOOKUP(B1518,'MD Usage'!$A$1:$W$5000,5,FALSE)),0,VLOOKUP(B1518,'MD Usage'!$A$1:$W$5000,5,FALSE))</f>
        <v>0</v>
      </c>
      <c r="F1519" s="416">
        <f>IF(ISERROR(VLOOKUP(B1518,'MD Usage'!$A$1:$W$5000,7,FALSE)),0,VLOOKUP(B1518,'MD Usage'!$A$1:$W$5000,7,FALSE))</f>
        <v>0</v>
      </c>
      <c r="G1519" s="416">
        <f>IF(ISERROR(VLOOKUP(B1518,'MD Usage'!$A$1:$W$5000,9,FALSE)),0,VLOOKUP(B1518,'MD Usage'!$A$1:$W$5000,9,FALSE))</f>
        <v>0</v>
      </c>
      <c r="H1519" s="416">
        <f>IF(ISERROR(VLOOKUP(B1518,'MD Usage'!$A$1:$W$5000,11,FALSE)),0,VLOOKUP(B1518,'MD Usage'!$A$1:$W$5000,11,FALSE))</f>
        <v>0</v>
      </c>
      <c r="I1519" s="416">
        <f>IF(ISERROR(VLOOKUP(B1518,'MD Usage'!A1:R2000,13,FALSE)),0,VLOOKUP(B1518,'MD Usage'!A1:R2000,13,FALSE))</f>
        <v>0</v>
      </c>
      <c r="J1519" s="416">
        <f>IF(ISERROR(VLOOKUP(B1518,'MD Usage'!A1:R2000,15,FALSE)),0,VLOOKUP(B1518,'MD Usage'!A1:R2000,15,FALSE))</f>
        <v>0</v>
      </c>
      <c r="K1519" s="418">
        <f t="shared" ref="K1519:K1525" si="71">SUM(D1519:J1519)</f>
        <v>0</v>
      </c>
    </row>
    <row r="1520" spans="2:13" x14ac:dyDescent="0.25">
      <c r="B1520" s="419" t="s">
        <v>70</v>
      </c>
      <c r="C1520" s="420">
        <v>1</v>
      </c>
      <c r="D1520" s="421">
        <f>D1519*C1520</f>
        <v>0</v>
      </c>
      <c r="E1520" s="421">
        <f>E1519*C1520</f>
        <v>0</v>
      </c>
      <c r="F1520" s="421">
        <f>F1519*C1520</f>
        <v>0</v>
      </c>
      <c r="G1520" s="421">
        <f>G1519*C1520</f>
        <v>0</v>
      </c>
      <c r="H1520" s="421">
        <f>H1519*C1520</f>
        <v>0</v>
      </c>
      <c r="I1520" s="421">
        <f>I1519*C1520</f>
        <v>0</v>
      </c>
      <c r="J1520" s="421">
        <f>J1519*C1520</f>
        <v>0</v>
      </c>
      <c r="K1520" s="422">
        <f t="shared" si="71"/>
        <v>0</v>
      </c>
    </row>
    <row r="1521" spans="2:13" x14ac:dyDescent="0.25">
      <c r="B1521" s="419"/>
      <c r="C1521" s="420"/>
      <c r="D1521" s="421">
        <f>D1519*C1521</f>
        <v>0</v>
      </c>
      <c r="E1521" s="421">
        <f>E1519*C1521</f>
        <v>0</v>
      </c>
      <c r="F1521" s="421">
        <f>F1519*C1521</f>
        <v>0</v>
      </c>
      <c r="G1521" s="421">
        <f>G1519*C1521</f>
        <v>0</v>
      </c>
      <c r="H1521" s="421">
        <f>H1519*C1521</f>
        <v>0</v>
      </c>
      <c r="I1521" s="421">
        <f>I1519*C1521</f>
        <v>0</v>
      </c>
      <c r="J1521" s="421">
        <f>J1519*C1521</f>
        <v>0</v>
      </c>
      <c r="K1521" s="422">
        <f t="shared" si="71"/>
        <v>0</v>
      </c>
    </row>
    <row r="1522" spans="2:13" x14ac:dyDescent="0.25">
      <c r="B1522" s="389"/>
      <c r="C1522" s="423"/>
      <c r="D1522" s="421">
        <f>D1519*C1522</f>
        <v>0</v>
      </c>
      <c r="E1522" s="421">
        <f>E1519*C1522</f>
        <v>0</v>
      </c>
      <c r="F1522" s="421">
        <f>F1519*C1522</f>
        <v>0</v>
      </c>
      <c r="G1522" s="421">
        <f>G1519*C1522</f>
        <v>0</v>
      </c>
      <c r="H1522" s="421">
        <f>H1519*C1522</f>
        <v>0</v>
      </c>
      <c r="I1522" s="421">
        <f>I1519*C1522</f>
        <v>0</v>
      </c>
      <c r="J1522" s="421">
        <f>J1519*C1522</f>
        <v>0</v>
      </c>
      <c r="K1522" s="424">
        <f t="shared" si="71"/>
        <v>0</v>
      </c>
    </row>
    <row r="1523" spans="2:13" ht="15" customHeight="1" x14ac:dyDescent="0.25">
      <c r="B1523" s="389"/>
      <c r="C1523" s="423"/>
      <c r="D1523" s="421">
        <f>D1519*C1523</f>
        <v>0</v>
      </c>
      <c r="E1523" s="421">
        <f>E1519*C1523</f>
        <v>0</v>
      </c>
      <c r="F1523" s="421">
        <f>F1519*C1523</f>
        <v>0</v>
      </c>
      <c r="G1523" s="421">
        <f>G1519*C1523</f>
        <v>0</v>
      </c>
      <c r="H1523" s="421">
        <f>H1519*C1523</f>
        <v>0</v>
      </c>
      <c r="I1523" s="421">
        <f>I1519*C1523</f>
        <v>0</v>
      </c>
      <c r="J1523" s="421">
        <f>J1519*C1523</f>
        <v>0</v>
      </c>
      <c r="K1523" s="424">
        <f t="shared" si="71"/>
        <v>0</v>
      </c>
    </row>
    <row r="1524" spans="2:13" ht="15" customHeight="1" x14ac:dyDescent="0.25">
      <c r="B1524" s="389"/>
      <c r="C1524" s="423"/>
      <c r="D1524" s="421">
        <f>D1520*C1524</f>
        <v>0</v>
      </c>
      <c r="E1524" s="421">
        <f>E1520*C1524</f>
        <v>0</v>
      </c>
      <c r="F1524" s="421">
        <f>F1520*C1524</f>
        <v>0</v>
      </c>
      <c r="G1524" s="421">
        <f>G1520*C1524</f>
        <v>0</v>
      </c>
      <c r="H1524" s="421">
        <f>H1520*C1524</f>
        <v>0</v>
      </c>
      <c r="I1524" s="421">
        <f>I1520*C1524</f>
        <v>0</v>
      </c>
      <c r="J1524" s="421">
        <f>J1520*C1524</f>
        <v>0</v>
      </c>
      <c r="K1524" s="424">
        <f t="shared" si="71"/>
        <v>0</v>
      </c>
    </row>
    <row r="1525" spans="2:13" x14ac:dyDescent="0.25">
      <c r="B1525" s="389"/>
      <c r="C1525" s="423"/>
      <c r="D1525" s="421">
        <f>D1519*C1525</f>
        <v>0</v>
      </c>
      <c r="E1525" s="421">
        <f>E1519*C1525</f>
        <v>0</v>
      </c>
      <c r="F1525" s="421">
        <f>F1519*C1525</f>
        <v>0</v>
      </c>
      <c r="G1525" s="421">
        <f>G1519*C1525</f>
        <v>0</v>
      </c>
      <c r="H1525" s="421">
        <f>H1519*C1525</f>
        <v>0</v>
      </c>
      <c r="I1525" s="421">
        <f>I1519*C1525</f>
        <v>0</v>
      </c>
      <c r="J1525" s="421">
        <f>J1519*C1525</f>
        <v>0</v>
      </c>
      <c r="K1525" s="424">
        <f t="shared" si="71"/>
        <v>0</v>
      </c>
    </row>
    <row r="1526" spans="2:13" ht="15.75" thickBot="1" x14ac:dyDescent="0.3"/>
    <row r="1527" spans="2:13" ht="15" customHeight="1" thickBot="1" x14ac:dyDescent="0.3">
      <c r="B1527" s="432">
        <v>6490102</v>
      </c>
      <c r="C1527" s="411"/>
      <c r="D1527" s="407" t="s">
        <v>548</v>
      </c>
      <c r="E1527" s="408" t="s">
        <v>549</v>
      </c>
      <c r="F1527" s="408" t="s">
        <v>550</v>
      </c>
      <c r="G1527" s="408" t="s">
        <v>551</v>
      </c>
      <c r="H1527" s="408" t="s">
        <v>552</v>
      </c>
      <c r="I1527" s="408" t="s">
        <v>553</v>
      </c>
      <c r="J1527" s="408" t="s">
        <v>554</v>
      </c>
      <c r="K1527" s="408" t="s">
        <v>555</v>
      </c>
      <c r="M1527" s="414" t="s">
        <v>762</v>
      </c>
    </row>
    <row r="1528" spans="2:13" ht="15.75" thickBot="1" x14ac:dyDescent="0.3">
      <c r="B1528" s="414" t="s">
        <v>556</v>
      </c>
      <c r="C1528" s="415" t="s">
        <v>620</v>
      </c>
      <c r="D1528" s="416">
        <f>IF(ISERROR(VLOOKUP(B1527,'MD Usage'!$A$1:$W$5000,3,FALSE)),0,VLOOKUP(B1527,'MD Usage'!$A$1:$W$5000,3,FALSE))</f>
        <v>0</v>
      </c>
      <c r="E1528" s="416">
        <f>IF(ISERROR(VLOOKUP(B1527,'MD Usage'!$A$1:$W$5000,5,FALSE)),0,VLOOKUP(B1527,'MD Usage'!$A$1:$W$5000,5,FALSE))</f>
        <v>0</v>
      </c>
      <c r="F1528" s="416">
        <f>IF(ISERROR(VLOOKUP(B1527,'MD Usage'!$A$1:$W$5000,7,FALSE)),0,VLOOKUP(B1527,'MD Usage'!$A$1:$W$5000,7,FALSE))</f>
        <v>0</v>
      </c>
      <c r="G1528" s="416">
        <f>IF(ISERROR(VLOOKUP(B1527,'MD Usage'!$A$1:$W$5000,9,FALSE)),0,VLOOKUP(B1527,'MD Usage'!$A$1:$W$5000,9,FALSE))</f>
        <v>0</v>
      </c>
      <c r="H1528" s="416">
        <f>IF(ISERROR(VLOOKUP(B1527,'MD Usage'!$A$1:$W$5000,11,FALSE)),0,VLOOKUP(B1527,'MD Usage'!$A$1:$W$5000,11,FALSE))</f>
        <v>0</v>
      </c>
      <c r="I1528" s="416">
        <f>IF(ISERROR(VLOOKUP(B1527,'MD Usage'!A1:R2000,13,FALSE)),0,VLOOKUP(B1527,'MD Usage'!A1:R2000,13,FALSE))</f>
        <v>0</v>
      </c>
      <c r="J1528" s="416">
        <f>IF(ISERROR(VLOOKUP(B1527,'MD Usage'!A1:R2000,15,FALSE)),0,VLOOKUP(B1527,'MD Usage'!A1:R2000,15,FALSE))</f>
        <v>0</v>
      </c>
      <c r="K1528" s="418">
        <f t="shared" ref="K1528:K1533" si="72">SUM(D1528:J1528)</f>
        <v>0</v>
      </c>
    </row>
    <row r="1529" spans="2:13" x14ac:dyDescent="0.25">
      <c r="B1529" s="419" t="s">
        <v>59</v>
      </c>
      <c r="C1529" s="420">
        <v>1</v>
      </c>
      <c r="D1529" s="421">
        <f>D1528*C1529</f>
        <v>0</v>
      </c>
      <c r="E1529" s="421">
        <f>E1528*C1529</f>
        <v>0</v>
      </c>
      <c r="F1529" s="421">
        <f>F1528*C1529</f>
        <v>0</v>
      </c>
      <c r="G1529" s="421">
        <f>G1528*C1529</f>
        <v>0</v>
      </c>
      <c r="H1529" s="421">
        <f>H1528*C1529</f>
        <v>0</v>
      </c>
      <c r="I1529" s="421">
        <f>I1528*C1529</f>
        <v>0</v>
      </c>
      <c r="J1529" s="421">
        <f>J1528*C1529</f>
        <v>0</v>
      </c>
      <c r="K1529" s="422">
        <f t="shared" si="72"/>
        <v>0</v>
      </c>
    </row>
    <row r="1530" spans="2:13" x14ac:dyDescent="0.25">
      <c r="B1530" s="419"/>
      <c r="C1530" s="420"/>
      <c r="D1530" s="421">
        <f>D1528*C1530</f>
        <v>0</v>
      </c>
      <c r="E1530" s="421">
        <f>E1528*C1530</f>
        <v>0</v>
      </c>
      <c r="F1530" s="421">
        <f>F1528*C1530</f>
        <v>0</v>
      </c>
      <c r="G1530" s="421">
        <f>G1528*C1530</f>
        <v>0</v>
      </c>
      <c r="H1530" s="421">
        <f>H1528*C1530</f>
        <v>0</v>
      </c>
      <c r="I1530" s="421">
        <f>I1528*C1530</f>
        <v>0</v>
      </c>
      <c r="J1530" s="421">
        <f>J1528*C1530</f>
        <v>0</v>
      </c>
      <c r="K1530" s="422">
        <f t="shared" si="72"/>
        <v>0</v>
      </c>
    </row>
    <row r="1531" spans="2:13" ht="15" customHeight="1" x14ac:dyDescent="0.25">
      <c r="B1531" s="389"/>
      <c r="C1531" s="423"/>
      <c r="D1531" s="421">
        <f>D1528*C1531</f>
        <v>0</v>
      </c>
      <c r="E1531" s="421">
        <f>E1528*C1531</f>
        <v>0</v>
      </c>
      <c r="F1531" s="421">
        <f>F1528*C1531</f>
        <v>0</v>
      </c>
      <c r="G1531" s="421">
        <f>G1528*C1531</f>
        <v>0</v>
      </c>
      <c r="H1531" s="421">
        <f>H1528*C1531</f>
        <v>0</v>
      </c>
      <c r="I1531" s="421">
        <f>I1528*C1531</f>
        <v>0</v>
      </c>
      <c r="J1531" s="421">
        <f>J1528*C1531</f>
        <v>0</v>
      </c>
      <c r="K1531" s="424">
        <f t="shared" si="72"/>
        <v>0</v>
      </c>
    </row>
    <row r="1532" spans="2:13" x14ac:dyDescent="0.25">
      <c r="B1532" s="389"/>
      <c r="C1532" s="423"/>
      <c r="D1532" s="421">
        <f>D1528*C1532</f>
        <v>0</v>
      </c>
      <c r="E1532" s="421">
        <f>E1528*C1532</f>
        <v>0</v>
      </c>
      <c r="F1532" s="421">
        <f>F1528*C1532</f>
        <v>0</v>
      </c>
      <c r="G1532" s="421">
        <f>G1528*C1532</f>
        <v>0</v>
      </c>
      <c r="H1532" s="421">
        <f>H1528*C1532</f>
        <v>0</v>
      </c>
      <c r="I1532" s="421">
        <f>I1528*C1532</f>
        <v>0</v>
      </c>
      <c r="J1532" s="421">
        <f>J1528*C1532</f>
        <v>0</v>
      </c>
      <c r="K1532" s="424">
        <f t="shared" si="72"/>
        <v>0</v>
      </c>
    </row>
    <row r="1533" spans="2:13" x14ac:dyDescent="0.25">
      <c r="B1533" s="389"/>
      <c r="C1533" s="423"/>
      <c r="D1533" s="421">
        <f>D1528*C1533</f>
        <v>0</v>
      </c>
      <c r="E1533" s="421">
        <f>E1528*C1533</f>
        <v>0</v>
      </c>
      <c r="F1533" s="421">
        <f>F1528*C1533</f>
        <v>0</v>
      </c>
      <c r="G1533" s="421">
        <f>G1528*C1533</f>
        <v>0</v>
      </c>
      <c r="H1533" s="421">
        <f>H1528*C1533</f>
        <v>0</v>
      </c>
      <c r="I1533" s="421">
        <f>I1528*C1533</f>
        <v>0</v>
      </c>
      <c r="J1533" s="421">
        <f>J1528*C1533</f>
        <v>0</v>
      </c>
      <c r="K1533" s="424">
        <f t="shared" si="72"/>
        <v>0</v>
      </c>
    </row>
    <row r="1534" spans="2:13" ht="15.75" thickBot="1" x14ac:dyDescent="0.3"/>
    <row r="1535" spans="2:13" ht="15.75" thickBot="1" x14ac:dyDescent="0.3">
      <c r="B1535" s="432">
        <v>6438378</v>
      </c>
      <c r="C1535" s="411"/>
      <c r="D1535" s="407" t="s">
        <v>548</v>
      </c>
      <c r="E1535" s="408" t="s">
        <v>549</v>
      </c>
      <c r="F1535" s="408" t="s">
        <v>550</v>
      </c>
      <c r="G1535" s="408" t="s">
        <v>551</v>
      </c>
      <c r="H1535" s="408" t="s">
        <v>552</v>
      </c>
      <c r="I1535" s="408" t="s">
        <v>553</v>
      </c>
      <c r="J1535" s="408" t="s">
        <v>554</v>
      </c>
      <c r="K1535" s="408" t="s">
        <v>555</v>
      </c>
      <c r="M1535" s="414" t="s">
        <v>763</v>
      </c>
    </row>
    <row r="1536" spans="2:13" ht="15.75" thickBot="1" x14ac:dyDescent="0.3">
      <c r="B1536" s="414" t="s">
        <v>556</v>
      </c>
      <c r="C1536" s="415" t="s">
        <v>620</v>
      </c>
      <c r="D1536" s="416">
        <f>IF(ISERROR(VLOOKUP(B1535,'MD Usage'!$A$1:$W$5000,3,FALSE)),0,VLOOKUP(B1535,'MD Usage'!$A$1:$W$5000,3,FALSE))</f>
        <v>0</v>
      </c>
      <c r="E1536" s="416">
        <f>IF(ISERROR(VLOOKUP(B1535,'MD Usage'!$A$1:$W$5000,5,FALSE)),0,VLOOKUP(B1535,'MD Usage'!$A$1:$W$5000,5,FALSE))</f>
        <v>0</v>
      </c>
      <c r="F1536" s="416">
        <f>IF(ISERROR(VLOOKUP(B1535,'MD Usage'!$A$1:$W$5000,7,FALSE)),0,VLOOKUP(B1535,'MD Usage'!$A$1:$W$5000,7,FALSE))</f>
        <v>0</v>
      </c>
      <c r="G1536" s="416">
        <f>IF(ISERROR(VLOOKUP(B1535,'MD Usage'!$A$1:$W$5000,9,FALSE)),0,VLOOKUP(B1535,'MD Usage'!$A$1:$W$5000,9,FALSE))</f>
        <v>0</v>
      </c>
      <c r="H1536" s="416">
        <f>IF(ISERROR(VLOOKUP(B1535,'MD Usage'!$A$1:$W$5000,11,FALSE)),0,VLOOKUP(B1535,'MD Usage'!$A$1:$W$5000,11,FALSE))</f>
        <v>0</v>
      </c>
      <c r="I1536" s="416">
        <f>IF(ISERROR(VLOOKUP(B1535,'MD Usage'!A1:R2000,13,FALSE)),0,VLOOKUP(B1535,'MD Usage'!A1:R2000,13,FALSE))</f>
        <v>0</v>
      </c>
      <c r="J1536" s="416">
        <f>IF(ISERROR(VLOOKUP(B1535,'MD Usage'!A1:R2000,15,FALSE)),0,VLOOKUP(B1535,'MD Usage'!A1:R2000,15,FALSE))</f>
        <v>0</v>
      </c>
      <c r="K1536" s="418">
        <f>SUM(D1536:J1536)</f>
        <v>0</v>
      </c>
    </row>
    <row r="1537" spans="2:13" x14ac:dyDescent="0.25">
      <c r="B1537" s="419" t="s">
        <v>625</v>
      </c>
      <c r="C1537" s="420">
        <v>1.5</v>
      </c>
      <c r="D1537" s="421">
        <f>D1536*C1537</f>
        <v>0</v>
      </c>
      <c r="E1537" s="421">
        <f>E1536*C1537</f>
        <v>0</v>
      </c>
      <c r="F1537" s="421">
        <f>F1536*C1537</f>
        <v>0</v>
      </c>
      <c r="G1537" s="421">
        <f>G1536*C1537</f>
        <v>0</v>
      </c>
      <c r="H1537" s="421">
        <f>H1536*C1537</f>
        <v>0</v>
      </c>
      <c r="I1537" s="421">
        <f>I1536*C1537</f>
        <v>0</v>
      </c>
      <c r="J1537" s="421">
        <f>J1536*C1537</f>
        <v>0</v>
      </c>
      <c r="K1537" s="422">
        <f>SUM(D1537:J1537)</f>
        <v>0</v>
      </c>
    </row>
    <row r="1538" spans="2:13" ht="15" customHeight="1" x14ac:dyDescent="0.25">
      <c r="B1538" s="389"/>
      <c r="C1538" s="423"/>
      <c r="D1538" s="421">
        <f>D1536*C1538</f>
        <v>0</v>
      </c>
      <c r="E1538" s="421">
        <f>E1536*C1538</f>
        <v>0</v>
      </c>
      <c r="F1538" s="421">
        <f>F1536*C1538</f>
        <v>0</v>
      </c>
      <c r="G1538" s="421">
        <f>G1536*C1538</f>
        <v>0</v>
      </c>
      <c r="H1538" s="421">
        <f>H1536*C1538</f>
        <v>0</v>
      </c>
      <c r="I1538" s="421">
        <f>I1536*C1538</f>
        <v>0</v>
      </c>
      <c r="J1538" s="421">
        <f>J1536*C1538</f>
        <v>0</v>
      </c>
      <c r="K1538" s="424">
        <f>SUM(D1538:J1538)</f>
        <v>0</v>
      </c>
    </row>
    <row r="1539" spans="2:13" x14ac:dyDescent="0.25">
      <c r="B1539" s="389"/>
      <c r="C1539" s="423"/>
      <c r="D1539" s="421">
        <f>D1536*C1539</f>
        <v>0</v>
      </c>
      <c r="E1539" s="421">
        <f>E1536*C1539</f>
        <v>0</v>
      </c>
      <c r="F1539" s="421">
        <f>F1536*C1539</f>
        <v>0</v>
      </c>
      <c r="G1539" s="421">
        <f>G1536*C1539</f>
        <v>0</v>
      </c>
      <c r="H1539" s="421">
        <f>H1536*C1539</f>
        <v>0</v>
      </c>
      <c r="I1539" s="421">
        <f>I1536*C1539</f>
        <v>0</v>
      </c>
      <c r="J1539" s="421">
        <f>J1536*C1539</f>
        <v>0</v>
      </c>
      <c r="K1539" s="424">
        <f>SUM(D1539:J1539)</f>
        <v>0</v>
      </c>
    </row>
    <row r="1540" spans="2:13" x14ac:dyDescent="0.25">
      <c r="B1540" s="389"/>
      <c r="C1540" s="423"/>
      <c r="D1540" s="421">
        <f>D1536*C1540</f>
        <v>0</v>
      </c>
      <c r="E1540" s="421">
        <f>E1536*C1540</f>
        <v>0</v>
      </c>
      <c r="F1540" s="421">
        <f>F1536*C1540</f>
        <v>0</v>
      </c>
      <c r="G1540" s="421">
        <f>G1536*C1540</f>
        <v>0</v>
      </c>
      <c r="H1540" s="421">
        <f>H1536*C1540</f>
        <v>0</v>
      </c>
      <c r="I1540" s="421">
        <f>I1536*C1540</f>
        <v>0</v>
      </c>
      <c r="J1540" s="421">
        <f>J1536*C1540</f>
        <v>0</v>
      </c>
      <c r="K1540" s="424">
        <f>SUM(D1540:J1540)</f>
        <v>0</v>
      </c>
    </row>
    <row r="1541" spans="2:13" ht="15.75" thickBot="1" x14ac:dyDescent="0.3"/>
    <row r="1542" spans="2:13" ht="15.75" thickBot="1" x14ac:dyDescent="0.3">
      <c r="B1542" s="432">
        <v>6438004</v>
      </c>
      <c r="C1542" s="411"/>
      <c r="D1542" s="407" t="s">
        <v>548</v>
      </c>
      <c r="E1542" s="408" t="s">
        <v>549</v>
      </c>
      <c r="F1542" s="408" t="s">
        <v>550</v>
      </c>
      <c r="G1542" s="408" t="s">
        <v>551</v>
      </c>
      <c r="H1542" s="408" t="s">
        <v>552</v>
      </c>
      <c r="I1542" s="408" t="s">
        <v>553</v>
      </c>
      <c r="J1542" s="408" t="s">
        <v>554</v>
      </c>
      <c r="K1542" s="408" t="s">
        <v>555</v>
      </c>
      <c r="M1542" s="414" t="s">
        <v>764</v>
      </c>
    </row>
    <row r="1543" spans="2:13" ht="15.75" thickBot="1" x14ac:dyDescent="0.3">
      <c r="B1543" s="414" t="s">
        <v>556</v>
      </c>
      <c r="C1543" s="415" t="s">
        <v>620</v>
      </c>
      <c r="D1543" s="416">
        <f>IF(ISERROR(VLOOKUP(B1542,'MD Usage'!$A$1:$W$5000,3,FALSE)),0,VLOOKUP(B1542,'MD Usage'!$A$1:$W$5000,3,FALSE))</f>
        <v>0</v>
      </c>
      <c r="E1543" s="416">
        <f>IF(ISERROR(VLOOKUP(B1542,'MD Usage'!$A$1:$W$5000,5,FALSE)),0,VLOOKUP(B1542,'MD Usage'!$A$1:$W$5000,5,FALSE))</f>
        <v>0</v>
      </c>
      <c r="F1543" s="416">
        <f>IF(ISERROR(VLOOKUP(B1542,'MD Usage'!$A$1:$W$5000,7,FALSE)),0,VLOOKUP(B1542,'MD Usage'!$A$1:$W$5000,7,FALSE))</f>
        <v>0</v>
      </c>
      <c r="G1543" s="416">
        <f>IF(ISERROR(VLOOKUP(B1542,'MD Usage'!$A$1:$W$5000,9,FALSE)),0,VLOOKUP(B1542,'MD Usage'!$A$1:$W$5000,9,FALSE))</f>
        <v>0</v>
      </c>
      <c r="H1543" s="416">
        <f>IF(ISERROR(VLOOKUP(B1542,'MD Usage'!$A$1:$W$5000,11,FALSE)),0,VLOOKUP(B1542,'MD Usage'!$A$1:$W$5000,11,FALSE))</f>
        <v>0</v>
      </c>
      <c r="I1543" s="416">
        <f>IF(ISERROR(VLOOKUP(B1542,'MD Usage'!A1:R2000,13,FALSE)),0,VLOOKUP(B1542,'MD Usage'!A1:R2000,13,FALSE))</f>
        <v>0</v>
      </c>
      <c r="J1543" s="416">
        <f>IF(ISERROR(VLOOKUP(B1542,'MD Usage'!A1:R2000,15,FALSE)),0,VLOOKUP(B1542,'MD Usage'!A1:R2000,15,FALSE))</f>
        <v>0</v>
      </c>
      <c r="K1543" s="418">
        <f>SUM(D1543:J1543)</f>
        <v>0</v>
      </c>
    </row>
    <row r="1544" spans="2:13" x14ac:dyDescent="0.25">
      <c r="B1544" s="419" t="s">
        <v>570</v>
      </c>
      <c r="C1544" s="420">
        <v>3</v>
      </c>
      <c r="D1544" s="421">
        <f>D1543*C1544</f>
        <v>0</v>
      </c>
      <c r="E1544" s="421">
        <f>E1543*C1544</f>
        <v>0</v>
      </c>
      <c r="F1544" s="421">
        <f>F1543*C1544</f>
        <v>0</v>
      </c>
      <c r="G1544" s="421">
        <f>G1543*C1544</f>
        <v>0</v>
      </c>
      <c r="H1544" s="421">
        <f>H1543*C1544</f>
        <v>0</v>
      </c>
      <c r="I1544" s="421">
        <f>I1543*C1544</f>
        <v>0</v>
      </c>
      <c r="J1544" s="421">
        <f>J1543*C1544</f>
        <v>0</v>
      </c>
      <c r="K1544" s="422">
        <f>SUM(D1544:J1544)</f>
        <v>0</v>
      </c>
    </row>
    <row r="1545" spans="2:13" ht="15" customHeight="1" x14ac:dyDescent="0.25">
      <c r="B1545" s="389"/>
      <c r="C1545" s="423"/>
      <c r="D1545" s="421">
        <f>D1543*C1545</f>
        <v>0</v>
      </c>
      <c r="E1545" s="421">
        <f>E1543*C1545</f>
        <v>0</v>
      </c>
      <c r="F1545" s="421">
        <f>F1543*C1545</f>
        <v>0</v>
      </c>
      <c r="G1545" s="421">
        <f>G1543*C1545</f>
        <v>0</v>
      </c>
      <c r="H1545" s="421">
        <f>H1543*C1545</f>
        <v>0</v>
      </c>
      <c r="I1545" s="421">
        <f>I1543*C1545</f>
        <v>0</v>
      </c>
      <c r="J1545" s="421">
        <f>J1543*C1545</f>
        <v>0</v>
      </c>
      <c r="K1545" s="424">
        <f>SUM(D1545:J1545)</f>
        <v>0</v>
      </c>
    </row>
    <row r="1546" spans="2:13" x14ac:dyDescent="0.25">
      <c r="B1546" s="389"/>
      <c r="C1546" s="423"/>
      <c r="D1546" s="421">
        <f>D1543*C1546</f>
        <v>0</v>
      </c>
      <c r="E1546" s="421">
        <f>E1543*C1546</f>
        <v>0</v>
      </c>
      <c r="F1546" s="421">
        <f>F1543*C1546</f>
        <v>0</v>
      </c>
      <c r="G1546" s="421">
        <f>G1543*C1546</f>
        <v>0</v>
      </c>
      <c r="H1546" s="421">
        <f>H1543*C1546</f>
        <v>0</v>
      </c>
      <c r="I1546" s="421">
        <f>I1543*C1546</f>
        <v>0</v>
      </c>
      <c r="J1546" s="421">
        <f>J1543*C1546</f>
        <v>0</v>
      </c>
      <c r="K1546" s="424">
        <f>SUM(D1546:J1546)</f>
        <v>0</v>
      </c>
    </row>
    <row r="1547" spans="2:13" x14ac:dyDescent="0.25">
      <c r="B1547" s="389"/>
      <c r="C1547" s="423"/>
      <c r="D1547" s="421">
        <f>D1543*C1547</f>
        <v>0</v>
      </c>
      <c r="E1547" s="421">
        <f>E1543*C1547</f>
        <v>0</v>
      </c>
      <c r="F1547" s="421">
        <f>F1543*C1547</f>
        <v>0</v>
      </c>
      <c r="G1547" s="421">
        <f>G1543*C1547</f>
        <v>0</v>
      </c>
      <c r="H1547" s="421">
        <f>H1543*C1547</f>
        <v>0</v>
      </c>
      <c r="I1547" s="421">
        <f>I1543*C1547</f>
        <v>0</v>
      </c>
      <c r="J1547" s="421">
        <f>J1543*C1547</f>
        <v>0</v>
      </c>
      <c r="K1547" s="424">
        <f>SUM(D1547:J1547)</f>
        <v>0</v>
      </c>
    </row>
    <row r="1548" spans="2:13" ht="15.75" thickBot="1" x14ac:dyDescent="0.3"/>
    <row r="1549" spans="2:13" ht="15.75" thickBot="1" x14ac:dyDescent="0.3">
      <c r="B1549" s="414">
        <v>6490372</v>
      </c>
      <c r="C1549" s="411"/>
      <c r="D1549" s="407" t="s">
        <v>548</v>
      </c>
      <c r="E1549" s="408" t="s">
        <v>549</v>
      </c>
      <c r="F1549" s="408" t="s">
        <v>550</v>
      </c>
      <c r="G1549" s="408" t="s">
        <v>551</v>
      </c>
      <c r="H1549" s="408" t="s">
        <v>552</v>
      </c>
      <c r="I1549" s="408" t="s">
        <v>553</v>
      </c>
      <c r="J1549" s="408" t="s">
        <v>554</v>
      </c>
      <c r="K1549" s="408" t="s">
        <v>555</v>
      </c>
      <c r="M1549" s="426" t="s">
        <v>765</v>
      </c>
    </row>
    <row r="1550" spans="2:13" ht="15.75" thickBot="1" x14ac:dyDescent="0.3">
      <c r="B1550" s="414" t="s">
        <v>556</v>
      </c>
      <c r="C1550" s="415" t="s">
        <v>620</v>
      </c>
      <c r="D1550" s="416">
        <f>IF(ISERROR(VLOOKUP(B1549,'MD Usage'!$A$1:$W$5000,3,FALSE)),0,VLOOKUP(B1549,'MD Usage'!$A$1:$W$5000,3,FALSE))</f>
        <v>0</v>
      </c>
      <c r="E1550" s="416">
        <f>IF(ISERROR(VLOOKUP(B1549,'MD Usage'!$A$1:$W$5000,5,FALSE)),0,VLOOKUP(B1549,'MD Usage'!$A$1:$W$5000,5,FALSE))</f>
        <v>0</v>
      </c>
      <c r="F1550" s="416">
        <f>IF(ISERROR(VLOOKUP(B1549,'MD Usage'!$A$1:$W$5000,7,FALSE)),0,VLOOKUP(B1549,'MD Usage'!$A$1:$W$5000,7,FALSE))</f>
        <v>0</v>
      </c>
      <c r="G1550" s="416">
        <f>IF(ISERROR(VLOOKUP(B1549,'MD Usage'!$A$1:$W$5000,9,FALSE)),0,VLOOKUP(B1549,'MD Usage'!$A$1:$W$5000,9,FALSE))</f>
        <v>0</v>
      </c>
      <c r="H1550" s="416">
        <f>IF(ISERROR(VLOOKUP(B1549,'MD Usage'!$A$1:$W$5000,11,FALSE)),0,VLOOKUP(B1549,'MD Usage'!$A$1:$W$5000,11,FALSE))</f>
        <v>0</v>
      </c>
      <c r="I1550" s="416">
        <f>IF(ISERROR(VLOOKUP(B1549,'MD Usage'!A1:R2000,13,FALSE)),0,VLOOKUP(B1549,'MD Usage'!A1:R2000,13,FALSE))</f>
        <v>0</v>
      </c>
      <c r="J1550" s="416">
        <f>IF(ISERROR(VLOOKUP(B1549,'MD Usage'!A1:R2000,15,FALSE)),0,VLOOKUP(B1549,'MD Usage'!A1:R2000,15,FALSE))</f>
        <v>0</v>
      </c>
      <c r="K1550" s="418">
        <f>SUM(D1550:J1550)</f>
        <v>0</v>
      </c>
    </row>
    <row r="1551" spans="2:13" x14ac:dyDescent="0.25">
      <c r="B1551" s="419" t="s">
        <v>570</v>
      </c>
      <c r="C1551" s="420">
        <v>3</v>
      </c>
      <c r="D1551" s="421">
        <f>D1550*C1551</f>
        <v>0</v>
      </c>
      <c r="E1551" s="421">
        <f>E1550*C1551</f>
        <v>0</v>
      </c>
      <c r="F1551" s="421">
        <f>F1550*C1551</f>
        <v>0</v>
      </c>
      <c r="G1551" s="421">
        <f>G1550*C1551</f>
        <v>0</v>
      </c>
      <c r="H1551" s="421">
        <f>H1550*C1551</f>
        <v>0</v>
      </c>
      <c r="I1551" s="421">
        <f>I1550*C1551</f>
        <v>0</v>
      </c>
      <c r="J1551" s="421">
        <f>J1550*C1551</f>
        <v>0</v>
      </c>
      <c r="K1551" s="422">
        <f>SUM(D1551:J1551)</f>
        <v>0</v>
      </c>
    </row>
    <row r="1552" spans="2:13" ht="15" customHeight="1" x14ac:dyDescent="0.25">
      <c r="B1552" s="389"/>
      <c r="C1552" s="423"/>
      <c r="D1552" s="421">
        <f>D1550*C1552</f>
        <v>0</v>
      </c>
      <c r="E1552" s="421">
        <f>E1550*C1552</f>
        <v>0</v>
      </c>
      <c r="F1552" s="421">
        <f>F1550*C1552</f>
        <v>0</v>
      </c>
      <c r="G1552" s="421">
        <f>G1550*C1552</f>
        <v>0</v>
      </c>
      <c r="H1552" s="421">
        <f>H1550*C1552</f>
        <v>0</v>
      </c>
      <c r="I1552" s="421">
        <f>I1550*C1552</f>
        <v>0</v>
      </c>
      <c r="J1552" s="421">
        <f>J1550*C1552</f>
        <v>0</v>
      </c>
      <c r="K1552" s="424">
        <f>SUM(D1552:J1552)</f>
        <v>0</v>
      </c>
    </row>
    <row r="1553" spans="2:13" x14ac:dyDescent="0.25">
      <c r="B1553" s="389"/>
      <c r="C1553" s="423"/>
      <c r="D1553" s="421">
        <f>D1550*C1553</f>
        <v>0</v>
      </c>
      <c r="E1553" s="421">
        <f>E1550*C1553</f>
        <v>0</v>
      </c>
      <c r="F1553" s="421">
        <f>F1550*C1553</f>
        <v>0</v>
      </c>
      <c r="G1553" s="421">
        <f>G1550*C1553</f>
        <v>0</v>
      </c>
      <c r="H1553" s="421">
        <f>H1550*C1553</f>
        <v>0</v>
      </c>
      <c r="I1553" s="421">
        <f>I1550*C1553</f>
        <v>0</v>
      </c>
      <c r="J1553" s="421">
        <f>J1550*C1553</f>
        <v>0</v>
      </c>
      <c r="K1553" s="424">
        <f>SUM(D1553:J1553)</f>
        <v>0</v>
      </c>
    </row>
    <row r="1554" spans="2:13" x14ac:dyDescent="0.25">
      <c r="B1554" s="389"/>
      <c r="C1554" s="423"/>
      <c r="D1554" s="421">
        <f>D1550*C1554</f>
        <v>0</v>
      </c>
      <c r="E1554" s="421">
        <f>E1550*C1554</f>
        <v>0</v>
      </c>
      <c r="F1554" s="421">
        <f>F1550*C1554</f>
        <v>0</v>
      </c>
      <c r="G1554" s="421">
        <f>G1550*C1554</f>
        <v>0</v>
      </c>
      <c r="H1554" s="421">
        <f>H1550*C1554</f>
        <v>0</v>
      </c>
      <c r="I1554" s="421">
        <f>I1550*C1554</f>
        <v>0</v>
      </c>
      <c r="J1554" s="421">
        <f>J1550*C1554</f>
        <v>0</v>
      </c>
      <c r="K1554" s="424">
        <f>SUM(D1554:J1554)</f>
        <v>0</v>
      </c>
    </row>
    <row r="1555" spans="2:13" ht="15.75" thickBot="1" x14ac:dyDescent="0.3"/>
    <row r="1556" spans="2:13" ht="15.75" thickBot="1" x14ac:dyDescent="0.3">
      <c r="B1556" s="432">
        <v>6480143</v>
      </c>
      <c r="C1556" s="411"/>
      <c r="D1556" s="407" t="s">
        <v>548</v>
      </c>
      <c r="E1556" s="408" t="s">
        <v>549</v>
      </c>
      <c r="F1556" s="408" t="s">
        <v>550</v>
      </c>
      <c r="G1556" s="408" t="s">
        <v>551</v>
      </c>
      <c r="H1556" s="408" t="s">
        <v>552</v>
      </c>
      <c r="I1556" s="408" t="s">
        <v>553</v>
      </c>
      <c r="J1556" s="408" t="s">
        <v>554</v>
      </c>
      <c r="K1556" s="408" t="s">
        <v>555</v>
      </c>
      <c r="M1556" s="414" t="s">
        <v>766</v>
      </c>
    </row>
    <row r="1557" spans="2:13" ht="15.75" thickBot="1" x14ac:dyDescent="0.3">
      <c r="B1557" s="414" t="s">
        <v>556</v>
      </c>
      <c r="C1557" s="415" t="s">
        <v>620</v>
      </c>
      <c r="D1557" s="416">
        <f>IF(ISERROR(VLOOKUP(B1556,'MD Usage'!$A$1:$W$5000,3,FALSE)),0,VLOOKUP(B1556,'MD Usage'!$A$1:$W$5000,3,FALSE))</f>
        <v>0</v>
      </c>
      <c r="E1557" s="416">
        <f>IF(ISERROR(VLOOKUP(B1556,'MD Usage'!$A$1:$W$5000,5,FALSE)),0,VLOOKUP(B1556,'MD Usage'!$A$1:$W$5000,5,FALSE))</f>
        <v>0</v>
      </c>
      <c r="F1557" s="416">
        <f>IF(ISERROR(VLOOKUP(B1556,'MD Usage'!$A$1:$W$5000,7,FALSE)),0,VLOOKUP(B1556,'MD Usage'!$A$1:$W$5000,7,FALSE))</f>
        <v>0</v>
      </c>
      <c r="G1557" s="416">
        <f>IF(ISERROR(VLOOKUP(B1556,'MD Usage'!$A$1:$W$5000,9,FALSE)),0,VLOOKUP(B1556,'MD Usage'!$A$1:$W$5000,9,FALSE))</f>
        <v>1</v>
      </c>
      <c r="H1557" s="416">
        <f>IF(ISERROR(VLOOKUP(B1556,'MD Usage'!$A$1:$W$5000,11,FALSE)),0,VLOOKUP(B1556,'MD Usage'!$A$1:$W$5000,11,FALSE))</f>
        <v>1</v>
      </c>
      <c r="I1557" s="416">
        <f>IF(ISERROR(VLOOKUP(B1556,'MD Usage'!A1:R2000,13,FALSE)),0,VLOOKUP(B1556,'MD Usage'!A1:R2000,13,FALSE))</f>
        <v>0</v>
      </c>
      <c r="J1557" s="416">
        <f>IF(ISERROR(VLOOKUP(B1556,'MD Usage'!A1:R2000,15,FALSE)),0,VLOOKUP(B1556,'MD Usage'!A1:R2000,15,FALSE))</f>
        <v>3</v>
      </c>
      <c r="K1557" s="418">
        <f>SUM(D1557:J1557)</f>
        <v>5</v>
      </c>
    </row>
    <row r="1558" spans="2:13" x14ac:dyDescent="0.25">
      <c r="B1558" s="419" t="s">
        <v>593</v>
      </c>
      <c r="C1558" s="420">
        <v>4</v>
      </c>
      <c r="D1558" s="421">
        <f>D1557*C1558</f>
        <v>0</v>
      </c>
      <c r="E1558" s="421">
        <f>E1557*C1558</f>
        <v>0</v>
      </c>
      <c r="F1558" s="421">
        <f>F1557*C1558</f>
        <v>0</v>
      </c>
      <c r="G1558" s="421">
        <f>G1557*C1558</f>
        <v>4</v>
      </c>
      <c r="H1558" s="421">
        <f>H1557*C1558</f>
        <v>4</v>
      </c>
      <c r="I1558" s="421">
        <f>I1557*C1558</f>
        <v>0</v>
      </c>
      <c r="J1558" s="421">
        <f>J1557*C1558</f>
        <v>12</v>
      </c>
      <c r="K1558" s="422">
        <f>SUM(D1558:J1558)</f>
        <v>20</v>
      </c>
    </row>
    <row r="1559" spans="2:13" ht="15" customHeight="1" x14ac:dyDescent="0.25">
      <c r="B1559" s="389"/>
      <c r="C1559" s="423"/>
      <c r="D1559" s="421">
        <f>D1557*C1559</f>
        <v>0</v>
      </c>
      <c r="E1559" s="421">
        <f>E1557*C1559</f>
        <v>0</v>
      </c>
      <c r="F1559" s="421">
        <f>F1557*C1559</f>
        <v>0</v>
      </c>
      <c r="G1559" s="421">
        <f>G1557*C1559</f>
        <v>0</v>
      </c>
      <c r="H1559" s="421">
        <f>H1557*C1559</f>
        <v>0</v>
      </c>
      <c r="I1559" s="421">
        <f>I1557*C1559</f>
        <v>0</v>
      </c>
      <c r="J1559" s="421">
        <f>J1557*C1559</f>
        <v>0</v>
      </c>
      <c r="K1559" s="424">
        <f>SUM(D1559:J1559)</f>
        <v>0</v>
      </c>
    </row>
    <row r="1560" spans="2:13" x14ac:dyDescent="0.25">
      <c r="B1560" s="389"/>
      <c r="C1560" s="423"/>
      <c r="D1560" s="421">
        <f>D1557*C1560</f>
        <v>0</v>
      </c>
      <c r="E1560" s="421">
        <f>E1557*C1560</f>
        <v>0</v>
      </c>
      <c r="F1560" s="421">
        <f>F1557*C1560</f>
        <v>0</v>
      </c>
      <c r="G1560" s="421">
        <f>G1557*C1560</f>
        <v>0</v>
      </c>
      <c r="H1560" s="421">
        <f>H1557*C1560</f>
        <v>0</v>
      </c>
      <c r="I1560" s="421">
        <f>I1557*C1560</f>
        <v>0</v>
      </c>
      <c r="J1560" s="421">
        <f>J1557*C1560</f>
        <v>0</v>
      </c>
      <c r="K1560" s="424">
        <f>SUM(D1560:J1560)</f>
        <v>0</v>
      </c>
    </row>
    <row r="1561" spans="2:13" x14ac:dyDescent="0.25">
      <c r="B1561" s="389"/>
      <c r="C1561" s="423"/>
      <c r="D1561" s="421">
        <f>D1557*C1561</f>
        <v>0</v>
      </c>
      <c r="E1561" s="421">
        <f>E1557*C1561</f>
        <v>0</v>
      </c>
      <c r="F1561" s="421">
        <f>F1557*C1561</f>
        <v>0</v>
      </c>
      <c r="G1561" s="421">
        <f>G1557*C1561</f>
        <v>0</v>
      </c>
      <c r="H1561" s="421">
        <f>H1557*C1561</f>
        <v>0</v>
      </c>
      <c r="I1561" s="421">
        <f>I1557*C1561</f>
        <v>0</v>
      </c>
      <c r="J1561" s="421">
        <f>J1557*C1561</f>
        <v>0</v>
      </c>
      <c r="K1561" s="424">
        <f>SUM(D1561:J1561)</f>
        <v>0</v>
      </c>
    </row>
    <row r="1562" spans="2:13" ht="15.75" thickBot="1" x14ac:dyDescent="0.3"/>
    <row r="1563" spans="2:13" ht="15.75" thickBot="1" x14ac:dyDescent="0.3">
      <c r="B1563" s="432">
        <v>6480080</v>
      </c>
      <c r="C1563" s="411"/>
      <c r="D1563" s="407" t="s">
        <v>548</v>
      </c>
      <c r="E1563" s="408" t="s">
        <v>549</v>
      </c>
      <c r="F1563" s="408" t="s">
        <v>550</v>
      </c>
      <c r="G1563" s="408" t="s">
        <v>551</v>
      </c>
      <c r="H1563" s="408" t="s">
        <v>552</v>
      </c>
      <c r="I1563" s="408" t="s">
        <v>553</v>
      </c>
      <c r="J1563" s="408" t="s">
        <v>554</v>
      </c>
      <c r="K1563" s="408" t="s">
        <v>555</v>
      </c>
      <c r="M1563" s="414" t="s">
        <v>767</v>
      </c>
    </row>
    <row r="1564" spans="2:13" ht="15.75" thickBot="1" x14ac:dyDescent="0.3">
      <c r="B1564" s="414" t="s">
        <v>556</v>
      </c>
      <c r="C1564" s="415" t="s">
        <v>620</v>
      </c>
      <c r="D1564" s="416">
        <f>IF(ISERROR(VLOOKUP(B1563,'MD Usage'!$A$1:$W$5000,3,FALSE)),0,VLOOKUP(B1563,'MD Usage'!$A$1:$W$5000,3,FALSE))</f>
        <v>0</v>
      </c>
      <c r="E1564" s="416">
        <f>IF(ISERROR(VLOOKUP(B1563,'MD Usage'!$A$1:$W$5000,5,FALSE)),0,VLOOKUP(B1563,'MD Usage'!$A$1:$W$5000,5,FALSE))</f>
        <v>0</v>
      </c>
      <c r="F1564" s="416">
        <f>IF(ISERROR(VLOOKUP(B1563,'MD Usage'!$A$1:$W$5000,7,FALSE)),0,VLOOKUP(B1563,'MD Usage'!$A$1:$W$5000,7,FALSE))</f>
        <v>0</v>
      </c>
      <c r="G1564" s="416">
        <f>IF(ISERROR(VLOOKUP(B1563,'MD Usage'!$A$1:$W$5000,9,FALSE)),0,VLOOKUP(B1563,'MD Usage'!$A$1:$W$5000,9,FALSE))</f>
        <v>0</v>
      </c>
      <c r="H1564" s="416">
        <f>IF(ISERROR(VLOOKUP(B1563,'MD Usage'!$A$1:$W$5000,11,FALSE)),0,VLOOKUP(B1563,'MD Usage'!$A$1:$W$5000,11,FALSE))</f>
        <v>0</v>
      </c>
      <c r="I1564" s="416">
        <f>IF(ISERROR(VLOOKUP(B1563,'MD Usage'!A1:R2000,13,FALSE)),0,VLOOKUP(B1563,'MD Usage'!A1:R2000,13,FALSE))</f>
        <v>0</v>
      </c>
      <c r="J1564" s="416">
        <f>IF(ISERROR(VLOOKUP(B1563,'MD Usage'!A1:R2000,15,FALSE)),0,VLOOKUP(B1563,'MD Usage'!A1:R2000,15,FALSE))</f>
        <v>0</v>
      </c>
      <c r="K1564" s="418">
        <f>SUM(D1564:J1564)</f>
        <v>0</v>
      </c>
    </row>
    <row r="1565" spans="2:13" x14ac:dyDescent="0.25">
      <c r="B1565" s="419" t="s">
        <v>573</v>
      </c>
      <c r="C1565" s="420">
        <v>1.5</v>
      </c>
      <c r="D1565" s="421">
        <f>D1564*C1565</f>
        <v>0</v>
      </c>
      <c r="E1565" s="421">
        <f>E1564*C1565</f>
        <v>0</v>
      </c>
      <c r="F1565" s="421">
        <f>F1564*C1565</f>
        <v>0</v>
      </c>
      <c r="G1565" s="421">
        <f>G1564*C1565</f>
        <v>0</v>
      </c>
      <c r="H1565" s="421">
        <f>H1564*C1565</f>
        <v>0</v>
      </c>
      <c r="I1565" s="421">
        <f>I1564*C1565</f>
        <v>0</v>
      </c>
      <c r="J1565" s="421">
        <f>J1564*C1565</f>
        <v>0</v>
      </c>
      <c r="K1565" s="422">
        <f>SUM(D1565:J1565)</f>
        <v>0</v>
      </c>
    </row>
    <row r="1566" spans="2:13" ht="15" customHeight="1" x14ac:dyDescent="0.25">
      <c r="B1566" s="389"/>
      <c r="C1566" s="423"/>
      <c r="D1566" s="421">
        <f>D1564*C1566</f>
        <v>0</v>
      </c>
      <c r="E1566" s="421">
        <f>E1564*C1566</f>
        <v>0</v>
      </c>
      <c r="F1566" s="421">
        <f>F1564*C1566</f>
        <v>0</v>
      </c>
      <c r="G1566" s="421">
        <f>G1564*C1566</f>
        <v>0</v>
      </c>
      <c r="H1566" s="421">
        <f>H1564*C1566</f>
        <v>0</v>
      </c>
      <c r="I1566" s="421">
        <f>I1564*C1566</f>
        <v>0</v>
      </c>
      <c r="J1566" s="421">
        <f>J1564*C1566</f>
        <v>0</v>
      </c>
      <c r="K1566" s="424">
        <f>SUM(D1566:J1566)</f>
        <v>0</v>
      </c>
    </row>
    <row r="1567" spans="2:13" x14ac:dyDescent="0.25">
      <c r="B1567" s="389"/>
      <c r="C1567" s="423"/>
      <c r="D1567" s="421">
        <f>D1564*C1567</f>
        <v>0</v>
      </c>
      <c r="E1567" s="421">
        <f>E1564*C1567</f>
        <v>0</v>
      </c>
      <c r="F1567" s="421">
        <f>F1564*C1567</f>
        <v>0</v>
      </c>
      <c r="G1567" s="421">
        <f>G1564*C1567</f>
        <v>0</v>
      </c>
      <c r="H1567" s="421">
        <f>H1564*C1567</f>
        <v>0</v>
      </c>
      <c r="I1567" s="421">
        <f>I1564*C1567</f>
        <v>0</v>
      </c>
      <c r="J1567" s="421">
        <f>J1564*C1567</f>
        <v>0</v>
      </c>
      <c r="K1567" s="424">
        <f>SUM(D1567:J1567)</f>
        <v>0</v>
      </c>
    </row>
    <row r="1568" spans="2:13" x14ac:dyDescent="0.25">
      <c r="B1568" s="389"/>
      <c r="C1568" s="423"/>
      <c r="D1568" s="421">
        <f>D1564*C1568</f>
        <v>0</v>
      </c>
      <c r="E1568" s="421">
        <f>E1564*C1568</f>
        <v>0</v>
      </c>
      <c r="F1568" s="421">
        <f>F1564*C1568</f>
        <v>0</v>
      </c>
      <c r="G1568" s="421">
        <f>G1564*C1568</f>
        <v>0</v>
      </c>
      <c r="H1568" s="421">
        <f>H1564*C1568</f>
        <v>0</v>
      </c>
      <c r="I1568" s="421">
        <f>I1564*C1568</f>
        <v>0</v>
      </c>
      <c r="J1568" s="421">
        <f>J1564*C1568</f>
        <v>0</v>
      </c>
      <c r="K1568" s="424">
        <f>SUM(D1568:J1568)</f>
        <v>0</v>
      </c>
    </row>
    <row r="1569" spans="2:13" ht="15.75" thickBot="1" x14ac:dyDescent="0.3"/>
    <row r="1570" spans="2:13" ht="15.75" thickBot="1" x14ac:dyDescent="0.3">
      <c r="B1570" s="433">
        <v>6480013</v>
      </c>
      <c r="C1570" s="411"/>
      <c r="D1570" s="407" t="s">
        <v>548</v>
      </c>
      <c r="E1570" s="408" t="s">
        <v>549</v>
      </c>
      <c r="F1570" s="408" t="s">
        <v>550</v>
      </c>
      <c r="G1570" s="408" t="s">
        <v>551</v>
      </c>
      <c r="H1570" s="408" t="s">
        <v>552</v>
      </c>
      <c r="I1570" s="408" t="s">
        <v>553</v>
      </c>
      <c r="J1570" s="408" t="s">
        <v>554</v>
      </c>
      <c r="K1570" s="408" t="s">
        <v>555</v>
      </c>
      <c r="M1570" s="426" t="s">
        <v>768</v>
      </c>
    </row>
    <row r="1571" spans="2:13" ht="15.75" thickBot="1" x14ac:dyDescent="0.3">
      <c r="B1571" s="414" t="s">
        <v>556</v>
      </c>
      <c r="C1571" s="415" t="s">
        <v>620</v>
      </c>
      <c r="D1571" s="416">
        <f>IF(ISERROR(VLOOKUP(B1570,'MD Usage'!$A$1:$W$5000,3,FALSE)),0,VLOOKUP(B1570,'MD Usage'!$A$1:$W$5000,3,FALSE))</f>
        <v>0</v>
      </c>
      <c r="E1571" s="416">
        <f>IF(ISERROR(VLOOKUP(B1570,'MD Usage'!$A$1:$W$5000,5,FALSE)),0,VLOOKUP(B1570,'MD Usage'!$A$1:$W$5000,5,FALSE))</f>
        <v>0</v>
      </c>
      <c r="F1571" s="416">
        <f>IF(ISERROR(VLOOKUP(B1570,'MD Usage'!$A$1:$W$5000,7,FALSE)),0,VLOOKUP(B1570,'MD Usage'!$A$1:$W$5000,7,FALSE))</f>
        <v>0</v>
      </c>
      <c r="G1571" s="416">
        <f>IF(ISERROR(VLOOKUP(B1570,'MD Usage'!$A$1:$W$5000,9,FALSE)),0,VLOOKUP(B1570,'MD Usage'!$A$1:$W$5000,9,FALSE))</f>
        <v>0</v>
      </c>
      <c r="H1571" s="416">
        <f>IF(ISERROR(VLOOKUP(B1570,'MD Usage'!$A$1:$W$5000,11,FALSE)),0,VLOOKUP(B1570,'MD Usage'!$A$1:$W$5000,11,FALSE))</f>
        <v>0</v>
      </c>
      <c r="I1571" s="416">
        <f>IF(ISERROR(VLOOKUP(B1570,'MD Usage'!A1:R2000,13,FALSE)),0,VLOOKUP(B1570,'MD Usage'!A1:R2000,13,FALSE))</f>
        <v>0</v>
      </c>
      <c r="J1571" s="416">
        <f>IF(ISERROR(VLOOKUP(B1570,'MD Usage'!A1:R2000,15,FALSE)),0,VLOOKUP(B1570,'MD Usage'!A1:R2000,15,FALSE))</f>
        <v>0</v>
      </c>
      <c r="K1571" s="418">
        <f t="shared" ref="K1571:K1577" si="73">SUM(D1571:J1571)</f>
        <v>0</v>
      </c>
    </row>
    <row r="1572" spans="2:13" x14ac:dyDescent="0.25">
      <c r="B1572" s="419" t="s">
        <v>570</v>
      </c>
      <c r="C1572" s="420">
        <v>3</v>
      </c>
      <c r="D1572" s="421">
        <f>D1571*C1572</f>
        <v>0</v>
      </c>
      <c r="E1572" s="421">
        <f>E1571*C1572</f>
        <v>0</v>
      </c>
      <c r="F1572" s="421">
        <f>F1571*C1572</f>
        <v>0</v>
      </c>
      <c r="G1572" s="421">
        <f>G1571*C1572</f>
        <v>0</v>
      </c>
      <c r="H1572" s="421">
        <f>H1571*C1572</f>
        <v>0</v>
      </c>
      <c r="I1572" s="421">
        <f>I1571*C1572</f>
        <v>0</v>
      </c>
      <c r="J1572" s="421">
        <f>J1571*C1572</f>
        <v>0</v>
      </c>
      <c r="K1572" s="422">
        <f t="shared" si="73"/>
        <v>0</v>
      </c>
    </row>
    <row r="1573" spans="2:13" ht="15" customHeight="1" x14ac:dyDescent="0.25">
      <c r="B1573" s="419"/>
      <c r="C1573" s="420"/>
      <c r="D1573" s="421">
        <f>D1571*C1573</f>
        <v>0</v>
      </c>
      <c r="E1573" s="421">
        <f>E1571*C1573</f>
        <v>0</v>
      </c>
      <c r="F1573" s="421">
        <f>F1571*C1573</f>
        <v>0</v>
      </c>
      <c r="G1573" s="421">
        <f>G1571*C1573</f>
        <v>0</v>
      </c>
      <c r="H1573" s="421">
        <f>H1571*C1573</f>
        <v>0</v>
      </c>
      <c r="I1573" s="421">
        <f>I1571*C1573</f>
        <v>0</v>
      </c>
      <c r="J1573" s="421">
        <f>J1571*C1573</f>
        <v>0</v>
      </c>
      <c r="K1573" s="424">
        <f t="shared" si="73"/>
        <v>0</v>
      </c>
    </row>
    <row r="1574" spans="2:13" x14ac:dyDescent="0.25">
      <c r="B1574" s="389"/>
      <c r="C1574" s="423"/>
      <c r="D1574" s="421">
        <f>D1571*C1574</f>
        <v>0</v>
      </c>
      <c r="E1574" s="421">
        <f>E1571*C1574</f>
        <v>0</v>
      </c>
      <c r="F1574" s="421">
        <f>F1571*C1574</f>
        <v>0</v>
      </c>
      <c r="G1574" s="421">
        <f>G1571*C1574</f>
        <v>0</v>
      </c>
      <c r="H1574" s="421">
        <f>H1571*C1574</f>
        <v>0</v>
      </c>
      <c r="I1574" s="421">
        <f>I1571*C1574</f>
        <v>0</v>
      </c>
      <c r="J1574" s="421">
        <f>J1571*C1574</f>
        <v>0</v>
      </c>
      <c r="K1574" s="424">
        <f t="shared" si="73"/>
        <v>0</v>
      </c>
    </row>
    <row r="1575" spans="2:13" x14ac:dyDescent="0.25">
      <c r="B1575" s="389"/>
      <c r="C1575" s="423"/>
      <c r="D1575" s="421">
        <f>D1571*C1575</f>
        <v>0</v>
      </c>
      <c r="E1575" s="421">
        <f>E1571*C1575</f>
        <v>0</v>
      </c>
      <c r="F1575" s="421">
        <f>F1571*C1575</f>
        <v>0</v>
      </c>
      <c r="G1575" s="421">
        <f>G1571*C1575</f>
        <v>0</v>
      </c>
      <c r="H1575" s="421">
        <f>H1571*C1575</f>
        <v>0</v>
      </c>
      <c r="I1575" s="421">
        <f>I1571*C1575</f>
        <v>0</v>
      </c>
      <c r="J1575" s="421">
        <f>J1571*C1575</f>
        <v>0</v>
      </c>
      <c r="K1575" s="424">
        <f t="shared" si="73"/>
        <v>0</v>
      </c>
    </row>
    <row r="1576" spans="2:13" x14ac:dyDescent="0.25">
      <c r="B1576" s="389"/>
      <c r="C1576" s="423"/>
      <c r="D1576" s="421">
        <f>D1571*C1576</f>
        <v>0</v>
      </c>
      <c r="E1576" s="421">
        <f>E1571*C1576</f>
        <v>0</v>
      </c>
      <c r="F1576" s="421">
        <f>F1571*C1576</f>
        <v>0</v>
      </c>
      <c r="G1576" s="421">
        <f>G1571*C1576</f>
        <v>0</v>
      </c>
      <c r="H1576" s="421">
        <f>H1571*C1576</f>
        <v>0</v>
      </c>
      <c r="I1576" s="421">
        <f>I1571*C1576</f>
        <v>0</v>
      </c>
      <c r="J1576" s="421">
        <f>J1571*C1576</f>
        <v>0</v>
      </c>
      <c r="K1576" s="424">
        <f t="shared" si="73"/>
        <v>0</v>
      </c>
    </row>
    <row r="1577" spans="2:13" x14ac:dyDescent="0.25">
      <c r="B1577" s="389"/>
      <c r="C1577" s="423"/>
      <c r="D1577" s="421">
        <f>D1571*C1577</f>
        <v>0</v>
      </c>
      <c r="E1577" s="421">
        <f>E1571*C1577</f>
        <v>0</v>
      </c>
      <c r="F1577" s="421">
        <f>F1571*C1577</f>
        <v>0</v>
      </c>
      <c r="G1577" s="421">
        <f>G1571*C1577</f>
        <v>0</v>
      </c>
      <c r="H1577" s="421">
        <f>H1571*C1577</f>
        <v>0</v>
      </c>
      <c r="I1577" s="421">
        <f>I1571*C1577</f>
        <v>0</v>
      </c>
      <c r="J1577" s="421">
        <f>J1571*C1577</f>
        <v>0</v>
      </c>
      <c r="K1577" s="424">
        <f t="shared" si="73"/>
        <v>0</v>
      </c>
    </row>
    <row r="1578" spans="2:13" ht="15.75" thickBot="1" x14ac:dyDescent="0.3"/>
    <row r="1579" spans="2:13" ht="15.75" thickBot="1" x14ac:dyDescent="0.3">
      <c r="B1579" s="433">
        <v>6480083</v>
      </c>
      <c r="C1579" s="411"/>
      <c r="D1579" s="407" t="s">
        <v>548</v>
      </c>
      <c r="E1579" s="408" t="s">
        <v>549</v>
      </c>
      <c r="F1579" s="408" t="s">
        <v>550</v>
      </c>
      <c r="G1579" s="408" t="s">
        <v>551</v>
      </c>
      <c r="H1579" s="408" t="s">
        <v>552</v>
      </c>
      <c r="I1579" s="408" t="s">
        <v>553</v>
      </c>
      <c r="J1579" s="408" t="s">
        <v>554</v>
      </c>
      <c r="K1579" s="408" t="s">
        <v>555</v>
      </c>
      <c r="M1579" s="426" t="s">
        <v>769</v>
      </c>
    </row>
    <row r="1580" spans="2:13" ht="15" customHeight="1" thickBot="1" x14ac:dyDescent="0.3">
      <c r="B1580" s="414" t="s">
        <v>556</v>
      </c>
      <c r="C1580" s="415" t="s">
        <v>620</v>
      </c>
      <c r="D1580" s="416">
        <f>IF(ISERROR(VLOOKUP(B1579,'MD Usage'!$A$1:$W$5000,3,FALSE)),0,VLOOKUP(B1579,'MD Usage'!$A$1:$W$5000,3,FALSE))</f>
        <v>0</v>
      </c>
      <c r="E1580" s="416">
        <f>IF(ISERROR(VLOOKUP(B1579,'MD Usage'!$A$1:$W$5000,5,FALSE)),0,VLOOKUP(B1579,'MD Usage'!$A$1:$W$5000,5,FALSE))</f>
        <v>0</v>
      </c>
      <c r="F1580" s="416">
        <f>IF(ISERROR(VLOOKUP(B1579,'MD Usage'!$A$1:$W$5000,7,FALSE)),0,VLOOKUP(B1579,'MD Usage'!$A$1:$W$5000,7,FALSE))</f>
        <v>0</v>
      </c>
      <c r="G1580" s="416">
        <f>IF(ISERROR(VLOOKUP(B1579,'MD Usage'!$A$1:$W$5000,9,FALSE)),0,VLOOKUP(B1579,'MD Usage'!$A$1:$W$5000,9,FALSE))</f>
        <v>0</v>
      </c>
      <c r="H1580" s="416">
        <f>IF(ISERROR(VLOOKUP(B1579,'MD Usage'!$A$1:$W$5000,11,FALSE)),0,VLOOKUP(B1579,'MD Usage'!$A$1:$W$5000,11,FALSE))</f>
        <v>0</v>
      </c>
      <c r="I1580" s="416">
        <f>IF(ISERROR(VLOOKUP(B1579,'MD Usage'!A1:R2000,13,FALSE)),0,VLOOKUP(B1579,'MD Usage'!A1:R2000,13,FALSE))</f>
        <v>0</v>
      </c>
      <c r="J1580" s="416">
        <f>IF(ISERROR(VLOOKUP(B1579,'MD Usage'!A1:R2000,15,FALSE)),0,VLOOKUP(B1579,'MD Usage'!A1:R2000,15,FALSE))</f>
        <v>1</v>
      </c>
      <c r="K1580" s="418">
        <f t="shared" ref="K1580:K1586" si="74">SUM(D1580:J1580)</f>
        <v>1</v>
      </c>
    </row>
    <row r="1581" spans="2:13" x14ac:dyDescent="0.25">
      <c r="B1581" s="419" t="s">
        <v>926</v>
      </c>
      <c r="C1581" s="420">
        <v>1</v>
      </c>
      <c r="D1581" s="421">
        <f>D1580*C1581</f>
        <v>0</v>
      </c>
      <c r="E1581" s="421">
        <f>E1580*C1581</f>
        <v>0</v>
      </c>
      <c r="F1581" s="421">
        <f>F1580*C1581</f>
        <v>0</v>
      </c>
      <c r="G1581" s="421">
        <f>G1580*C1581</f>
        <v>0</v>
      </c>
      <c r="H1581" s="421">
        <f>H1580*C1581</f>
        <v>0</v>
      </c>
      <c r="I1581" s="421">
        <f>I1580*C1581</f>
        <v>0</v>
      </c>
      <c r="J1581" s="421">
        <f>J1580*C1581</f>
        <v>1</v>
      </c>
      <c r="K1581" s="422">
        <f t="shared" si="74"/>
        <v>1</v>
      </c>
    </row>
    <row r="1582" spans="2:13" x14ac:dyDescent="0.25">
      <c r="B1582" s="389"/>
      <c r="C1582" s="423"/>
      <c r="D1582" s="421">
        <f>D1580*C1582</f>
        <v>0</v>
      </c>
      <c r="E1582" s="421">
        <f>E1580*C1582</f>
        <v>0</v>
      </c>
      <c r="F1582" s="421">
        <f>F1580*C1582</f>
        <v>0</v>
      </c>
      <c r="G1582" s="421">
        <f>G1580*C1582</f>
        <v>0</v>
      </c>
      <c r="H1582" s="421">
        <f>H1580*C1582</f>
        <v>0</v>
      </c>
      <c r="I1582" s="421">
        <f>I1580*C1582</f>
        <v>0</v>
      </c>
      <c r="J1582" s="421">
        <f>J1580*C1582</f>
        <v>0</v>
      </c>
      <c r="K1582" s="424">
        <f t="shared" si="74"/>
        <v>0</v>
      </c>
    </row>
    <row r="1583" spans="2:13" x14ac:dyDescent="0.25">
      <c r="B1583" s="389"/>
      <c r="C1583" s="423"/>
      <c r="D1583" s="421">
        <f>D1580*C1583</f>
        <v>0</v>
      </c>
      <c r="E1583" s="421">
        <f>E1580*C1583</f>
        <v>0</v>
      </c>
      <c r="F1583" s="421">
        <f>F1580*C1583</f>
        <v>0</v>
      </c>
      <c r="G1583" s="421">
        <f>G1580*C1583</f>
        <v>0</v>
      </c>
      <c r="H1583" s="421">
        <f>H1580*C1583</f>
        <v>0</v>
      </c>
      <c r="I1583" s="421">
        <f>I1580*C1583</f>
        <v>0</v>
      </c>
      <c r="J1583" s="421">
        <f>J1580*C1583</f>
        <v>0</v>
      </c>
      <c r="K1583" s="424">
        <f t="shared" si="74"/>
        <v>0</v>
      </c>
    </row>
    <row r="1584" spans="2:13" ht="15" customHeight="1" x14ac:dyDescent="0.25">
      <c r="B1584" s="387"/>
      <c r="C1584" s="423"/>
      <c r="D1584" s="421">
        <f>D1580*C1584</f>
        <v>0</v>
      </c>
      <c r="E1584" s="421">
        <f>E1580*C1584</f>
        <v>0</v>
      </c>
      <c r="F1584" s="421">
        <f>F1580*C1584</f>
        <v>0</v>
      </c>
      <c r="G1584" s="421">
        <f>G1580*C1584</f>
        <v>0</v>
      </c>
      <c r="H1584" s="421">
        <f>H1580*C1584</f>
        <v>0</v>
      </c>
      <c r="I1584" s="421">
        <f>I1580*C1584</f>
        <v>0</v>
      </c>
      <c r="J1584" s="421">
        <f>J1580*C1584</f>
        <v>0</v>
      </c>
      <c r="K1584" s="424">
        <f t="shared" si="74"/>
        <v>0</v>
      </c>
    </row>
    <row r="1585" spans="2:13" x14ac:dyDescent="0.25">
      <c r="B1585" s="389"/>
      <c r="C1585" s="423"/>
      <c r="D1585" s="421">
        <f>D1580*C1585</f>
        <v>0</v>
      </c>
      <c r="E1585" s="421">
        <f>E1580*C1585</f>
        <v>0</v>
      </c>
      <c r="F1585" s="421">
        <f>F1580*C1585</f>
        <v>0</v>
      </c>
      <c r="G1585" s="421">
        <f>G1580*C1585</f>
        <v>0</v>
      </c>
      <c r="H1585" s="421">
        <f>H1580*C1585</f>
        <v>0</v>
      </c>
      <c r="I1585" s="421">
        <f>I1580*C1585</f>
        <v>0</v>
      </c>
      <c r="J1585" s="421">
        <f>J1580*C1585</f>
        <v>0</v>
      </c>
      <c r="K1585" s="424">
        <f t="shared" si="74"/>
        <v>0</v>
      </c>
    </row>
    <row r="1586" spans="2:13" x14ac:dyDescent="0.25">
      <c r="B1586" s="389"/>
      <c r="C1586" s="423"/>
      <c r="D1586" s="421">
        <f>D1580*C1586</f>
        <v>0</v>
      </c>
      <c r="E1586" s="421">
        <f>E1580*C1586</f>
        <v>0</v>
      </c>
      <c r="F1586" s="421">
        <f>F1580*C1586</f>
        <v>0</v>
      </c>
      <c r="G1586" s="421">
        <f>G1580*C1586</f>
        <v>0</v>
      </c>
      <c r="H1586" s="421">
        <f>H1580*C1586</f>
        <v>0</v>
      </c>
      <c r="I1586" s="421">
        <f>I1580*C1586</f>
        <v>0</v>
      </c>
      <c r="J1586" s="421">
        <f>J1580*C1586</f>
        <v>0</v>
      </c>
      <c r="K1586" s="424">
        <f t="shared" si="74"/>
        <v>0</v>
      </c>
    </row>
    <row r="1587" spans="2:13" ht="15" customHeight="1" thickBot="1" x14ac:dyDescent="0.3"/>
    <row r="1588" spans="2:13" ht="15.75" thickBot="1" x14ac:dyDescent="0.3">
      <c r="B1588" s="433">
        <v>6480064</v>
      </c>
      <c r="C1588" s="411"/>
      <c r="D1588" s="407" t="s">
        <v>548</v>
      </c>
      <c r="E1588" s="408" t="s">
        <v>549</v>
      </c>
      <c r="F1588" s="408" t="s">
        <v>550</v>
      </c>
      <c r="G1588" s="408" t="s">
        <v>551</v>
      </c>
      <c r="H1588" s="408" t="s">
        <v>552</v>
      </c>
      <c r="I1588" s="408" t="s">
        <v>553</v>
      </c>
      <c r="J1588" s="408" t="s">
        <v>554</v>
      </c>
      <c r="K1588" s="408" t="s">
        <v>555</v>
      </c>
      <c r="M1588" s="426" t="s">
        <v>770</v>
      </c>
    </row>
    <row r="1589" spans="2:13" ht="15.75" thickBot="1" x14ac:dyDescent="0.3">
      <c r="B1589" s="429" t="s">
        <v>556</v>
      </c>
      <c r="C1589" s="415" t="s">
        <v>620</v>
      </c>
      <c r="D1589" s="416">
        <f>IF(ISERROR(VLOOKUP(B1588,'MD Usage'!$A$1:$W$5000,3,FALSE)),0,VLOOKUP(B1588,'MD Usage'!$A$1:$W$5000,3,FALSE))</f>
        <v>0</v>
      </c>
      <c r="E1589" s="416">
        <f>IF(ISERROR(VLOOKUP(B1588,'MD Usage'!$A$1:$W$5000,5,FALSE)),0,VLOOKUP(B1588,'MD Usage'!$A$1:$W$5000,5,FALSE))</f>
        <v>0</v>
      </c>
      <c r="F1589" s="416">
        <f>IF(ISERROR(VLOOKUP(B1588,'MD Usage'!$A$1:$W$5000,7,FALSE)),0,VLOOKUP(B1588,'MD Usage'!$A$1:$W$5000,7,FALSE))</f>
        <v>0</v>
      </c>
      <c r="G1589" s="416">
        <f>IF(ISERROR(VLOOKUP(B1588,'MD Usage'!$A$1:$W$5000,9,FALSE)),0,VLOOKUP(B1588,'MD Usage'!$A$1:$W$5000,9,FALSE))</f>
        <v>0</v>
      </c>
      <c r="H1589" s="416">
        <f>IF(ISERROR(VLOOKUP(B1588,'MD Usage'!$A$1:$W$5000,11,FALSE)),0,VLOOKUP(B1588,'MD Usage'!$A$1:$W$5000,11,FALSE))</f>
        <v>1</v>
      </c>
      <c r="I1589" s="416">
        <f>IF(ISERROR(VLOOKUP(B1588,'MD Usage'!A1:R2000,13,FALSE)),0,VLOOKUP(B1588,'MD Usage'!A1:R2000,13,FALSE))</f>
        <v>1</v>
      </c>
      <c r="J1589" s="416">
        <f>IF(ISERROR(VLOOKUP(B1588,'MD Usage'!A1:R2000,15,FALSE)),0,VLOOKUP(B1588,'MD Usage'!A1:R2000,15,FALSE))</f>
        <v>2</v>
      </c>
      <c r="K1589" s="418">
        <f>SUM(D1589:J1589)</f>
        <v>4</v>
      </c>
    </row>
    <row r="1590" spans="2:13" x14ac:dyDescent="0.25">
      <c r="B1590" s="419" t="s">
        <v>59</v>
      </c>
      <c r="C1590" s="420">
        <v>2</v>
      </c>
      <c r="D1590" s="421">
        <f>D1589*C1590</f>
        <v>0</v>
      </c>
      <c r="E1590" s="421">
        <f>E1589*C1590</f>
        <v>0</v>
      </c>
      <c r="F1590" s="421">
        <f>F1589*C1590</f>
        <v>0</v>
      </c>
      <c r="G1590" s="421">
        <f>G1589*C1590</f>
        <v>0</v>
      </c>
      <c r="H1590" s="421">
        <f>H1589*C1590</f>
        <v>2</v>
      </c>
      <c r="I1590" s="421">
        <f>I1589*C1590</f>
        <v>2</v>
      </c>
      <c r="J1590" s="421">
        <f>J1589*C1590</f>
        <v>4</v>
      </c>
      <c r="K1590" s="422">
        <f>SUM(D1590:J1590)</f>
        <v>8</v>
      </c>
    </row>
    <row r="1591" spans="2:13" x14ac:dyDescent="0.25">
      <c r="B1591" s="389"/>
      <c r="C1591" s="423"/>
      <c r="D1591" s="421">
        <f>D1589*C1591</f>
        <v>0</v>
      </c>
      <c r="E1591" s="421">
        <f>E1589*C1591</f>
        <v>0</v>
      </c>
      <c r="F1591" s="421">
        <f>F1589*C1591</f>
        <v>0</v>
      </c>
      <c r="G1591" s="421">
        <f>G1589*C1591</f>
        <v>0</v>
      </c>
      <c r="H1591" s="421">
        <f>H1589*C1591</f>
        <v>0</v>
      </c>
      <c r="I1591" s="421">
        <f>I1589*C1591</f>
        <v>0</v>
      </c>
      <c r="J1591" s="421">
        <f>J1589*C1591</f>
        <v>0</v>
      </c>
      <c r="K1591" s="424">
        <f>SUM(D1591:J1591)</f>
        <v>0</v>
      </c>
    </row>
    <row r="1592" spans="2:13" x14ac:dyDescent="0.25">
      <c r="B1592" s="389"/>
      <c r="C1592" s="423"/>
      <c r="D1592" s="421">
        <f>D1589*C1592</f>
        <v>0</v>
      </c>
      <c r="E1592" s="421">
        <f>E1589*C1592</f>
        <v>0</v>
      </c>
      <c r="F1592" s="421">
        <f>F1589*C1592</f>
        <v>0</v>
      </c>
      <c r="G1592" s="421">
        <f>G1589*C1592</f>
        <v>0</v>
      </c>
      <c r="H1592" s="421">
        <f>H1589*C1592</f>
        <v>0</v>
      </c>
      <c r="I1592" s="421">
        <f>I1589*C1592</f>
        <v>0</v>
      </c>
      <c r="J1592" s="421">
        <f>J1589*C1592</f>
        <v>0</v>
      </c>
      <c r="K1592" s="424">
        <f>SUM(D1592:J1592)</f>
        <v>0</v>
      </c>
    </row>
    <row r="1593" spans="2:13" x14ac:dyDescent="0.25">
      <c r="B1593" s="442"/>
      <c r="C1593" s="431"/>
      <c r="D1593" s="421">
        <f>D1589*C1593</f>
        <v>0</v>
      </c>
      <c r="E1593" s="421">
        <f>E1589*C1593</f>
        <v>0</v>
      </c>
      <c r="F1593" s="421">
        <f>F1589*C1593</f>
        <v>0</v>
      </c>
      <c r="G1593" s="421">
        <f>G1589*C1593</f>
        <v>0</v>
      </c>
      <c r="H1593" s="421">
        <f>H1589*C1593</f>
        <v>0</v>
      </c>
      <c r="I1593" s="421">
        <f>I1589*C1593</f>
        <v>0</v>
      </c>
      <c r="J1593" s="421">
        <f>J1589*C1593</f>
        <v>0</v>
      </c>
      <c r="K1593" s="424">
        <f>SUM(D1593:J1593)</f>
        <v>0</v>
      </c>
    </row>
    <row r="1594" spans="2:13" ht="15" customHeight="1" thickBot="1" x14ac:dyDescent="0.3"/>
    <row r="1595" spans="2:13" ht="15.75" thickBot="1" x14ac:dyDescent="0.3">
      <c r="B1595" s="433">
        <v>6480159</v>
      </c>
      <c r="C1595" s="411"/>
      <c r="D1595" s="407" t="s">
        <v>548</v>
      </c>
      <c r="E1595" s="408" t="s">
        <v>549</v>
      </c>
      <c r="F1595" s="408" t="s">
        <v>550</v>
      </c>
      <c r="G1595" s="408" t="s">
        <v>551</v>
      </c>
      <c r="H1595" s="408" t="s">
        <v>552</v>
      </c>
      <c r="I1595" s="408" t="s">
        <v>553</v>
      </c>
      <c r="J1595" s="408" t="s">
        <v>554</v>
      </c>
      <c r="K1595" s="408" t="s">
        <v>555</v>
      </c>
      <c r="M1595" s="426" t="s">
        <v>771</v>
      </c>
    </row>
    <row r="1596" spans="2:13" ht="15.75" thickBot="1" x14ac:dyDescent="0.3">
      <c r="B1596" s="429" t="s">
        <v>556</v>
      </c>
      <c r="C1596" s="415" t="s">
        <v>620</v>
      </c>
      <c r="D1596" s="416">
        <f>IF(ISERROR(VLOOKUP(B1595,'MD Usage'!$A$1:$W$5000,3,FALSE)),0,VLOOKUP(B1595,'MD Usage'!$A$1:$W$5000,3,FALSE))</f>
        <v>0</v>
      </c>
      <c r="E1596" s="416">
        <f>IF(ISERROR(VLOOKUP(B1595,'MD Usage'!$A$1:$W$5000,5,FALSE)),0,VLOOKUP(B1595,'MD Usage'!$A$1:$W$5000,5,FALSE))</f>
        <v>0</v>
      </c>
      <c r="F1596" s="416">
        <f>IF(ISERROR(VLOOKUP(B1595,'MD Usage'!$A$1:$W$5000,7,FALSE)),0,VLOOKUP(B1595,'MD Usage'!$A$1:$W$5000,7,FALSE))</f>
        <v>1</v>
      </c>
      <c r="G1596" s="416">
        <f>IF(ISERROR(VLOOKUP(B1595,'MD Usage'!$A$1:$W$5000,9,FALSE)),0,VLOOKUP(B1595,'MD Usage'!$A$1:$W$5000,9,FALSE))</f>
        <v>0</v>
      </c>
      <c r="H1596" s="416">
        <f>IF(ISERROR(VLOOKUP(B1595,'MD Usage'!$A$1:$W$5000,11,FALSE)),0,VLOOKUP(B1595,'MD Usage'!$A$1:$W$5000,11,FALSE))</f>
        <v>0</v>
      </c>
      <c r="I1596" s="416">
        <f>IF(ISERROR(VLOOKUP(B1595,'MD Usage'!A1:R2000,13,FALSE)),0,VLOOKUP(B1595,'MD Usage'!A1:R2000,13,FALSE))</f>
        <v>0</v>
      </c>
      <c r="J1596" s="416">
        <f>IF(ISERROR(VLOOKUP(B1595,'MD Usage'!A1:R2000,15,FALSE)),0,VLOOKUP(B1595,'MD Usage'!A1:R2000,15,FALSE))</f>
        <v>0</v>
      </c>
      <c r="K1596" s="418">
        <f>SUM(D1596:J1596)</f>
        <v>1</v>
      </c>
    </row>
    <row r="1597" spans="2:13" x14ac:dyDescent="0.25">
      <c r="B1597" s="419" t="s">
        <v>572</v>
      </c>
      <c r="C1597" s="420">
        <v>1</v>
      </c>
      <c r="D1597" s="421">
        <f>D1596*C1597</f>
        <v>0</v>
      </c>
      <c r="E1597" s="421">
        <f>E1596*C1597</f>
        <v>0</v>
      </c>
      <c r="F1597" s="421">
        <f>F1596*C1597</f>
        <v>1</v>
      </c>
      <c r="G1597" s="421">
        <f>G1596*C1597</f>
        <v>0</v>
      </c>
      <c r="H1597" s="421">
        <f>H1596*C1597</f>
        <v>0</v>
      </c>
      <c r="I1597" s="421">
        <f>I1596*C1597</f>
        <v>0</v>
      </c>
      <c r="J1597" s="421">
        <f>J1596*C1597</f>
        <v>0</v>
      </c>
      <c r="K1597" s="422">
        <f>SUM(D1597:J1597)</f>
        <v>1</v>
      </c>
    </row>
    <row r="1598" spans="2:13" x14ac:dyDescent="0.25">
      <c r="B1598" s="389"/>
      <c r="C1598" s="423"/>
      <c r="D1598" s="421">
        <f>D1596*C1598</f>
        <v>0</v>
      </c>
      <c r="E1598" s="421">
        <f>E1596*C1598</f>
        <v>0</v>
      </c>
      <c r="F1598" s="421">
        <f>F1596*C1598</f>
        <v>0</v>
      </c>
      <c r="G1598" s="421">
        <f>G1596*C1598</f>
        <v>0</v>
      </c>
      <c r="H1598" s="421">
        <f>H1596*C1598</f>
        <v>0</v>
      </c>
      <c r="I1598" s="421">
        <f>I1596*C1598</f>
        <v>0</v>
      </c>
      <c r="J1598" s="421">
        <f>J1596*C1598</f>
        <v>0</v>
      </c>
      <c r="K1598" s="424">
        <f>SUM(D1598:J1598)</f>
        <v>0</v>
      </c>
    </row>
    <row r="1599" spans="2:13" x14ac:dyDescent="0.25">
      <c r="B1599" s="389"/>
      <c r="C1599" s="423"/>
      <c r="D1599" s="421">
        <f>D1596*C1599</f>
        <v>0</v>
      </c>
      <c r="E1599" s="421">
        <f>E1596*C1599</f>
        <v>0</v>
      </c>
      <c r="F1599" s="421">
        <f>F1596*C1599</f>
        <v>0</v>
      </c>
      <c r="G1599" s="421">
        <f>G1596*C1599</f>
        <v>0</v>
      </c>
      <c r="H1599" s="421">
        <f>H1596*C1599</f>
        <v>0</v>
      </c>
      <c r="I1599" s="421">
        <f>I1596*C1599</f>
        <v>0</v>
      </c>
      <c r="J1599" s="421">
        <f>J1596*C1599</f>
        <v>0</v>
      </c>
      <c r="K1599" s="424">
        <f>SUM(D1599:J1599)</f>
        <v>0</v>
      </c>
    </row>
    <row r="1600" spans="2:13" x14ac:dyDescent="0.25">
      <c r="B1600" s="389"/>
      <c r="C1600" s="423"/>
      <c r="D1600" s="421">
        <f>D1596*C1600</f>
        <v>0</v>
      </c>
      <c r="E1600" s="421">
        <f>E1596*C1600</f>
        <v>0</v>
      </c>
      <c r="F1600" s="421">
        <f>F1596*C1600</f>
        <v>0</v>
      </c>
      <c r="G1600" s="421">
        <f>G1596*C1600</f>
        <v>0</v>
      </c>
      <c r="H1600" s="421">
        <f>H1596*C1600</f>
        <v>0</v>
      </c>
      <c r="I1600" s="421">
        <f>I1596*C1600</f>
        <v>0</v>
      </c>
      <c r="J1600" s="421">
        <f>J1596*C1600</f>
        <v>0</v>
      </c>
      <c r="K1600" s="424">
        <f>SUM(D1600:J1600)</f>
        <v>0</v>
      </c>
    </row>
    <row r="1601" spans="2:13" ht="15" customHeight="1" thickBot="1" x14ac:dyDescent="0.3"/>
    <row r="1602" spans="2:13" ht="15.75" thickBot="1" x14ac:dyDescent="0.3">
      <c r="B1602" s="433">
        <v>6480498</v>
      </c>
      <c r="C1602" s="411"/>
      <c r="D1602" s="407" t="s">
        <v>548</v>
      </c>
      <c r="E1602" s="408" t="s">
        <v>549</v>
      </c>
      <c r="F1602" s="408" t="s">
        <v>550</v>
      </c>
      <c r="G1602" s="408" t="s">
        <v>551</v>
      </c>
      <c r="H1602" s="408" t="s">
        <v>552</v>
      </c>
      <c r="I1602" s="408" t="s">
        <v>553</v>
      </c>
      <c r="J1602" s="408" t="s">
        <v>554</v>
      </c>
      <c r="K1602" s="408" t="s">
        <v>555</v>
      </c>
      <c r="M1602" s="426" t="s">
        <v>772</v>
      </c>
    </row>
    <row r="1603" spans="2:13" ht="15.75" thickBot="1" x14ac:dyDescent="0.3">
      <c r="B1603" s="414" t="s">
        <v>556</v>
      </c>
      <c r="C1603" s="415" t="s">
        <v>620</v>
      </c>
      <c r="D1603" s="416">
        <f>IF(ISERROR(VLOOKUP(B1602,'MD Usage'!$A$1:$W$5000,3,FALSE)),0,VLOOKUP(B1602,'MD Usage'!$A$1:$W$5000,3,FALSE))</f>
        <v>0</v>
      </c>
      <c r="E1603" s="416">
        <f>IF(ISERROR(VLOOKUP(B1602,'MD Usage'!$A$1:$W$5000,5,FALSE)),0,VLOOKUP(B1602,'MD Usage'!$A$1:$W$5000,5,FALSE))</f>
        <v>0</v>
      </c>
      <c r="F1603" s="416">
        <f>IF(ISERROR(VLOOKUP(B1602,'MD Usage'!$A$1:$W$5000,7,FALSE)),0,VLOOKUP(B1602,'MD Usage'!$A$1:$W$5000,7,FALSE))</f>
        <v>0</v>
      </c>
      <c r="G1603" s="416">
        <f>IF(ISERROR(VLOOKUP(B1602,'MD Usage'!$A$1:$W$5000,9,FALSE)),0,VLOOKUP(B1602,'MD Usage'!$A$1:$W$5000,9,FALSE))</f>
        <v>0</v>
      </c>
      <c r="H1603" s="416">
        <f>IF(ISERROR(VLOOKUP(B1602,'MD Usage'!$A$1:$W$5000,11,FALSE)),0,VLOOKUP(B1602,'MD Usage'!$A$1:$W$5000,11,FALSE))</f>
        <v>0</v>
      </c>
      <c r="I1603" s="416">
        <f>IF(ISERROR(VLOOKUP(B1602,'MD Usage'!A1:R2000,13,FALSE)),0,VLOOKUP(B1602,'MD Usage'!A1:R2000,13,FALSE))</f>
        <v>0</v>
      </c>
      <c r="J1603" s="416">
        <f>IF(ISERROR(VLOOKUP(B1602,'MD Usage'!A1:R2000,15,FALSE)),0,VLOOKUP(B1602,'MD Usage'!A1:R2000,15,FALSE))</f>
        <v>0</v>
      </c>
      <c r="K1603" s="418">
        <f>SUM(D1603:J1603)</f>
        <v>0</v>
      </c>
    </row>
    <row r="1604" spans="2:13" x14ac:dyDescent="0.25">
      <c r="B1604" s="419" t="s">
        <v>64</v>
      </c>
      <c r="C1604" s="420">
        <v>2</v>
      </c>
      <c r="D1604" s="421">
        <f>D1603*C1604</f>
        <v>0</v>
      </c>
      <c r="E1604" s="421">
        <f>E1603*C1604</f>
        <v>0</v>
      </c>
      <c r="F1604" s="421">
        <f>F1603*C1604</f>
        <v>0</v>
      </c>
      <c r="G1604" s="421">
        <f>G1603*C1604</f>
        <v>0</v>
      </c>
      <c r="H1604" s="421">
        <f>H1603*C1604</f>
        <v>0</v>
      </c>
      <c r="I1604" s="421">
        <f>I1603*C1604</f>
        <v>0</v>
      </c>
      <c r="J1604" s="421">
        <f>J1603*C1604</f>
        <v>0</v>
      </c>
      <c r="K1604" s="422">
        <f>SUM(D1604:J1604)</f>
        <v>0</v>
      </c>
    </row>
    <row r="1605" spans="2:13" x14ac:dyDescent="0.25">
      <c r="B1605" s="389"/>
      <c r="C1605" s="423"/>
      <c r="D1605" s="421">
        <f>D1603*C1605</f>
        <v>0</v>
      </c>
      <c r="E1605" s="421">
        <f>E1603*C1605</f>
        <v>0</v>
      </c>
      <c r="F1605" s="421">
        <f>F1603*C1605</f>
        <v>0</v>
      </c>
      <c r="G1605" s="421">
        <f>G1603*C1605</f>
        <v>0</v>
      </c>
      <c r="H1605" s="421">
        <f>H1603*C1605</f>
        <v>0</v>
      </c>
      <c r="I1605" s="421">
        <f>I1603*C1605</f>
        <v>0</v>
      </c>
      <c r="J1605" s="421">
        <f>J1603*C1605</f>
        <v>0</v>
      </c>
      <c r="K1605" s="424">
        <f>SUM(D1605:J1605)</f>
        <v>0</v>
      </c>
    </row>
    <row r="1606" spans="2:13" x14ac:dyDescent="0.25">
      <c r="B1606" s="389"/>
      <c r="C1606" s="423"/>
      <c r="D1606" s="421">
        <f>D1603*C1606</f>
        <v>0</v>
      </c>
      <c r="E1606" s="421">
        <f>E1603*C1606</f>
        <v>0</v>
      </c>
      <c r="F1606" s="421">
        <f>F1603*C1606</f>
        <v>0</v>
      </c>
      <c r="G1606" s="421">
        <f>G1603*C1606</f>
        <v>0</v>
      </c>
      <c r="H1606" s="421">
        <f>H1603*C1606</f>
        <v>0</v>
      </c>
      <c r="I1606" s="421">
        <f>I1603*C1606</f>
        <v>0</v>
      </c>
      <c r="J1606" s="421">
        <f>J1603*C1606</f>
        <v>0</v>
      </c>
      <c r="K1606" s="424">
        <f>SUM(D1606:J1606)</f>
        <v>0</v>
      </c>
    </row>
    <row r="1607" spans="2:13" x14ac:dyDescent="0.25">
      <c r="B1607" s="389"/>
      <c r="C1607" s="423"/>
      <c r="D1607" s="421">
        <f>D1603*C1607</f>
        <v>0</v>
      </c>
      <c r="E1607" s="421">
        <f>E1603*C1607</f>
        <v>0</v>
      </c>
      <c r="F1607" s="421">
        <f>F1603*C1607</f>
        <v>0</v>
      </c>
      <c r="G1607" s="421">
        <f>G1603*C1607</f>
        <v>0</v>
      </c>
      <c r="H1607" s="421">
        <f>H1603*C1607</f>
        <v>0</v>
      </c>
      <c r="I1607" s="421">
        <f>I1603*C1607</f>
        <v>0</v>
      </c>
      <c r="J1607" s="421">
        <f>J1603*C1607</f>
        <v>0</v>
      </c>
      <c r="K1607" s="424">
        <f>SUM(D1607:J1607)</f>
        <v>0</v>
      </c>
    </row>
    <row r="1608" spans="2:13" ht="15" customHeight="1" thickBot="1" x14ac:dyDescent="0.3"/>
    <row r="1609" spans="2:13" ht="15.75" thickBot="1" x14ac:dyDescent="0.3">
      <c r="B1609" s="438">
        <v>6480505</v>
      </c>
      <c r="C1609" s="411"/>
      <c r="D1609" s="407" t="s">
        <v>548</v>
      </c>
      <c r="E1609" s="408" t="s">
        <v>549</v>
      </c>
      <c r="F1609" s="408" t="s">
        <v>550</v>
      </c>
      <c r="G1609" s="408" t="s">
        <v>551</v>
      </c>
      <c r="H1609" s="408" t="s">
        <v>552</v>
      </c>
      <c r="I1609" s="408" t="s">
        <v>553</v>
      </c>
      <c r="J1609" s="408" t="s">
        <v>554</v>
      </c>
      <c r="K1609" s="408" t="s">
        <v>555</v>
      </c>
      <c r="M1609" s="426" t="s">
        <v>772</v>
      </c>
    </row>
    <row r="1610" spans="2:13" ht="15.75" thickBot="1" x14ac:dyDescent="0.3">
      <c r="B1610" s="414" t="s">
        <v>556</v>
      </c>
      <c r="C1610" s="415" t="s">
        <v>620</v>
      </c>
      <c r="D1610" s="416">
        <f>IF(ISERROR(VLOOKUP(B1609,'MD Usage'!$A$1:$W$5000,3,FALSE)),0,VLOOKUP(B1609,'MD Usage'!$A$1:$W$5000,3,FALSE))</f>
        <v>0</v>
      </c>
      <c r="E1610" s="416">
        <f>IF(ISERROR(VLOOKUP(B1609,'MD Usage'!$A$1:$W$5000,5,FALSE)),0,VLOOKUP(B1609,'MD Usage'!$A$1:$W$5000,5,FALSE))</f>
        <v>0</v>
      </c>
      <c r="F1610" s="416">
        <f>IF(ISERROR(VLOOKUP(B1609,'MD Usage'!$A$1:$W$5000,7,FALSE)),0,VLOOKUP(B1609,'MD Usage'!$A$1:$W$5000,7,FALSE))</f>
        <v>1</v>
      </c>
      <c r="G1610" s="416">
        <f>IF(ISERROR(VLOOKUP(B1609,'MD Usage'!$A$1:$W$5000,9,FALSE)),0,VLOOKUP(B1609,'MD Usage'!$A$1:$W$5000,9,FALSE))</f>
        <v>0</v>
      </c>
      <c r="H1610" s="416">
        <f>IF(ISERROR(VLOOKUP(B1609,'MD Usage'!$A$1:$W$5000,11,FALSE)),0,VLOOKUP(B1609,'MD Usage'!$A$1:$W$5000,11,FALSE))</f>
        <v>0</v>
      </c>
      <c r="I1610" s="416">
        <f>IF(ISERROR(VLOOKUP(B1609,'MD Usage'!A1:R2000,13,FALSE)),0,VLOOKUP(B1609,'MD Usage'!A1:R2000,13,FALSE))</f>
        <v>0</v>
      </c>
      <c r="J1610" s="416">
        <f>IF(ISERROR(VLOOKUP(B1609,'MD Usage'!A1:R2000,15,FALSE)),0,VLOOKUP(B1609,'MD Usage'!A1:R2000,15,FALSE))</f>
        <v>0</v>
      </c>
      <c r="K1610" s="418">
        <f>SUM(D1610:J1610)</f>
        <v>1</v>
      </c>
    </row>
    <row r="1611" spans="2:13" x14ac:dyDescent="0.25">
      <c r="B1611" s="419" t="s">
        <v>64</v>
      </c>
      <c r="C1611" s="420">
        <v>2</v>
      </c>
      <c r="D1611" s="421">
        <f>D1610*C1611</f>
        <v>0</v>
      </c>
      <c r="E1611" s="421">
        <f>E1610*C1611</f>
        <v>0</v>
      </c>
      <c r="F1611" s="421">
        <f>F1610*C1611</f>
        <v>2</v>
      </c>
      <c r="G1611" s="421">
        <f>G1610*C1611</f>
        <v>0</v>
      </c>
      <c r="H1611" s="421">
        <f>H1610*C1611</f>
        <v>0</v>
      </c>
      <c r="I1611" s="421">
        <f>I1610*C1611</f>
        <v>0</v>
      </c>
      <c r="J1611" s="421">
        <f>J1610*C1611</f>
        <v>0</v>
      </c>
      <c r="K1611" s="422">
        <f>SUM(D1611:J1611)</f>
        <v>2</v>
      </c>
    </row>
    <row r="1612" spans="2:13" x14ac:dyDescent="0.25">
      <c r="B1612" s="389"/>
      <c r="C1612" s="423"/>
      <c r="D1612" s="421">
        <f>D1610*C1612</f>
        <v>0</v>
      </c>
      <c r="E1612" s="421">
        <f>E1610*C1612</f>
        <v>0</v>
      </c>
      <c r="F1612" s="421">
        <f>F1610*C1612</f>
        <v>0</v>
      </c>
      <c r="G1612" s="421">
        <f>G1610*C1612</f>
        <v>0</v>
      </c>
      <c r="H1612" s="421">
        <f>H1610*C1612</f>
        <v>0</v>
      </c>
      <c r="I1612" s="421">
        <f>I1610*C1612</f>
        <v>0</v>
      </c>
      <c r="J1612" s="421">
        <f>J1610*C1612</f>
        <v>0</v>
      </c>
      <c r="K1612" s="424">
        <f>SUM(D1612:J1612)</f>
        <v>0</v>
      </c>
    </row>
    <row r="1613" spans="2:13" x14ac:dyDescent="0.25">
      <c r="B1613" s="389"/>
      <c r="C1613" s="423"/>
      <c r="D1613" s="421">
        <f>D1610*C1613</f>
        <v>0</v>
      </c>
      <c r="E1613" s="421">
        <f>E1610*C1613</f>
        <v>0</v>
      </c>
      <c r="F1613" s="421">
        <f>F1610*C1613</f>
        <v>0</v>
      </c>
      <c r="G1613" s="421">
        <f>G1610*C1613</f>
        <v>0</v>
      </c>
      <c r="H1613" s="421">
        <f>H1610*C1613</f>
        <v>0</v>
      </c>
      <c r="I1613" s="421">
        <f>I1610*C1613</f>
        <v>0</v>
      </c>
      <c r="J1613" s="421">
        <f>J1610*C1613</f>
        <v>0</v>
      </c>
      <c r="K1613" s="424">
        <f>SUM(D1613:J1613)</f>
        <v>0</v>
      </c>
    </row>
    <row r="1614" spans="2:13" ht="15" customHeight="1" x14ac:dyDescent="0.25">
      <c r="B1614" s="389"/>
      <c r="C1614" s="423"/>
      <c r="D1614" s="421">
        <f>D1610*C1614</f>
        <v>0</v>
      </c>
      <c r="E1614" s="421">
        <f>E1610*C1614</f>
        <v>0</v>
      </c>
      <c r="F1614" s="421">
        <f>F1610*C1614</f>
        <v>0</v>
      </c>
      <c r="G1614" s="421">
        <f>G1610*C1614</f>
        <v>0</v>
      </c>
      <c r="H1614" s="421">
        <f>H1610*C1614</f>
        <v>0</v>
      </c>
      <c r="I1614" s="421">
        <f>I1610*C1614</f>
        <v>0</v>
      </c>
      <c r="J1614" s="421">
        <f>J1610*C1614</f>
        <v>0</v>
      </c>
      <c r="K1614" s="424">
        <f>SUM(D1614:J1614)</f>
        <v>0</v>
      </c>
    </row>
    <row r="1615" spans="2:13" ht="15" customHeight="1" thickBot="1" x14ac:dyDescent="0.3"/>
    <row r="1616" spans="2:13" ht="15.75" thickBot="1" x14ac:dyDescent="0.3">
      <c r="B1616" s="438">
        <v>6480038</v>
      </c>
      <c r="C1616" s="411"/>
      <c r="D1616" s="407" t="s">
        <v>548</v>
      </c>
      <c r="E1616" s="408" t="s">
        <v>549</v>
      </c>
      <c r="F1616" s="408" t="s">
        <v>550</v>
      </c>
      <c r="G1616" s="408" t="s">
        <v>551</v>
      </c>
      <c r="H1616" s="408" t="s">
        <v>552</v>
      </c>
      <c r="I1616" s="408" t="s">
        <v>553</v>
      </c>
      <c r="J1616" s="408" t="s">
        <v>554</v>
      </c>
      <c r="K1616" s="408" t="s">
        <v>555</v>
      </c>
      <c r="M1616" s="426" t="s">
        <v>773</v>
      </c>
    </row>
    <row r="1617" spans="2:20" ht="15.75" thickBot="1" x14ac:dyDescent="0.3">
      <c r="B1617" s="429" t="s">
        <v>556</v>
      </c>
      <c r="C1617" s="415" t="s">
        <v>620</v>
      </c>
      <c r="D1617" s="416">
        <f>IF(ISERROR(VLOOKUP(B1616,'MD Usage'!$A$1:$W$5000,3,FALSE)),0,VLOOKUP(B1616,'MD Usage'!$A$1:$W$5000,3,FALSE))</f>
        <v>0</v>
      </c>
      <c r="E1617" s="416">
        <f>IF(ISERROR(VLOOKUP(B1616,'MD Usage'!$A$1:$W$5000,5,FALSE)),0,VLOOKUP(B1616,'MD Usage'!$A$1:$W$5000,5,FALSE))</f>
        <v>0</v>
      </c>
      <c r="F1617" s="416">
        <f>IF(ISERROR(VLOOKUP(B1616,'MD Usage'!$A$1:$W$5000,7,FALSE)),0,VLOOKUP(B1616,'MD Usage'!$A$1:$W$5000,7,FALSE))</f>
        <v>0</v>
      </c>
      <c r="G1617" s="416">
        <f>IF(ISERROR(VLOOKUP(B1616,'MD Usage'!$A$1:$W$5000,9,FALSE)),0,VLOOKUP(B1616,'MD Usage'!$A$1:$W$5000,9,FALSE))</f>
        <v>0</v>
      </c>
      <c r="H1617" s="416">
        <f>IF(ISERROR(VLOOKUP(B1616,'MD Usage'!$A$1:$W$5000,11,FALSE)),0,VLOOKUP(B1616,'MD Usage'!$A$1:$W$5000,11,FALSE))</f>
        <v>4</v>
      </c>
      <c r="I1617" s="416">
        <f>IF(ISERROR(VLOOKUP(B1616,'MD Usage'!A1:R2000,13,FALSE)),0,VLOOKUP(B1616,'MD Usage'!A1:R2000,13,FALSE))</f>
        <v>3</v>
      </c>
      <c r="J1617" s="416">
        <f>IF(ISERROR(VLOOKUP(B1616,'MD Usage'!A1:R2000,15,FALSE)),0,VLOOKUP(B1616,'MD Usage'!A1:R2000,15,FALSE))</f>
        <v>1</v>
      </c>
      <c r="K1617" s="418">
        <f>SUM(D1617:J1617)</f>
        <v>8</v>
      </c>
    </row>
    <row r="1618" spans="2:20" x14ac:dyDescent="0.25">
      <c r="B1618" s="442" t="s">
        <v>596</v>
      </c>
      <c r="C1618" s="430">
        <v>10</v>
      </c>
      <c r="D1618" s="421">
        <f>D1617*C1618</f>
        <v>0</v>
      </c>
      <c r="E1618" s="421">
        <f>E1617*C1618</f>
        <v>0</v>
      </c>
      <c r="F1618" s="421">
        <f>F1617*C1618</f>
        <v>0</v>
      </c>
      <c r="G1618" s="421">
        <f>G1617*C1618</f>
        <v>0</v>
      </c>
      <c r="H1618" s="421">
        <f>H1617*C1618</f>
        <v>40</v>
      </c>
      <c r="I1618" s="421">
        <f>I1617*C1618</f>
        <v>30</v>
      </c>
      <c r="J1618" s="421">
        <f>J1617*C1618</f>
        <v>10</v>
      </c>
      <c r="K1618" s="422">
        <f>SUM(D1618:J1618)</f>
        <v>80</v>
      </c>
    </row>
    <row r="1619" spans="2:20" x14ac:dyDescent="0.25">
      <c r="B1619" s="391"/>
      <c r="C1619" s="431"/>
      <c r="D1619" s="421">
        <f>D1617*C1619</f>
        <v>0</v>
      </c>
      <c r="E1619" s="421">
        <f>E1617*C1619</f>
        <v>0</v>
      </c>
      <c r="F1619" s="421">
        <f>F1617*C1619</f>
        <v>0</v>
      </c>
      <c r="G1619" s="421">
        <f>G1617*C1619</f>
        <v>0</v>
      </c>
      <c r="H1619" s="421">
        <f>H1617*C1619</f>
        <v>0</v>
      </c>
      <c r="I1619" s="421">
        <f>I1617*C1619</f>
        <v>0</v>
      </c>
      <c r="J1619" s="421">
        <f>J1617*C1619</f>
        <v>0</v>
      </c>
      <c r="K1619" s="424">
        <f>SUM(D1619:J1619)</f>
        <v>0</v>
      </c>
    </row>
    <row r="1620" spans="2:20" x14ac:dyDescent="0.25">
      <c r="B1620" s="391"/>
      <c r="C1620" s="431"/>
      <c r="D1620" s="421">
        <f>D1617*C1620</f>
        <v>0</v>
      </c>
      <c r="E1620" s="421">
        <f>E1617*C1620</f>
        <v>0</v>
      </c>
      <c r="F1620" s="421">
        <f>F1617*C1620</f>
        <v>0</v>
      </c>
      <c r="G1620" s="421">
        <f>G1617*C1620</f>
        <v>0</v>
      </c>
      <c r="H1620" s="421">
        <f>H1617*C1620</f>
        <v>0</v>
      </c>
      <c r="I1620" s="421">
        <f>I1617*C1620</f>
        <v>0</v>
      </c>
      <c r="J1620" s="421">
        <f>J1617*C1620</f>
        <v>0</v>
      </c>
      <c r="K1620" s="424">
        <f>SUM(D1620:J1620)</f>
        <v>0</v>
      </c>
    </row>
    <row r="1621" spans="2:20" x14ac:dyDescent="0.25">
      <c r="B1621" s="442"/>
      <c r="C1621" s="431"/>
      <c r="D1621" s="421">
        <f>D1617*C1621</f>
        <v>0</v>
      </c>
      <c r="E1621" s="421">
        <f>E1617*C1621</f>
        <v>0</v>
      </c>
      <c r="F1621" s="421">
        <f>F1617*C1621</f>
        <v>0</v>
      </c>
      <c r="G1621" s="421">
        <f>G1617*C1621</f>
        <v>0</v>
      </c>
      <c r="H1621" s="421">
        <f>H1617*C1621</f>
        <v>0</v>
      </c>
      <c r="I1621" s="421">
        <f>I1617*C1621</f>
        <v>0</v>
      </c>
      <c r="J1621" s="421">
        <f>J1617*C1621</f>
        <v>0</v>
      </c>
      <c r="K1621" s="424">
        <f>SUM(D1621:J1621)</f>
        <v>0</v>
      </c>
    </row>
    <row r="1622" spans="2:20" ht="15" customHeight="1" thickBot="1" x14ac:dyDescent="0.3"/>
    <row r="1623" spans="2:20" ht="15.75" thickBot="1" x14ac:dyDescent="0.3">
      <c r="B1623" s="433">
        <v>6480033</v>
      </c>
      <c r="C1623" s="411"/>
      <c r="D1623" s="407" t="s">
        <v>548</v>
      </c>
      <c r="E1623" s="408" t="s">
        <v>549</v>
      </c>
      <c r="F1623" s="408" t="s">
        <v>550</v>
      </c>
      <c r="G1623" s="408" t="s">
        <v>551</v>
      </c>
      <c r="H1623" s="408" t="s">
        <v>552</v>
      </c>
      <c r="I1623" s="408" t="s">
        <v>553</v>
      </c>
      <c r="J1623" s="408" t="s">
        <v>554</v>
      </c>
      <c r="K1623" s="408" t="s">
        <v>555</v>
      </c>
      <c r="M1623" s="426" t="s">
        <v>774</v>
      </c>
    </row>
    <row r="1624" spans="2:20" ht="15.75" thickBot="1" x14ac:dyDescent="0.3">
      <c r="B1624" s="429" t="s">
        <v>556</v>
      </c>
      <c r="C1624" s="415" t="s">
        <v>620</v>
      </c>
      <c r="D1624" s="416">
        <f>IF(ISERROR(VLOOKUP(B1623,'MD Usage'!$A$1:$W$5000,3,FALSE)),0,VLOOKUP(B1623,'MD Usage'!$A$1:$W$5000,3,FALSE))</f>
        <v>0</v>
      </c>
      <c r="E1624" s="416">
        <f>IF(ISERROR(VLOOKUP(B1623,'MD Usage'!$A$1:$W$5000,5,FALSE)),0,VLOOKUP(B1623,'MD Usage'!$A$1:$W$5000,5,FALSE))</f>
        <v>0</v>
      </c>
      <c r="F1624" s="416">
        <f>IF(ISERROR(VLOOKUP(B1623,'MD Usage'!$A$1:$W$5000,7,FALSE)),0,VLOOKUP(B1623,'MD Usage'!$A$1:$W$5000,7,FALSE))</f>
        <v>0</v>
      </c>
      <c r="G1624" s="416">
        <f>IF(ISERROR(VLOOKUP(B1623,'MD Usage'!$A$1:$W$5000,9,FALSE)),0,VLOOKUP(B1623,'MD Usage'!$A$1:$W$5000,9,FALSE))</f>
        <v>0</v>
      </c>
      <c r="H1624" s="416">
        <f>IF(ISERROR(VLOOKUP(B1623,'MD Usage'!$A$1:$W$5000,11,FALSE)),0,VLOOKUP(B1623,'MD Usage'!$A$1:$W$5000,11,FALSE))</f>
        <v>0</v>
      </c>
      <c r="I1624" s="416">
        <f>IF(ISERROR(VLOOKUP(B1623,'MD Usage'!A1:R2000,13,FALSE)),0,VLOOKUP(B1623,'MD Usage'!A1:R2000,13,FALSE))</f>
        <v>0</v>
      </c>
      <c r="J1624" s="416">
        <f>IF(ISERROR(VLOOKUP(B1623,'MD Usage'!A1:R2000,15,FALSE)),0,VLOOKUP(B1623,'MD Usage'!A1:R2000,15,FALSE))</f>
        <v>0</v>
      </c>
      <c r="K1624" s="418">
        <f t="shared" ref="K1624:K1629" si="75">SUM(D1624:J1624)</f>
        <v>0</v>
      </c>
    </row>
    <row r="1625" spans="2:20" x14ac:dyDescent="0.25">
      <c r="B1625" s="419" t="s">
        <v>595</v>
      </c>
      <c r="C1625" s="420">
        <v>5</v>
      </c>
      <c r="D1625" s="421">
        <f>D1624*C1625</f>
        <v>0</v>
      </c>
      <c r="E1625" s="421">
        <f>E1624*C1625</f>
        <v>0</v>
      </c>
      <c r="F1625" s="421">
        <f>F1624*C1625</f>
        <v>0</v>
      </c>
      <c r="G1625" s="421">
        <f>G1624*C1625</f>
        <v>0</v>
      </c>
      <c r="H1625" s="421">
        <f>H1624*C1625</f>
        <v>0</v>
      </c>
      <c r="I1625" s="421">
        <f>I1624*C1625</f>
        <v>0</v>
      </c>
      <c r="J1625" s="421">
        <f>J1624*C1625</f>
        <v>0</v>
      </c>
      <c r="K1625" s="422">
        <f t="shared" si="75"/>
        <v>0</v>
      </c>
      <c r="Q1625" t="s">
        <v>166</v>
      </c>
    </row>
    <row r="1626" spans="2:20" x14ac:dyDescent="0.25">
      <c r="B1626" s="389"/>
      <c r="C1626" s="423"/>
      <c r="D1626" s="421">
        <f>D1624*C1626</f>
        <v>0</v>
      </c>
      <c r="E1626" s="421">
        <f>E1624*C1626</f>
        <v>0</v>
      </c>
      <c r="F1626" s="421">
        <f>F1624*C1626</f>
        <v>0</v>
      </c>
      <c r="G1626" s="421">
        <f>G1624*C1626</f>
        <v>0</v>
      </c>
      <c r="H1626" s="421">
        <f>H1624*C1626</f>
        <v>0</v>
      </c>
      <c r="I1626" s="421">
        <f>I1624*C1626</f>
        <v>0</v>
      </c>
      <c r="J1626" s="421">
        <f>J1624*C1626</f>
        <v>0</v>
      </c>
      <c r="K1626" s="424">
        <f t="shared" si="75"/>
        <v>0</v>
      </c>
    </row>
    <row r="1627" spans="2:20" x14ac:dyDescent="0.25">
      <c r="B1627" s="389"/>
      <c r="C1627" s="423"/>
      <c r="D1627" s="421">
        <f>D1624*C1627</f>
        <v>0</v>
      </c>
      <c r="E1627" s="421">
        <f>E1624*C1627</f>
        <v>0</v>
      </c>
      <c r="F1627" s="421">
        <f>F1624*C1627</f>
        <v>0</v>
      </c>
      <c r="G1627" s="421">
        <f>G1624*C1627</f>
        <v>0</v>
      </c>
      <c r="H1627" s="421">
        <f>H1624*C1627</f>
        <v>0</v>
      </c>
      <c r="I1627" s="421">
        <f>I1624*C1627</f>
        <v>0</v>
      </c>
      <c r="J1627" s="421">
        <f>J1624*C1627</f>
        <v>0</v>
      </c>
      <c r="K1627" s="424">
        <f t="shared" si="75"/>
        <v>0</v>
      </c>
    </row>
    <row r="1628" spans="2:20" x14ac:dyDescent="0.25">
      <c r="B1628" s="389"/>
      <c r="C1628" s="423"/>
      <c r="D1628" s="421">
        <f>D1624*C1628</f>
        <v>0</v>
      </c>
      <c r="E1628" s="421">
        <f>E1624*C1628</f>
        <v>0</v>
      </c>
      <c r="F1628" s="421">
        <f>F1624*C1628</f>
        <v>0</v>
      </c>
      <c r="G1628" s="421">
        <f>G1624*C1628</f>
        <v>0</v>
      </c>
      <c r="H1628" s="421">
        <f>H1624*C1628</f>
        <v>0</v>
      </c>
      <c r="I1628" s="421">
        <f>I1624*C1628</f>
        <v>0</v>
      </c>
      <c r="J1628" s="421">
        <f>J1624*C1628</f>
        <v>0</v>
      </c>
      <c r="K1628" s="424">
        <f t="shared" si="75"/>
        <v>0</v>
      </c>
    </row>
    <row r="1629" spans="2:20" ht="15" customHeight="1" x14ac:dyDescent="0.25">
      <c r="B1629" s="389"/>
      <c r="C1629" s="423"/>
      <c r="D1629" s="421">
        <f>D1625*C1629</f>
        <v>0</v>
      </c>
      <c r="E1629" s="421">
        <f>E1625*C1629</f>
        <v>0</v>
      </c>
      <c r="F1629" s="421">
        <f>F1625*C1629</f>
        <v>0</v>
      </c>
      <c r="G1629" s="421">
        <f>G1625*C1629</f>
        <v>0</v>
      </c>
      <c r="H1629" s="421">
        <f>H1625*C1629</f>
        <v>0</v>
      </c>
      <c r="I1629" s="421">
        <f>I1625*C1629</f>
        <v>0</v>
      </c>
      <c r="J1629" s="421">
        <f>J1625*C1629</f>
        <v>0</v>
      </c>
      <c r="K1629" s="424">
        <f t="shared" si="75"/>
        <v>0</v>
      </c>
    </row>
    <row r="1630" spans="2:20" ht="15" customHeight="1" thickBot="1" x14ac:dyDescent="0.3">
      <c r="B1630" s="383"/>
      <c r="C1630" s="443"/>
      <c r="M1630" s="421"/>
      <c r="N1630" s="421">
        <f>N1626*L1630</f>
        <v>0</v>
      </c>
      <c r="O1630" s="421">
        <f>O1626*L1630</f>
        <v>0</v>
      </c>
      <c r="P1630" s="421">
        <f>P1626*L1630</f>
        <v>0</v>
      </c>
      <c r="Q1630" s="421">
        <f>Q1626*L1630</f>
        <v>0</v>
      </c>
      <c r="R1630" s="421">
        <f>R1626*L1630</f>
        <v>0</v>
      </c>
      <c r="S1630" s="421">
        <f>S1626*L1630</f>
        <v>0</v>
      </c>
      <c r="T1630" s="424">
        <f>SUM(M1630:S1630)</f>
        <v>0</v>
      </c>
    </row>
    <row r="1631" spans="2:20" ht="15.75" thickBot="1" x14ac:dyDescent="0.3">
      <c r="B1631" s="438">
        <v>6480504</v>
      </c>
      <c r="C1631" s="411"/>
      <c r="D1631" s="407" t="s">
        <v>548</v>
      </c>
      <c r="E1631" s="408" t="s">
        <v>549</v>
      </c>
      <c r="F1631" s="408" t="s">
        <v>550</v>
      </c>
      <c r="G1631" s="408" t="s">
        <v>551</v>
      </c>
      <c r="H1631" s="408" t="s">
        <v>552</v>
      </c>
      <c r="I1631" s="408" t="s">
        <v>553</v>
      </c>
      <c r="J1631" s="408" t="s">
        <v>554</v>
      </c>
      <c r="K1631" s="408" t="s">
        <v>555</v>
      </c>
      <c r="M1631" s="426" t="s">
        <v>775</v>
      </c>
    </row>
    <row r="1632" spans="2:20" ht="15.75" thickBot="1" x14ac:dyDescent="0.3">
      <c r="B1632" s="414" t="s">
        <v>556</v>
      </c>
      <c r="C1632" s="415" t="s">
        <v>620</v>
      </c>
      <c r="D1632" s="416">
        <f>IF(ISERROR(VLOOKUP(B1631,'MD Usage'!$A$1:$W$5000,3,FALSE)),0,VLOOKUP(B1631,'MD Usage'!$A$1:$W$5000,3,FALSE))</f>
        <v>0</v>
      </c>
      <c r="E1632" s="416">
        <f>IF(ISERROR(VLOOKUP(B1631,'MD Usage'!$A$1:$W$5000,5,FALSE)),0,VLOOKUP(B1631,'MD Usage'!$A$1:$W$5000,5,FALSE))</f>
        <v>0</v>
      </c>
      <c r="F1632" s="416">
        <f>IF(ISERROR(VLOOKUP(B1631,'MD Usage'!$A$1:$W$5000,7,FALSE)),0,VLOOKUP(B1631,'MD Usage'!$A$1:$W$5000,7,FALSE))</f>
        <v>0</v>
      </c>
      <c r="G1632" s="416">
        <f>IF(ISERROR(VLOOKUP(B1631,'MD Usage'!$A$1:$W$5000,9,FALSE)),0,VLOOKUP(B1631,'MD Usage'!$A$1:$W$5000,9,FALSE))</f>
        <v>0</v>
      </c>
      <c r="H1632" s="416">
        <f>IF(ISERROR(VLOOKUP(B1631,'MD Usage'!$A$1:$W$5000,11,FALSE)),0,VLOOKUP(B1631,'MD Usage'!$A$1:$W$5000,11,FALSE))</f>
        <v>0</v>
      </c>
      <c r="I1632" s="416">
        <f>IF(ISERROR(VLOOKUP(B1631,'MD Usage'!A1:R2000,13,FALSE)),0,VLOOKUP(B1631,'MD Usage'!A1:R2000,13,FALSE))</f>
        <v>0</v>
      </c>
      <c r="J1632" s="416">
        <f>IF(ISERROR(VLOOKUP(B1631,'MD Usage'!A1:R2000,15,FALSE)),0,VLOOKUP(B1631,'MD Usage'!A1:R2000,15,FALSE))</f>
        <v>0</v>
      </c>
      <c r="K1632" s="418">
        <f t="shared" ref="K1632:K1637" si="76">SUM(D1632:J1632)</f>
        <v>0</v>
      </c>
    </row>
    <row r="1633" spans="2:13" x14ac:dyDescent="0.25">
      <c r="B1633" s="387" t="s">
        <v>579</v>
      </c>
      <c r="C1633" s="420">
        <v>2</v>
      </c>
      <c r="D1633" s="421">
        <f>D1632*C1633</f>
        <v>0</v>
      </c>
      <c r="E1633" s="421">
        <f>E1632*C1633</f>
        <v>0</v>
      </c>
      <c r="F1633" s="421">
        <f>F1632*C1633</f>
        <v>0</v>
      </c>
      <c r="G1633" s="421">
        <f>G1632*C1633</f>
        <v>0</v>
      </c>
      <c r="H1633" s="421">
        <f>H1632*C1633</f>
        <v>0</v>
      </c>
      <c r="I1633" s="421">
        <f>I1632*C1633</f>
        <v>0</v>
      </c>
      <c r="J1633" s="421">
        <f>J1632*C1633</f>
        <v>0</v>
      </c>
      <c r="K1633" s="422">
        <f t="shared" si="76"/>
        <v>0</v>
      </c>
    </row>
    <row r="1634" spans="2:13" x14ac:dyDescent="0.25">
      <c r="B1634" s="389"/>
      <c r="C1634" s="423"/>
      <c r="D1634" s="421">
        <f>D1632*C1634</f>
        <v>0</v>
      </c>
      <c r="E1634" s="421">
        <f>E1632*C1634</f>
        <v>0</v>
      </c>
      <c r="F1634" s="421">
        <f>F1632*C1634</f>
        <v>0</v>
      </c>
      <c r="G1634" s="421">
        <f>G1632*C1634</f>
        <v>0</v>
      </c>
      <c r="H1634" s="421">
        <f>H1632*C1634</f>
        <v>0</v>
      </c>
      <c r="I1634" s="421">
        <f>I1632*C1634</f>
        <v>0</v>
      </c>
      <c r="J1634" s="421">
        <f>J1632*C1634</f>
        <v>0</v>
      </c>
      <c r="K1634" s="424">
        <f t="shared" si="76"/>
        <v>0</v>
      </c>
    </row>
    <row r="1635" spans="2:13" x14ac:dyDescent="0.25">
      <c r="B1635" s="387"/>
      <c r="C1635" s="423"/>
      <c r="D1635" s="421">
        <f>D1632*C1635</f>
        <v>0</v>
      </c>
      <c r="E1635" s="421">
        <f>E1632*C1635</f>
        <v>0</v>
      </c>
      <c r="F1635" s="421">
        <f>F1632*C1635</f>
        <v>0</v>
      </c>
      <c r="G1635" s="421">
        <f>G1632*C1635</f>
        <v>0</v>
      </c>
      <c r="H1635" s="421">
        <f>H1632*C1635</f>
        <v>0</v>
      </c>
      <c r="I1635" s="421">
        <f>I1632*C1635</f>
        <v>0</v>
      </c>
      <c r="J1635" s="421">
        <f>J1632*C1635</f>
        <v>0</v>
      </c>
      <c r="K1635" s="424">
        <f t="shared" si="76"/>
        <v>0</v>
      </c>
    </row>
    <row r="1636" spans="2:13" x14ac:dyDescent="0.25">
      <c r="B1636" s="387"/>
      <c r="C1636" s="423"/>
      <c r="D1636" s="421">
        <f>D1632*C1636</f>
        <v>0</v>
      </c>
      <c r="E1636" s="421">
        <f>E1632*C1636</f>
        <v>0</v>
      </c>
      <c r="F1636" s="421">
        <f>F1632*C1636</f>
        <v>0</v>
      </c>
      <c r="G1636" s="421">
        <f>G1632*C1636</f>
        <v>0</v>
      </c>
      <c r="H1636" s="421">
        <f>H1632*C1636</f>
        <v>0</v>
      </c>
      <c r="I1636" s="421">
        <f>I1632*C1636</f>
        <v>0</v>
      </c>
      <c r="J1636" s="421">
        <f>J1632*C1636</f>
        <v>0</v>
      </c>
      <c r="K1636" s="424">
        <f t="shared" si="76"/>
        <v>0</v>
      </c>
    </row>
    <row r="1637" spans="2:13" ht="15" customHeight="1" x14ac:dyDescent="0.25">
      <c r="B1637" s="389"/>
      <c r="C1637" s="423"/>
      <c r="D1637" s="421">
        <f>D1632*C1637</f>
        <v>0</v>
      </c>
      <c r="E1637" s="421">
        <f>E1632*C1637</f>
        <v>0</v>
      </c>
      <c r="F1637" s="421">
        <f>F1632*C1637</f>
        <v>0</v>
      </c>
      <c r="G1637" s="421">
        <f>G1632*C1637</f>
        <v>0</v>
      </c>
      <c r="H1637" s="421">
        <f>H1632*C1637</f>
        <v>0</v>
      </c>
      <c r="I1637" s="421">
        <f>I1632*C1637</f>
        <v>0</v>
      </c>
      <c r="J1637" s="421">
        <f>J1632*C1637</f>
        <v>0</v>
      </c>
      <c r="K1637" s="424">
        <f t="shared" si="76"/>
        <v>0</v>
      </c>
    </row>
    <row r="1638" spans="2:13" ht="15" customHeight="1" thickBot="1" x14ac:dyDescent="0.3"/>
    <row r="1639" spans="2:13" ht="15.75" thickBot="1" x14ac:dyDescent="0.3">
      <c r="B1639" s="438">
        <v>6480500</v>
      </c>
      <c r="C1639" s="411"/>
      <c r="D1639" s="407" t="s">
        <v>548</v>
      </c>
      <c r="E1639" s="408" t="s">
        <v>549</v>
      </c>
      <c r="F1639" s="408" t="s">
        <v>550</v>
      </c>
      <c r="G1639" s="408" t="s">
        <v>551</v>
      </c>
      <c r="H1639" s="408" t="s">
        <v>552</v>
      </c>
      <c r="I1639" s="408" t="s">
        <v>553</v>
      </c>
      <c r="J1639" s="408" t="s">
        <v>554</v>
      </c>
      <c r="K1639" s="408" t="s">
        <v>555</v>
      </c>
      <c r="M1639" s="426" t="s">
        <v>776</v>
      </c>
    </row>
    <row r="1640" spans="2:13" ht="15.75" thickBot="1" x14ac:dyDescent="0.3">
      <c r="B1640" s="414" t="s">
        <v>556</v>
      </c>
      <c r="C1640" s="415" t="s">
        <v>620</v>
      </c>
      <c r="D1640" s="416">
        <f>IF(ISERROR(VLOOKUP(B1639,'MD Usage'!$A$1:$W$5000,3,FALSE)),0,VLOOKUP(B1639,'MD Usage'!$A$1:$W$5000,3,FALSE))</f>
        <v>0</v>
      </c>
      <c r="E1640" s="416">
        <f>IF(ISERROR(VLOOKUP(B1639,'MD Usage'!$A$1:$W$5000,5,FALSE)),0,VLOOKUP(B1639,'MD Usage'!$A$1:$W$5000,5,FALSE))</f>
        <v>0</v>
      </c>
      <c r="F1640" s="416">
        <f>IF(ISERROR(VLOOKUP(B1639,'MD Usage'!$A$1:$W$5000,7,FALSE)),0,VLOOKUP(B1639,'MD Usage'!$A$1:$W$5000,7,FALSE))</f>
        <v>0</v>
      </c>
      <c r="G1640" s="416">
        <f>IF(ISERROR(VLOOKUP(B1639,'MD Usage'!$A$1:$W$5000,9,FALSE)),0,VLOOKUP(B1639,'MD Usage'!$A$1:$W$5000,9,FALSE))</f>
        <v>0</v>
      </c>
      <c r="H1640" s="416">
        <f>IF(ISERROR(VLOOKUP(B1639,'MD Usage'!$A$1:$W$5000,11,FALSE)),0,VLOOKUP(B1639,'MD Usage'!$A$1:$W$5000,11,FALSE))</f>
        <v>0</v>
      </c>
      <c r="I1640" s="416">
        <f>IF(ISERROR(VLOOKUP(B1639,'MD Usage'!A1:R2000,13,FALSE)),0,VLOOKUP(B1639,'MD Usage'!A1:R2000,13,FALSE))</f>
        <v>0</v>
      </c>
      <c r="J1640" s="416">
        <f>IF(ISERROR(VLOOKUP(B1639,'MD Usage'!A1:R2000,15,FALSE)),0,VLOOKUP(B1639,'MD Usage'!A1:R2000,15,FALSE))</f>
        <v>0</v>
      </c>
      <c r="K1640" s="418">
        <f t="shared" ref="K1640:K1645" si="77">SUM(D1640:J1640)</f>
        <v>0</v>
      </c>
    </row>
    <row r="1641" spans="2:13" x14ac:dyDescent="0.25">
      <c r="B1641" s="387" t="s">
        <v>64</v>
      </c>
      <c r="C1641" s="420">
        <v>1.5</v>
      </c>
      <c r="D1641" s="421">
        <f>D1640*C1641</f>
        <v>0</v>
      </c>
      <c r="E1641" s="421">
        <f>E1640*C1641</f>
        <v>0</v>
      </c>
      <c r="F1641" s="421">
        <f>F1640*C1641</f>
        <v>0</v>
      </c>
      <c r="G1641" s="421">
        <f>G1640*C1641</f>
        <v>0</v>
      </c>
      <c r="H1641" s="421">
        <f>H1640*C1641</f>
        <v>0</v>
      </c>
      <c r="I1641" s="421">
        <f>I1640*C1641</f>
        <v>0</v>
      </c>
      <c r="J1641" s="421">
        <f>J1640*C1641</f>
        <v>0</v>
      </c>
      <c r="K1641" s="422">
        <f t="shared" si="77"/>
        <v>0</v>
      </c>
    </row>
    <row r="1642" spans="2:13" x14ac:dyDescent="0.25">
      <c r="B1642" s="389" t="s">
        <v>578</v>
      </c>
      <c r="C1642" s="423">
        <v>0.5</v>
      </c>
      <c r="D1642" s="421">
        <f>D1640*C1642</f>
        <v>0</v>
      </c>
      <c r="E1642" s="421">
        <f>E1640*C1642</f>
        <v>0</v>
      </c>
      <c r="F1642" s="421">
        <f>F1640*C1642</f>
        <v>0</v>
      </c>
      <c r="G1642" s="421">
        <f>G1640*C1642</f>
        <v>0</v>
      </c>
      <c r="H1642" s="421">
        <f>H1640*C1642</f>
        <v>0</v>
      </c>
      <c r="I1642" s="421">
        <f>I1640*C1642</f>
        <v>0</v>
      </c>
      <c r="J1642" s="421">
        <f>J1640*C1642</f>
        <v>0</v>
      </c>
      <c r="K1642" s="424">
        <f t="shared" si="77"/>
        <v>0</v>
      </c>
    </row>
    <row r="1643" spans="2:13" x14ac:dyDescent="0.25">
      <c r="B1643" s="387"/>
      <c r="C1643" s="423"/>
      <c r="D1643" s="421">
        <f>D1640*C1643</f>
        <v>0</v>
      </c>
      <c r="E1643" s="421">
        <f>E1640*C1643</f>
        <v>0</v>
      </c>
      <c r="F1643" s="421">
        <f>F1640*C1643</f>
        <v>0</v>
      </c>
      <c r="G1643" s="421">
        <f>G1640*C1643</f>
        <v>0</v>
      </c>
      <c r="H1643" s="421">
        <f>H1640*C1643</f>
        <v>0</v>
      </c>
      <c r="I1643" s="421">
        <f>I1640*C1643</f>
        <v>0</v>
      </c>
      <c r="J1643" s="421">
        <f>J1640*C1643</f>
        <v>0</v>
      </c>
      <c r="K1643" s="424">
        <f t="shared" si="77"/>
        <v>0</v>
      </c>
    </row>
    <row r="1644" spans="2:13" x14ac:dyDescent="0.25">
      <c r="B1644" s="387"/>
      <c r="C1644" s="423"/>
      <c r="D1644" s="421">
        <f>D1640*C1644</f>
        <v>0</v>
      </c>
      <c r="E1644" s="421">
        <f>E1640*C1644</f>
        <v>0</v>
      </c>
      <c r="F1644" s="421">
        <f>F1640*C1644</f>
        <v>0</v>
      </c>
      <c r="G1644" s="421">
        <f>G1640*C1644</f>
        <v>0</v>
      </c>
      <c r="H1644" s="421">
        <f>H1640*C1644</f>
        <v>0</v>
      </c>
      <c r="I1644" s="421">
        <f>I1640*C1644</f>
        <v>0</v>
      </c>
      <c r="J1644" s="421">
        <f>J1640*C1644</f>
        <v>0</v>
      </c>
      <c r="K1644" s="424">
        <f t="shared" si="77"/>
        <v>0</v>
      </c>
    </row>
    <row r="1645" spans="2:13" ht="15" customHeight="1" x14ac:dyDescent="0.25">
      <c r="B1645" s="389"/>
      <c r="C1645" s="423"/>
      <c r="D1645" s="421">
        <f>D1640*C1645</f>
        <v>0</v>
      </c>
      <c r="E1645" s="421">
        <f>E1640*C1645</f>
        <v>0</v>
      </c>
      <c r="F1645" s="421">
        <f>F1640*C1645</f>
        <v>0</v>
      </c>
      <c r="G1645" s="421">
        <f>G1640*C1645</f>
        <v>0</v>
      </c>
      <c r="H1645" s="421">
        <f>H1640*C1645</f>
        <v>0</v>
      </c>
      <c r="I1645" s="421">
        <f>I1640*C1645</f>
        <v>0</v>
      </c>
      <c r="J1645" s="421">
        <f>J1640*C1645</f>
        <v>0</v>
      </c>
      <c r="K1645" s="424">
        <f t="shared" si="77"/>
        <v>0</v>
      </c>
    </row>
    <row r="1646" spans="2:13" ht="15.75" thickBot="1" x14ac:dyDescent="0.3"/>
    <row r="1647" spans="2:13" ht="15.75" thickBot="1" x14ac:dyDescent="0.3">
      <c r="B1647" s="433">
        <v>6480504</v>
      </c>
      <c r="C1647" s="411"/>
      <c r="D1647" s="407" t="s">
        <v>548</v>
      </c>
      <c r="E1647" s="408" t="s">
        <v>549</v>
      </c>
      <c r="F1647" s="408" t="s">
        <v>550</v>
      </c>
      <c r="G1647" s="408" t="s">
        <v>551</v>
      </c>
      <c r="H1647" s="408" t="s">
        <v>552</v>
      </c>
      <c r="I1647" s="408" t="s">
        <v>553</v>
      </c>
      <c r="J1647" s="408" t="s">
        <v>554</v>
      </c>
      <c r="K1647" s="408" t="s">
        <v>555</v>
      </c>
      <c r="M1647" s="426" t="s">
        <v>777</v>
      </c>
    </row>
    <row r="1648" spans="2:13" ht="15.75" thickBot="1" x14ac:dyDescent="0.3">
      <c r="B1648" s="414" t="s">
        <v>556</v>
      </c>
      <c r="C1648" s="415" t="s">
        <v>620</v>
      </c>
      <c r="D1648" s="416">
        <f>IF(ISERROR(VLOOKUP(B1647,'MD Usage'!$A$1:$W$5000,3,FALSE)),0,VLOOKUP(B1647,'MD Usage'!$A$1:$W$5000,3,FALSE))</f>
        <v>0</v>
      </c>
      <c r="E1648" s="416">
        <f>IF(ISERROR(VLOOKUP(B1647,'MD Usage'!$A$1:$W$5000,5,FALSE)),0,VLOOKUP(B1647,'MD Usage'!$A$1:$W$5000,5,FALSE))</f>
        <v>0</v>
      </c>
      <c r="F1648" s="416">
        <f>IF(ISERROR(VLOOKUP(B1647,'MD Usage'!$A$1:$W$5000,7,FALSE)),0,VLOOKUP(B1647,'MD Usage'!$A$1:$W$5000,7,FALSE))</f>
        <v>0</v>
      </c>
      <c r="G1648" s="416">
        <f>IF(ISERROR(VLOOKUP(B1647,'MD Usage'!$A$1:$W$5000,9,FALSE)),0,VLOOKUP(B1647,'MD Usage'!$A$1:$W$5000,9,FALSE))</f>
        <v>0</v>
      </c>
      <c r="H1648" s="416">
        <f>IF(ISERROR(VLOOKUP(B1647,'MD Usage'!$A$1:$W$5000,11,FALSE)),0,VLOOKUP(B1647,'MD Usage'!$A$1:$W$5000,11,FALSE))</f>
        <v>0</v>
      </c>
      <c r="I1648" s="416">
        <f>IF(ISERROR(VLOOKUP(B1647,'MD Usage'!A1:R2000,13,FALSE)),0,VLOOKUP(B1647,'MD Usage'!A1:R2000,13,FALSE))</f>
        <v>0</v>
      </c>
      <c r="J1648" s="416">
        <f>IF(ISERROR(VLOOKUP(B1647,'MD Usage'!A1:R2000,15,FALSE)),0,VLOOKUP(B1647,'MD Usage'!A1:R2000,15,FALSE))</f>
        <v>0</v>
      </c>
      <c r="K1648" s="418">
        <f>SUM(D1648:J1648)</f>
        <v>0</v>
      </c>
    </row>
    <row r="1649" spans="2:13" x14ac:dyDescent="0.25">
      <c r="B1649" s="387" t="s">
        <v>578</v>
      </c>
      <c r="C1649" s="420">
        <v>2</v>
      </c>
      <c r="D1649" s="421">
        <f>D1648*C1649</f>
        <v>0</v>
      </c>
      <c r="E1649" s="421">
        <f>E1648*C1649</f>
        <v>0</v>
      </c>
      <c r="F1649" s="421">
        <f>F1648*C1649</f>
        <v>0</v>
      </c>
      <c r="G1649" s="421">
        <f>G1648*C1649</f>
        <v>0</v>
      </c>
      <c r="H1649" s="421">
        <f>H1648*C1649</f>
        <v>0</v>
      </c>
      <c r="I1649" s="421">
        <f>I1648*C1649</f>
        <v>0</v>
      </c>
      <c r="J1649" s="421">
        <f>J1648*C1649</f>
        <v>0</v>
      </c>
      <c r="K1649" s="422">
        <f>SUM(D1649:J1649)</f>
        <v>0</v>
      </c>
    </row>
    <row r="1650" spans="2:13" x14ac:dyDescent="0.25">
      <c r="B1650" s="389"/>
      <c r="C1650" s="423"/>
      <c r="D1650" s="421">
        <f>D1648*C1650</f>
        <v>0</v>
      </c>
      <c r="E1650" s="421">
        <f>E1648*C1650</f>
        <v>0</v>
      </c>
      <c r="F1650" s="421">
        <f>F1648*C1650</f>
        <v>0</v>
      </c>
      <c r="G1650" s="421">
        <f>G1648*C1650</f>
        <v>0</v>
      </c>
      <c r="H1650" s="421">
        <f>H1648*C1650</f>
        <v>0</v>
      </c>
      <c r="I1650" s="421">
        <f>I1648*C1650</f>
        <v>0</v>
      </c>
      <c r="J1650" s="421">
        <f>J1648*C1650</f>
        <v>0</v>
      </c>
      <c r="K1650" s="424">
        <f>SUM(D1650:J1650)</f>
        <v>0</v>
      </c>
    </row>
    <row r="1651" spans="2:13" x14ac:dyDescent="0.25">
      <c r="B1651" s="387"/>
      <c r="C1651" s="423"/>
      <c r="D1651" s="421">
        <f>D1648*C1651</f>
        <v>0</v>
      </c>
      <c r="E1651" s="421">
        <f>E1648*C1651</f>
        <v>0</v>
      </c>
      <c r="F1651" s="421">
        <f>F1648*C1651</f>
        <v>0</v>
      </c>
      <c r="G1651" s="421">
        <f>G1648*C1651</f>
        <v>0</v>
      </c>
      <c r="H1651" s="421">
        <f>H1648*C1651</f>
        <v>0</v>
      </c>
      <c r="I1651" s="421">
        <f>I1648*C1651</f>
        <v>0</v>
      </c>
      <c r="J1651" s="421">
        <f>J1648*C1651</f>
        <v>0</v>
      </c>
      <c r="K1651" s="424">
        <f>SUM(D1651:J1651)</f>
        <v>0</v>
      </c>
    </row>
    <row r="1652" spans="2:13" ht="15" customHeight="1" x14ac:dyDescent="0.25">
      <c r="B1652" s="389"/>
      <c r="C1652" s="423"/>
      <c r="D1652" s="421">
        <f>D1648*C1652</f>
        <v>0</v>
      </c>
      <c r="E1652" s="421">
        <f>E1648*C1652</f>
        <v>0</v>
      </c>
      <c r="F1652" s="421">
        <f>F1648*C1652</f>
        <v>0</v>
      </c>
      <c r="G1652" s="421">
        <f>G1648*C1652</f>
        <v>0</v>
      </c>
      <c r="H1652" s="421">
        <f>H1648*C1652</f>
        <v>0</v>
      </c>
      <c r="I1652" s="421">
        <f>I1648*C1652</f>
        <v>0</v>
      </c>
      <c r="J1652" s="421">
        <f>J1648*C1652</f>
        <v>0</v>
      </c>
      <c r="K1652" s="424">
        <f>SUM(D1652:J1652)</f>
        <v>0</v>
      </c>
    </row>
    <row r="1653" spans="2:13" ht="15.75" thickBot="1" x14ac:dyDescent="0.3"/>
    <row r="1654" spans="2:13" ht="15.75" thickBot="1" x14ac:dyDescent="0.3">
      <c r="B1654" s="433">
        <v>6480509</v>
      </c>
      <c r="C1654" s="411"/>
      <c r="D1654" s="407" t="s">
        <v>548</v>
      </c>
      <c r="E1654" s="408" t="s">
        <v>549</v>
      </c>
      <c r="F1654" s="408" t="s">
        <v>550</v>
      </c>
      <c r="G1654" s="408" t="s">
        <v>551</v>
      </c>
      <c r="H1654" s="408" t="s">
        <v>552</v>
      </c>
      <c r="I1654" s="408" t="s">
        <v>553</v>
      </c>
      <c r="J1654" s="408" t="s">
        <v>554</v>
      </c>
      <c r="K1654" s="408" t="s">
        <v>555</v>
      </c>
      <c r="M1654" s="438" t="s">
        <v>778</v>
      </c>
    </row>
    <row r="1655" spans="2:13" ht="15.75" thickBot="1" x14ac:dyDescent="0.3">
      <c r="B1655" s="414" t="s">
        <v>556</v>
      </c>
      <c r="C1655" s="415" t="s">
        <v>620</v>
      </c>
      <c r="D1655" s="416">
        <f>IF(ISERROR(VLOOKUP(B1654,'MD Usage'!$A$1:$W$5000,3,FALSE)),0,VLOOKUP(B1654,'MD Usage'!$A$1:$W$5000,3,FALSE))</f>
        <v>0</v>
      </c>
      <c r="E1655" s="416">
        <f>IF(ISERROR(VLOOKUP(B1654,'MD Usage'!$A$1:$W$5000,5,FALSE)),0,VLOOKUP(B1654,'MD Usage'!$A$1:$W$5000,5,FALSE))</f>
        <v>0</v>
      </c>
      <c r="F1655" s="416">
        <f>IF(ISERROR(VLOOKUP(B1654,'MD Usage'!$A$1:$W$5000,7,FALSE)),0,VLOOKUP(B1654,'MD Usage'!$A$1:$W$5000,7,FALSE))</f>
        <v>0</v>
      </c>
      <c r="G1655" s="416">
        <f>IF(ISERROR(VLOOKUP(B1654,'MD Usage'!$A$1:$W$5000,9,FALSE)),0,VLOOKUP(B1654,'MD Usage'!$A$1:$W$5000,9,FALSE))</f>
        <v>0</v>
      </c>
      <c r="H1655" s="416">
        <f>IF(ISERROR(VLOOKUP(B1654,'MD Usage'!$A$1:$W$5000,11,FALSE)),0,VLOOKUP(B1654,'MD Usage'!$A$1:$W$5000,11,FALSE))</f>
        <v>0</v>
      </c>
      <c r="I1655" s="416">
        <f>IF(ISERROR(VLOOKUP(B1654,'MD Usage'!A1:R2000,13,FALSE)),0,VLOOKUP(B1654,'MD Usage'!A1:R2000,13,FALSE))</f>
        <v>0</v>
      </c>
      <c r="J1655" s="416">
        <f>IF(ISERROR(VLOOKUP(B1654,'MD Usage'!A1:R2000,15,FALSE)),0,VLOOKUP(B1654,'MD Usage'!A1:R2000,15,FALSE))</f>
        <v>0</v>
      </c>
      <c r="K1655" s="418">
        <f>SUM(D1655:J1655)</f>
        <v>0</v>
      </c>
    </row>
    <row r="1656" spans="2:13" x14ac:dyDescent="0.25">
      <c r="B1656" s="387" t="s">
        <v>578</v>
      </c>
      <c r="C1656" s="420">
        <v>2</v>
      </c>
      <c r="D1656" s="421">
        <f>D1655*C1656</f>
        <v>0</v>
      </c>
      <c r="E1656" s="421">
        <f>E1655*C1656</f>
        <v>0</v>
      </c>
      <c r="F1656" s="421">
        <f>F1655*C1656</f>
        <v>0</v>
      </c>
      <c r="G1656" s="421">
        <f>G1655*C1656</f>
        <v>0</v>
      </c>
      <c r="H1656" s="421">
        <f>H1655*C1656</f>
        <v>0</v>
      </c>
      <c r="I1656" s="421">
        <f>I1655*C1656</f>
        <v>0</v>
      </c>
      <c r="J1656" s="421">
        <f>J1655*C1656</f>
        <v>0</v>
      </c>
      <c r="K1656" s="422">
        <f>SUM(D1656:J1656)</f>
        <v>0</v>
      </c>
    </row>
    <row r="1657" spans="2:13" x14ac:dyDescent="0.25">
      <c r="B1657" s="389"/>
      <c r="C1657" s="423"/>
      <c r="D1657" s="421">
        <f>D1655*C1657</f>
        <v>0</v>
      </c>
      <c r="E1657" s="421">
        <f>E1655*C1657</f>
        <v>0</v>
      </c>
      <c r="F1657" s="421">
        <f>F1655*C1657</f>
        <v>0</v>
      </c>
      <c r="G1657" s="421">
        <f>G1655*C1657</f>
        <v>0</v>
      </c>
      <c r="H1657" s="421">
        <f>H1655*C1657</f>
        <v>0</v>
      </c>
      <c r="I1657" s="421">
        <f>I1655*C1657</f>
        <v>0</v>
      </c>
      <c r="J1657" s="421">
        <f>J1655*C1657</f>
        <v>0</v>
      </c>
      <c r="K1657" s="424">
        <f>SUM(D1657:J1657)</f>
        <v>0</v>
      </c>
    </row>
    <row r="1658" spans="2:13" x14ac:dyDescent="0.25">
      <c r="B1658" s="387"/>
      <c r="C1658" s="423"/>
      <c r="D1658" s="421">
        <f>D1655*C1658</f>
        <v>0</v>
      </c>
      <c r="E1658" s="421">
        <f>E1655*C1658</f>
        <v>0</v>
      </c>
      <c r="F1658" s="421">
        <f>F1655*C1658</f>
        <v>0</v>
      </c>
      <c r="G1658" s="421">
        <f>G1655*C1658</f>
        <v>0</v>
      </c>
      <c r="H1658" s="421">
        <f>H1655*C1658</f>
        <v>0</v>
      </c>
      <c r="I1658" s="421">
        <f>I1655*C1658</f>
        <v>0</v>
      </c>
      <c r="J1658" s="421">
        <f>J1655*C1658</f>
        <v>0</v>
      </c>
      <c r="K1658" s="424">
        <f>SUM(D1658:J1658)</f>
        <v>0</v>
      </c>
    </row>
    <row r="1659" spans="2:13" ht="15" customHeight="1" x14ac:dyDescent="0.25">
      <c r="B1659" s="389"/>
      <c r="C1659" s="423"/>
      <c r="D1659" s="421">
        <f>D1655*C1659</f>
        <v>0</v>
      </c>
      <c r="E1659" s="421">
        <f>E1655*C1659</f>
        <v>0</v>
      </c>
      <c r="F1659" s="421">
        <f>F1655*C1659</f>
        <v>0</v>
      </c>
      <c r="G1659" s="421">
        <f>G1655*C1659</f>
        <v>0</v>
      </c>
      <c r="H1659" s="421">
        <f>H1655*C1659</f>
        <v>0</v>
      </c>
      <c r="I1659" s="421">
        <f>I1655*C1659</f>
        <v>0</v>
      </c>
      <c r="J1659" s="421">
        <f>J1655*C1659</f>
        <v>0</v>
      </c>
      <c r="K1659" s="424">
        <f>SUM(D1659:J1659)</f>
        <v>0</v>
      </c>
    </row>
    <row r="1660" spans="2:13" ht="15.75" thickBot="1" x14ac:dyDescent="0.3"/>
    <row r="1661" spans="2:13" ht="15.75" thickBot="1" x14ac:dyDescent="0.3">
      <c r="B1661" s="432">
        <v>6480348</v>
      </c>
      <c r="C1661" s="411"/>
      <c r="D1661" s="407" t="s">
        <v>548</v>
      </c>
      <c r="E1661" s="408" t="s">
        <v>549</v>
      </c>
      <c r="F1661" s="408" t="s">
        <v>550</v>
      </c>
      <c r="G1661" s="408" t="s">
        <v>551</v>
      </c>
      <c r="H1661" s="408" t="s">
        <v>552</v>
      </c>
      <c r="I1661" s="408" t="s">
        <v>553</v>
      </c>
      <c r="J1661" s="408" t="s">
        <v>554</v>
      </c>
      <c r="K1661" s="408" t="s">
        <v>555</v>
      </c>
      <c r="M1661" s="414" t="s">
        <v>779</v>
      </c>
    </row>
    <row r="1662" spans="2:13" ht="15.75" thickBot="1" x14ac:dyDescent="0.3">
      <c r="B1662" s="414" t="s">
        <v>556</v>
      </c>
      <c r="C1662" s="415" t="s">
        <v>620</v>
      </c>
      <c r="D1662" s="416">
        <f>IF(ISERROR(VLOOKUP(B1661,'MD Usage'!$A$1:$W$5000,3,FALSE)),0,VLOOKUP(B1661,'MD Usage'!$A$1:$W$5000,3,FALSE))</f>
        <v>0</v>
      </c>
      <c r="E1662" s="416">
        <f>IF(ISERROR(VLOOKUP(B1661,'MD Usage'!$A$1:$W$5000,5,FALSE)),0,VLOOKUP(B1661,'MD Usage'!$A$1:$W$5000,5,FALSE))</f>
        <v>0</v>
      </c>
      <c r="F1662" s="416">
        <f>IF(ISERROR(VLOOKUP(B1661,'MD Usage'!$A$1:$W$5000,7,FALSE)),0,VLOOKUP(B1661,'MD Usage'!$A$1:$W$5000,7,FALSE))</f>
        <v>0</v>
      </c>
      <c r="G1662" s="416">
        <f>IF(ISERROR(VLOOKUP(B1661,'MD Usage'!$A$1:$W$5000,9,FALSE)),0,VLOOKUP(B1661,'MD Usage'!$A$1:$W$5000,9,FALSE))</f>
        <v>0</v>
      </c>
      <c r="H1662" s="416">
        <f>IF(ISERROR(VLOOKUP(B1661,'MD Usage'!$A$1:$W$5000,11,FALSE)),0,VLOOKUP(B1661,'MD Usage'!$A$1:$W$5000,11,FALSE))</f>
        <v>0</v>
      </c>
      <c r="I1662" s="416">
        <f>IF(ISERROR(VLOOKUP(B1661,'MD Usage'!A1:R2000,13,FALSE)),0,VLOOKUP(B1661,'MD Usage'!A1:R2000,13,FALSE))</f>
        <v>0</v>
      </c>
      <c r="J1662" s="416">
        <f>IF(ISERROR(VLOOKUP(B1661,'MD Usage'!A1:R2000,15,FALSE)),0,VLOOKUP(B1661,'MD Usage'!A1:R2000,15,FALSE))</f>
        <v>0</v>
      </c>
      <c r="K1662" s="418">
        <f t="shared" ref="K1662:K1667" si="78">SUM(D1662:J1662)</f>
        <v>0</v>
      </c>
    </row>
    <row r="1663" spans="2:13" x14ac:dyDescent="0.25">
      <c r="B1663" s="419" t="s">
        <v>578</v>
      </c>
      <c r="C1663" s="420">
        <v>2</v>
      </c>
      <c r="D1663" s="421">
        <f>D1662*C1663</f>
        <v>0</v>
      </c>
      <c r="E1663" s="421">
        <f>E1662*C1663</f>
        <v>0</v>
      </c>
      <c r="F1663" s="421">
        <f>F1662*C1663</f>
        <v>0</v>
      </c>
      <c r="G1663" s="421">
        <f>G1662*C1663</f>
        <v>0</v>
      </c>
      <c r="H1663" s="421">
        <f>H1662*C1663</f>
        <v>0</v>
      </c>
      <c r="I1663" s="421">
        <f>I1662*C1663</f>
        <v>0</v>
      </c>
      <c r="J1663" s="421">
        <f>J1662*C1663</f>
        <v>0</v>
      </c>
      <c r="K1663" s="422">
        <f t="shared" si="78"/>
        <v>0</v>
      </c>
    </row>
    <row r="1664" spans="2:13" x14ac:dyDescent="0.25">
      <c r="B1664" s="389"/>
      <c r="C1664" s="423"/>
      <c r="D1664" s="421">
        <f>D1662*C1664</f>
        <v>0</v>
      </c>
      <c r="E1664" s="421">
        <f>E1662*C1664</f>
        <v>0</v>
      </c>
      <c r="F1664" s="421">
        <f>F1662*C1664</f>
        <v>0</v>
      </c>
      <c r="G1664" s="421">
        <f>G1662*C1664</f>
        <v>0</v>
      </c>
      <c r="H1664" s="421">
        <f>H1662*C1664</f>
        <v>0</v>
      </c>
      <c r="I1664" s="421">
        <f>I1662*C1664</f>
        <v>0</v>
      </c>
      <c r="J1664" s="421">
        <f>J1662*C1664</f>
        <v>0</v>
      </c>
      <c r="K1664" s="424">
        <f t="shared" si="78"/>
        <v>0</v>
      </c>
    </row>
    <row r="1665" spans="2:13" x14ac:dyDescent="0.25">
      <c r="B1665" s="389"/>
      <c r="C1665" s="423"/>
      <c r="D1665" s="421">
        <f>D1662*C1665</f>
        <v>0</v>
      </c>
      <c r="E1665" s="421">
        <f>E1662*C1665</f>
        <v>0</v>
      </c>
      <c r="F1665" s="421">
        <f>F1662*C1665</f>
        <v>0</v>
      </c>
      <c r="G1665" s="421">
        <f>G1662*C1665</f>
        <v>0</v>
      </c>
      <c r="H1665" s="421">
        <f>H1662*C1665</f>
        <v>0</v>
      </c>
      <c r="I1665" s="421">
        <f>I1662*C1665</f>
        <v>0</v>
      </c>
      <c r="J1665" s="421">
        <f>J1662*C1665</f>
        <v>0</v>
      </c>
      <c r="K1665" s="424">
        <f t="shared" si="78"/>
        <v>0</v>
      </c>
    </row>
    <row r="1666" spans="2:13" ht="15" customHeight="1" x14ac:dyDescent="0.25">
      <c r="B1666" s="389"/>
      <c r="C1666" s="423"/>
      <c r="D1666" s="421">
        <f>D1662*C1666</f>
        <v>0</v>
      </c>
      <c r="E1666" s="421">
        <f>E1662*C1666</f>
        <v>0</v>
      </c>
      <c r="F1666" s="421">
        <f>F1662*C1666</f>
        <v>0</v>
      </c>
      <c r="G1666" s="421">
        <f>G1662*C1666</f>
        <v>0</v>
      </c>
      <c r="H1666" s="421">
        <f>H1662*C1666</f>
        <v>0</v>
      </c>
      <c r="I1666" s="421">
        <f>I1662*C1666</f>
        <v>0</v>
      </c>
      <c r="J1666" s="421">
        <f>J1662*C1666</f>
        <v>0</v>
      </c>
      <c r="K1666" s="424">
        <f t="shared" si="78"/>
        <v>0</v>
      </c>
    </row>
    <row r="1667" spans="2:13" x14ac:dyDescent="0.25">
      <c r="B1667" s="389"/>
      <c r="C1667" s="423"/>
      <c r="D1667" s="421">
        <f>D1662*C1667</f>
        <v>0</v>
      </c>
      <c r="E1667" s="421">
        <f>E1662*C1667</f>
        <v>0</v>
      </c>
      <c r="F1667" s="421">
        <f>F1662*C1667</f>
        <v>0</v>
      </c>
      <c r="G1667" s="421">
        <f>G1662*C1667</f>
        <v>0</v>
      </c>
      <c r="H1667" s="421">
        <f>H1662*C1667</f>
        <v>0</v>
      </c>
      <c r="I1667" s="421">
        <f>I1662*C1667</f>
        <v>0</v>
      </c>
      <c r="J1667" s="421">
        <f>J1662*C1667</f>
        <v>0</v>
      </c>
      <c r="K1667" s="424">
        <f t="shared" si="78"/>
        <v>0</v>
      </c>
    </row>
    <row r="1668" spans="2:13" ht="15.75" thickBot="1" x14ac:dyDescent="0.3"/>
    <row r="1669" spans="2:13" ht="15.75" thickBot="1" x14ac:dyDescent="0.3">
      <c r="B1669" s="432">
        <v>6490525</v>
      </c>
      <c r="C1669" s="411"/>
      <c r="D1669" s="407" t="s">
        <v>548</v>
      </c>
      <c r="E1669" s="408" t="s">
        <v>549</v>
      </c>
      <c r="F1669" s="408" t="s">
        <v>550</v>
      </c>
      <c r="G1669" s="408" t="s">
        <v>551</v>
      </c>
      <c r="H1669" s="408" t="s">
        <v>552</v>
      </c>
      <c r="I1669" s="408" t="s">
        <v>553</v>
      </c>
      <c r="J1669" s="408" t="s">
        <v>554</v>
      </c>
      <c r="K1669" s="408" t="s">
        <v>555</v>
      </c>
      <c r="M1669" s="414" t="s">
        <v>780</v>
      </c>
    </row>
    <row r="1670" spans="2:13" ht="15.75" thickBot="1" x14ac:dyDescent="0.3">
      <c r="B1670" s="414" t="s">
        <v>556</v>
      </c>
      <c r="C1670" s="415" t="s">
        <v>620</v>
      </c>
      <c r="D1670" s="416">
        <f>IF(ISERROR(VLOOKUP(B1669,'MD Usage'!$A$1:$W$5000,3,FALSE)),0,VLOOKUP(B1669,'MD Usage'!$A$1:$W$5000,3,FALSE))</f>
        <v>4</v>
      </c>
      <c r="E1670" s="416">
        <f>IF(ISERROR(VLOOKUP(B1669,'MD Usage'!$A$1:$W$5000,5,FALSE)),0,VLOOKUP(B1669,'MD Usage'!$A$1:$W$5000,5,FALSE))</f>
        <v>2</v>
      </c>
      <c r="F1670" s="416">
        <f>IF(ISERROR(VLOOKUP(B1669,'MD Usage'!$A$1:$W$5000,7,FALSE)),0,VLOOKUP(B1669,'MD Usage'!$A$1:$W$5000,7,FALSE))</f>
        <v>5</v>
      </c>
      <c r="G1670" s="416">
        <f>IF(ISERROR(VLOOKUP(B1669,'MD Usage'!$A$1:$W$5000,9,FALSE)),0,VLOOKUP(B1669,'MD Usage'!$A$1:$W$5000,9,FALSE))</f>
        <v>1</v>
      </c>
      <c r="H1670" s="416">
        <f>IF(ISERROR(VLOOKUP(B1669,'MD Usage'!$A$1:$W$5000,11,FALSE)),0,VLOOKUP(B1669,'MD Usage'!$A$1:$W$5000,11,FALSE))</f>
        <v>19</v>
      </c>
      <c r="I1670" s="416">
        <f>IF(ISERROR(VLOOKUP(B1669,'MD Usage'!A1:R2000,13,FALSE)),0,VLOOKUP(B1669,'MD Usage'!A1:R2000,13,FALSE))</f>
        <v>13</v>
      </c>
      <c r="J1670" s="416">
        <f>IF(ISERROR(VLOOKUP(B1669,'MD Usage'!A1:R2000,15,FALSE)),0,VLOOKUP(B1669,'MD Usage'!A1:R2000,15,FALSE))</f>
        <v>4</v>
      </c>
      <c r="K1670" s="418">
        <f t="shared" ref="K1670:K1676" si="79">SUM(D1670:J1670)</f>
        <v>48</v>
      </c>
    </row>
    <row r="1671" spans="2:13" x14ac:dyDescent="0.25">
      <c r="B1671" s="419" t="s">
        <v>638</v>
      </c>
      <c r="C1671" s="420">
        <v>1</v>
      </c>
      <c r="D1671" s="421">
        <f>D1670*C1671</f>
        <v>4</v>
      </c>
      <c r="E1671" s="421">
        <f>E1670*C1671</f>
        <v>2</v>
      </c>
      <c r="F1671" s="421">
        <f>F1670*C1671</f>
        <v>5</v>
      </c>
      <c r="G1671" s="421">
        <f>G1670*C1671</f>
        <v>1</v>
      </c>
      <c r="H1671" s="421">
        <f>H1670*C1671</f>
        <v>19</v>
      </c>
      <c r="I1671" s="421">
        <f>I1670*C1671</f>
        <v>13</v>
      </c>
      <c r="J1671" s="421">
        <f>J1670*C1671</f>
        <v>4</v>
      </c>
      <c r="K1671" s="422">
        <f t="shared" si="79"/>
        <v>48</v>
      </c>
    </row>
    <row r="1672" spans="2:13" x14ac:dyDescent="0.25">
      <c r="B1672" s="389"/>
      <c r="C1672" s="423"/>
      <c r="D1672" s="421">
        <f>D1670*C1672</f>
        <v>0</v>
      </c>
      <c r="E1672" s="421">
        <f>E1670*C1672</f>
        <v>0</v>
      </c>
      <c r="F1672" s="421">
        <f>F1670*C1672</f>
        <v>0</v>
      </c>
      <c r="G1672" s="421">
        <f>G1670*C1672</f>
        <v>0</v>
      </c>
      <c r="H1672" s="421">
        <f>H1670*C1672</f>
        <v>0</v>
      </c>
      <c r="I1672" s="421">
        <f>I1670*C1672</f>
        <v>0</v>
      </c>
      <c r="J1672" s="421">
        <f>J1670*C1672</f>
        <v>0</v>
      </c>
      <c r="K1672" s="424">
        <f t="shared" si="79"/>
        <v>0</v>
      </c>
    </row>
    <row r="1673" spans="2:13" ht="15" customHeight="1" x14ac:dyDescent="0.25">
      <c r="B1673" s="389"/>
      <c r="C1673" s="423"/>
      <c r="D1673" s="421">
        <f>D1670*C1673</f>
        <v>0</v>
      </c>
      <c r="E1673" s="421">
        <f>E1670*C1673</f>
        <v>0</v>
      </c>
      <c r="F1673" s="421">
        <f>F1670*C1673</f>
        <v>0</v>
      </c>
      <c r="G1673" s="421">
        <f>G1670*C1673</f>
        <v>0</v>
      </c>
      <c r="H1673" s="421">
        <f>H1670*C1673</f>
        <v>0</v>
      </c>
      <c r="I1673" s="421">
        <f>I1670*C1673</f>
        <v>0</v>
      </c>
      <c r="J1673" s="421">
        <f>J1670*C1673</f>
        <v>0</v>
      </c>
      <c r="K1673" s="424">
        <f t="shared" si="79"/>
        <v>0</v>
      </c>
    </row>
    <row r="1674" spans="2:13" x14ac:dyDescent="0.25">
      <c r="B1674" s="389"/>
      <c r="C1674" s="423"/>
      <c r="D1674" s="421">
        <f>D1670*C1674</f>
        <v>0</v>
      </c>
      <c r="E1674" s="421">
        <f>E1670*C1674</f>
        <v>0</v>
      </c>
      <c r="F1674" s="421">
        <f>F1670*C1674</f>
        <v>0</v>
      </c>
      <c r="G1674" s="421">
        <f>G1670*C1674</f>
        <v>0</v>
      </c>
      <c r="H1674" s="421">
        <f>H1670*C1674</f>
        <v>0</v>
      </c>
      <c r="I1674" s="421">
        <f>I1670*C1674</f>
        <v>0</v>
      </c>
      <c r="J1674" s="421">
        <f>J1670*C1674</f>
        <v>0</v>
      </c>
      <c r="K1674" s="424">
        <f t="shared" si="79"/>
        <v>0</v>
      </c>
    </row>
    <row r="1675" spans="2:13" x14ac:dyDescent="0.25">
      <c r="B1675" s="389"/>
      <c r="C1675" s="423"/>
      <c r="D1675" s="421">
        <f>D1670*C1675</f>
        <v>0</v>
      </c>
      <c r="E1675" s="421">
        <f>E1670*C1675</f>
        <v>0</v>
      </c>
      <c r="F1675" s="421">
        <f>F1670*C1675</f>
        <v>0</v>
      </c>
      <c r="G1675" s="421">
        <f>G1670*C1675</f>
        <v>0</v>
      </c>
      <c r="H1675" s="421">
        <f>H1670*C1675</f>
        <v>0</v>
      </c>
      <c r="I1675" s="421">
        <f>I1670*C1675</f>
        <v>0</v>
      </c>
      <c r="J1675" s="421">
        <f>J1670*C1675</f>
        <v>0</v>
      </c>
      <c r="K1675" s="424">
        <f t="shared" si="79"/>
        <v>0</v>
      </c>
    </row>
    <row r="1676" spans="2:13" x14ac:dyDescent="0.25">
      <c r="B1676" s="389"/>
      <c r="C1676" s="423"/>
      <c r="D1676" s="421">
        <f>D1670*C1676</f>
        <v>0</v>
      </c>
      <c r="E1676" s="421">
        <f>E1670*C1676</f>
        <v>0</v>
      </c>
      <c r="F1676" s="421">
        <f>F1670*C1676</f>
        <v>0</v>
      </c>
      <c r="G1676" s="421">
        <f>G1670*C1676</f>
        <v>0</v>
      </c>
      <c r="H1676" s="421">
        <f>H1670*C1676</f>
        <v>0</v>
      </c>
      <c r="I1676" s="421">
        <f>I1670*C1676</f>
        <v>0</v>
      </c>
      <c r="J1676" s="421">
        <f>J1670*C1676</f>
        <v>0</v>
      </c>
      <c r="K1676" s="424">
        <f t="shared" si="79"/>
        <v>0</v>
      </c>
    </row>
    <row r="1677" spans="2:13" ht="15.75" thickBot="1" x14ac:dyDescent="0.3"/>
    <row r="1678" spans="2:13" ht="15.75" thickBot="1" x14ac:dyDescent="0.3">
      <c r="B1678" s="432">
        <v>6480047</v>
      </c>
      <c r="C1678" s="411"/>
      <c r="D1678" s="407" t="s">
        <v>548</v>
      </c>
      <c r="E1678" s="408" t="s">
        <v>549</v>
      </c>
      <c r="F1678" s="408" t="s">
        <v>550</v>
      </c>
      <c r="G1678" s="408" t="s">
        <v>551</v>
      </c>
      <c r="H1678" s="408" t="s">
        <v>552</v>
      </c>
      <c r="I1678" s="408" t="s">
        <v>553</v>
      </c>
      <c r="J1678" s="408" t="s">
        <v>554</v>
      </c>
      <c r="K1678" s="408" t="s">
        <v>555</v>
      </c>
      <c r="M1678" s="414" t="s">
        <v>781</v>
      </c>
    </row>
    <row r="1679" spans="2:13" ht="15.75" thickBot="1" x14ac:dyDescent="0.3">
      <c r="B1679" s="414" t="s">
        <v>556</v>
      </c>
      <c r="C1679" s="415" t="s">
        <v>620</v>
      </c>
      <c r="D1679" s="416">
        <f>IF(ISERROR(VLOOKUP(B1678,'MD Usage'!$A$1:$W$5000,3,FALSE)),0,VLOOKUP(B1678,'MD Usage'!$A$1:$W$5000,3,FALSE))</f>
        <v>3</v>
      </c>
      <c r="E1679" s="416">
        <f>IF(ISERROR(VLOOKUP(B1678,'MD Usage'!$A$1:$W$5000,5,FALSE)),0,VLOOKUP(B1678,'MD Usage'!$A$1:$W$5000,5,FALSE))</f>
        <v>7</v>
      </c>
      <c r="F1679" s="416">
        <f>IF(ISERROR(VLOOKUP(B1678,'MD Usage'!$A$1:$W$5000,7,FALSE)),0,VLOOKUP(B1678,'MD Usage'!$A$1:$W$5000,7,FALSE))</f>
        <v>10</v>
      </c>
      <c r="G1679" s="416">
        <f>IF(ISERROR(VLOOKUP(B1678,'MD Usage'!$A$1:$W$5000,9,FALSE)),0,VLOOKUP(B1678,'MD Usage'!$A$1:$W$5000,9,FALSE))</f>
        <v>4</v>
      </c>
      <c r="H1679" s="416">
        <f>IF(ISERROR(VLOOKUP(B1678,'MD Usage'!$A$1:$W$5000,11,FALSE)),0,VLOOKUP(B1678,'MD Usage'!$A$1:$W$5000,11,FALSE))</f>
        <v>13</v>
      </c>
      <c r="I1679" s="416">
        <f>IF(ISERROR(VLOOKUP(B1678,'MD Usage'!A1:R2000,13,FALSE)),0,VLOOKUP(B1678,'MD Usage'!A1:R2000,13,FALSE))</f>
        <v>29</v>
      </c>
      <c r="J1679" s="416">
        <f>IF(ISERROR(VLOOKUP(B1678,'MD Usage'!A1:R2000,15,FALSE)),0,VLOOKUP(B1678,'MD Usage'!A1:R2000,15,FALSE))</f>
        <v>20</v>
      </c>
      <c r="K1679" s="418">
        <f>SUM(D1679:J1679)</f>
        <v>86</v>
      </c>
    </row>
    <row r="1680" spans="2:13" ht="15" customHeight="1" x14ac:dyDescent="0.25">
      <c r="B1680" s="419" t="s">
        <v>596</v>
      </c>
      <c r="C1680" s="420">
        <v>10</v>
      </c>
      <c r="D1680" s="421">
        <f>D1679*C1680</f>
        <v>30</v>
      </c>
      <c r="E1680" s="421">
        <f>E1679*C1680</f>
        <v>70</v>
      </c>
      <c r="F1680" s="421">
        <f>F1679*C1680</f>
        <v>100</v>
      </c>
      <c r="G1680" s="421">
        <f>G1679*C1680</f>
        <v>40</v>
      </c>
      <c r="H1680" s="421">
        <f>H1679*C1680</f>
        <v>130</v>
      </c>
      <c r="I1680" s="421">
        <f>I1679*C1680</f>
        <v>290</v>
      </c>
      <c r="J1680" s="421">
        <f>J1679*C1680</f>
        <v>200</v>
      </c>
      <c r="K1680" s="422">
        <f>SUM(D1680:J1680)</f>
        <v>860</v>
      </c>
    </row>
    <row r="1681" spans="2:13" x14ac:dyDescent="0.25">
      <c r="B1681" s="389"/>
      <c r="C1681" s="423"/>
      <c r="D1681" s="421">
        <f>D1679*C1681</f>
        <v>0</v>
      </c>
      <c r="E1681" s="421">
        <f>E1679*C1681</f>
        <v>0</v>
      </c>
      <c r="F1681" s="421">
        <f>F1679*C1681</f>
        <v>0</v>
      </c>
      <c r="G1681" s="421">
        <f>G1679*C1681</f>
        <v>0</v>
      </c>
      <c r="H1681" s="421">
        <f>H1679*C1681</f>
        <v>0</v>
      </c>
      <c r="I1681" s="421">
        <f>I1679*C1681</f>
        <v>0</v>
      </c>
      <c r="J1681" s="421">
        <f>J1679*C1681</f>
        <v>0</v>
      </c>
      <c r="K1681" s="424">
        <f>SUM(D1681:J1681)</f>
        <v>0</v>
      </c>
    </row>
    <row r="1682" spans="2:13" x14ac:dyDescent="0.25">
      <c r="B1682" s="389"/>
      <c r="C1682" s="423"/>
      <c r="D1682" s="421">
        <f>D1679*C1682</f>
        <v>0</v>
      </c>
      <c r="E1682" s="421">
        <f>E1679*C1682</f>
        <v>0</v>
      </c>
      <c r="F1682" s="421">
        <f>F1679*C1682</f>
        <v>0</v>
      </c>
      <c r="G1682" s="421">
        <f>G1679*C1682</f>
        <v>0</v>
      </c>
      <c r="H1682" s="421">
        <f>H1679*C1682</f>
        <v>0</v>
      </c>
      <c r="I1682" s="421">
        <f>I1679*C1682</f>
        <v>0</v>
      </c>
      <c r="J1682" s="421">
        <f>J1679*C1682</f>
        <v>0</v>
      </c>
      <c r="K1682" s="424">
        <f>SUM(D1682:J1682)</f>
        <v>0</v>
      </c>
    </row>
    <row r="1683" spans="2:13" x14ac:dyDescent="0.25">
      <c r="B1683" s="389"/>
      <c r="C1683" s="423"/>
      <c r="D1683" s="421">
        <f>D1679*C1683</f>
        <v>0</v>
      </c>
      <c r="E1683" s="421">
        <f>E1679*C1683</f>
        <v>0</v>
      </c>
      <c r="F1683" s="421">
        <f>F1679*C1683</f>
        <v>0</v>
      </c>
      <c r="G1683" s="421">
        <f>G1679*C1683</f>
        <v>0</v>
      </c>
      <c r="H1683" s="421">
        <f>H1679*C1683</f>
        <v>0</v>
      </c>
      <c r="I1683" s="421">
        <f>I1679*C1683</f>
        <v>0</v>
      </c>
      <c r="J1683" s="421">
        <f>J1679*C1683</f>
        <v>0</v>
      </c>
      <c r="K1683" s="424">
        <f>SUM(D1683:J1683)</f>
        <v>0</v>
      </c>
    </row>
    <row r="1684" spans="2:13" ht="15.75" thickBot="1" x14ac:dyDescent="0.3"/>
    <row r="1685" spans="2:13" ht="15.75" thickBot="1" x14ac:dyDescent="0.3">
      <c r="B1685" s="432">
        <v>6480219</v>
      </c>
      <c r="C1685" s="411"/>
      <c r="D1685" s="407" t="s">
        <v>548</v>
      </c>
      <c r="E1685" s="408" t="s">
        <v>549</v>
      </c>
      <c r="F1685" s="408" t="s">
        <v>550</v>
      </c>
      <c r="G1685" s="408" t="s">
        <v>551</v>
      </c>
      <c r="H1685" s="408" t="s">
        <v>552</v>
      </c>
      <c r="I1685" s="408" t="s">
        <v>553</v>
      </c>
      <c r="J1685" s="408" t="s">
        <v>554</v>
      </c>
      <c r="K1685" s="408" t="s">
        <v>555</v>
      </c>
      <c r="M1685" s="414" t="s">
        <v>781</v>
      </c>
    </row>
    <row r="1686" spans="2:13" ht="15.75" thickBot="1" x14ac:dyDescent="0.3">
      <c r="B1686" s="414" t="s">
        <v>556</v>
      </c>
      <c r="C1686" s="415" t="s">
        <v>620</v>
      </c>
      <c r="D1686" s="416">
        <f>IF(ISERROR(VLOOKUP(B1685,'MD Usage'!$A$1:$W$5000,3,FALSE)),0,VLOOKUP(B1685,'MD Usage'!$A$1:$W$5000,3,FALSE))</f>
        <v>0</v>
      </c>
      <c r="E1686" s="416">
        <f>IF(ISERROR(VLOOKUP(B1685,'MD Usage'!$A$1:$W$5000,5,FALSE)),0,VLOOKUP(B1685,'MD Usage'!$A$1:$W$5000,5,FALSE))</f>
        <v>0</v>
      </c>
      <c r="F1686" s="416">
        <f>IF(ISERROR(VLOOKUP(B1685,'MD Usage'!$A$1:$W$5000,7,FALSE)),0,VLOOKUP(B1685,'MD Usage'!$A$1:$W$5000,7,FALSE))</f>
        <v>0</v>
      </c>
      <c r="G1686" s="416">
        <f>IF(ISERROR(VLOOKUP(B1685,'MD Usage'!$A$1:$W$5000,9,FALSE)),0,VLOOKUP(B1685,'MD Usage'!$A$1:$W$5000,9,FALSE))</f>
        <v>0</v>
      </c>
      <c r="H1686" s="416">
        <f>IF(ISERROR(VLOOKUP(B1685,'MD Usage'!$A$1:$W$5000,11,FALSE)),0,VLOOKUP(B1685,'MD Usage'!$A$1:$W$5000,11,FALSE))</f>
        <v>2</v>
      </c>
      <c r="I1686" s="416">
        <f>IF(ISERROR(VLOOKUP(B1685,'MD Usage'!A1:R2000,13,FALSE)),0,VLOOKUP(B1685,'MD Usage'!A1:R2000,13,FALSE))</f>
        <v>1</v>
      </c>
      <c r="J1686" s="416">
        <f>IF(ISERROR(VLOOKUP(B1685,'MD Usage'!A1:R2000,15,FALSE)),0,VLOOKUP(B1685,'MD Usage'!A1:R2000,15,FALSE))</f>
        <v>2</v>
      </c>
      <c r="K1686" s="418">
        <f t="shared" ref="K1686:K1691" si="80">SUM(D1686:J1686)</f>
        <v>5</v>
      </c>
    </row>
    <row r="1687" spans="2:13" ht="15" customHeight="1" x14ac:dyDescent="0.25">
      <c r="B1687" s="419" t="s">
        <v>596</v>
      </c>
      <c r="C1687" s="420">
        <v>10</v>
      </c>
      <c r="D1687" s="421">
        <f>D1686*C1687</f>
        <v>0</v>
      </c>
      <c r="E1687" s="421">
        <f>E1686*C1687</f>
        <v>0</v>
      </c>
      <c r="F1687" s="421">
        <f>F1686*C1687</f>
        <v>0</v>
      </c>
      <c r="G1687" s="421">
        <f>G1686*C1687</f>
        <v>0</v>
      </c>
      <c r="H1687" s="421">
        <f>H1686*C1687</f>
        <v>20</v>
      </c>
      <c r="I1687" s="421">
        <f>I1686*C1687</f>
        <v>10</v>
      </c>
      <c r="J1687" s="421">
        <f>J1686*C1687</f>
        <v>20</v>
      </c>
      <c r="K1687" s="422">
        <f t="shared" si="80"/>
        <v>50</v>
      </c>
    </row>
    <row r="1688" spans="2:13" x14ac:dyDescent="0.25">
      <c r="B1688" s="389"/>
      <c r="C1688" s="423"/>
      <c r="D1688" s="421">
        <f>D1686*C1688</f>
        <v>0</v>
      </c>
      <c r="E1688" s="421">
        <f>E1686*C1688</f>
        <v>0</v>
      </c>
      <c r="F1688" s="421">
        <f>F1686*C1688</f>
        <v>0</v>
      </c>
      <c r="G1688" s="421">
        <f>G1686*C1688</f>
        <v>0</v>
      </c>
      <c r="H1688" s="421">
        <f>H1686*C1688</f>
        <v>0</v>
      </c>
      <c r="I1688" s="421">
        <f>I1686*C1688</f>
        <v>0</v>
      </c>
      <c r="J1688" s="421">
        <f>J1686*C1688</f>
        <v>0</v>
      </c>
      <c r="K1688" s="424">
        <f t="shared" si="80"/>
        <v>0</v>
      </c>
    </row>
    <row r="1689" spans="2:13" x14ac:dyDescent="0.25">
      <c r="B1689" s="389"/>
      <c r="C1689" s="423"/>
      <c r="D1689" s="421">
        <f>D1686*C1689</f>
        <v>0</v>
      </c>
      <c r="E1689" s="421">
        <f>E1686*C1689</f>
        <v>0</v>
      </c>
      <c r="F1689" s="421">
        <f>F1686*C1689</f>
        <v>0</v>
      </c>
      <c r="G1689" s="421">
        <f>G1686*C1689</f>
        <v>0</v>
      </c>
      <c r="H1689" s="421">
        <f>H1686*C1689</f>
        <v>0</v>
      </c>
      <c r="I1689" s="421">
        <f>I1686*C1689</f>
        <v>0</v>
      </c>
      <c r="J1689" s="421">
        <f>J1686*C1689</f>
        <v>0</v>
      </c>
      <c r="K1689" s="424">
        <f t="shared" si="80"/>
        <v>0</v>
      </c>
    </row>
    <row r="1690" spans="2:13" x14ac:dyDescent="0.25">
      <c r="B1690" s="389"/>
      <c r="C1690" s="423"/>
      <c r="D1690" s="421">
        <f>D1686*C1690</f>
        <v>0</v>
      </c>
      <c r="E1690" s="421">
        <f>E1686*C1690</f>
        <v>0</v>
      </c>
      <c r="F1690" s="421">
        <f>F1686*C1690</f>
        <v>0</v>
      </c>
      <c r="G1690" s="421">
        <f>G1686*C1690</f>
        <v>0</v>
      </c>
      <c r="H1690" s="421">
        <f>H1686*C1690</f>
        <v>0</v>
      </c>
      <c r="I1690" s="421">
        <f>I1686*C1690</f>
        <v>0</v>
      </c>
      <c r="J1690" s="421">
        <f>J1686*C1690</f>
        <v>0</v>
      </c>
      <c r="K1690" s="424">
        <f t="shared" si="80"/>
        <v>0</v>
      </c>
    </row>
    <row r="1691" spans="2:13" x14ac:dyDescent="0.25">
      <c r="B1691" s="389"/>
      <c r="C1691" s="423"/>
      <c r="D1691" s="421">
        <f>D1686*C1691</f>
        <v>0</v>
      </c>
      <c r="E1691" s="421">
        <f>E1686*C1691</f>
        <v>0</v>
      </c>
      <c r="F1691" s="421">
        <f>F1686*C1691</f>
        <v>0</v>
      </c>
      <c r="G1691" s="421">
        <f>G1686*C1691</f>
        <v>0</v>
      </c>
      <c r="H1691" s="421">
        <f>H1686*C1691</f>
        <v>0</v>
      </c>
      <c r="I1691" s="421">
        <f>I1686*C1691</f>
        <v>0</v>
      </c>
      <c r="J1691" s="421">
        <f>J1686*C1691</f>
        <v>0</v>
      </c>
      <c r="K1691" s="424">
        <f t="shared" si="80"/>
        <v>0</v>
      </c>
    </row>
    <row r="1692" spans="2:13" ht="15.75" thickBot="1" x14ac:dyDescent="0.3"/>
    <row r="1693" spans="2:13" ht="15" customHeight="1" thickBot="1" x14ac:dyDescent="0.3">
      <c r="B1693" s="432">
        <v>6480030</v>
      </c>
      <c r="C1693" s="411"/>
      <c r="D1693" s="407" t="s">
        <v>548</v>
      </c>
      <c r="E1693" s="408" t="s">
        <v>549</v>
      </c>
      <c r="F1693" s="408" t="s">
        <v>550</v>
      </c>
      <c r="G1693" s="408" t="s">
        <v>551</v>
      </c>
      <c r="H1693" s="408" t="s">
        <v>552</v>
      </c>
      <c r="I1693" s="408" t="s">
        <v>553</v>
      </c>
      <c r="J1693" s="408" t="s">
        <v>554</v>
      </c>
      <c r="K1693" s="408" t="s">
        <v>555</v>
      </c>
      <c r="M1693" s="414" t="s">
        <v>782</v>
      </c>
    </row>
    <row r="1694" spans="2:13" ht="15" customHeight="1" thickBot="1" x14ac:dyDescent="0.3">
      <c r="B1694" s="414" t="s">
        <v>556</v>
      </c>
      <c r="C1694" s="415" t="s">
        <v>620</v>
      </c>
      <c r="D1694" s="416">
        <f>IF(ISERROR(VLOOKUP(B1693,'MD Usage'!$A$1:$W$5000,3,FALSE)),0,VLOOKUP(B1693,'MD Usage'!$A$1:$W$5000,3,FALSE))</f>
        <v>0</v>
      </c>
      <c r="E1694" s="416">
        <f>IF(ISERROR(VLOOKUP(B1693,'MD Usage'!$A$1:$W$5000,5,FALSE)),0,VLOOKUP(B1693,'MD Usage'!$A$1:$W$5000,5,FALSE))</f>
        <v>0</v>
      </c>
      <c r="F1694" s="416">
        <f>IF(ISERROR(VLOOKUP(B1693,'MD Usage'!$A$1:$W$5000,7,FALSE)),0,VLOOKUP(B1693,'MD Usage'!$A$1:$W$5000,7,FALSE))</f>
        <v>0</v>
      </c>
      <c r="G1694" s="416">
        <f>IF(ISERROR(VLOOKUP(B1693,'MD Usage'!$A$1:$W$5000,9,FALSE)),0,VLOOKUP(B1693,'MD Usage'!$A$1:$W$5000,9,FALSE))</f>
        <v>0</v>
      </c>
      <c r="H1694" s="416">
        <f>IF(ISERROR(VLOOKUP(B1693,'MD Usage'!$A$1:$W$5000,11,FALSE)),0,VLOOKUP(B1693,'MD Usage'!$A$1:$W$5000,11,FALSE))</f>
        <v>0</v>
      </c>
      <c r="I1694" s="416">
        <f>IF(ISERROR(VLOOKUP(B1693,'MD Usage'!A1:R2000,13,FALSE)),0,VLOOKUP(B1693,'MD Usage'!A1:R2000,13,FALSE))</f>
        <v>0</v>
      </c>
      <c r="J1694" s="416">
        <f>IF(ISERROR(VLOOKUP(B1693,'MD Usage'!A1:R2000,15,FALSE)),0,VLOOKUP(B1693,'MD Usage'!A1:R2000,15,FALSE))</f>
        <v>0</v>
      </c>
      <c r="K1694" s="418">
        <f t="shared" ref="K1694:K1699" si="81">SUM(D1694:J1694)</f>
        <v>0</v>
      </c>
    </row>
    <row r="1695" spans="2:13" x14ac:dyDescent="0.25">
      <c r="B1695" s="419" t="s">
        <v>596</v>
      </c>
      <c r="C1695" s="420">
        <v>10</v>
      </c>
      <c r="D1695" s="421">
        <f>D1694*C1695</f>
        <v>0</v>
      </c>
      <c r="E1695" s="421">
        <f>E1694*C1695</f>
        <v>0</v>
      </c>
      <c r="F1695" s="421">
        <f>F1694*C1695</f>
        <v>0</v>
      </c>
      <c r="G1695" s="421">
        <f>G1694*C1695</f>
        <v>0</v>
      </c>
      <c r="H1695" s="421">
        <f>H1694*C1695</f>
        <v>0</v>
      </c>
      <c r="I1695" s="421">
        <f>I1694*C1695</f>
        <v>0</v>
      </c>
      <c r="J1695" s="421">
        <f>J1694*C1695</f>
        <v>0</v>
      </c>
      <c r="K1695" s="422">
        <f t="shared" si="81"/>
        <v>0</v>
      </c>
    </row>
    <row r="1696" spans="2:13" x14ac:dyDescent="0.25">
      <c r="B1696" s="389" t="s">
        <v>625</v>
      </c>
      <c r="C1696" s="423">
        <v>1</v>
      </c>
      <c r="D1696" s="421">
        <f>D1694*C1696</f>
        <v>0</v>
      </c>
      <c r="E1696" s="421">
        <f>E1694*C1696</f>
        <v>0</v>
      </c>
      <c r="F1696" s="421">
        <f>F1694*C1696</f>
        <v>0</v>
      </c>
      <c r="G1696" s="421">
        <f>G1694*C1696</f>
        <v>0</v>
      </c>
      <c r="H1696" s="421">
        <f>H1694*C1696</f>
        <v>0</v>
      </c>
      <c r="I1696" s="421">
        <f>I1694*C1696</f>
        <v>0</v>
      </c>
      <c r="J1696" s="421">
        <f>J1694*C1696</f>
        <v>0</v>
      </c>
      <c r="K1696" s="424">
        <f t="shared" si="81"/>
        <v>0</v>
      </c>
    </row>
    <row r="1697" spans="2:13" x14ac:dyDescent="0.25">
      <c r="B1697" s="389"/>
      <c r="C1697" s="423"/>
      <c r="D1697" s="421">
        <f>D1694*C1697</f>
        <v>0</v>
      </c>
      <c r="E1697" s="421">
        <f>E1694*C1697</f>
        <v>0</v>
      </c>
      <c r="F1697" s="421">
        <f>F1694*C1697</f>
        <v>0</v>
      </c>
      <c r="G1697" s="421">
        <f>G1694*C1697</f>
        <v>0</v>
      </c>
      <c r="H1697" s="421">
        <f>H1694*C1697</f>
        <v>0</v>
      </c>
      <c r="I1697" s="421">
        <f>I1694*C1697</f>
        <v>0</v>
      </c>
      <c r="J1697" s="421">
        <f>J1694*C1697</f>
        <v>0</v>
      </c>
      <c r="K1697" s="424">
        <f t="shared" si="81"/>
        <v>0</v>
      </c>
    </row>
    <row r="1698" spans="2:13" x14ac:dyDescent="0.25">
      <c r="B1698" s="389"/>
      <c r="C1698" s="423"/>
      <c r="D1698" s="421">
        <f>D1694*C1698</f>
        <v>0</v>
      </c>
      <c r="E1698" s="421">
        <f>E1694*C1698</f>
        <v>0</v>
      </c>
      <c r="F1698" s="421">
        <f>F1694*C1698</f>
        <v>0</v>
      </c>
      <c r="G1698" s="421">
        <f>G1694*C1698</f>
        <v>0</v>
      </c>
      <c r="H1698" s="421">
        <f>H1694*C1698</f>
        <v>0</v>
      </c>
      <c r="I1698" s="421">
        <f>I1694*C1698</f>
        <v>0</v>
      </c>
      <c r="J1698" s="421">
        <f>J1694*C1698</f>
        <v>0</v>
      </c>
      <c r="K1698" s="424">
        <f t="shared" si="81"/>
        <v>0</v>
      </c>
    </row>
    <row r="1699" spans="2:13" x14ac:dyDescent="0.25">
      <c r="B1699" s="389"/>
      <c r="C1699" s="423"/>
      <c r="D1699" s="421">
        <f>D1694*C1699</f>
        <v>0</v>
      </c>
      <c r="E1699" s="421">
        <f>E1694*C1699</f>
        <v>0</v>
      </c>
      <c r="F1699" s="421">
        <f>F1694*C1699</f>
        <v>0</v>
      </c>
      <c r="G1699" s="421">
        <f>G1694*C1699</f>
        <v>0</v>
      </c>
      <c r="H1699" s="421">
        <f>H1694*C1699</f>
        <v>0</v>
      </c>
      <c r="I1699" s="421">
        <f>I1694*C1699</f>
        <v>0</v>
      </c>
      <c r="J1699" s="421">
        <f>J1694*C1699</f>
        <v>0</v>
      </c>
      <c r="K1699" s="424">
        <f t="shared" si="81"/>
        <v>0</v>
      </c>
    </row>
    <row r="1700" spans="2:13" ht="15.75" thickBot="1" x14ac:dyDescent="0.3"/>
    <row r="1701" spans="2:13" ht="15" customHeight="1" thickBot="1" x14ac:dyDescent="0.3">
      <c r="B1701" s="432">
        <v>6480048</v>
      </c>
      <c r="C1701" s="411"/>
      <c r="D1701" s="407" t="s">
        <v>548</v>
      </c>
      <c r="E1701" s="408" t="s">
        <v>549</v>
      </c>
      <c r="F1701" s="408" t="s">
        <v>550</v>
      </c>
      <c r="G1701" s="408" t="s">
        <v>551</v>
      </c>
      <c r="H1701" s="408" t="s">
        <v>552</v>
      </c>
      <c r="I1701" s="408" t="s">
        <v>553</v>
      </c>
      <c r="J1701" s="408" t="s">
        <v>554</v>
      </c>
      <c r="K1701" s="408" t="s">
        <v>555</v>
      </c>
      <c r="M1701" s="414" t="s">
        <v>783</v>
      </c>
    </row>
    <row r="1702" spans="2:13" ht="15.75" thickBot="1" x14ac:dyDescent="0.3">
      <c r="B1702" s="414" t="s">
        <v>556</v>
      </c>
      <c r="C1702" s="415" t="s">
        <v>620</v>
      </c>
      <c r="D1702" s="416">
        <f>IF(ISERROR(VLOOKUP(B1701,'MD Usage'!$A$1:$W$5000,3,FALSE)),0,VLOOKUP(B1701,'MD Usage'!$A$1:$W$5000,3,FALSE))</f>
        <v>3</v>
      </c>
      <c r="E1702" s="416">
        <f>IF(ISERROR(VLOOKUP(B1701,'MD Usage'!$A$1:$W$5000,5,FALSE)),0,VLOOKUP(B1701,'MD Usage'!$A$1:$W$5000,5,FALSE))</f>
        <v>2</v>
      </c>
      <c r="F1702" s="416">
        <f>IF(ISERROR(VLOOKUP(B1701,'MD Usage'!$A$1:$W$5000,7,FALSE)),0,VLOOKUP(B1701,'MD Usage'!$A$1:$W$5000,7,FALSE))</f>
        <v>7</v>
      </c>
      <c r="G1702" s="416">
        <f>IF(ISERROR(VLOOKUP(B1701,'MD Usage'!$A$1:$W$5000,9,FALSE)),0,VLOOKUP(B1701,'MD Usage'!$A$1:$W$5000,9,FALSE))</f>
        <v>0</v>
      </c>
      <c r="H1702" s="416">
        <f>IF(ISERROR(VLOOKUP(B1701,'MD Usage'!$A$1:$W$5000,11,FALSE)),0,VLOOKUP(B1701,'MD Usage'!$A$1:$W$5000,11,FALSE))</f>
        <v>1</v>
      </c>
      <c r="I1702" s="416">
        <f>IF(ISERROR(VLOOKUP(B1701,'MD Usage'!A1:R2000,13,FALSE)),0,VLOOKUP(B1701,'MD Usage'!A1:R2000,13,FALSE))</f>
        <v>7</v>
      </c>
      <c r="J1702" s="416">
        <f>IF(ISERROR(VLOOKUP(B1701,'MD Usage'!A1:R2000,15,FALSE)),0,VLOOKUP(B1701,'MD Usage'!A1:R2000,15,FALSE))</f>
        <v>5</v>
      </c>
      <c r="K1702" s="418">
        <f>SUM(D1702:J1702)</f>
        <v>25</v>
      </c>
    </row>
    <row r="1703" spans="2:13" x14ac:dyDescent="0.25">
      <c r="B1703" s="419" t="s">
        <v>595</v>
      </c>
      <c r="C1703" s="420">
        <v>5</v>
      </c>
      <c r="D1703" s="421">
        <f>D1702*C1703</f>
        <v>15</v>
      </c>
      <c r="E1703" s="421">
        <f>E1702*C1703</f>
        <v>10</v>
      </c>
      <c r="F1703" s="421">
        <f>F1702*C1703</f>
        <v>35</v>
      </c>
      <c r="G1703" s="421">
        <f>G1702*C1703</f>
        <v>0</v>
      </c>
      <c r="H1703" s="421">
        <f>H1702*C1703</f>
        <v>5</v>
      </c>
      <c r="I1703" s="421">
        <f>I1702*C1703</f>
        <v>35</v>
      </c>
      <c r="J1703" s="421">
        <f>J1702*C1703</f>
        <v>25</v>
      </c>
      <c r="K1703" s="422">
        <f>SUM(D1703:J1703)</f>
        <v>125</v>
      </c>
    </row>
    <row r="1704" spans="2:13" x14ac:dyDescent="0.25">
      <c r="B1704" s="389"/>
      <c r="C1704" s="423"/>
      <c r="D1704" s="421">
        <f>D1702*C1704</f>
        <v>0</v>
      </c>
      <c r="E1704" s="421">
        <f>E1702*C1704</f>
        <v>0</v>
      </c>
      <c r="F1704" s="421">
        <f>F1702*C1704</f>
        <v>0</v>
      </c>
      <c r="G1704" s="421">
        <f>G1702*C1704</f>
        <v>0</v>
      </c>
      <c r="H1704" s="421">
        <f>H1702*C1704</f>
        <v>0</v>
      </c>
      <c r="I1704" s="421">
        <f>I1702*C1704</f>
        <v>0</v>
      </c>
      <c r="J1704" s="421">
        <f>J1702*C1704</f>
        <v>0</v>
      </c>
      <c r="K1704" s="424">
        <f>SUM(D1704:J1704)</f>
        <v>0</v>
      </c>
    </row>
    <row r="1705" spans="2:13" x14ac:dyDescent="0.25">
      <c r="B1705" s="389"/>
      <c r="C1705" s="423"/>
      <c r="D1705" s="421">
        <f>D1702*C1705</f>
        <v>0</v>
      </c>
      <c r="E1705" s="421">
        <f>E1702*C1705</f>
        <v>0</v>
      </c>
      <c r="F1705" s="421">
        <f>F1702*C1705</f>
        <v>0</v>
      </c>
      <c r="G1705" s="421">
        <f>G1702*C1705</f>
        <v>0</v>
      </c>
      <c r="H1705" s="421">
        <f>H1702*C1705</f>
        <v>0</v>
      </c>
      <c r="I1705" s="421">
        <f>I1702*C1705</f>
        <v>0</v>
      </c>
      <c r="J1705" s="421">
        <f>J1702*C1705</f>
        <v>0</v>
      </c>
      <c r="K1705" s="424">
        <f>SUM(D1705:J1705)</f>
        <v>0</v>
      </c>
    </row>
    <row r="1706" spans="2:13" x14ac:dyDescent="0.25">
      <c r="B1706" s="389"/>
      <c r="C1706" s="423"/>
      <c r="D1706" s="421">
        <f>D1702*C1706</f>
        <v>0</v>
      </c>
      <c r="E1706" s="421">
        <f>E1702*C1706</f>
        <v>0</v>
      </c>
      <c r="F1706" s="421">
        <f>F1702*C1706</f>
        <v>0</v>
      </c>
      <c r="G1706" s="421">
        <f>G1702*C1706</f>
        <v>0</v>
      </c>
      <c r="H1706" s="421">
        <f>H1702*C1706</f>
        <v>0</v>
      </c>
      <c r="I1706" s="421">
        <f>I1702*C1706</f>
        <v>0</v>
      </c>
      <c r="J1706" s="421">
        <f>J1702*C1706</f>
        <v>0</v>
      </c>
      <c r="K1706" s="424">
        <f>SUM(D1706:J1706)</f>
        <v>0</v>
      </c>
    </row>
    <row r="1707" spans="2:13" ht="15.75" thickBot="1" x14ac:dyDescent="0.3"/>
    <row r="1708" spans="2:13" ht="15" customHeight="1" thickBot="1" x14ac:dyDescent="0.3">
      <c r="B1708" s="432">
        <v>6480232</v>
      </c>
      <c r="C1708" s="411"/>
      <c r="D1708" s="407" t="s">
        <v>548</v>
      </c>
      <c r="E1708" s="408" t="s">
        <v>549</v>
      </c>
      <c r="F1708" s="408" t="s">
        <v>550</v>
      </c>
      <c r="G1708" s="408" t="s">
        <v>551</v>
      </c>
      <c r="H1708" s="408" t="s">
        <v>552</v>
      </c>
      <c r="I1708" s="408" t="s">
        <v>553</v>
      </c>
      <c r="J1708" s="408" t="s">
        <v>554</v>
      </c>
      <c r="K1708" s="408" t="s">
        <v>555</v>
      </c>
      <c r="M1708" s="414" t="s">
        <v>784</v>
      </c>
    </row>
    <row r="1709" spans="2:13" ht="15.75" thickBot="1" x14ac:dyDescent="0.3">
      <c r="B1709" s="414" t="s">
        <v>556</v>
      </c>
      <c r="C1709" s="415" t="s">
        <v>620</v>
      </c>
      <c r="D1709" s="416">
        <f>IF(ISERROR(VLOOKUP(B1708,'MD Usage'!$A$1:$W$5000,3,FALSE)),0,VLOOKUP(B1708,'MD Usage'!$A$1:$W$5000,3,FALSE))</f>
        <v>0</v>
      </c>
      <c r="E1709" s="416">
        <f>IF(ISERROR(VLOOKUP(B1708,'MD Usage'!$A$1:$W$5000,5,FALSE)),0,VLOOKUP(B1708,'MD Usage'!$A$1:$W$5000,5,FALSE))</f>
        <v>0</v>
      </c>
      <c r="F1709" s="416">
        <f>IF(ISERROR(VLOOKUP(B1708,'MD Usage'!$A$1:$W$5000,7,FALSE)),0,VLOOKUP(B1708,'MD Usage'!$A$1:$W$5000,7,FALSE))</f>
        <v>2</v>
      </c>
      <c r="G1709" s="416">
        <f>IF(ISERROR(VLOOKUP(B1708,'MD Usage'!$A$1:$W$5000,9,FALSE)),0,VLOOKUP(B1708,'MD Usage'!$A$1:$W$5000,9,FALSE))</f>
        <v>0</v>
      </c>
      <c r="H1709" s="416">
        <f>IF(ISERROR(VLOOKUP(B1708,'MD Usage'!$A$1:$W$5000,11,FALSE)),0,VLOOKUP(B1708,'MD Usage'!$A$1:$W$5000,11,FALSE))</f>
        <v>1</v>
      </c>
      <c r="I1709" s="416">
        <f>IF(ISERROR(VLOOKUP(B1708,'MD Usage'!A1:R2000,13,FALSE)),0,VLOOKUP(B1708,'MD Usage'!A1:R2000,13,FALSE))</f>
        <v>0</v>
      </c>
      <c r="J1709" s="416">
        <f>IF(ISERROR(VLOOKUP(B1708,'MD Usage'!A1:R2000,15,FALSE)),0,VLOOKUP(B1708,'MD Usage'!A1:R2000,15,FALSE))</f>
        <v>0</v>
      </c>
      <c r="K1709" s="418">
        <f>SUM(D1709:J1709)</f>
        <v>3</v>
      </c>
    </row>
    <row r="1710" spans="2:13" x14ac:dyDescent="0.25">
      <c r="B1710" s="419" t="s">
        <v>595</v>
      </c>
      <c r="C1710" s="420">
        <v>5</v>
      </c>
      <c r="D1710" s="421">
        <f>D1709*C1710</f>
        <v>0</v>
      </c>
      <c r="E1710" s="421">
        <f>E1709*C1710</f>
        <v>0</v>
      </c>
      <c r="F1710" s="421">
        <f>F1709*C1710</f>
        <v>10</v>
      </c>
      <c r="G1710" s="421">
        <f>G1709*C1710</f>
        <v>0</v>
      </c>
      <c r="H1710" s="421">
        <f>H1709*C1710</f>
        <v>5</v>
      </c>
      <c r="I1710" s="421">
        <f>I1709*C1710</f>
        <v>0</v>
      </c>
      <c r="J1710" s="421">
        <f>J1709*C1710</f>
        <v>0</v>
      </c>
      <c r="K1710" s="422">
        <f>SUM(D1710:J1710)</f>
        <v>15</v>
      </c>
    </row>
    <row r="1711" spans="2:13" x14ac:dyDescent="0.25">
      <c r="B1711" s="389"/>
      <c r="C1711" s="423"/>
      <c r="D1711" s="421">
        <f>D1709*C1711</f>
        <v>0</v>
      </c>
      <c r="E1711" s="421">
        <f>E1709*C1711</f>
        <v>0</v>
      </c>
      <c r="F1711" s="421">
        <f>F1709*C1711</f>
        <v>0</v>
      </c>
      <c r="G1711" s="421">
        <f>G1709*C1711</f>
        <v>0</v>
      </c>
      <c r="H1711" s="421">
        <f>H1709*C1711</f>
        <v>0</v>
      </c>
      <c r="I1711" s="421">
        <f>I1709*C1711</f>
        <v>0</v>
      </c>
      <c r="J1711" s="421">
        <f>J1709*C1711</f>
        <v>0</v>
      </c>
      <c r="K1711" s="424">
        <f>SUM(D1711:J1711)</f>
        <v>0</v>
      </c>
    </row>
    <row r="1712" spans="2:13" x14ac:dyDescent="0.25">
      <c r="B1712" s="389"/>
      <c r="C1712" s="423"/>
      <c r="D1712" s="421">
        <f>D1709*C1712</f>
        <v>0</v>
      </c>
      <c r="E1712" s="421">
        <f>E1709*C1712</f>
        <v>0</v>
      </c>
      <c r="F1712" s="421">
        <f>F1709*C1712</f>
        <v>0</v>
      </c>
      <c r="G1712" s="421">
        <f>G1709*C1712</f>
        <v>0</v>
      </c>
      <c r="H1712" s="421">
        <f>H1709*C1712</f>
        <v>0</v>
      </c>
      <c r="I1712" s="421">
        <f>I1709*C1712</f>
        <v>0</v>
      </c>
      <c r="J1712" s="421">
        <f>J1709*C1712</f>
        <v>0</v>
      </c>
      <c r="K1712" s="424">
        <f>SUM(D1712:J1712)</f>
        <v>0</v>
      </c>
    </row>
    <row r="1713" spans="2:13" x14ac:dyDescent="0.25">
      <c r="B1713" s="389"/>
      <c r="C1713" s="423"/>
      <c r="D1713" s="421">
        <f>D1709*C1713</f>
        <v>0</v>
      </c>
      <c r="E1713" s="421">
        <f>E1709*C1713</f>
        <v>0</v>
      </c>
      <c r="F1713" s="421">
        <f>F1709*C1713</f>
        <v>0</v>
      </c>
      <c r="G1713" s="421">
        <f>G1709*C1713</f>
        <v>0</v>
      </c>
      <c r="H1713" s="421">
        <f>H1709*C1713</f>
        <v>0</v>
      </c>
      <c r="I1713" s="421">
        <f>I1709*C1713</f>
        <v>0</v>
      </c>
      <c r="J1713" s="421">
        <f>J1709*C1713</f>
        <v>0</v>
      </c>
      <c r="K1713" s="424">
        <f>SUM(D1713:J1713)</f>
        <v>0</v>
      </c>
    </row>
    <row r="1714" spans="2:13" ht="15.75" thickBot="1" x14ac:dyDescent="0.3"/>
    <row r="1715" spans="2:13" ht="15" customHeight="1" thickBot="1" x14ac:dyDescent="0.3">
      <c r="B1715" s="432">
        <v>6490153</v>
      </c>
      <c r="C1715" s="411"/>
      <c r="D1715" s="407" t="s">
        <v>548</v>
      </c>
      <c r="E1715" s="408" t="s">
        <v>549</v>
      </c>
      <c r="F1715" s="408" t="s">
        <v>550</v>
      </c>
      <c r="G1715" s="408" t="s">
        <v>551</v>
      </c>
      <c r="H1715" s="408" t="s">
        <v>552</v>
      </c>
      <c r="I1715" s="408" t="s">
        <v>553</v>
      </c>
      <c r="J1715" s="408" t="s">
        <v>554</v>
      </c>
      <c r="K1715" s="408" t="s">
        <v>555</v>
      </c>
      <c r="M1715" s="414" t="s">
        <v>1842</v>
      </c>
    </row>
    <row r="1716" spans="2:13" ht="15.75" thickBot="1" x14ac:dyDescent="0.3">
      <c r="B1716" s="414" t="s">
        <v>556</v>
      </c>
      <c r="C1716" s="415" t="s">
        <v>620</v>
      </c>
      <c r="D1716" s="416">
        <f>IF(ISERROR(VLOOKUP(B1715,'MD Usage'!$A$1:$W$5000,3,FALSE)),0,VLOOKUP(B1715,'MD Usage'!$A$1:$W$5000,3,FALSE))</f>
        <v>0</v>
      </c>
      <c r="E1716" s="416">
        <f>IF(ISERROR(VLOOKUP(B1715,'MD Usage'!$A$1:$W$5000,5,FALSE)),0,VLOOKUP(B1715,'MD Usage'!$A$1:$W$5000,5,FALSE))</f>
        <v>0</v>
      </c>
      <c r="F1716" s="416">
        <f>IF(ISERROR(VLOOKUP(B1715,'MD Usage'!$A$1:$W$5000,7,FALSE)),0,VLOOKUP(B1715,'MD Usage'!$A$1:$W$5000,7,FALSE))</f>
        <v>0</v>
      </c>
      <c r="G1716" s="416">
        <f>IF(ISERROR(VLOOKUP(B1715,'MD Usage'!$A$1:$W$5000,9,FALSE)),0,VLOOKUP(B1715,'MD Usage'!$A$1:$W$5000,9,FALSE))</f>
        <v>0</v>
      </c>
      <c r="H1716" s="416">
        <f>IF(ISERROR(VLOOKUP(B1715,'MD Usage'!$A$1:$W$5000,11,FALSE)),0,VLOOKUP(B1715,'MD Usage'!$A$1:$W$5000,11,FALSE))</f>
        <v>0</v>
      </c>
      <c r="I1716" s="416">
        <f>IF(ISERROR(VLOOKUP(B1715,'MD Usage'!A1:R2000,13,FALSE)),0,VLOOKUP(B1715,'MD Usage'!A1:R2000,13,FALSE))</f>
        <v>0</v>
      </c>
      <c r="J1716" s="416">
        <f>IF(ISERROR(VLOOKUP(B1715,'MD Usage'!A1:R2000,15,FALSE)),0,VLOOKUP(B1715,'MD Usage'!A1:R2000,15,FALSE))</f>
        <v>0</v>
      </c>
      <c r="K1716" s="418">
        <f>SUM(D1716:J1716)</f>
        <v>0</v>
      </c>
    </row>
    <row r="1717" spans="2:13" x14ac:dyDescent="0.25">
      <c r="B1717" s="419" t="s">
        <v>581</v>
      </c>
      <c r="C1717" s="420">
        <v>3</v>
      </c>
      <c r="D1717" s="421">
        <f>D1716*C1717</f>
        <v>0</v>
      </c>
      <c r="E1717" s="421">
        <f>E1716*C1717</f>
        <v>0</v>
      </c>
      <c r="F1717" s="421">
        <f>F1716*C1717</f>
        <v>0</v>
      </c>
      <c r="G1717" s="421">
        <f>G1716*C1717</f>
        <v>0</v>
      </c>
      <c r="H1717" s="421">
        <f>H1716*C1717</f>
        <v>0</v>
      </c>
      <c r="I1717" s="421">
        <f>I1716*C1717</f>
        <v>0</v>
      </c>
      <c r="J1717" s="421">
        <f>J1716*C1717</f>
        <v>0</v>
      </c>
      <c r="K1717" s="422">
        <f>SUM(D1717:J1717)</f>
        <v>0</v>
      </c>
    </row>
    <row r="1718" spans="2:13" x14ac:dyDescent="0.25">
      <c r="B1718" s="389"/>
      <c r="C1718" s="423"/>
      <c r="D1718" s="421">
        <f>D1716*C1718</f>
        <v>0</v>
      </c>
      <c r="E1718" s="421">
        <f>E1716*C1718</f>
        <v>0</v>
      </c>
      <c r="F1718" s="421">
        <f>F1716*C1718</f>
        <v>0</v>
      </c>
      <c r="G1718" s="421">
        <f>G1716*C1718</f>
        <v>0</v>
      </c>
      <c r="H1718" s="421">
        <f>H1716*C1718</f>
        <v>0</v>
      </c>
      <c r="I1718" s="421">
        <f>I1716*C1718</f>
        <v>0</v>
      </c>
      <c r="J1718" s="421">
        <f>J1716*C1718</f>
        <v>0</v>
      </c>
      <c r="K1718" s="424">
        <f>SUM(D1718:J1718)</f>
        <v>0</v>
      </c>
    </row>
    <row r="1719" spans="2:13" x14ac:dyDescent="0.25">
      <c r="B1719" s="389"/>
      <c r="C1719" s="423"/>
      <c r="D1719" s="421">
        <f>D1716*C1719</f>
        <v>0</v>
      </c>
      <c r="E1719" s="421">
        <f>E1716*C1719</f>
        <v>0</v>
      </c>
      <c r="F1719" s="421">
        <f>F1716*C1719</f>
        <v>0</v>
      </c>
      <c r="G1719" s="421">
        <f>G1716*C1719</f>
        <v>0</v>
      </c>
      <c r="H1719" s="421">
        <f>H1716*C1719</f>
        <v>0</v>
      </c>
      <c r="I1719" s="421">
        <f>I1716*C1719</f>
        <v>0</v>
      </c>
      <c r="J1719" s="421">
        <f>J1716*C1719</f>
        <v>0</v>
      </c>
      <c r="K1719" s="424">
        <f>SUM(D1719:J1719)</f>
        <v>0</v>
      </c>
    </row>
    <row r="1720" spans="2:13" x14ac:dyDescent="0.25">
      <c r="B1720" s="389"/>
      <c r="C1720" s="423"/>
      <c r="D1720" s="421">
        <f>D1716*C1720</f>
        <v>0</v>
      </c>
      <c r="E1720" s="421">
        <f>E1716*C1720</f>
        <v>0</v>
      </c>
      <c r="F1720" s="421">
        <f>F1716*C1720</f>
        <v>0</v>
      </c>
      <c r="G1720" s="421">
        <f>G1716*C1720</f>
        <v>0</v>
      </c>
      <c r="H1720" s="421">
        <f>H1716*C1720</f>
        <v>0</v>
      </c>
      <c r="I1720" s="421">
        <f>I1716*C1720</f>
        <v>0</v>
      </c>
      <c r="J1720" s="421">
        <f>J1716*C1720</f>
        <v>0</v>
      </c>
      <c r="K1720" s="424">
        <f>SUM(D1720:J1720)</f>
        <v>0</v>
      </c>
    </row>
    <row r="1721" spans="2:13" ht="15.75" thickBot="1" x14ac:dyDescent="0.3"/>
    <row r="1722" spans="2:13" ht="15" customHeight="1" thickBot="1" x14ac:dyDescent="0.3">
      <c r="B1722" s="432">
        <v>6490671</v>
      </c>
      <c r="C1722" s="411"/>
      <c r="D1722" s="407" t="s">
        <v>548</v>
      </c>
      <c r="E1722" s="408" t="s">
        <v>549</v>
      </c>
      <c r="F1722" s="408" t="s">
        <v>550</v>
      </c>
      <c r="G1722" s="408" t="s">
        <v>551</v>
      </c>
      <c r="H1722" s="408" t="s">
        <v>552</v>
      </c>
      <c r="I1722" s="408" t="s">
        <v>553</v>
      </c>
      <c r="J1722" s="408" t="s">
        <v>554</v>
      </c>
      <c r="K1722" s="408" t="s">
        <v>555</v>
      </c>
      <c r="M1722" s="414" t="s">
        <v>1843</v>
      </c>
    </row>
    <row r="1723" spans="2:13" ht="15.75" thickBot="1" x14ac:dyDescent="0.3">
      <c r="B1723" s="414" t="s">
        <v>556</v>
      </c>
      <c r="C1723" s="415" t="s">
        <v>620</v>
      </c>
      <c r="D1723" s="416">
        <f>IF(ISERROR(VLOOKUP(B1722,'MD Usage'!$A$1:$W$5000,3,FALSE)),0,VLOOKUP(B1722,'MD Usage'!$A$1:$W$5000,3,FALSE))</f>
        <v>0</v>
      </c>
      <c r="E1723" s="416">
        <f>IF(ISERROR(VLOOKUP(B1722,'MD Usage'!$A$1:$W$5000,5,FALSE)),0,VLOOKUP(B1722,'MD Usage'!$A$1:$W$5000,5,FALSE))</f>
        <v>0</v>
      </c>
      <c r="F1723" s="416">
        <f>IF(ISERROR(VLOOKUP(B1722,'MD Usage'!$A$1:$W$5000,7,FALSE)),0,VLOOKUP(B1722,'MD Usage'!$A$1:$W$5000,7,FALSE))</f>
        <v>0</v>
      </c>
      <c r="G1723" s="416">
        <f>IF(ISERROR(VLOOKUP(B1722,'MD Usage'!$A$1:$W$5000,9,FALSE)),0,VLOOKUP(B1722,'MD Usage'!$A$1:$W$5000,9,FALSE))</f>
        <v>0</v>
      </c>
      <c r="H1723" s="416">
        <f>IF(ISERROR(VLOOKUP(B1722,'MD Usage'!$A$1:$W$5000,11,FALSE)),0,VLOOKUP(B1722,'MD Usage'!$A$1:$W$5000,11,FALSE))</f>
        <v>0</v>
      </c>
      <c r="I1723" s="416">
        <f>IF(ISERROR(VLOOKUP(B1722,'MD Usage'!A1:R2000,13,FALSE)),0,VLOOKUP(B1722,'MD Usage'!A1:R2000,13,FALSE))</f>
        <v>0</v>
      </c>
      <c r="J1723" s="416">
        <f>IF(ISERROR(VLOOKUP(B1722,'MD Usage'!A1:R2000,15,FALSE)),0,VLOOKUP(B1722,'MD Usage'!A1:R2000,15,FALSE))</f>
        <v>0</v>
      </c>
      <c r="K1723" s="418">
        <f>SUM(D1723:J1723)</f>
        <v>0</v>
      </c>
    </row>
    <row r="1724" spans="2:13" x14ac:dyDescent="0.25">
      <c r="B1724" s="419" t="s">
        <v>581</v>
      </c>
      <c r="C1724" s="420">
        <v>5</v>
      </c>
      <c r="D1724" s="421">
        <f>D1723*C1724</f>
        <v>0</v>
      </c>
      <c r="E1724" s="421">
        <f>E1723*C1724</f>
        <v>0</v>
      </c>
      <c r="F1724" s="421">
        <f>F1723*C1724</f>
        <v>0</v>
      </c>
      <c r="G1724" s="421">
        <f>G1723*C1724</f>
        <v>0</v>
      </c>
      <c r="H1724" s="421">
        <f>H1723*C1724</f>
        <v>0</v>
      </c>
      <c r="I1724" s="421">
        <f>I1723*C1724</f>
        <v>0</v>
      </c>
      <c r="J1724" s="421">
        <f>J1723*C1724</f>
        <v>0</v>
      </c>
      <c r="K1724" s="422">
        <f>SUM(D1724:J1724)</f>
        <v>0</v>
      </c>
    </row>
    <row r="1725" spans="2:13" x14ac:dyDescent="0.25">
      <c r="B1725" s="389"/>
      <c r="C1725" s="423"/>
      <c r="D1725" s="421">
        <f>D1723*C1725</f>
        <v>0</v>
      </c>
      <c r="E1725" s="421">
        <f>E1723*C1725</f>
        <v>0</v>
      </c>
      <c r="F1725" s="421">
        <f>F1723*C1725</f>
        <v>0</v>
      </c>
      <c r="G1725" s="421">
        <f>G1723*C1725</f>
        <v>0</v>
      </c>
      <c r="H1725" s="421">
        <f>H1723*C1725</f>
        <v>0</v>
      </c>
      <c r="I1725" s="421">
        <f>I1723*C1725</f>
        <v>0</v>
      </c>
      <c r="J1725" s="421">
        <f>J1723*C1725</f>
        <v>0</v>
      </c>
      <c r="K1725" s="424">
        <f>SUM(D1725:J1725)</f>
        <v>0</v>
      </c>
    </row>
    <row r="1726" spans="2:13" x14ac:dyDescent="0.25">
      <c r="B1726" s="389"/>
      <c r="C1726" s="423"/>
      <c r="D1726" s="421">
        <f>D1723*C1726</f>
        <v>0</v>
      </c>
      <c r="E1726" s="421">
        <f>E1723*C1726</f>
        <v>0</v>
      </c>
      <c r="F1726" s="421">
        <f>F1723*C1726</f>
        <v>0</v>
      </c>
      <c r="G1726" s="421">
        <f>G1723*C1726</f>
        <v>0</v>
      </c>
      <c r="H1726" s="421">
        <f>H1723*C1726</f>
        <v>0</v>
      </c>
      <c r="I1726" s="421">
        <f>I1723*C1726</f>
        <v>0</v>
      </c>
      <c r="J1726" s="421">
        <f>J1723*C1726</f>
        <v>0</v>
      </c>
      <c r="K1726" s="424">
        <f>SUM(D1726:J1726)</f>
        <v>0</v>
      </c>
    </row>
    <row r="1727" spans="2:13" x14ac:dyDescent="0.25">
      <c r="B1727" s="389"/>
      <c r="C1727" s="423"/>
      <c r="D1727" s="421">
        <f>D1723*C1727</f>
        <v>0</v>
      </c>
      <c r="E1727" s="421">
        <f>E1723*C1727</f>
        <v>0</v>
      </c>
      <c r="F1727" s="421">
        <f>F1723*C1727</f>
        <v>0</v>
      </c>
      <c r="G1727" s="421">
        <f>G1723*C1727</f>
        <v>0</v>
      </c>
      <c r="H1727" s="421">
        <f>H1723*C1727</f>
        <v>0</v>
      </c>
      <c r="I1727" s="421">
        <f>I1723*C1727</f>
        <v>0</v>
      </c>
      <c r="J1727" s="421">
        <f>J1723*C1727</f>
        <v>0</v>
      </c>
      <c r="K1727" s="424">
        <f>SUM(D1727:J1727)</f>
        <v>0</v>
      </c>
    </row>
    <row r="1728" spans="2:13" ht="15.75" thickBot="1" x14ac:dyDescent="0.3"/>
    <row r="1729" spans="2:13" ht="15" customHeight="1" thickBot="1" x14ac:dyDescent="0.3">
      <c r="B1729" s="432">
        <v>6490915</v>
      </c>
      <c r="C1729" s="411"/>
      <c r="D1729" s="407" t="s">
        <v>548</v>
      </c>
      <c r="E1729" s="408" t="s">
        <v>549</v>
      </c>
      <c r="F1729" s="408" t="s">
        <v>550</v>
      </c>
      <c r="G1729" s="408" t="s">
        <v>551</v>
      </c>
      <c r="H1729" s="408" t="s">
        <v>552</v>
      </c>
      <c r="I1729" s="408" t="s">
        <v>553</v>
      </c>
      <c r="J1729" s="408" t="s">
        <v>554</v>
      </c>
      <c r="K1729" s="408" t="s">
        <v>555</v>
      </c>
      <c r="M1729" s="414" t="s">
        <v>1867</v>
      </c>
    </row>
    <row r="1730" spans="2:13" ht="15.75" thickBot="1" x14ac:dyDescent="0.3">
      <c r="B1730" s="414" t="s">
        <v>556</v>
      </c>
      <c r="C1730" s="415" t="s">
        <v>620</v>
      </c>
      <c r="D1730" s="416">
        <f>IF(ISERROR(VLOOKUP(B1729,'MD Usage'!$A$1:$W$5000,3,FALSE)),0,VLOOKUP(B1729,'MD Usage'!$A$1:$W$5000,3,FALSE))</f>
        <v>0</v>
      </c>
      <c r="E1730" s="416">
        <f>IF(ISERROR(VLOOKUP(B1729,'MD Usage'!$A$1:$W$5000,5,FALSE)),0,VLOOKUP(B1729,'MD Usage'!$A$1:$W$5000,5,FALSE))</f>
        <v>0</v>
      </c>
      <c r="F1730" s="416">
        <f>IF(ISERROR(VLOOKUP(B1729,'MD Usage'!$A$1:$W$5000,7,FALSE)),0,VLOOKUP(B1729,'MD Usage'!$A$1:$W$5000,7,FALSE))</f>
        <v>1</v>
      </c>
      <c r="G1730" s="416">
        <f>IF(ISERROR(VLOOKUP(B1729,'MD Usage'!$A$1:$W$5000,9,FALSE)),0,VLOOKUP(B1729,'MD Usage'!$A$1:$W$5000,9,FALSE))</f>
        <v>1</v>
      </c>
      <c r="H1730" s="416">
        <f>IF(ISERROR(VLOOKUP(B1729,'MD Usage'!$A$1:$W$5000,11,FALSE)),0,VLOOKUP(B1729,'MD Usage'!$A$1:$W$5000,11,FALSE))</f>
        <v>5</v>
      </c>
      <c r="I1730" s="416">
        <f>IF(ISERROR(VLOOKUP(B1729,'MD Usage'!A1:R2000,13,FALSE)),0,VLOOKUP(B1729,'MD Usage'!A1:R2000,13,FALSE))</f>
        <v>2</v>
      </c>
      <c r="J1730" s="416">
        <f>IF(ISERROR(VLOOKUP(B1729,'MD Usage'!A1:R2000,15,FALSE)),0,VLOOKUP(B1729,'MD Usage'!A1:R2000,15,FALSE))</f>
        <v>1</v>
      </c>
      <c r="K1730" s="418">
        <f t="shared" ref="K1730:K1736" si="82">SUM(D1730:J1730)</f>
        <v>10</v>
      </c>
    </row>
    <row r="1731" spans="2:13" x14ac:dyDescent="0.25">
      <c r="B1731" s="419" t="s">
        <v>1860</v>
      </c>
      <c r="C1731" s="420">
        <v>1</v>
      </c>
      <c r="D1731" s="421">
        <f>D1730*C1731</f>
        <v>0</v>
      </c>
      <c r="E1731" s="421">
        <f>E1730*C1731</f>
        <v>0</v>
      </c>
      <c r="F1731" s="421">
        <f>F1730*C1731</f>
        <v>1</v>
      </c>
      <c r="G1731" s="421">
        <f>G1730*C1731</f>
        <v>1</v>
      </c>
      <c r="H1731" s="421">
        <f>H1730*C1731</f>
        <v>5</v>
      </c>
      <c r="I1731" s="421">
        <f>I1730*C1731</f>
        <v>2</v>
      </c>
      <c r="J1731" s="421">
        <f>J1730*C1731</f>
        <v>1</v>
      </c>
      <c r="K1731" s="422">
        <f t="shared" si="82"/>
        <v>10</v>
      </c>
    </row>
    <row r="1732" spans="2:13" x14ac:dyDescent="0.25">
      <c r="B1732" s="389" t="s">
        <v>917</v>
      </c>
      <c r="C1732" s="423">
        <v>1</v>
      </c>
      <c r="D1732" s="421">
        <f>D1730*C1732</f>
        <v>0</v>
      </c>
      <c r="E1732" s="421">
        <f>E1730*C1732</f>
        <v>0</v>
      </c>
      <c r="F1732" s="421">
        <f>F1730*C1732</f>
        <v>1</v>
      </c>
      <c r="G1732" s="421">
        <f>G1730*C1732</f>
        <v>1</v>
      </c>
      <c r="H1732" s="421">
        <f>H1730*C1732</f>
        <v>5</v>
      </c>
      <c r="I1732" s="421">
        <f>I1730*C1732</f>
        <v>2</v>
      </c>
      <c r="J1732" s="421">
        <f>J1730*C1732</f>
        <v>1</v>
      </c>
      <c r="K1732" s="424">
        <f t="shared" si="82"/>
        <v>10</v>
      </c>
    </row>
    <row r="1733" spans="2:13" x14ac:dyDescent="0.25">
      <c r="B1733" s="389"/>
      <c r="C1733" s="423"/>
      <c r="D1733" s="421">
        <f>D1731*C1733</f>
        <v>0</v>
      </c>
      <c r="E1733" s="421">
        <f>E1731*C1733</f>
        <v>0</v>
      </c>
      <c r="F1733" s="421">
        <f>F1731*C1733</f>
        <v>0</v>
      </c>
      <c r="G1733" s="421">
        <f>G1731*C1733</f>
        <v>0</v>
      </c>
      <c r="H1733" s="421">
        <f>H1731*C1733</f>
        <v>0</v>
      </c>
      <c r="I1733" s="421">
        <f>I1731*C1733</f>
        <v>0</v>
      </c>
      <c r="J1733" s="421">
        <f>J1731*C1733</f>
        <v>0</v>
      </c>
      <c r="K1733" s="424">
        <f t="shared" si="82"/>
        <v>0</v>
      </c>
    </row>
    <row r="1734" spans="2:13" x14ac:dyDescent="0.25">
      <c r="B1734" s="389"/>
      <c r="C1734" s="423"/>
      <c r="D1734" s="421">
        <f>D1732*C1734</f>
        <v>0</v>
      </c>
      <c r="E1734" s="421">
        <f>E1732*C1734</f>
        <v>0</v>
      </c>
      <c r="F1734" s="421">
        <f>F1732*C1734</f>
        <v>0</v>
      </c>
      <c r="G1734" s="421">
        <f>G1732*C1734</f>
        <v>0</v>
      </c>
      <c r="H1734" s="421">
        <f>H1732*C1734</f>
        <v>0</v>
      </c>
      <c r="I1734" s="421">
        <f>I1732*C1734</f>
        <v>0</v>
      </c>
      <c r="J1734" s="421">
        <f>J1732*C1734</f>
        <v>0</v>
      </c>
      <c r="K1734" s="424">
        <f t="shared" si="82"/>
        <v>0</v>
      </c>
    </row>
    <row r="1735" spans="2:13" x14ac:dyDescent="0.25">
      <c r="B1735" s="389"/>
      <c r="C1735" s="423"/>
      <c r="D1735" s="421">
        <f>D1730*C1735</f>
        <v>0</v>
      </c>
      <c r="E1735" s="421">
        <f>E1730*C1735</f>
        <v>0</v>
      </c>
      <c r="F1735" s="421">
        <f>F1730*C1735</f>
        <v>0</v>
      </c>
      <c r="G1735" s="421">
        <f>G1730*C1735</f>
        <v>0</v>
      </c>
      <c r="H1735" s="421">
        <f>H1730*C1735</f>
        <v>0</v>
      </c>
      <c r="I1735" s="421">
        <f>I1730*C1735</f>
        <v>0</v>
      </c>
      <c r="J1735" s="421">
        <f>J1730*C1735</f>
        <v>0</v>
      </c>
      <c r="K1735" s="424">
        <f t="shared" si="82"/>
        <v>0</v>
      </c>
    </row>
    <row r="1736" spans="2:13" ht="15" customHeight="1" x14ac:dyDescent="0.25">
      <c r="B1736" s="389"/>
      <c r="C1736" s="423"/>
      <c r="D1736" s="421">
        <f>D1730*C1736</f>
        <v>0</v>
      </c>
      <c r="E1736" s="421">
        <f>E1730*C1736</f>
        <v>0</v>
      </c>
      <c r="F1736" s="421">
        <f>F1730*C1736</f>
        <v>0</v>
      </c>
      <c r="G1736" s="421">
        <f>G1730*C1736</f>
        <v>0</v>
      </c>
      <c r="H1736" s="421">
        <f>H1730*C1736</f>
        <v>0</v>
      </c>
      <c r="I1736" s="421">
        <f>I1730*C1736</f>
        <v>0</v>
      </c>
      <c r="J1736" s="421">
        <f>J1730*C1736</f>
        <v>0</v>
      </c>
      <c r="K1736" s="424">
        <f t="shared" si="82"/>
        <v>0</v>
      </c>
    </row>
    <row r="1737" spans="2:13" ht="15.75" thickBot="1" x14ac:dyDescent="0.3"/>
    <row r="1738" spans="2:13" ht="15.75" thickBot="1" x14ac:dyDescent="0.3">
      <c r="B1738" s="432"/>
      <c r="C1738" s="411"/>
      <c r="D1738" s="407" t="s">
        <v>548</v>
      </c>
      <c r="E1738" s="408" t="s">
        <v>549</v>
      </c>
      <c r="F1738" s="408" t="s">
        <v>550</v>
      </c>
      <c r="G1738" s="408" t="s">
        <v>551</v>
      </c>
      <c r="H1738" s="408" t="s">
        <v>552</v>
      </c>
      <c r="I1738" s="408" t="s">
        <v>553</v>
      </c>
      <c r="J1738" s="408" t="s">
        <v>554</v>
      </c>
      <c r="K1738" s="408" t="s">
        <v>555</v>
      </c>
      <c r="M1738" s="426"/>
    </row>
    <row r="1739" spans="2:13" ht="15.75" thickBot="1" x14ac:dyDescent="0.3">
      <c r="B1739" s="414" t="s">
        <v>556</v>
      </c>
      <c r="C1739" s="415" t="s">
        <v>620</v>
      </c>
      <c r="D1739" s="416">
        <f>IF(ISERROR(VLOOKUP(B1738,'MD Usage'!$A$1:$W$5000,3,FALSE)),0,VLOOKUP(B1738,'MD Usage'!$A$1:$W$5000,3,FALSE))</f>
        <v>0</v>
      </c>
      <c r="E1739" s="416">
        <f>IF(ISERROR(VLOOKUP(B1738,'MD Usage'!$A$1:$W$5000,5,FALSE)),0,VLOOKUP(B1738,'MD Usage'!$A$1:$W$5000,5,FALSE))</f>
        <v>0</v>
      </c>
      <c r="F1739" s="416">
        <f>IF(ISERROR(VLOOKUP(B1738,'MD Usage'!$A$1:$W$5000,7,FALSE)),0,VLOOKUP(B1738,'MD Usage'!$A$1:$W$5000,7,FALSE))</f>
        <v>0</v>
      </c>
      <c r="G1739" s="416">
        <f>IF(ISERROR(VLOOKUP(B1738,'MD Usage'!$A$1:$W$5000,9,FALSE)),0,VLOOKUP(B1738,'MD Usage'!$A$1:$W$5000,9,FALSE))</f>
        <v>0</v>
      </c>
      <c r="H1739" s="416">
        <f>IF(ISERROR(VLOOKUP(B1738,'MD Usage'!$A$1:$W$5000,11,FALSE)),0,VLOOKUP(B1738,'MD Usage'!$A$1:$W$5000,11,FALSE))</f>
        <v>0</v>
      </c>
      <c r="I1739" s="416">
        <f>IF(ISERROR(VLOOKUP(B1738,'MD Usage'!A1:R2000,13,FALSE)),0,VLOOKUP(B1738,'MD Usage'!A1:R2000,13,FALSE))</f>
        <v>0</v>
      </c>
      <c r="J1739" s="416">
        <f>IF(ISERROR(VLOOKUP(B1738,'MD Usage'!A1:R2000,15,FALSE)),0,VLOOKUP(B1738,'MD Usage'!A1:R2000,15,FALSE))</f>
        <v>0</v>
      </c>
      <c r="K1739" s="418">
        <f>SUM(D1739:J1739)</f>
        <v>0</v>
      </c>
    </row>
    <row r="1740" spans="2:13" x14ac:dyDescent="0.25">
      <c r="B1740" s="419"/>
      <c r="C1740" s="420"/>
      <c r="D1740" s="421">
        <f>D1739*C1740</f>
        <v>0</v>
      </c>
      <c r="E1740" s="421">
        <f>E1739*C1740</f>
        <v>0</v>
      </c>
      <c r="F1740" s="421">
        <f>F1739*C1740</f>
        <v>0</v>
      </c>
      <c r="G1740" s="421">
        <f>G1739*C1740</f>
        <v>0</v>
      </c>
      <c r="H1740" s="421">
        <f>H1739*C1740</f>
        <v>0</v>
      </c>
      <c r="I1740" s="421">
        <f>I1739*C1740</f>
        <v>0</v>
      </c>
      <c r="J1740" s="421">
        <f>J1739*C1740</f>
        <v>0</v>
      </c>
      <c r="K1740" s="422">
        <f>SUM(D1740:J1740)</f>
        <v>0</v>
      </c>
    </row>
    <row r="1741" spans="2:13" x14ac:dyDescent="0.25">
      <c r="B1741" s="389"/>
      <c r="C1741" s="423"/>
      <c r="D1741" s="421">
        <f>D1739*C1741</f>
        <v>0</v>
      </c>
      <c r="E1741" s="421">
        <f>E1739*C1741</f>
        <v>0</v>
      </c>
      <c r="F1741" s="421">
        <f>F1739*C1741</f>
        <v>0</v>
      </c>
      <c r="G1741" s="421">
        <f>G1739*C1741</f>
        <v>0</v>
      </c>
      <c r="H1741" s="421">
        <f>H1739*C1741</f>
        <v>0</v>
      </c>
      <c r="I1741" s="421">
        <f>I1739*C1741</f>
        <v>0</v>
      </c>
      <c r="J1741" s="421">
        <f>J1739*C1741</f>
        <v>0</v>
      </c>
      <c r="K1741" s="424">
        <f>SUM(D1741:J1741)</f>
        <v>0</v>
      </c>
    </row>
    <row r="1742" spans="2:13" ht="15" customHeight="1" x14ac:dyDescent="0.25">
      <c r="B1742" s="389"/>
      <c r="C1742" s="423"/>
      <c r="D1742" s="421">
        <f>D1739*C1742</f>
        <v>0</v>
      </c>
      <c r="E1742" s="421">
        <f>E1739*C1742</f>
        <v>0</v>
      </c>
      <c r="F1742" s="421">
        <f>F1739*C1742</f>
        <v>0</v>
      </c>
      <c r="G1742" s="421">
        <f>G1739*C1742</f>
        <v>0</v>
      </c>
      <c r="H1742" s="421">
        <f>H1739*C1742</f>
        <v>0</v>
      </c>
      <c r="I1742" s="421">
        <f>I1739*C1742</f>
        <v>0</v>
      </c>
      <c r="J1742" s="421">
        <f>J1739*C1742</f>
        <v>0</v>
      </c>
      <c r="K1742" s="424">
        <f>SUM(D1742:J1742)</f>
        <v>0</v>
      </c>
    </row>
    <row r="1743" spans="2:13" ht="15" customHeight="1" x14ac:dyDescent="0.25">
      <c r="B1743" s="389"/>
      <c r="C1743" s="423"/>
      <c r="D1743" s="421">
        <f>D1739*C1743</f>
        <v>0</v>
      </c>
      <c r="E1743" s="421">
        <f>E1739*C1743</f>
        <v>0</v>
      </c>
      <c r="F1743" s="421">
        <f>F1739*C1743</f>
        <v>0</v>
      </c>
      <c r="G1743" s="421">
        <f>G1739*C1743</f>
        <v>0</v>
      </c>
      <c r="H1743" s="421">
        <f>H1739*C1743</f>
        <v>0</v>
      </c>
      <c r="I1743" s="421">
        <f>I1739*C1743</f>
        <v>0</v>
      </c>
      <c r="J1743" s="421">
        <f>J1739*C1743</f>
        <v>0</v>
      </c>
      <c r="K1743" s="424">
        <f>SUM(D1743:J1743)</f>
        <v>0</v>
      </c>
    </row>
    <row r="1744" spans="2:13" ht="15" customHeight="1" thickBot="1" x14ac:dyDescent="0.3">
      <c r="B1744" s="383"/>
      <c r="C1744" s="443"/>
      <c r="D1744" s="444"/>
      <c r="E1744" s="445"/>
      <c r="F1744" s="445"/>
      <c r="G1744" s="445"/>
      <c r="H1744" s="445"/>
      <c r="I1744" s="445"/>
      <c r="J1744" s="445"/>
      <c r="K1744" s="446"/>
    </row>
    <row r="1745" spans="2:13" ht="15.75" thickBot="1" x14ac:dyDescent="0.3">
      <c r="B1745" s="432"/>
      <c r="C1745" s="411"/>
      <c r="D1745" s="407" t="s">
        <v>548</v>
      </c>
      <c r="E1745" s="408" t="s">
        <v>549</v>
      </c>
      <c r="F1745" s="408" t="s">
        <v>550</v>
      </c>
      <c r="G1745" s="408" t="s">
        <v>551</v>
      </c>
      <c r="H1745" s="408" t="s">
        <v>552</v>
      </c>
      <c r="I1745" s="408" t="s">
        <v>553</v>
      </c>
      <c r="J1745" s="408" t="s">
        <v>554</v>
      </c>
      <c r="K1745" s="408" t="s">
        <v>555</v>
      </c>
      <c r="M1745" s="426"/>
    </row>
    <row r="1746" spans="2:13" ht="15.75" thickBot="1" x14ac:dyDescent="0.3">
      <c r="B1746" s="414" t="s">
        <v>556</v>
      </c>
      <c r="C1746" s="415" t="s">
        <v>620</v>
      </c>
      <c r="D1746" s="416">
        <f>IF(ISERROR(VLOOKUP(B1745,'MD Usage'!$A$1:$W$5000,3,FALSE)),0,VLOOKUP(B1745,'MD Usage'!$A$1:$W$5000,3,FALSE))</f>
        <v>0</v>
      </c>
      <c r="E1746" s="416">
        <f>IF(ISERROR(VLOOKUP(B1745,'MD Usage'!$A$1:$W$5000,5,FALSE)),0,VLOOKUP(B1745,'MD Usage'!$A$1:$W$5000,5,FALSE))</f>
        <v>0</v>
      </c>
      <c r="F1746" s="416">
        <f>IF(ISERROR(VLOOKUP(B1745,'MD Usage'!$A$1:$W$5000,7,FALSE)),0,VLOOKUP(B1745,'MD Usage'!$A$1:$W$5000,7,FALSE))</f>
        <v>0</v>
      </c>
      <c r="G1746" s="416">
        <f>IF(ISERROR(VLOOKUP(B1745,'MD Usage'!$A$1:$W$5000,9,FALSE)),0,VLOOKUP(B1745,'MD Usage'!$A$1:$W$5000,9,FALSE))</f>
        <v>0</v>
      </c>
      <c r="H1746" s="416">
        <f>IF(ISERROR(VLOOKUP(B1745,'MD Usage'!$A$1:$W$5000,11,FALSE)),0,VLOOKUP(B1745,'MD Usage'!$A$1:$W$5000,11,FALSE))</f>
        <v>0</v>
      </c>
      <c r="I1746" s="416">
        <f>IF(ISERROR(VLOOKUP(B1745,'MD Usage'!A1:R2000,13,FALSE)),0,VLOOKUP(B1745,'MD Usage'!A1:R2000,13,FALSE))</f>
        <v>0</v>
      </c>
      <c r="J1746" s="416">
        <f>IF(ISERROR(VLOOKUP(B1745,'MD Usage'!A1:R2000,15,FALSE)),0,VLOOKUP(B1745,'MD Usage'!A1:R2000,15,FALSE))</f>
        <v>0</v>
      </c>
      <c r="K1746" s="418">
        <f t="shared" ref="K1746:K1752" si="83">SUM(D1746:J1746)</f>
        <v>0</v>
      </c>
    </row>
    <row r="1747" spans="2:13" x14ac:dyDescent="0.25">
      <c r="B1747" s="419"/>
      <c r="C1747" s="420"/>
      <c r="D1747" s="421">
        <f>D1746*C1747</f>
        <v>0</v>
      </c>
      <c r="E1747" s="421">
        <f>E1746*C1747</f>
        <v>0</v>
      </c>
      <c r="F1747" s="421">
        <f>F1746*C1747</f>
        <v>0</v>
      </c>
      <c r="G1747" s="421">
        <f>G1746*C1747</f>
        <v>0</v>
      </c>
      <c r="H1747" s="421">
        <f>H1746*C1747</f>
        <v>0</v>
      </c>
      <c r="I1747" s="421">
        <f>I1746*C1747</f>
        <v>0</v>
      </c>
      <c r="J1747" s="421">
        <f>J1746*C1747</f>
        <v>0</v>
      </c>
      <c r="K1747" s="422">
        <f t="shared" si="83"/>
        <v>0</v>
      </c>
    </row>
    <row r="1748" spans="2:13" x14ac:dyDescent="0.25">
      <c r="B1748" s="389"/>
      <c r="C1748" s="423"/>
      <c r="D1748" s="421">
        <f>D1746*C1748</f>
        <v>0</v>
      </c>
      <c r="E1748" s="421">
        <f>E1746*C1748</f>
        <v>0</v>
      </c>
      <c r="F1748" s="421">
        <f>F1746*C1748</f>
        <v>0</v>
      </c>
      <c r="G1748" s="421">
        <f>G1746*C1748</f>
        <v>0</v>
      </c>
      <c r="H1748" s="421">
        <f>H1746*C1748</f>
        <v>0</v>
      </c>
      <c r="I1748" s="421">
        <f>I1746*C1748</f>
        <v>0</v>
      </c>
      <c r="J1748" s="421">
        <f>J1746*C1748</f>
        <v>0</v>
      </c>
      <c r="K1748" s="424">
        <f t="shared" si="83"/>
        <v>0</v>
      </c>
    </row>
    <row r="1749" spans="2:13" x14ac:dyDescent="0.25">
      <c r="B1749" s="389"/>
      <c r="C1749" s="423"/>
      <c r="D1749" s="421">
        <f>D1746*C1749</f>
        <v>0</v>
      </c>
      <c r="E1749" s="421">
        <f>E1746*C1749</f>
        <v>0</v>
      </c>
      <c r="F1749" s="421">
        <f>F1746*C1749</f>
        <v>0</v>
      </c>
      <c r="G1749" s="421">
        <f>G1746*C1749</f>
        <v>0</v>
      </c>
      <c r="H1749" s="421">
        <f>H1746*C1749</f>
        <v>0</v>
      </c>
      <c r="I1749" s="421">
        <f>I1746*C1749</f>
        <v>0</v>
      </c>
      <c r="J1749" s="421">
        <f>J1746*C1749</f>
        <v>0</v>
      </c>
      <c r="K1749" s="424">
        <f t="shared" si="83"/>
        <v>0</v>
      </c>
    </row>
    <row r="1750" spans="2:13" ht="15" customHeight="1" x14ac:dyDescent="0.25">
      <c r="B1750" s="389"/>
      <c r="C1750" s="423"/>
      <c r="D1750" s="421">
        <f>D1746*C1750</f>
        <v>0</v>
      </c>
      <c r="E1750" s="421">
        <f>E1746*C1750</f>
        <v>0</v>
      </c>
      <c r="F1750" s="421">
        <f>F1746*C1750</f>
        <v>0</v>
      </c>
      <c r="G1750" s="421">
        <f>G1746*C1750</f>
        <v>0</v>
      </c>
      <c r="H1750" s="421">
        <f>H1746*C1750</f>
        <v>0</v>
      </c>
      <c r="I1750" s="421">
        <f>I1746*C1750</f>
        <v>0</v>
      </c>
      <c r="J1750" s="421">
        <f>J1746*C1750</f>
        <v>0</v>
      </c>
      <c r="K1750" s="424">
        <f t="shared" si="83"/>
        <v>0</v>
      </c>
    </row>
    <row r="1751" spans="2:13" x14ac:dyDescent="0.25">
      <c r="B1751" s="389"/>
      <c r="C1751" s="423"/>
      <c r="D1751" s="421">
        <f>D1746*C1751</f>
        <v>0</v>
      </c>
      <c r="E1751" s="421">
        <f>E1746*C1751</f>
        <v>0</v>
      </c>
      <c r="F1751" s="421">
        <f>F1746*C1751</f>
        <v>0</v>
      </c>
      <c r="G1751" s="421">
        <f>G1746*C1751</f>
        <v>0</v>
      </c>
      <c r="H1751" s="421">
        <f>H1746*C1751</f>
        <v>0</v>
      </c>
      <c r="I1751" s="421">
        <f>I1746*C1751</f>
        <v>0</v>
      </c>
      <c r="J1751" s="421">
        <f>J1746*C1751</f>
        <v>0</v>
      </c>
      <c r="K1751" s="424">
        <f t="shared" si="83"/>
        <v>0</v>
      </c>
    </row>
    <row r="1752" spans="2:13" x14ac:dyDescent="0.25">
      <c r="B1752" s="389"/>
      <c r="C1752" s="423"/>
      <c r="D1752" s="421">
        <f>D1746*C1752</f>
        <v>0</v>
      </c>
      <c r="E1752" s="421">
        <f>E1746*C1752</f>
        <v>0</v>
      </c>
      <c r="F1752" s="421">
        <f>F1746*C1752</f>
        <v>0</v>
      </c>
      <c r="G1752" s="421">
        <f>G1746*C1752</f>
        <v>0</v>
      </c>
      <c r="H1752" s="421">
        <f>H1746*C1752</f>
        <v>0</v>
      </c>
      <c r="I1752" s="421">
        <f>I1746*C1752</f>
        <v>0</v>
      </c>
      <c r="J1752" s="421">
        <f>J1746*C1752</f>
        <v>0</v>
      </c>
      <c r="K1752" s="424">
        <f t="shared" si="83"/>
        <v>0</v>
      </c>
    </row>
    <row r="1753" spans="2:13" ht="15.75" thickBot="1" x14ac:dyDescent="0.3"/>
    <row r="1754" spans="2:13" ht="15.75" thickBot="1" x14ac:dyDescent="0.3">
      <c r="B1754" s="432"/>
      <c r="C1754" s="411"/>
      <c r="D1754" s="407" t="s">
        <v>548</v>
      </c>
      <c r="E1754" s="408" t="s">
        <v>549</v>
      </c>
      <c r="F1754" s="408" t="s">
        <v>550</v>
      </c>
      <c r="G1754" s="408" t="s">
        <v>551</v>
      </c>
      <c r="H1754" s="408" t="s">
        <v>552</v>
      </c>
      <c r="I1754" s="408" t="s">
        <v>553</v>
      </c>
      <c r="J1754" s="408" t="s">
        <v>554</v>
      </c>
      <c r="K1754" s="408" t="s">
        <v>555</v>
      </c>
      <c r="M1754" s="414"/>
    </row>
    <row r="1755" spans="2:13" ht="15.75" thickBot="1" x14ac:dyDescent="0.3">
      <c r="B1755" s="414" t="s">
        <v>556</v>
      </c>
      <c r="C1755" s="415" t="s">
        <v>620</v>
      </c>
      <c r="D1755" s="416">
        <f>IF(ISERROR(VLOOKUP(B1754,'MD Usage'!$A$1:$W$5000,3,FALSE)),0,VLOOKUP(B1754,'MD Usage'!$A$1:$W$5000,3,FALSE))</f>
        <v>0</v>
      </c>
      <c r="E1755" s="416">
        <f>IF(ISERROR(VLOOKUP(B1754,'MD Usage'!$A$1:$W$5000,5,FALSE)),0,VLOOKUP(B1754,'MD Usage'!$A$1:$W$5000,5,FALSE))</f>
        <v>0</v>
      </c>
      <c r="F1755" s="416">
        <f>IF(ISERROR(VLOOKUP(B1754,'MD Usage'!$A$1:$W$5000,7,FALSE)),0,VLOOKUP(B1754,'MD Usage'!$A$1:$W$5000,7,FALSE))</f>
        <v>0</v>
      </c>
      <c r="G1755" s="416">
        <f>IF(ISERROR(VLOOKUP(B1754,'MD Usage'!$A$1:$W$5000,9,FALSE)),0,VLOOKUP(B1754,'MD Usage'!$A$1:$W$5000,9,FALSE))</f>
        <v>0</v>
      </c>
      <c r="H1755" s="416">
        <f>IF(ISERROR(VLOOKUP(B1754,'MD Usage'!$A$1:$W$5000,11,FALSE)),0,VLOOKUP(B1754,'MD Usage'!$A$1:$W$5000,11,FALSE))</f>
        <v>0</v>
      </c>
      <c r="I1755" s="416">
        <f>IF(ISERROR(VLOOKUP(B1754,'MD Usage'!A1:R2000,13,FALSE)),0,VLOOKUP(B1754,'MD Usage'!A1:R2000,13,FALSE))</f>
        <v>0</v>
      </c>
      <c r="J1755" s="416">
        <f>IF(ISERROR(VLOOKUP(B1754,'MD Usage'!A1:R2000,15,FALSE)),0,VLOOKUP(B1754,'MD Usage'!A1:R2000,15,FALSE))</f>
        <v>0</v>
      </c>
      <c r="K1755" s="418">
        <f t="shared" ref="K1755:K1760" si="84">SUM(D1755:J1755)</f>
        <v>0</v>
      </c>
    </row>
    <row r="1756" spans="2:13" x14ac:dyDescent="0.25">
      <c r="B1756" s="419"/>
      <c r="C1756" s="420"/>
      <c r="D1756" s="421">
        <f>D1755*C1756</f>
        <v>0</v>
      </c>
      <c r="E1756" s="421">
        <f>E1755*C1756</f>
        <v>0</v>
      </c>
      <c r="F1756" s="421">
        <f>F1755*C1756</f>
        <v>0</v>
      </c>
      <c r="G1756" s="421">
        <f>G1755*C1756</f>
        <v>0</v>
      </c>
      <c r="H1756" s="421">
        <f>H1755*C1756</f>
        <v>0</v>
      </c>
      <c r="I1756" s="421">
        <f>I1755*C1756</f>
        <v>0</v>
      </c>
      <c r="J1756" s="421">
        <f>J1755*C1756</f>
        <v>0</v>
      </c>
      <c r="K1756" s="422">
        <f t="shared" si="84"/>
        <v>0</v>
      </c>
    </row>
    <row r="1757" spans="2:13" ht="15" customHeight="1" x14ac:dyDescent="0.25">
      <c r="B1757" s="389"/>
      <c r="C1757" s="423"/>
      <c r="D1757" s="421">
        <f>D1755*C1757</f>
        <v>0</v>
      </c>
      <c r="E1757" s="421">
        <f>E1755*C1757</f>
        <v>0</v>
      </c>
      <c r="F1757" s="421">
        <f>F1755*C1757</f>
        <v>0</v>
      </c>
      <c r="G1757" s="421">
        <f>G1755*C1757</f>
        <v>0</v>
      </c>
      <c r="H1757" s="421">
        <f>H1755*C1757</f>
        <v>0</v>
      </c>
      <c r="I1757" s="421">
        <f>I1755*C1757</f>
        <v>0</v>
      </c>
      <c r="J1757" s="421">
        <f>J1755*C1757</f>
        <v>0</v>
      </c>
      <c r="K1757" s="424">
        <f t="shared" si="84"/>
        <v>0</v>
      </c>
    </row>
    <row r="1758" spans="2:13" x14ac:dyDescent="0.25">
      <c r="B1758" s="389"/>
      <c r="C1758" s="423"/>
      <c r="D1758" s="421">
        <f>D1755*C1758</f>
        <v>0</v>
      </c>
      <c r="E1758" s="421">
        <f>E1755*C1758</f>
        <v>0</v>
      </c>
      <c r="F1758" s="421">
        <f>F1755*C1758</f>
        <v>0</v>
      </c>
      <c r="G1758" s="421">
        <f>G1755*C1758</f>
        <v>0</v>
      </c>
      <c r="H1758" s="421">
        <f>H1755*C1758</f>
        <v>0</v>
      </c>
      <c r="I1758" s="421">
        <f>I1755*C1758</f>
        <v>0</v>
      </c>
      <c r="J1758" s="421">
        <f>J1755*C1758</f>
        <v>0</v>
      </c>
      <c r="K1758" s="424">
        <f t="shared" si="84"/>
        <v>0</v>
      </c>
    </row>
    <row r="1759" spans="2:13" x14ac:dyDescent="0.25">
      <c r="B1759" s="389"/>
      <c r="C1759" s="423"/>
      <c r="D1759" s="421">
        <f>D1755*C1759</f>
        <v>0</v>
      </c>
      <c r="E1759" s="421">
        <f>E1755*C1759</f>
        <v>0</v>
      </c>
      <c r="F1759" s="421">
        <f>F1755*C1759</f>
        <v>0</v>
      </c>
      <c r="G1759" s="421">
        <f>G1755*C1759</f>
        <v>0</v>
      </c>
      <c r="H1759" s="421">
        <f>H1755*C1759</f>
        <v>0</v>
      </c>
      <c r="I1759" s="421">
        <f>I1755*C1759</f>
        <v>0</v>
      </c>
      <c r="J1759" s="421">
        <f>J1755*C1759</f>
        <v>0</v>
      </c>
      <c r="K1759" s="424">
        <f t="shared" si="84"/>
        <v>0</v>
      </c>
    </row>
    <row r="1760" spans="2:13" x14ac:dyDescent="0.25">
      <c r="B1760" s="389"/>
      <c r="C1760" s="423"/>
      <c r="D1760" s="421">
        <f>D1755*C1760</f>
        <v>0</v>
      </c>
      <c r="E1760" s="421">
        <f>E1755*C1760</f>
        <v>0</v>
      </c>
      <c r="F1760" s="421">
        <f>F1755*C1760</f>
        <v>0</v>
      </c>
      <c r="G1760" s="421">
        <f>G1755*C1760</f>
        <v>0</v>
      </c>
      <c r="H1760" s="421">
        <f>H1755*C1760</f>
        <v>0</v>
      </c>
      <c r="I1760" s="421">
        <f>I1755*C1760</f>
        <v>0</v>
      </c>
      <c r="J1760" s="421">
        <f>J1755*C1760</f>
        <v>0</v>
      </c>
      <c r="K1760" s="424">
        <f t="shared" si="84"/>
        <v>0</v>
      </c>
    </row>
    <row r="1761" spans="2:13" ht="15.75" thickBot="1" x14ac:dyDescent="0.3"/>
    <row r="1762" spans="2:13" ht="15.75" thickBot="1" x14ac:dyDescent="0.3">
      <c r="B1762" s="432"/>
      <c r="C1762" s="411"/>
      <c r="D1762" s="407" t="s">
        <v>548</v>
      </c>
      <c r="E1762" s="408" t="s">
        <v>549</v>
      </c>
      <c r="F1762" s="408" t="s">
        <v>550</v>
      </c>
      <c r="G1762" s="408" t="s">
        <v>551</v>
      </c>
      <c r="H1762" s="408" t="s">
        <v>552</v>
      </c>
      <c r="I1762" s="408" t="s">
        <v>553</v>
      </c>
      <c r="J1762" s="408" t="s">
        <v>554</v>
      </c>
      <c r="K1762" s="408" t="s">
        <v>555</v>
      </c>
      <c r="M1762" s="414"/>
    </row>
    <row r="1763" spans="2:13" ht="15.75" thickBot="1" x14ac:dyDescent="0.3">
      <c r="B1763" s="414" t="s">
        <v>556</v>
      </c>
      <c r="C1763" s="415" t="s">
        <v>620</v>
      </c>
      <c r="D1763" s="416">
        <f>IF(ISERROR(VLOOKUP(B1762,'MD Usage'!$A$1:$W$5000,3,FALSE)),0,VLOOKUP(B1762,'MD Usage'!$A$1:$W$5000,3,FALSE))</f>
        <v>0</v>
      </c>
      <c r="E1763" s="416">
        <f>IF(ISERROR(VLOOKUP(B1762,'MD Usage'!$A$1:$W$5000,5,FALSE)),0,VLOOKUP(B1762,'MD Usage'!$A$1:$W$5000,5,FALSE))</f>
        <v>0</v>
      </c>
      <c r="F1763" s="416">
        <f>IF(ISERROR(VLOOKUP(B1762,'MD Usage'!$A$1:$W$5000,7,FALSE)),0,VLOOKUP(B1762,'MD Usage'!$A$1:$W$5000,7,FALSE))</f>
        <v>0</v>
      </c>
      <c r="G1763" s="416">
        <f>IF(ISERROR(VLOOKUP(B1762,'MD Usage'!$A$1:$W$5000,9,FALSE)),0,VLOOKUP(B1762,'MD Usage'!$A$1:$W$5000,9,FALSE))</f>
        <v>0</v>
      </c>
      <c r="H1763" s="416">
        <f>IF(ISERROR(VLOOKUP(B1762,'MD Usage'!$A$1:$W$5000,11,FALSE)),0,VLOOKUP(B1762,'MD Usage'!$A$1:$W$5000,11,FALSE))</f>
        <v>0</v>
      </c>
      <c r="I1763" s="416">
        <f>IF(ISERROR(VLOOKUP(B1762,'MD Usage'!A1:R2000,13,FALSE)),0,VLOOKUP(B1762,'MD Usage'!A1:R2000,13,FALSE))</f>
        <v>0</v>
      </c>
      <c r="J1763" s="416">
        <f>IF(ISERROR(VLOOKUP(B1762,'MD Usage'!A1:R2000,15,FALSE)),0,VLOOKUP(B1762,'MD Usage'!A1:R2000,15,FALSE))</f>
        <v>0</v>
      </c>
      <c r="K1763" s="418">
        <f>SUM(D1763:J1763)</f>
        <v>0</v>
      </c>
    </row>
    <row r="1764" spans="2:13" ht="15" customHeight="1" x14ac:dyDescent="0.25">
      <c r="B1764" s="419"/>
      <c r="C1764" s="420"/>
      <c r="D1764" s="421">
        <f>D1763*C1764</f>
        <v>0</v>
      </c>
      <c r="E1764" s="421">
        <f>E1763*C1764</f>
        <v>0</v>
      </c>
      <c r="F1764" s="421">
        <f>F1763*C1764</f>
        <v>0</v>
      </c>
      <c r="G1764" s="421">
        <f>G1763*C1764</f>
        <v>0</v>
      </c>
      <c r="H1764" s="421">
        <f>H1763*C1764</f>
        <v>0</v>
      </c>
      <c r="I1764" s="421">
        <f>I1763*C1764</f>
        <v>0</v>
      </c>
      <c r="J1764" s="421">
        <f>J1763*C1764</f>
        <v>0</v>
      </c>
      <c r="K1764" s="422">
        <f>SUM(D1764:J1764)</f>
        <v>0</v>
      </c>
    </row>
    <row r="1765" spans="2:13" x14ac:dyDescent="0.25">
      <c r="B1765" s="389"/>
      <c r="C1765" s="423"/>
      <c r="D1765" s="421">
        <f>D1763*C1765</f>
        <v>0</v>
      </c>
      <c r="E1765" s="421">
        <f>E1763*C1765</f>
        <v>0</v>
      </c>
      <c r="F1765" s="421">
        <f>F1763*C1765</f>
        <v>0</v>
      </c>
      <c r="G1765" s="421">
        <f>G1763*C1765</f>
        <v>0</v>
      </c>
      <c r="H1765" s="421">
        <f>H1763*C1765</f>
        <v>0</v>
      </c>
      <c r="I1765" s="421">
        <f>I1763*C1765</f>
        <v>0</v>
      </c>
      <c r="J1765" s="421">
        <f>J1763*C1765</f>
        <v>0</v>
      </c>
      <c r="K1765" s="424">
        <f>SUM(D1765:J1765)</f>
        <v>0</v>
      </c>
    </row>
    <row r="1766" spans="2:13" x14ac:dyDescent="0.25">
      <c r="B1766" s="389"/>
      <c r="C1766" s="423"/>
      <c r="D1766" s="421">
        <f>D1763*C1766</f>
        <v>0</v>
      </c>
      <c r="E1766" s="421">
        <f>E1763*C1766</f>
        <v>0</v>
      </c>
      <c r="F1766" s="421">
        <f>F1763*C1766</f>
        <v>0</v>
      </c>
      <c r="G1766" s="421">
        <f>G1763*C1766</f>
        <v>0</v>
      </c>
      <c r="H1766" s="421">
        <f>H1763*C1766</f>
        <v>0</v>
      </c>
      <c r="I1766" s="421">
        <f>I1763*C1766</f>
        <v>0</v>
      </c>
      <c r="J1766" s="421">
        <f>J1763*C1766</f>
        <v>0</v>
      </c>
      <c r="K1766" s="424">
        <f>SUM(D1766:J1766)</f>
        <v>0</v>
      </c>
    </row>
    <row r="1767" spans="2:13" x14ac:dyDescent="0.25">
      <c r="B1767" s="389"/>
      <c r="C1767" s="423"/>
      <c r="D1767" s="421">
        <f>D1763*C1767</f>
        <v>0</v>
      </c>
      <c r="E1767" s="421">
        <f>E1763*C1767</f>
        <v>0</v>
      </c>
      <c r="F1767" s="421">
        <f>F1763*C1767</f>
        <v>0</v>
      </c>
      <c r="G1767" s="421">
        <f>G1763*C1767</f>
        <v>0</v>
      </c>
      <c r="H1767" s="421">
        <f>H1763*C1767</f>
        <v>0</v>
      </c>
      <c r="I1767" s="421">
        <f>I1763*C1767</f>
        <v>0</v>
      </c>
      <c r="J1767" s="421">
        <f>J1763*C1767</f>
        <v>0</v>
      </c>
      <c r="K1767" s="424">
        <f>SUM(D1767:J1767)</f>
        <v>0</v>
      </c>
    </row>
    <row r="1768" spans="2:13" ht="15.75" thickBot="1" x14ac:dyDescent="0.3"/>
    <row r="1769" spans="2:13" ht="15.75" thickBot="1" x14ac:dyDescent="0.3">
      <c r="B1769" s="447"/>
      <c r="C1769" s="411"/>
      <c r="D1769" s="407" t="s">
        <v>548</v>
      </c>
      <c r="E1769" s="408" t="s">
        <v>549</v>
      </c>
      <c r="F1769" s="408" t="s">
        <v>550</v>
      </c>
      <c r="G1769" s="408" t="s">
        <v>551</v>
      </c>
      <c r="H1769" s="408" t="s">
        <v>552</v>
      </c>
      <c r="I1769" s="408" t="s">
        <v>553</v>
      </c>
      <c r="J1769" s="408" t="s">
        <v>554</v>
      </c>
      <c r="K1769" s="408" t="s">
        <v>555</v>
      </c>
      <c r="M1769" s="448"/>
    </row>
    <row r="1770" spans="2:13" ht="15.75" thickBot="1" x14ac:dyDescent="0.3">
      <c r="B1770" s="414" t="s">
        <v>556</v>
      </c>
      <c r="C1770" s="415" t="s">
        <v>620</v>
      </c>
      <c r="D1770" s="416">
        <f>IF(ISERROR(VLOOKUP(B1769,'MD Usage'!$A$1:$W$5000,3,FALSE)),0,VLOOKUP(B1769,'MD Usage'!$A$1:$W$5000,3,FALSE))</f>
        <v>0</v>
      </c>
      <c r="E1770" s="416">
        <f>IF(ISERROR(VLOOKUP(B1769,'MD Usage'!$A$1:$W$5000,5,FALSE)),0,VLOOKUP(B1769,'MD Usage'!$A$1:$W$5000,5,FALSE))</f>
        <v>0</v>
      </c>
      <c r="F1770" s="416">
        <f>IF(ISERROR(VLOOKUP(B1769,'MD Usage'!$A$1:$W$5000,7,FALSE)),0,VLOOKUP(B1769,'MD Usage'!$A$1:$W$5000,7,FALSE))</f>
        <v>0</v>
      </c>
      <c r="G1770" s="416">
        <f>IF(ISERROR(VLOOKUP(B1769,'MD Usage'!$A$1:$W$5000,9,FALSE)),0,VLOOKUP(B1769,'MD Usage'!$A$1:$W$5000,9,FALSE))</f>
        <v>0</v>
      </c>
      <c r="H1770" s="416">
        <f>IF(ISERROR(VLOOKUP(B1769,'MD Usage'!$A$1:$W$5000,11,FALSE)),0,VLOOKUP(B1769,'MD Usage'!$A$1:$W$5000,11,FALSE))</f>
        <v>0</v>
      </c>
      <c r="I1770" s="416">
        <f>IF(ISERROR(VLOOKUP(B1769,'MD Usage'!A1:R2000,13,FALSE)),0,VLOOKUP(B1769,'MD Usage'!A1:R2000,13,FALSE))</f>
        <v>0</v>
      </c>
      <c r="J1770" s="416">
        <f>IF(ISERROR(VLOOKUP(B1769,'MD Usage'!A1:R2000,15,FALSE)),0,VLOOKUP(B1769,'MD Usage'!A1:R2000,15,FALSE))</f>
        <v>0</v>
      </c>
      <c r="K1770" s="418">
        <f t="shared" ref="K1770:K1776" si="85">SUM(D1770:J1770)</f>
        <v>0</v>
      </c>
    </row>
    <row r="1771" spans="2:13" ht="15" customHeight="1" x14ac:dyDescent="0.25">
      <c r="B1771" s="419"/>
      <c r="C1771" s="420"/>
      <c r="D1771" s="421">
        <f>D1770*C1771</f>
        <v>0</v>
      </c>
      <c r="E1771" s="421">
        <f>E1770*C1771</f>
        <v>0</v>
      </c>
      <c r="F1771" s="421">
        <f>F1770*C1771</f>
        <v>0</v>
      </c>
      <c r="G1771" s="421">
        <f>G1770*C1771</f>
        <v>0</v>
      </c>
      <c r="H1771" s="421">
        <f>H1770*C1771</f>
        <v>0</v>
      </c>
      <c r="I1771" s="421">
        <f>I1770*C1771</f>
        <v>0</v>
      </c>
      <c r="J1771" s="421">
        <f>J1770*C1771</f>
        <v>0</v>
      </c>
      <c r="K1771" s="422">
        <f t="shared" si="85"/>
        <v>0</v>
      </c>
    </row>
    <row r="1772" spans="2:13" x14ac:dyDescent="0.25">
      <c r="B1772" s="419"/>
      <c r="C1772" s="420"/>
      <c r="D1772" s="421">
        <f>D1771*C1772</f>
        <v>0</v>
      </c>
      <c r="E1772" s="421">
        <f>E1771*C1772</f>
        <v>0</v>
      </c>
      <c r="F1772" s="421">
        <f>F1771*C1772</f>
        <v>0</v>
      </c>
      <c r="G1772" s="421">
        <f>G1771*C1772</f>
        <v>0</v>
      </c>
      <c r="H1772" s="421">
        <f>H1771*C1772</f>
        <v>0</v>
      </c>
      <c r="I1772" s="421">
        <f>I1771*C1772</f>
        <v>0</v>
      </c>
      <c r="J1772" s="421">
        <f>J1771*C1772</f>
        <v>0</v>
      </c>
      <c r="K1772" s="422">
        <f t="shared" si="85"/>
        <v>0</v>
      </c>
    </row>
    <row r="1773" spans="2:13" x14ac:dyDescent="0.25">
      <c r="B1773" s="389"/>
      <c r="C1773" s="423"/>
      <c r="D1773" s="421">
        <f>D1770*C1773</f>
        <v>0</v>
      </c>
      <c r="E1773" s="421">
        <f>E1770*C1773</f>
        <v>0</v>
      </c>
      <c r="F1773" s="421">
        <f>F1770*C1773</f>
        <v>0</v>
      </c>
      <c r="G1773" s="421">
        <f>G1770*C1773</f>
        <v>0</v>
      </c>
      <c r="H1773" s="421">
        <f>H1770*C1773</f>
        <v>0</v>
      </c>
      <c r="I1773" s="421">
        <f>I1770*C1773</f>
        <v>0</v>
      </c>
      <c r="J1773" s="421">
        <f>J1770*C1773</f>
        <v>0</v>
      </c>
      <c r="K1773" s="424">
        <f t="shared" si="85"/>
        <v>0</v>
      </c>
    </row>
    <row r="1774" spans="2:13" ht="15" customHeight="1" x14ac:dyDescent="0.25">
      <c r="B1774" s="389"/>
      <c r="C1774" s="423"/>
      <c r="D1774" s="421">
        <f>D1770*C1774</f>
        <v>0</v>
      </c>
      <c r="E1774" s="421">
        <f>E1770*C1774</f>
        <v>0</v>
      </c>
      <c r="F1774" s="421">
        <f>F1770*C1774</f>
        <v>0</v>
      </c>
      <c r="G1774" s="421">
        <f>G1770*C1774</f>
        <v>0</v>
      </c>
      <c r="H1774" s="421">
        <f>H1770*C1774</f>
        <v>0</v>
      </c>
      <c r="I1774" s="421">
        <f>I1770*C1774</f>
        <v>0</v>
      </c>
      <c r="J1774" s="421">
        <f>J1770*C1774</f>
        <v>0</v>
      </c>
      <c r="K1774" s="424">
        <f t="shared" si="85"/>
        <v>0</v>
      </c>
    </row>
    <row r="1775" spans="2:13" x14ac:dyDescent="0.25">
      <c r="B1775" s="389"/>
      <c r="C1775" s="423"/>
      <c r="D1775" s="421">
        <f>D1770*C1775</f>
        <v>0</v>
      </c>
      <c r="E1775" s="421">
        <f>E1770*C1775</f>
        <v>0</v>
      </c>
      <c r="F1775" s="421">
        <f>F1770*C1775</f>
        <v>0</v>
      </c>
      <c r="G1775" s="421">
        <f>G1770*C1775</f>
        <v>0</v>
      </c>
      <c r="H1775" s="421">
        <f>H1770*C1775</f>
        <v>0</v>
      </c>
      <c r="I1775" s="421">
        <f>I1770*C1775</f>
        <v>0</v>
      </c>
      <c r="J1775" s="421">
        <f>J1770*C1775</f>
        <v>0</v>
      </c>
      <c r="K1775" s="424">
        <f t="shared" si="85"/>
        <v>0</v>
      </c>
    </row>
    <row r="1776" spans="2:13" x14ac:dyDescent="0.25">
      <c r="B1776" s="389"/>
      <c r="C1776" s="423"/>
      <c r="D1776" s="421">
        <f>D1770*C1776</f>
        <v>0</v>
      </c>
      <c r="E1776" s="421">
        <f>E1770*C1776</f>
        <v>0</v>
      </c>
      <c r="F1776" s="421">
        <f>F1770*C1776</f>
        <v>0</v>
      </c>
      <c r="G1776" s="421">
        <f>G1770*C1776</f>
        <v>0</v>
      </c>
      <c r="H1776" s="421">
        <f>H1770*C1776</f>
        <v>0</v>
      </c>
      <c r="I1776" s="421">
        <f>I1770*C1776</f>
        <v>0</v>
      </c>
      <c r="J1776" s="421">
        <f>J1770*C1776</f>
        <v>0</v>
      </c>
      <c r="K1776" s="424">
        <f t="shared" si="85"/>
        <v>0</v>
      </c>
    </row>
    <row r="1777" spans="2:13" ht="15.75" thickBot="1" x14ac:dyDescent="0.3"/>
    <row r="1778" spans="2:13" ht="15" customHeight="1" thickBot="1" x14ac:dyDescent="0.3">
      <c r="B1778" s="432"/>
      <c r="C1778" s="411"/>
      <c r="D1778" s="407" t="s">
        <v>548</v>
      </c>
      <c r="E1778" s="408" t="s">
        <v>549</v>
      </c>
      <c r="F1778" s="408" t="s">
        <v>550</v>
      </c>
      <c r="G1778" s="408" t="s">
        <v>551</v>
      </c>
      <c r="H1778" s="408" t="s">
        <v>552</v>
      </c>
      <c r="I1778" s="408" t="s">
        <v>553</v>
      </c>
      <c r="J1778" s="408" t="s">
        <v>554</v>
      </c>
      <c r="K1778" s="408" t="s">
        <v>555</v>
      </c>
      <c r="M1778" s="426"/>
    </row>
    <row r="1779" spans="2:13" ht="15.75" thickBot="1" x14ac:dyDescent="0.3">
      <c r="B1779" s="414" t="s">
        <v>556</v>
      </c>
      <c r="C1779" s="415" t="s">
        <v>620</v>
      </c>
      <c r="D1779" s="416">
        <f>IF(ISERROR(VLOOKUP(B1778,'MD Usage'!$A$1:$W$5000,3,FALSE)),0,VLOOKUP(B1778,'MD Usage'!$A$1:$W$5000,3,FALSE))</f>
        <v>0</v>
      </c>
      <c r="E1779" s="416">
        <f>IF(ISERROR(VLOOKUP(B1778,'MD Usage'!$A$1:$W$5000,5,FALSE)),0,VLOOKUP(B1778,'MD Usage'!$A$1:$W$5000,5,FALSE))</f>
        <v>0</v>
      </c>
      <c r="F1779" s="416">
        <f>IF(ISERROR(VLOOKUP(B1778,'MD Usage'!$A$1:$W$5000,7,FALSE)),0,VLOOKUP(B1778,'MD Usage'!$A$1:$W$5000,7,FALSE))</f>
        <v>0</v>
      </c>
      <c r="G1779" s="416">
        <f>IF(ISERROR(VLOOKUP(B1778,'MD Usage'!$A$1:$W$5000,9,FALSE)),0,VLOOKUP(B1778,'MD Usage'!$A$1:$W$5000,9,FALSE))</f>
        <v>0</v>
      </c>
      <c r="H1779" s="416">
        <f>IF(ISERROR(VLOOKUP(B1778,'MD Usage'!$A$1:$W$5000,11,FALSE)),0,VLOOKUP(B1778,'MD Usage'!$A$1:$W$5000,11,FALSE))</f>
        <v>0</v>
      </c>
      <c r="I1779" s="416">
        <f>IF(ISERROR(VLOOKUP(B1778,'MD Usage'!A1:R2000,13,FALSE)),0,VLOOKUP(B1778,'MD Usage'!A1:R2000,13,FALSE))</f>
        <v>0</v>
      </c>
      <c r="J1779" s="416">
        <f>IF(ISERROR(VLOOKUP(B1778,'MD Usage'!A1:R2000,15,FALSE)),0,VLOOKUP(B1778,'MD Usage'!A1:R2000,15,FALSE))</f>
        <v>0</v>
      </c>
      <c r="K1779" s="418">
        <f t="shared" ref="K1779:K1784" si="86">SUM(D1779:J1779)</f>
        <v>0</v>
      </c>
    </row>
    <row r="1780" spans="2:13" x14ac:dyDescent="0.25">
      <c r="B1780" s="419"/>
      <c r="C1780" s="420"/>
      <c r="D1780" s="421">
        <f>D1779*C1780</f>
        <v>0</v>
      </c>
      <c r="E1780" s="421">
        <f>E1779*C1780</f>
        <v>0</v>
      </c>
      <c r="F1780" s="421">
        <f>F1779*C1780</f>
        <v>0</v>
      </c>
      <c r="G1780" s="421">
        <f>G1779*C1780</f>
        <v>0</v>
      </c>
      <c r="H1780" s="421">
        <f>H1779*C1780</f>
        <v>0</v>
      </c>
      <c r="I1780" s="421">
        <f>I1779*C1780</f>
        <v>0</v>
      </c>
      <c r="J1780" s="421">
        <f>J1779*C1780</f>
        <v>0</v>
      </c>
      <c r="K1780" s="422">
        <f t="shared" si="86"/>
        <v>0</v>
      </c>
    </row>
    <row r="1781" spans="2:13" x14ac:dyDescent="0.25">
      <c r="B1781" s="389"/>
      <c r="C1781" s="423"/>
      <c r="D1781" s="421">
        <f>D1779*C1781</f>
        <v>0</v>
      </c>
      <c r="E1781" s="421">
        <f>E1779*C1781</f>
        <v>0</v>
      </c>
      <c r="F1781" s="421">
        <f>F1779*C1781</f>
        <v>0</v>
      </c>
      <c r="G1781" s="421">
        <f>G1779*C1781</f>
        <v>0</v>
      </c>
      <c r="H1781" s="421">
        <f>H1779*C1781</f>
        <v>0</v>
      </c>
      <c r="I1781" s="421">
        <f>I1779*C1781</f>
        <v>0</v>
      </c>
      <c r="J1781" s="421">
        <f>J1779*C1781</f>
        <v>0</v>
      </c>
      <c r="K1781" s="424">
        <f t="shared" si="86"/>
        <v>0</v>
      </c>
    </row>
    <row r="1782" spans="2:13" ht="15" customHeight="1" x14ac:dyDescent="0.25">
      <c r="B1782" s="389"/>
      <c r="C1782" s="423"/>
      <c r="D1782" s="421">
        <f>D1779*C1782</f>
        <v>0</v>
      </c>
      <c r="E1782" s="421">
        <f>E1779*C1782</f>
        <v>0</v>
      </c>
      <c r="F1782" s="421">
        <f>F1779*C1782</f>
        <v>0</v>
      </c>
      <c r="G1782" s="421">
        <f>G1779*C1782</f>
        <v>0</v>
      </c>
      <c r="H1782" s="421">
        <f>H1779*C1782</f>
        <v>0</v>
      </c>
      <c r="I1782" s="421">
        <f>I1779*C1782</f>
        <v>0</v>
      </c>
      <c r="J1782" s="421">
        <f>J1779*C1782</f>
        <v>0</v>
      </c>
      <c r="K1782" s="424">
        <f t="shared" si="86"/>
        <v>0</v>
      </c>
    </row>
    <row r="1783" spans="2:13" x14ac:dyDescent="0.25">
      <c r="B1783" s="389"/>
      <c r="C1783" s="423"/>
      <c r="D1783" s="421">
        <f>D1779*C1783</f>
        <v>0</v>
      </c>
      <c r="E1783" s="421">
        <f>E1779*C1783</f>
        <v>0</v>
      </c>
      <c r="F1783" s="421">
        <f>F1779*C1783</f>
        <v>0</v>
      </c>
      <c r="G1783" s="421">
        <f>G1779*C1783</f>
        <v>0</v>
      </c>
      <c r="H1783" s="421">
        <f>H1779*C1783</f>
        <v>0</v>
      </c>
      <c r="I1783" s="421">
        <f>I1779*C1783</f>
        <v>0</v>
      </c>
      <c r="J1783" s="421">
        <f>J1779*C1783</f>
        <v>0</v>
      </c>
      <c r="K1783" s="424">
        <f t="shared" si="86"/>
        <v>0</v>
      </c>
    </row>
    <row r="1784" spans="2:13" x14ac:dyDescent="0.25">
      <c r="B1784" s="389"/>
      <c r="C1784" s="423"/>
      <c r="D1784" s="421">
        <f>D1779*C1784</f>
        <v>0</v>
      </c>
      <c r="E1784" s="421">
        <f>E1779*C1784</f>
        <v>0</v>
      </c>
      <c r="F1784" s="421">
        <f>F1779*C1784</f>
        <v>0</v>
      </c>
      <c r="G1784" s="421">
        <f>G1779*C1784</f>
        <v>0</v>
      </c>
      <c r="H1784" s="421">
        <f>H1779*C1784</f>
        <v>0</v>
      </c>
      <c r="I1784" s="421">
        <f>I1779*C1784</f>
        <v>0</v>
      </c>
      <c r="J1784" s="421">
        <f>J1779*C1784</f>
        <v>0</v>
      </c>
      <c r="K1784" s="424">
        <f t="shared" si="86"/>
        <v>0</v>
      </c>
    </row>
    <row r="1785" spans="2:13" ht="15" customHeight="1" thickBot="1" x14ac:dyDescent="0.3"/>
    <row r="1786" spans="2:13" ht="15.75" thickBot="1" x14ac:dyDescent="0.3">
      <c r="B1786" s="432"/>
      <c r="C1786" s="411"/>
      <c r="D1786" s="407" t="s">
        <v>548</v>
      </c>
      <c r="E1786" s="408" t="s">
        <v>549</v>
      </c>
      <c r="F1786" s="408" t="s">
        <v>550</v>
      </c>
      <c r="G1786" s="408" t="s">
        <v>551</v>
      </c>
      <c r="H1786" s="408" t="s">
        <v>552</v>
      </c>
      <c r="I1786" s="408" t="s">
        <v>553</v>
      </c>
      <c r="J1786" s="408" t="s">
        <v>554</v>
      </c>
      <c r="K1786" s="408" t="s">
        <v>555</v>
      </c>
      <c r="M1786" s="426"/>
    </row>
    <row r="1787" spans="2:13" ht="15.75" thickBot="1" x14ac:dyDescent="0.3">
      <c r="B1787" s="414" t="s">
        <v>556</v>
      </c>
      <c r="C1787" s="415" t="s">
        <v>620</v>
      </c>
      <c r="D1787" s="416">
        <f>IF(ISERROR(VLOOKUP(B1786,'MD Usage'!$A$1:$W$5000,3,FALSE)),0,VLOOKUP(B1786,'MD Usage'!$A$1:$W$5000,3,FALSE))</f>
        <v>0</v>
      </c>
      <c r="E1787" s="416">
        <f>IF(ISERROR(VLOOKUP(B1786,'MD Usage'!$A$1:$W$5000,5,FALSE)),0,VLOOKUP(B1786,'MD Usage'!$A$1:$W$5000,5,FALSE))</f>
        <v>0</v>
      </c>
      <c r="F1787" s="416">
        <f>IF(ISERROR(VLOOKUP(B1786,'MD Usage'!$A$1:$W$5000,7,FALSE)),0,VLOOKUP(B1786,'MD Usage'!$A$1:$W$5000,7,FALSE))</f>
        <v>0</v>
      </c>
      <c r="G1787" s="416">
        <f>IF(ISERROR(VLOOKUP(B1786,'MD Usage'!$A$1:$W$5000,9,FALSE)),0,VLOOKUP(B1786,'MD Usage'!$A$1:$W$5000,9,FALSE))</f>
        <v>0</v>
      </c>
      <c r="H1787" s="416">
        <f>IF(ISERROR(VLOOKUP(B1786,'MD Usage'!$A$1:$W$5000,11,FALSE)),0,VLOOKUP(B1786,'MD Usage'!$A$1:$W$5000,11,FALSE))</f>
        <v>0</v>
      </c>
      <c r="I1787" s="416">
        <f>IF(ISERROR(VLOOKUP(B1786,'MD Usage'!A1:R2000,13,FALSE)),0,VLOOKUP(B1786,'MD Usage'!A1:R2000,13,FALSE))</f>
        <v>0</v>
      </c>
      <c r="J1787" s="416">
        <f>IF(ISERROR(VLOOKUP(B1786,'MD Usage'!A1:R2000,15,FALSE)),0,VLOOKUP(B1786,'MD Usage'!A1:R2000,15,FALSE))</f>
        <v>0</v>
      </c>
      <c r="K1787" s="418">
        <f t="shared" ref="K1787:K1793" si="87">SUM(D1787:J1787)</f>
        <v>0</v>
      </c>
    </row>
    <row r="1788" spans="2:13" x14ac:dyDescent="0.25">
      <c r="B1788" s="419"/>
      <c r="C1788" s="420"/>
      <c r="D1788" s="421">
        <f>D1787*C1788</f>
        <v>0</v>
      </c>
      <c r="E1788" s="421">
        <f>E1787*C1788</f>
        <v>0</v>
      </c>
      <c r="F1788" s="421">
        <f>F1787*C1788</f>
        <v>0</v>
      </c>
      <c r="G1788" s="421">
        <f>G1787*C1788</f>
        <v>0</v>
      </c>
      <c r="H1788" s="421">
        <f>H1787*C1788</f>
        <v>0</v>
      </c>
      <c r="I1788" s="421">
        <f>I1787*C1788</f>
        <v>0</v>
      </c>
      <c r="J1788" s="421">
        <f>J1787*C1788</f>
        <v>0</v>
      </c>
      <c r="K1788" s="422">
        <f t="shared" si="87"/>
        <v>0</v>
      </c>
    </row>
    <row r="1789" spans="2:13" x14ac:dyDescent="0.25">
      <c r="B1789" s="442"/>
      <c r="C1789" s="431"/>
      <c r="D1789" s="421">
        <f>D1787*C1789</f>
        <v>0</v>
      </c>
      <c r="E1789" s="421">
        <f>E1787*C1789</f>
        <v>0</v>
      </c>
      <c r="F1789" s="421">
        <f>F1787*C1789</f>
        <v>0</v>
      </c>
      <c r="G1789" s="421">
        <f>G1787*C1789</f>
        <v>0</v>
      </c>
      <c r="H1789" s="421">
        <f>H1787*C1789</f>
        <v>0</v>
      </c>
      <c r="I1789" s="421">
        <f>I1787*C1789</f>
        <v>0</v>
      </c>
      <c r="J1789" s="421">
        <f>J1787*C1789</f>
        <v>0</v>
      </c>
      <c r="K1789" s="424">
        <f t="shared" si="87"/>
        <v>0</v>
      </c>
    </row>
    <row r="1790" spans="2:13" x14ac:dyDescent="0.25">
      <c r="B1790" s="442"/>
      <c r="C1790" s="431"/>
      <c r="D1790" s="421">
        <f>D1787*C1790</f>
        <v>0</v>
      </c>
      <c r="E1790" s="421">
        <f>E1787*C1790</f>
        <v>0</v>
      </c>
      <c r="F1790" s="421">
        <f>F1787*C1790</f>
        <v>0</v>
      </c>
      <c r="G1790" s="421">
        <f>G1787*C1790</f>
        <v>0</v>
      </c>
      <c r="H1790" s="421">
        <f>H1787*C1790</f>
        <v>0</v>
      </c>
      <c r="I1790" s="421">
        <f>I1787*C1790</f>
        <v>0</v>
      </c>
      <c r="J1790" s="421">
        <f>J1787*C1790</f>
        <v>0</v>
      </c>
      <c r="K1790" s="424">
        <f t="shared" si="87"/>
        <v>0</v>
      </c>
    </row>
    <row r="1791" spans="2:13" x14ac:dyDescent="0.25">
      <c r="B1791" s="442"/>
      <c r="C1791" s="431"/>
      <c r="D1791" s="421">
        <f>D1787*C1791</f>
        <v>0</v>
      </c>
      <c r="E1791" s="421">
        <f>E1787*C1791</f>
        <v>0</v>
      </c>
      <c r="F1791" s="421">
        <f>F1787*C1791</f>
        <v>0</v>
      </c>
      <c r="G1791" s="421">
        <f>G1787*C1791</f>
        <v>0</v>
      </c>
      <c r="H1791" s="421">
        <f>H1787*C1791</f>
        <v>0</v>
      </c>
      <c r="I1791" s="421">
        <f>I1787*C1791</f>
        <v>0</v>
      </c>
      <c r="J1791" s="421">
        <f>J1787*C1791</f>
        <v>0</v>
      </c>
      <c r="K1791" s="424">
        <f t="shared" si="87"/>
        <v>0</v>
      </c>
    </row>
    <row r="1792" spans="2:13" ht="15" customHeight="1" x14ac:dyDescent="0.25">
      <c r="B1792" s="389"/>
      <c r="C1792" s="423"/>
      <c r="D1792" s="421">
        <f>D1787*C1792</f>
        <v>0</v>
      </c>
      <c r="E1792" s="421">
        <f>E1787*C1792</f>
        <v>0</v>
      </c>
      <c r="F1792" s="421">
        <f>F1787*C1792</f>
        <v>0</v>
      </c>
      <c r="G1792" s="421">
        <f>G1787*C1792</f>
        <v>0</v>
      </c>
      <c r="H1792" s="421">
        <f>H1787*C1792</f>
        <v>0</v>
      </c>
      <c r="I1792" s="421">
        <f>I1787*C1792</f>
        <v>0</v>
      </c>
      <c r="J1792" s="421">
        <f>J1787*C1792</f>
        <v>0</v>
      </c>
      <c r="K1792" s="424">
        <f t="shared" si="87"/>
        <v>0</v>
      </c>
    </row>
    <row r="1793" spans="2:13" x14ac:dyDescent="0.25">
      <c r="B1793" s="389"/>
      <c r="C1793" s="423"/>
      <c r="D1793" s="421">
        <f>D1787*C1793</f>
        <v>0</v>
      </c>
      <c r="E1793" s="421">
        <f>E1787*C1793</f>
        <v>0</v>
      </c>
      <c r="F1793" s="421">
        <f>F1787*C1793</f>
        <v>0</v>
      </c>
      <c r="G1793" s="421">
        <f>G1787*C1793</f>
        <v>0</v>
      </c>
      <c r="H1793" s="421">
        <f>H1787*C1793</f>
        <v>0</v>
      </c>
      <c r="I1793" s="421">
        <f>I1787*C1793</f>
        <v>0</v>
      </c>
      <c r="J1793" s="421">
        <f>J1787*C1793</f>
        <v>0</v>
      </c>
      <c r="K1793" s="424">
        <f t="shared" si="87"/>
        <v>0</v>
      </c>
    </row>
    <row r="1794" spans="2:13" ht="15.75" thickBot="1" x14ac:dyDescent="0.3"/>
    <row r="1795" spans="2:13" ht="15.75" thickBot="1" x14ac:dyDescent="0.3">
      <c r="B1795" s="432"/>
      <c r="C1795" s="411"/>
      <c r="D1795" s="407" t="s">
        <v>548</v>
      </c>
      <c r="E1795" s="408" t="s">
        <v>549</v>
      </c>
      <c r="F1795" s="408" t="s">
        <v>550</v>
      </c>
      <c r="G1795" s="408" t="s">
        <v>551</v>
      </c>
      <c r="H1795" s="408" t="s">
        <v>552</v>
      </c>
      <c r="I1795" s="408" t="s">
        <v>553</v>
      </c>
      <c r="J1795" s="408" t="s">
        <v>554</v>
      </c>
      <c r="K1795" s="408" t="s">
        <v>555</v>
      </c>
      <c r="M1795" s="414"/>
    </row>
    <row r="1796" spans="2:13" ht="15.75" thickBot="1" x14ac:dyDescent="0.3">
      <c r="B1796" s="414" t="s">
        <v>556</v>
      </c>
      <c r="C1796" s="415" t="s">
        <v>620</v>
      </c>
      <c r="D1796" s="416">
        <f>IF(ISERROR(VLOOKUP(B1795,'MD Usage'!$A$1:$W$5000,3,FALSE)),0,VLOOKUP(B1795,'MD Usage'!$A$1:$W$5000,3,FALSE))</f>
        <v>0</v>
      </c>
      <c r="E1796" s="416">
        <f>IF(ISERROR(VLOOKUP(B1795,'MD Usage'!$A$1:$W$5000,5,FALSE)),0,VLOOKUP(B1795,'MD Usage'!$A$1:$W$5000,5,FALSE))</f>
        <v>0</v>
      </c>
      <c r="F1796" s="416">
        <f>IF(ISERROR(VLOOKUP(B1795,'MD Usage'!$A$1:$W$5000,7,FALSE)),0,VLOOKUP(B1795,'MD Usage'!$A$1:$W$5000,7,FALSE))</f>
        <v>0</v>
      </c>
      <c r="G1796" s="416">
        <f>IF(ISERROR(VLOOKUP(B1795,'MD Usage'!$A$1:$W$5000,9,FALSE)),0,VLOOKUP(B1795,'MD Usage'!$A$1:$W$5000,9,FALSE))</f>
        <v>0</v>
      </c>
      <c r="H1796" s="416">
        <f>IF(ISERROR(VLOOKUP(B1795,'MD Usage'!$A$1:$W$5000,11,FALSE)),0,VLOOKUP(B1795,'MD Usage'!$A$1:$W$5000,11,FALSE))</f>
        <v>0</v>
      </c>
      <c r="I1796" s="416">
        <f>IF(ISERROR(VLOOKUP(B1795,'MD Usage'!A1:R2000,13,FALSE)),0,VLOOKUP(B1795,'MD Usage'!A1:R2000,13,FALSE))</f>
        <v>0</v>
      </c>
      <c r="J1796" s="416">
        <f>IF(ISERROR(VLOOKUP(B1795,'MD Usage'!A1:R2000,15,FALSE)),0,VLOOKUP(B1795,'MD Usage'!A1:R2000,15,FALSE))</f>
        <v>0</v>
      </c>
      <c r="K1796" s="418">
        <f t="shared" ref="K1796:K1802" si="88">SUM(D1796:J1796)</f>
        <v>0</v>
      </c>
    </row>
    <row r="1797" spans="2:13" x14ac:dyDescent="0.25">
      <c r="B1797" s="419"/>
      <c r="C1797" s="420"/>
      <c r="D1797" s="421">
        <f>D1796*C1797</f>
        <v>0</v>
      </c>
      <c r="E1797" s="421">
        <f>E1796*C1797</f>
        <v>0</v>
      </c>
      <c r="F1797" s="421">
        <f>F1796*C1797</f>
        <v>0</v>
      </c>
      <c r="G1797" s="421">
        <f>G1796*C1797</f>
        <v>0</v>
      </c>
      <c r="H1797" s="421">
        <f>H1796*C1797</f>
        <v>0</v>
      </c>
      <c r="I1797" s="421">
        <f>I1796*C1797</f>
        <v>0</v>
      </c>
      <c r="J1797" s="421">
        <f>J1796*C1797</f>
        <v>0</v>
      </c>
      <c r="K1797" s="422">
        <f t="shared" si="88"/>
        <v>0</v>
      </c>
    </row>
    <row r="1798" spans="2:13" x14ac:dyDescent="0.25">
      <c r="B1798" s="389"/>
      <c r="C1798" s="423"/>
      <c r="D1798" s="421">
        <f>D1796*C1798</f>
        <v>0</v>
      </c>
      <c r="E1798" s="421">
        <f>E1796*C1798</f>
        <v>0</v>
      </c>
      <c r="F1798" s="421">
        <f>F1796*C1798</f>
        <v>0</v>
      </c>
      <c r="G1798" s="421">
        <f>G1796*C1798</f>
        <v>0</v>
      </c>
      <c r="H1798" s="421">
        <f>H1796*C1798</f>
        <v>0</v>
      </c>
      <c r="I1798" s="421">
        <f>I1796*C1798</f>
        <v>0</v>
      </c>
      <c r="J1798" s="421">
        <f>J1796*C1798</f>
        <v>0</v>
      </c>
      <c r="K1798" s="424">
        <f t="shared" si="88"/>
        <v>0</v>
      </c>
    </row>
    <row r="1799" spans="2:13" ht="15" customHeight="1" x14ac:dyDescent="0.25">
      <c r="B1799" s="389"/>
      <c r="C1799" s="423"/>
      <c r="D1799" s="421">
        <f>D1796*C1799</f>
        <v>0</v>
      </c>
      <c r="E1799" s="421">
        <f>E1796*C1799</f>
        <v>0</v>
      </c>
      <c r="F1799" s="421">
        <f>F1796*C1799</f>
        <v>0</v>
      </c>
      <c r="G1799" s="421">
        <f>G1796*C1799</f>
        <v>0</v>
      </c>
      <c r="H1799" s="421">
        <f>H1796*C1799</f>
        <v>0</v>
      </c>
      <c r="I1799" s="421">
        <f>I1796*C1799</f>
        <v>0</v>
      </c>
      <c r="J1799" s="421">
        <f>J1796*C1799</f>
        <v>0</v>
      </c>
      <c r="K1799" s="424">
        <f t="shared" si="88"/>
        <v>0</v>
      </c>
    </row>
    <row r="1800" spans="2:13" x14ac:dyDescent="0.25">
      <c r="B1800" s="389"/>
      <c r="C1800" s="423"/>
      <c r="D1800" s="421">
        <f>D1796*C1800</f>
        <v>0</v>
      </c>
      <c r="E1800" s="421">
        <f>E1796*C1800</f>
        <v>0</v>
      </c>
      <c r="F1800" s="421">
        <f>F1796*C1800</f>
        <v>0</v>
      </c>
      <c r="G1800" s="421">
        <f>G1796*C1800</f>
        <v>0</v>
      </c>
      <c r="H1800" s="421">
        <f>H1796*C1800</f>
        <v>0</v>
      </c>
      <c r="I1800" s="421">
        <f>I1796*C1800</f>
        <v>0</v>
      </c>
      <c r="J1800" s="421">
        <f>J1796*C1800</f>
        <v>0</v>
      </c>
      <c r="K1800" s="424">
        <f t="shared" si="88"/>
        <v>0</v>
      </c>
    </row>
    <row r="1801" spans="2:13" x14ac:dyDescent="0.25">
      <c r="B1801" s="389"/>
      <c r="C1801" s="423"/>
      <c r="D1801" s="421">
        <f>D1796*C1801</f>
        <v>0</v>
      </c>
      <c r="E1801" s="421">
        <f>E1796*C1801</f>
        <v>0</v>
      </c>
      <c r="F1801" s="421">
        <f>F1796*C1801</f>
        <v>0</v>
      </c>
      <c r="G1801" s="421">
        <f>G1796*C1801</f>
        <v>0</v>
      </c>
      <c r="H1801" s="421">
        <f>H1796*C1801</f>
        <v>0</v>
      </c>
      <c r="I1801" s="421">
        <f>I1796*C1801</f>
        <v>0</v>
      </c>
      <c r="J1801" s="421">
        <f>J1796*C1801</f>
        <v>0</v>
      </c>
      <c r="K1801" s="424">
        <f t="shared" si="88"/>
        <v>0</v>
      </c>
    </row>
    <row r="1802" spans="2:13" x14ac:dyDescent="0.25">
      <c r="B1802" s="389"/>
      <c r="C1802" s="423"/>
      <c r="D1802" s="421">
        <f>D1796*C1802</f>
        <v>0</v>
      </c>
      <c r="E1802" s="421">
        <f>E1796*C1802</f>
        <v>0</v>
      </c>
      <c r="F1802" s="421">
        <f>F1796*C1802</f>
        <v>0</v>
      </c>
      <c r="G1802" s="421">
        <f>G1796*C1802</f>
        <v>0</v>
      </c>
      <c r="H1802" s="421">
        <f>H1796*C1802</f>
        <v>0</v>
      </c>
      <c r="I1802" s="421">
        <f>I1796*C1802</f>
        <v>0</v>
      </c>
      <c r="J1802" s="421">
        <f>J1796*C1802</f>
        <v>0</v>
      </c>
      <c r="K1802" s="424">
        <f t="shared" si="88"/>
        <v>0</v>
      </c>
    </row>
    <row r="1803" spans="2:13" ht="15.75" thickBot="1" x14ac:dyDescent="0.3"/>
    <row r="1804" spans="2:13" ht="15.75" thickBot="1" x14ac:dyDescent="0.3">
      <c r="B1804" s="432"/>
      <c r="C1804" s="411"/>
      <c r="D1804" s="407" t="s">
        <v>548</v>
      </c>
      <c r="E1804" s="408" t="s">
        <v>549</v>
      </c>
      <c r="F1804" s="408" t="s">
        <v>550</v>
      </c>
      <c r="G1804" s="408" t="s">
        <v>551</v>
      </c>
      <c r="H1804" s="408" t="s">
        <v>552</v>
      </c>
      <c r="I1804" s="408" t="s">
        <v>553</v>
      </c>
      <c r="J1804" s="408" t="s">
        <v>554</v>
      </c>
      <c r="K1804" s="408" t="s">
        <v>555</v>
      </c>
      <c r="M1804" s="414"/>
    </row>
    <row r="1805" spans="2:13" ht="15.75" thickBot="1" x14ac:dyDescent="0.3">
      <c r="B1805" s="414" t="s">
        <v>556</v>
      </c>
      <c r="C1805" s="415" t="s">
        <v>620</v>
      </c>
      <c r="D1805" s="416">
        <f>IF(ISERROR(VLOOKUP(B1804,'MD Usage'!$A$1:$W$5000,3,FALSE)),0,VLOOKUP(B1804,'MD Usage'!$A$1:$W$5000,3,FALSE))</f>
        <v>0</v>
      </c>
      <c r="E1805" s="416">
        <f>IF(ISERROR(VLOOKUP(B1804,'MD Usage'!$A$1:$W$5000,5,FALSE)),0,VLOOKUP(B1804,'MD Usage'!$A$1:$W$5000,5,FALSE))</f>
        <v>0</v>
      </c>
      <c r="F1805" s="416">
        <f>IF(ISERROR(VLOOKUP(B1804,'MD Usage'!$A$1:$W$5000,7,FALSE)),0,VLOOKUP(B1804,'MD Usage'!$A$1:$W$5000,7,FALSE))</f>
        <v>0</v>
      </c>
      <c r="G1805" s="416">
        <f>IF(ISERROR(VLOOKUP(B1804,'MD Usage'!$A$1:$W$5000,9,FALSE)),0,VLOOKUP(B1804,'MD Usage'!$A$1:$W$5000,9,FALSE))</f>
        <v>0</v>
      </c>
      <c r="H1805" s="416">
        <f>IF(ISERROR(VLOOKUP(B1804,'MD Usage'!$A$1:$W$5000,11,FALSE)),0,VLOOKUP(B1804,'MD Usage'!$A$1:$W$5000,11,FALSE))</f>
        <v>0</v>
      </c>
      <c r="I1805" s="416">
        <f>IF(ISERROR(VLOOKUP(B1804,'MD Usage'!A1:R2000,13,FALSE)),0,VLOOKUP(B1804,'MD Usage'!A1:R2000,13,FALSE))</f>
        <v>0</v>
      </c>
      <c r="J1805" s="416">
        <f>IF(ISERROR(VLOOKUP(B1804,'MD Usage'!A1:R2000,15,FALSE)),0,VLOOKUP(B1804,'MD Usage'!A1:R2000,15,FALSE))</f>
        <v>0</v>
      </c>
      <c r="K1805" s="418">
        <f>SUM(D1805:J1805)</f>
        <v>0</v>
      </c>
    </row>
    <row r="1806" spans="2:13" ht="15" customHeight="1" x14ac:dyDescent="0.25">
      <c r="B1806" s="419"/>
      <c r="C1806" s="420"/>
      <c r="D1806" s="421">
        <f>D1805*C1806</f>
        <v>0</v>
      </c>
      <c r="E1806" s="421">
        <f>E1805*C1806</f>
        <v>0</v>
      </c>
      <c r="F1806" s="421">
        <f>F1805*C1806</f>
        <v>0</v>
      </c>
      <c r="G1806" s="421">
        <f>G1805*C1806</f>
        <v>0</v>
      </c>
      <c r="H1806" s="421">
        <f>H1805*C1806</f>
        <v>0</v>
      </c>
      <c r="I1806" s="421">
        <f>I1805*C1806</f>
        <v>0</v>
      </c>
      <c r="J1806" s="421">
        <f>J1805*C1806</f>
        <v>0</v>
      </c>
      <c r="K1806" s="422">
        <f>SUM(D1806:J1806)</f>
        <v>0</v>
      </c>
    </row>
    <row r="1807" spans="2:13" x14ac:dyDescent="0.25">
      <c r="B1807" s="389"/>
      <c r="C1807" s="423"/>
      <c r="D1807" s="421">
        <f>D1805*C1807</f>
        <v>0</v>
      </c>
      <c r="E1807" s="421">
        <f>E1805*C1807</f>
        <v>0</v>
      </c>
      <c r="F1807" s="421">
        <f>F1805*C1807</f>
        <v>0</v>
      </c>
      <c r="G1807" s="421">
        <f>G1805*C1807</f>
        <v>0</v>
      </c>
      <c r="H1807" s="421">
        <f>H1805*C1807</f>
        <v>0</v>
      </c>
      <c r="I1807" s="421">
        <f>I1805*C1807</f>
        <v>0</v>
      </c>
      <c r="J1807" s="421">
        <f>J1805*C1807</f>
        <v>0</v>
      </c>
      <c r="K1807" s="424">
        <f>SUM(D1807:J1807)</f>
        <v>0</v>
      </c>
    </row>
    <row r="1808" spans="2:13" x14ac:dyDescent="0.25">
      <c r="B1808" s="389"/>
      <c r="C1808" s="423"/>
      <c r="D1808" s="421">
        <f>D1805*C1808</f>
        <v>0</v>
      </c>
      <c r="E1808" s="421">
        <f>E1805*C1808</f>
        <v>0</v>
      </c>
      <c r="F1808" s="421">
        <f>F1805*C1808</f>
        <v>0</v>
      </c>
      <c r="G1808" s="421">
        <f>G1805*C1808</f>
        <v>0</v>
      </c>
      <c r="H1808" s="421">
        <f>H1805*C1808</f>
        <v>0</v>
      </c>
      <c r="I1808" s="421">
        <f>I1805*C1808</f>
        <v>0</v>
      </c>
      <c r="J1808" s="421">
        <f>J1805*C1808</f>
        <v>0</v>
      </c>
      <c r="K1808" s="424">
        <f>SUM(D1808:J1808)</f>
        <v>0</v>
      </c>
    </row>
    <row r="1809" spans="2:13" x14ac:dyDescent="0.25">
      <c r="B1809" s="389"/>
      <c r="C1809" s="423"/>
      <c r="D1809" s="421">
        <f>D1805*C1809</f>
        <v>0</v>
      </c>
      <c r="E1809" s="421">
        <f>E1805*C1809</f>
        <v>0</v>
      </c>
      <c r="F1809" s="421">
        <f>F1805*C1809</f>
        <v>0</v>
      </c>
      <c r="G1809" s="421">
        <f>G1805*C1809</f>
        <v>0</v>
      </c>
      <c r="H1809" s="421">
        <f>H1805*C1809</f>
        <v>0</v>
      </c>
      <c r="I1809" s="421">
        <f>I1805*C1809</f>
        <v>0</v>
      </c>
      <c r="J1809" s="421">
        <f>J1805*C1809</f>
        <v>0</v>
      </c>
      <c r="K1809" s="424">
        <f>SUM(D1809:J1809)</f>
        <v>0</v>
      </c>
    </row>
    <row r="1810" spans="2:13" ht="15.75" thickBot="1" x14ac:dyDescent="0.3"/>
    <row r="1811" spans="2:13" ht="15.75" thickBot="1" x14ac:dyDescent="0.3">
      <c r="B1811" s="432"/>
      <c r="C1811" s="411"/>
      <c r="D1811" s="407" t="s">
        <v>548</v>
      </c>
      <c r="E1811" s="408" t="s">
        <v>549</v>
      </c>
      <c r="F1811" s="408" t="s">
        <v>550</v>
      </c>
      <c r="G1811" s="408" t="s">
        <v>551</v>
      </c>
      <c r="H1811" s="408" t="s">
        <v>552</v>
      </c>
      <c r="I1811" s="408" t="s">
        <v>553</v>
      </c>
      <c r="J1811" s="408" t="s">
        <v>554</v>
      </c>
      <c r="K1811" s="408" t="s">
        <v>555</v>
      </c>
    </row>
    <row r="1812" spans="2:13" ht="15.75" thickBot="1" x14ac:dyDescent="0.3">
      <c r="B1812" s="414" t="s">
        <v>556</v>
      </c>
      <c r="C1812" s="415" t="s">
        <v>620</v>
      </c>
      <c r="D1812" s="416">
        <f>IF(ISERROR(VLOOKUP(B1811,'MD Usage'!$A$1:$W$5000,3,FALSE)),0,VLOOKUP(B1811,'MD Usage'!$A$1:$W$5000,3,FALSE))</f>
        <v>0</v>
      </c>
      <c r="E1812" s="416">
        <f>IF(ISERROR(VLOOKUP(B1811,'MD Usage'!$A$1:$W$5000,5,FALSE)),0,VLOOKUP(B1811,'MD Usage'!$A$1:$W$5000,5,FALSE))</f>
        <v>0</v>
      </c>
      <c r="F1812" s="416">
        <f>IF(ISERROR(VLOOKUP(B1811,'MD Usage'!$A$1:$W$5000,7,FALSE)),0,VLOOKUP(B1811,'MD Usage'!$A$1:$W$5000,7,FALSE))</f>
        <v>0</v>
      </c>
      <c r="G1812" s="416">
        <f>IF(ISERROR(VLOOKUP(B1811,'MD Usage'!$A$1:$W$5000,9,FALSE)),0,VLOOKUP(B1811,'MD Usage'!$A$1:$W$5000,9,FALSE))</f>
        <v>0</v>
      </c>
      <c r="H1812" s="416">
        <f>IF(ISERROR(VLOOKUP(B1811,'MD Usage'!$A$1:$W$5000,11,FALSE)),0,VLOOKUP(B1811,'MD Usage'!$A$1:$W$5000,11,FALSE))</f>
        <v>0</v>
      </c>
      <c r="I1812" s="416">
        <f>IF(ISERROR(VLOOKUP(B1811,'MD Usage'!A1:R2000,13,FALSE)),0,VLOOKUP(B1811,'MD Usage'!A1:R2000,13,FALSE))</f>
        <v>0</v>
      </c>
      <c r="J1812" s="416">
        <f>IF(ISERROR(VLOOKUP(B1811,'MD Usage'!A1:R2000,15,FALSE)),0,VLOOKUP(B1811,'MD Usage'!A1:R2000,15,FALSE))</f>
        <v>0</v>
      </c>
      <c r="K1812" s="418">
        <f t="shared" ref="K1812:K1817" si="89">SUM(D1812:J1812)</f>
        <v>0</v>
      </c>
    </row>
    <row r="1813" spans="2:13" ht="15" customHeight="1" x14ac:dyDescent="0.25">
      <c r="B1813" s="419"/>
      <c r="C1813" s="420"/>
      <c r="D1813" s="421">
        <f>D1812*C1813</f>
        <v>0</v>
      </c>
      <c r="E1813" s="421">
        <f>E1812*C1813</f>
        <v>0</v>
      </c>
      <c r="F1813" s="421">
        <f>F1812*C1813</f>
        <v>0</v>
      </c>
      <c r="G1813" s="421">
        <f>G1812*C1813</f>
        <v>0</v>
      </c>
      <c r="H1813" s="421">
        <f>H1812*C1813</f>
        <v>0</v>
      </c>
      <c r="I1813" s="421">
        <f>I1812*C1813</f>
        <v>0</v>
      </c>
      <c r="J1813" s="421">
        <f>J1812*C1813</f>
        <v>0</v>
      </c>
      <c r="K1813" s="422">
        <f t="shared" si="89"/>
        <v>0</v>
      </c>
    </row>
    <row r="1814" spans="2:13" x14ac:dyDescent="0.25">
      <c r="B1814" s="389"/>
      <c r="C1814" s="423"/>
      <c r="D1814" s="421">
        <f>D1812*C1814</f>
        <v>0</v>
      </c>
      <c r="E1814" s="421">
        <f>E1812*C1814</f>
        <v>0</v>
      </c>
      <c r="F1814" s="421">
        <f>F1812*C1814</f>
        <v>0</v>
      </c>
      <c r="G1814" s="421">
        <f>G1812*C1814</f>
        <v>0</v>
      </c>
      <c r="H1814" s="421">
        <f>H1812*C1814</f>
        <v>0</v>
      </c>
      <c r="I1814" s="421">
        <f>I1812*C1814</f>
        <v>0</v>
      </c>
      <c r="J1814" s="421">
        <f>J1812*C1814</f>
        <v>0</v>
      </c>
      <c r="K1814" s="424">
        <f t="shared" si="89"/>
        <v>0</v>
      </c>
    </row>
    <row r="1815" spans="2:13" ht="15" customHeight="1" x14ac:dyDescent="0.25">
      <c r="B1815" s="389"/>
      <c r="C1815" s="423"/>
      <c r="D1815" s="421">
        <f>D1812*C1815</f>
        <v>0</v>
      </c>
      <c r="E1815" s="421">
        <f>E1812*C1815</f>
        <v>0</v>
      </c>
      <c r="F1815" s="421">
        <f>F1812*C1815</f>
        <v>0</v>
      </c>
      <c r="G1815" s="421">
        <f>G1812*C1815</f>
        <v>0</v>
      </c>
      <c r="H1815" s="421">
        <f>H1812*C1815</f>
        <v>0</v>
      </c>
      <c r="I1815" s="421">
        <f>I1812*C1815</f>
        <v>0</v>
      </c>
      <c r="J1815" s="421">
        <f>J1812*C1815</f>
        <v>0</v>
      </c>
      <c r="K1815" s="424">
        <f t="shared" si="89"/>
        <v>0</v>
      </c>
    </row>
    <row r="1816" spans="2:13" x14ac:dyDescent="0.25">
      <c r="B1816" s="389"/>
      <c r="C1816" s="423"/>
      <c r="D1816" s="421">
        <f>D1812*C1816</f>
        <v>0</v>
      </c>
      <c r="E1816" s="421">
        <f>E1812*C1816</f>
        <v>0</v>
      </c>
      <c r="F1816" s="421">
        <f>F1812*C1816</f>
        <v>0</v>
      </c>
      <c r="G1816" s="421">
        <f>G1812*C1816</f>
        <v>0</v>
      </c>
      <c r="H1816" s="421">
        <f>H1812*C1816</f>
        <v>0</v>
      </c>
      <c r="I1816" s="421">
        <f>I1812*C1816</f>
        <v>0</v>
      </c>
      <c r="J1816" s="421">
        <f>J1812*C1816</f>
        <v>0</v>
      </c>
      <c r="K1816" s="424">
        <f t="shared" si="89"/>
        <v>0</v>
      </c>
    </row>
    <row r="1817" spans="2:13" ht="15" customHeight="1" x14ac:dyDescent="0.25">
      <c r="B1817" s="389"/>
      <c r="C1817" s="423"/>
      <c r="D1817" s="421">
        <f>D1812*C1817</f>
        <v>0</v>
      </c>
      <c r="E1817" s="421">
        <f>E1812*C1817</f>
        <v>0</v>
      </c>
      <c r="F1817" s="421">
        <f>F1812*C1817</f>
        <v>0</v>
      </c>
      <c r="G1817" s="421">
        <f>G1812*C1817</f>
        <v>0</v>
      </c>
      <c r="H1817" s="421">
        <f>H1812*C1817</f>
        <v>0</v>
      </c>
      <c r="I1817" s="421">
        <f>I1812*C1817</f>
        <v>0</v>
      </c>
      <c r="J1817" s="421">
        <f>J1812*C1817</f>
        <v>0</v>
      </c>
      <c r="K1817" s="424">
        <f t="shared" si="89"/>
        <v>0</v>
      </c>
    </row>
    <row r="1818" spans="2:13" ht="15.75" thickBot="1" x14ac:dyDescent="0.3"/>
    <row r="1819" spans="2:13" ht="15.75" thickBot="1" x14ac:dyDescent="0.3">
      <c r="B1819" s="432"/>
      <c r="C1819" s="411"/>
      <c r="D1819" s="407" t="s">
        <v>548</v>
      </c>
      <c r="E1819" s="408" t="s">
        <v>549</v>
      </c>
      <c r="F1819" s="408" t="s">
        <v>550</v>
      </c>
      <c r="G1819" s="408" t="s">
        <v>551</v>
      </c>
      <c r="H1819" s="408" t="s">
        <v>552</v>
      </c>
      <c r="I1819" s="408" t="s">
        <v>553</v>
      </c>
      <c r="J1819" s="408" t="s">
        <v>554</v>
      </c>
      <c r="K1819" s="408" t="s">
        <v>555</v>
      </c>
      <c r="M1819" s="414"/>
    </row>
    <row r="1820" spans="2:13" ht="15.75" thickBot="1" x14ac:dyDescent="0.3">
      <c r="B1820" s="414" t="s">
        <v>556</v>
      </c>
      <c r="C1820" s="415" t="s">
        <v>620</v>
      </c>
      <c r="D1820" s="416">
        <f>IF(ISERROR(VLOOKUP(B1819,'MD Usage'!$A$1:$W$5000,3,FALSE)),0,VLOOKUP(B1819,'MD Usage'!$A$1:$W$5000,3,FALSE))</f>
        <v>0</v>
      </c>
      <c r="E1820" s="416">
        <f>IF(ISERROR(VLOOKUP(B1819,'MD Usage'!$A$1:$W$5000,5,FALSE)),0,VLOOKUP(B1819,'MD Usage'!$A$1:$W$5000,5,FALSE))</f>
        <v>0</v>
      </c>
      <c r="F1820" s="416">
        <f>IF(ISERROR(VLOOKUP(B1819,'MD Usage'!$A$1:$W$5000,7,FALSE)),0,VLOOKUP(B1819,'MD Usage'!$A$1:$W$5000,7,FALSE))</f>
        <v>0</v>
      </c>
      <c r="G1820" s="416">
        <f>IF(ISERROR(VLOOKUP(B1819,'MD Usage'!$A$1:$W$5000,9,FALSE)),0,VLOOKUP(B1819,'MD Usage'!$A$1:$W$5000,9,FALSE))</f>
        <v>0</v>
      </c>
      <c r="H1820" s="416">
        <f>IF(ISERROR(VLOOKUP(B1819,'MD Usage'!$A$1:$W$5000,11,FALSE)),0,VLOOKUP(B1819,'MD Usage'!$A$1:$W$5000,11,FALSE))</f>
        <v>0</v>
      </c>
      <c r="I1820" s="416">
        <f>IF(ISERROR(VLOOKUP(B1819,'MD Usage'!A1:R2000,13,FALSE)),0,VLOOKUP(B1819,'MD Usage'!A1:R2000,13,FALSE))</f>
        <v>0</v>
      </c>
      <c r="J1820" s="416">
        <f>IF(ISERROR(VLOOKUP(B1819,'MD Usage'!A1:R2000,15,FALSE)),0,VLOOKUP(B1819,'MD Usage'!A1:R2000,15,FALSE))</f>
        <v>0</v>
      </c>
      <c r="K1820" s="418">
        <f t="shared" ref="K1820:K1827" si="90">SUM(D1820:J1820)</f>
        <v>0</v>
      </c>
    </row>
    <row r="1821" spans="2:13" x14ac:dyDescent="0.25">
      <c r="B1821" s="419"/>
      <c r="C1821" s="420"/>
      <c r="D1821" s="421">
        <f>D1820*C1821</f>
        <v>0</v>
      </c>
      <c r="E1821" s="421">
        <f>E1820*C1821</f>
        <v>0</v>
      </c>
      <c r="F1821" s="421">
        <f>F1820*C1821</f>
        <v>0</v>
      </c>
      <c r="G1821" s="421">
        <f>G1820*C1821</f>
        <v>0</v>
      </c>
      <c r="H1821" s="421">
        <f>H1820*C1821</f>
        <v>0</v>
      </c>
      <c r="I1821" s="421">
        <f>I1820*C1821</f>
        <v>0</v>
      </c>
      <c r="J1821" s="421">
        <f>J1820*C1821</f>
        <v>0</v>
      </c>
      <c r="K1821" s="422">
        <f t="shared" si="90"/>
        <v>0</v>
      </c>
    </row>
    <row r="1822" spans="2:13" x14ac:dyDescent="0.25">
      <c r="B1822" s="389"/>
      <c r="C1822" s="423"/>
      <c r="D1822" s="421">
        <f>D1820*C1822</f>
        <v>0</v>
      </c>
      <c r="E1822" s="421">
        <f>E1820*C1822</f>
        <v>0</v>
      </c>
      <c r="F1822" s="421">
        <f>F1820*C1822</f>
        <v>0</v>
      </c>
      <c r="G1822" s="421">
        <f>G1820*C1822</f>
        <v>0</v>
      </c>
      <c r="H1822" s="421">
        <f>H1820*C1822</f>
        <v>0</v>
      </c>
      <c r="I1822" s="421">
        <f>I1820*C1822</f>
        <v>0</v>
      </c>
      <c r="J1822" s="421">
        <f>J1820*C1822</f>
        <v>0</v>
      </c>
      <c r="K1822" s="424">
        <f t="shared" si="90"/>
        <v>0</v>
      </c>
    </row>
    <row r="1823" spans="2:13" x14ac:dyDescent="0.25">
      <c r="B1823" s="389"/>
      <c r="C1823" s="423"/>
      <c r="D1823" s="421">
        <f>D1820*C1823</f>
        <v>0</v>
      </c>
      <c r="E1823" s="421">
        <f>E1820*C1823</f>
        <v>0</v>
      </c>
      <c r="F1823" s="421">
        <f>F1820*C1823</f>
        <v>0</v>
      </c>
      <c r="G1823" s="421">
        <f>G1820*C1823</f>
        <v>0</v>
      </c>
      <c r="H1823" s="421">
        <f>H1820*C1823</f>
        <v>0</v>
      </c>
      <c r="I1823" s="421">
        <f>I1820*C1823</f>
        <v>0</v>
      </c>
      <c r="J1823" s="421">
        <f>J1820*C1823</f>
        <v>0</v>
      </c>
      <c r="K1823" s="424">
        <f t="shared" si="90"/>
        <v>0</v>
      </c>
    </row>
    <row r="1824" spans="2:13" x14ac:dyDescent="0.25">
      <c r="B1824" s="389"/>
      <c r="C1824" s="423"/>
      <c r="D1824" s="421">
        <f>D1820*C1824</f>
        <v>0</v>
      </c>
      <c r="E1824" s="421">
        <f>E1820*C1824</f>
        <v>0</v>
      </c>
      <c r="F1824" s="421">
        <f>F1820*C1824</f>
        <v>0</v>
      </c>
      <c r="G1824" s="421">
        <f>G1820*C1824</f>
        <v>0</v>
      </c>
      <c r="H1824" s="421">
        <f>H1820*C1824</f>
        <v>0</v>
      </c>
      <c r="I1824" s="421">
        <f>I1820*C1824</f>
        <v>0</v>
      </c>
      <c r="J1824" s="421">
        <f>J1820*C1824</f>
        <v>0</v>
      </c>
      <c r="K1824" s="424">
        <f t="shared" si="90"/>
        <v>0</v>
      </c>
    </row>
    <row r="1825" spans="2:13" ht="15" customHeight="1" x14ac:dyDescent="0.25">
      <c r="B1825" s="389"/>
      <c r="C1825" s="423"/>
      <c r="D1825" s="421">
        <f>D1820*C1825</f>
        <v>0</v>
      </c>
      <c r="E1825" s="421">
        <f>E1820*C1825</f>
        <v>0</v>
      </c>
      <c r="F1825" s="421">
        <f>F1820*C1825</f>
        <v>0</v>
      </c>
      <c r="G1825" s="421">
        <f>G1820*C1825</f>
        <v>0</v>
      </c>
      <c r="H1825" s="421">
        <f>H1820*C1825</f>
        <v>0</v>
      </c>
      <c r="I1825" s="421">
        <f>I1820*C1825</f>
        <v>0</v>
      </c>
      <c r="J1825" s="421">
        <f>J1820*C1825</f>
        <v>0</v>
      </c>
      <c r="K1825" s="424">
        <f t="shared" si="90"/>
        <v>0</v>
      </c>
    </row>
    <row r="1826" spans="2:13" x14ac:dyDescent="0.25">
      <c r="B1826" s="389"/>
      <c r="C1826" s="423"/>
      <c r="D1826" s="421">
        <f>D1820*C1826</f>
        <v>0</v>
      </c>
      <c r="E1826" s="421">
        <f>E1820*C1826</f>
        <v>0</v>
      </c>
      <c r="F1826" s="421">
        <f>F1820*C1826</f>
        <v>0</v>
      </c>
      <c r="G1826" s="421">
        <f>G1820*C1826</f>
        <v>0</v>
      </c>
      <c r="H1826" s="421">
        <f>H1820*C1826</f>
        <v>0</v>
      </c>
      <c r="I1826" s="421">
        <f>I1820*C1826</f>
        <v>0</v>
      </c>
      <c r="J1826" s="421">
        <f>J1820*C1826</f>
        <v>0</v>
      </c>
      <c r="K1826" s="424">
        <f t="shared" si="90"/>
        <v>0</v>
      </c>
    </row>
    <row r="1827" spans="2:13" x14ac:dyDescent="0.25">
      <c r="B1827" s="389"/>
      <c r="C1827" s="423"/>
      <c r="D1827" s="421">
        <f>D1820*C1827</f>
        <v>0</v>
      </c>
      <c r="E1827" s="421">
        <f>E1820*C1827</f>
        <v>0</v>
      </c>
      <c r="F1827" s="421">
        <f>F1820*C1827</f>
        <v>0</v>
      </c>
      <c r="G1827" s="421">
        <f>G1820*C1827</f>
        <v>0</v>
      </c>
      <c r="H1827" s="421">
        <f>H1820*C1827</f>
        <v>0</v>
      </c>
      <c r="I1827" s="421">
        <f>I1820*C1827</f>
        <v>0</v>
      </c>
      <c r="J1827" s="421">
        <f>J1820*C1827</f>
        <v>0</v>
      </c>
      <c r="K1827" s="424">
        <f t="shared" si="90"/>
        <v>0</v>
      </c>
    </row>
    <row r="1828" spans="2:13" ht="15" customHeight="1" thickBot="1" x14ac:dyDescent="0.3"/>
    <row r="1829" spans="2:13" ht="15.75" thickBot="1" x14ac:dyDescent="0.3">
      <c r="B1829" s="432"/>
      <c r="C1829" s="411"/>
      <c r="D1829" s="407" t="s">
        <v>548</v>
      </c>
      <c r="E1829" s="408" t="s">
        <v>549</v>
      </c>
      <c r="F1829" s="408" t="s">
        <v>550</v>
      </c>
      <c r="G1829" s="408" t="s">
        <v>551</v>
      </c>
      <c r="H1829" s="408" t="s">
        <v>552</v>
      </c>
      <c r="I1829" s="408" t="s">
        <v>553</v>
      </c>
      <c r="J1829" s="408" t="s">
        <v>554</v>
      </c>
      <c r="K1829" s="408" t="s">
        <v>555</v>
      </c>
      <c r="M1829" s="426"/>
    </row>
    <row r="1830" spans="2:13" ht="15.75" thickBot="1" x14ac:dyDescent="0.3">
      <c r="B1830" s="414" t="s">
        <v>556</v>
      </c>
      <c r="C1830" s="415" t="s">
        <v>620</v>
      </c>
      <c r="D1830" s="416">
        <f>IF(ISERROR(VLOOKUP(B1829,'MD Usage'!$A$1:$W$5000,3,FALSE)),0,VLOOKUP(B1829,'MD Usage'!$A$1:$W$5000,3,FALSE))</f>
        <v>0</v>
      </c>
      <c r="E1830" s="416">
        <f>IF(ISERROR(VLOOKUP(B1829,'MD Usage'!$A$1:$W$5000,5,FALSE)),0,VLOOKUP(B1829,'MD Usage'!$A$1:$W$5000,5,FALSE))</f>
        <v>0</v>
      </c>
      <c r="F1830" s="416">
        <f>IF(ISERROR(VLOOKUP(B1829,'MD Usage'!$A$1:$W$5000,7,FALSE)),0,VLOOKUP(B1829,'MD Usage'!$A$1:$W$5000,7,FALSE))</f>
        <v>0</v>
      </c>
      <c r="G1830" s="416">
        <f>IF(ISERROR(VLOOKUP(B1829,'MD Usage'!$A$1:$W$5000,9,FALSE)),0,VLOOKUP(B1829,'MD Usage'!$A$1:$W$5000,9,FALSE))</f>
        <v>0</v>
      </c>
      <c r="H1830" s="416">
        <f>IF(ISERROR(VLOOKUP(B1829,'MD Usage'!$A$1:$W$5000,11,FALSE)),0,VLOOKUP(B1829,'MD Usage'!$A$1:$W$5000,11,FALSE))</f>
        <v>0</v>
      </c>
      <c r="I1830" s="416">
        <f>IF(ISERROR(VLOOKUP(B1829,'MD Usage'!A1:R2000,13,FALSE)),0,VLOOKUP(B1829,'MD Usage'!A1:R2000,13,FALSE))</f>
        <v>0</v>
      </c>
      <c r="J1830" s="416">
        <f>IF(ISERROR(VLOOKUP(B1829,'MD Usage'!A1:R2000,15,FALSE)),0,VLOOKUP(B1829,'MD Usage'!A1:R2000,15,FALSE))</f>
        <v>0</v>
      </c>
      <c r="K1830" s="418">
        <f>SUM(D1830:J1830)</f>
        <v>0</v>
      </c>
    </row>
    <row r="1831" spans="2:13" x14ac:dyDescent="0.25">
      <c r="B1831" s="419"/>
      <c r="C1831" s="420"/>
      <c r="D1831" s="421">
        <f>D1830*C1831</f>
        <v>0</v>
      </c>
      <c r="E1831" s="421">
        <f>E1830*C1831</f>
        <v>0</v>
      </c>
      <c r="F1831" s="421">
        <f>F1830*C1831</f>
        <v>0</v>
      </c>
      <c r="G1831" s="421">
        <f>G1830*C1831</f>
        <v>0</v>
      </c>
      <c r="H1831" s="421">
        <f>H1830*C1831</f>
        <v>0</v>
      </c>
      <c r="I1831" s="421">
        <f>I1830*C1831</f>
        <v>0</v>
      </c>
      <c r="J1831" s="421">
        <f>J1830*C1831</f>
        <v>0</v>
      </c>
      <c r="K1831" s="422">
        <f>SUM(D1831:J1831)</f>
        <v>0</v>
      </c>
    </row>
    <row r="1832" spans="2:13" x14ac:dyDescent="0.25">
      <c r="B1832" s="389"/>
      <c r="C1832" s="423"/>
      <c r="D1832" s="421">
        <f>D1830*C1832</f>
        <v>0</v>
      </c>
      <c r="E1832" s="421">
        <f>E1830*C1832</f>
        <v>0</v>
      </c>
      <c r="F1832" s="421">
        <f>F1830*C1832</f>
        <v>0</v>
      </c>
      <c r="G1832" s="421">
        <f>G1830*C1832</f>
        <v>0</v>
      </c>
      <c r="H1832" s="421">
        <f>H1830*C1832</f>
        <v>0</v>
      </c>
      <c r="I1832" s="421">
        <f>I1830*C1832</f>
        <v>0</v>
      </c>
      <c r="J1832" s="421">
        <f>J1830*C1832</f>
        <v>0</v>
      </c>
      <c r="K1832" s="424">
        <f>SUM(D1832:J1832)</f>
        <v>0</v>
      </c>
    </row>
    <row r="1833" spans="2:13" x14ac:dyDescent="0.25">
      <c r="B1833" s="389"/>
      <c r="C1833" s="423"/>
      <c r="D1833" s="421">
        <f>D1830*C1833</f>
        <v>0</v>
      </c>
      <c r="E1833" s="421">
        <f>E1830*C1833</f>
        <v>0</v>
      </c>
      <c r="F1833" s="421">
        <f>F1830*C1833</f>
        <v>0</v>
      </c>
      <c r="G1833" s="421">
        <f>G1830*C1833</f>
        <v>0</v>
      </c>
      <c r="H1833" s="421">
        <f>H1830*C1833</f>
        <v>0</v>
      </c>
      <c r="I1833" s="421">
        <f>I1830*C1833</f>
        <v>0</v>
      </c>
      <c r="J1833" s="421">
        <f>J1830*C1833</f>
        <v>0</v>
      </c>
      <c r="K1833" s="424">
        <f>SUM(D1833:J1833)</f>
        <v>0</v>
      </c>
    </row>
    <row r="1834" spans="2:13" x14ac:dyDescent="0.25">
      <c r="B1834" s="389"/>
      <c r="C1834" s="423"/>
      <c r="D1834" s="421">
        <f>D1830*C1834</f>
        <v>0</v>
      </c>
      <c r="E1834" s="421">
        <f>E1830*C1834</f>
        <v>0</v>
      </c>
      <c r="F1834" s="421">
        <f>F1830*C1834</f>
        <v>0</v>
      </c>
      <c r="G1834" s="421">
        <f>G1830*C1834</f>
        <v>0</v>
      </c>
      <c r="H1834" s="421">
        <f>H1830*C1834</f>
        <v>0</v>
      </c>
      <c r="I1834" s="421">
        <f>I1830*C1834</f>
        <v>0</v>
      </c>
      <c r="J1834" s="421">
        <f>J1830*C1834</f>
        <v>0</v>
      </c>
      <c r="K1834" s="424">
        <f>SUM(D1834:J1834)</f>
        <v>0</v>
      </c>
    </row>
    <row r="1835" spans="2:13" ht="15.75" thickBot="1" x14ac:dyDescent="0.3"/>
    <row r="1836" spans="2:13" ht="15.75" thickBot="1" x14ac:dyDescent="0.3">
      <c r="B1836" s="433"/>
      <c r="C1836" s="411"/>
      <c r="D1836" s="407" t="s">
        <v>548</v>
      </c>
      <c r="E1836" s="408" t="s">
        <v>549</v>
      </c>
      <c r="F1836" s="408" t="s">
        <v>550</v>
      </c>
      <c r="G1836" s="408" t="s">
        <v>551</v>
      </c>
      <c r="H1836" s="408" t="s">
        <v>552</v>
      </c>
      <c r="I1836" s="408" t="s">
        <v>553</v>
      </c>
      <c r="J1836" s="408" t="s">
        <v>554</v>
      </c>
      <c r="K1836" s="408" t="s">
        <v>555</v>
      </c>
      <c r="M1836" s="438"/>
    </row>
    <row r="1837" spans="2:13" ht="15.75" thickBot="1" x14ac:dyDescent="0.3">
      <c r="B1837" s="414" t="s">
        <v>556</v>
      </c>
      <c r="C1837" s="415" t="s">
        <v>620</v>
      </c>
      <c r="D1837" s="416">
        <f>IF(ISERROR(VLOOKUP(B1836,'MD Usage'!$A$1:$W$5000,3,FALSE)),0,VLOOKUP(B1836,'MD Usage'!$A$1:$W$5000,3,FALSE))</f>
        <v>0</v>
      </c>
      <c r="E1837" s="416">
        <f>IF(ISERROR(VLOOKUP(B1836,'MD Usage'!$A$1:$W$5000,5,FALSE)),0,VLOOKUP(B1836,'MD Usage'!$A$1:$W$5000,5,FALSE))</f>
        <v>0</v>
      </c>
      <c r="F1837" s="416">
        <f>IF(ISERROR(VLOOKUP(B1836,'MD Usage'!$A$1:$W$5000,7,FALSE)),0,VLOOKUP(B1836,'MD Usage'!$A$1:$W$5000,7,FALSE))</f>
        <v>0</v>
      </c>
      <c r="G1837" s="416">
        <f>IF(ISERROR(VLOOKUP(B1836,'MD Usage'!$A$1:$W$5000,9,FALSE)),0,VLOOKUP(B1836,'MD Usage'!$A$1:$W$5000,9,FALSE))</f>
        <v>0</v>
      </c>
      <c r="H1837" s="416">
        <f>IF(ISERROR(VLOOKUP(B1836,'MD Usage'!$A$1:$W$5000,11,FALSE)),0,VLOOKUP(B1836,'MD Usage'!$A$1:$W$5000,11,FALSE))</f>
        <v>0</v>
      </c>
      <c r="I1837" s="416">
        <f>IF(ISERROR(VLOOKUP(B1836,'MD Usage'!A1:R2000,13,FALSE)),0,VLOOKUP(B1836,'MD Usage'!A1:R2000,13,FALSE))</f>
        <v>0</v>
      </c>
      <c r="J1837" s="416">
        <f>IF(ISERROR(VLOOKUP(B1836,'MD Usage'!A1:R2000,15,FALSE)),0,VLOOKUP(B1836,'MD Usage'!A1:R2000,15,FALSE))</f>
        <v>0</v>
      </c>
      <c r="K1837" s="418">
        <f>SUM(D1837:J1837)</f>
        <v>0</v>
      </c>
    </row>
    <row r="1838" spans="2:13" x14ac:dyDescent="0.25">
      <c r="B1838" s="419"/>
      <c r="C1838" s="420"/>
      <c r="D1838" s="421">
        <f>D1837*C1838</f>
        <v>0</v>
      </c>
      <c r="E1838" s="421">
        <f>E1837*C1838</f>
        <v>0</v>
      </c>
      <c r="F1838" s="421">
        <f>F1837*C1838</f>
        <v>0</v>
      </c>
      <c r="G1838" s="421">
        <f>G1837*C1838</f>
        <v>0</v>
      </c>
      <c r="H1838" s="421">
        <f>H1837*C1838</f>
        <v>0</v>
      </c>
      <c r="I1838" s="421">
        <f>I1837*C1838</f>
        <v>0</v>
      </c>
      <c r="J1838" s="421">
        <f>J1837*C1838</f>
        <v>0</v>
      </c>
      <c r="K1838" s="422">
        <f>SUM(D1838:J1838)</f>
        <v>0</v>
      </c>
    </row>
    <row r="1839" spans="2:13" ht="15" customHeight="1" x14ac:dyDescent="0.25">
      <c r="B1839" s="442"/>
      <c r="C1839" s="431"/>
      <c r="D1839" s="421">
        <f>D1837*C1839</f>
        <v>0</v>
      </c>
      <c r="E1839" s="421">
        <f>E1837*C1839</f>
        <v>0</v>
      </c>
      <c r="F1839" s="421">
        <f>F1837*C1839</f>
        <v>0</v>
      </c>
      <c r="G1839" s="421">
        <f>G1837*C1839</f>
        <v>0</v>
      </c>
      <c r="H1839" s="421">
        <f>H1837*C1839</f>
        <v>0</v>
      </c>
      <c r="I1839" s="421">
        <f>I1837*C1839</f>
        <v>0</v>
      </c>
      <c r="J1839" s="421">
        <f>J1837*C1839</f>
        <v>0</v>
      </c>
      <c r="K1839" s="424">
        <f>SUM(D1839:J1839)</f>
        <v>0</v>
      </c>
    </row>
    <row r="1840" spans="2:13" x14ac:dyDescent="0.25">
      <c r="B1840" s="442"/>
      <c r="C1840" s="431"/>
      <c r="D1840" s="421">
        <f>D1837*C1840</f>
        <v>0</v>
      </c>
      <c r="E1840" s="421">
        <f>E1837*C1840</f>
        <v>0</v>
      </c>
      <c r="F1840" s="421">
        <f>F1837*C1840</f>
        <v>0</v>
      </c>
      <c r="G1840" s="421">
        <f>G1837*C1840</f>
        <v>0</v>
      </c>
      <c r="H1840" s="421">
        <f>H1837*C1840</f>
        <v>0</v>
      </c>
      <c r="I1840" s="421">
        <f>I1837*C1840</f>
        <v>0</v>
      </c>
      <c r="J1840" s="421">
        <f>J1837*C1840</f>
        <v>0</v>
      </c>
      <c r="K1840" s="424">
        <f>SUM(D1840:J1840)</f>
        <v>0</v>
      </c>
    </row>
    <row r="1841" spans="2:13" x14ac:dyDescent="0.25">
      <c r="B1841" s="442"/>
      <c r="C1841" s="431"/>
      <c r="D1841" s="421">
        <f>D1837*C1841</f>
        <v>0</v>
      </c>
      <c r="E1841" s="421">
        <f>E1837*C1841</f>
        <v>0</v>
      </c>
      <c r="F1841" s="421">
        <f>F1837*C1841</f>
        <v>0</v>
      </c>
      <c r="G1841" s="421">
        <f>G1837*C1841</f>
        <v>0</v>
      </c>
      <c r="H1841" s="421">
        <f>H1837*C1841</f>
        <v>0</v>
      </c>
      <c r="I1841" s="421">
        <f>I1837*C1841</f>
        <v>0</v>
      </c>
      <c r="J1841" s="421">
        <f>J1837*C1841</f>
        <v>0</v>
      </c>
      <c r="K1841" s="424">
        <f>SUM(D1841:J1841)</f>
        <v>0</v>
      </c>
    </row>
    <row r="1842" spans="2:13" ht="15.75" thickBot="1" x14ac:dyDescent="0.3"/>
    <row r="1843" spans="2:13" ht="15.75" thickBot="1" x14ac:dyDescent="0.3">
      <c r="B1843" s="433"/>
      <c r="C1843" s="411"/>
      <c r="D1843" s="407" t="s">
        <v>548</v>
      </c>
      <c r="E1843" s="408" t="s">
        <v>549</v>
      </c>
      <c r="F1843" s="408" t="s">
        <v>550</v>
      </c>
      <c r="G1843" s="408" t="s">
        <v>551</v>
      </c>
      <c r="H1843" s="408" t="s">
        <v>552</v>
      </c>
      <c r="I1843" s="408" t="s">
        <v>553</v>
      </c>
      <c r="J1843" s="408" t="s">
        <v>554</v>
      </c>
      <c r="K1843" s="408" t="s">
        <v>555</v>
      </c>
      <c r="M1843" s="438"/>
    </row>
    <row r="1844" spans="2:13" ht="15.75" thickBot="1" x14ac:dyDescent="0.3">
      <c r="B1844" s="414" t="s">
        <v>556</v>
      </c>
      <c r="C1844" s="415" t="s">
        <v>620</v>
      </c>
      <c r="D1844" s="416">
        <f>IF(ISERROR(VLOOKUP(B1843,'MD Usage'!$A$1:$W$5000,3,FALSE)),0,VLOOKUP(B1843,'MD Usage'!$A$1:$W$5000,3,FALSE))</f>
        <v>0</v>
      </c>
      <c r="E1844" s="416">
        <f>IF(ISERROR(VLOOKUP(B1843,'MD Usage'!$A$1:$W$5000,5,FALSE)),0,VLOOKUP(B1843,'MD Usage'!$A$1:$W$5000,5,FALSE))</f>
        <v>0</v>
      </c>
      <c r="F1844" s="416">
        <f>IF(ISERROR(VLOOKUP(B1843,'MD Usage'!$A$1:$W$5000,7,FALSE)),0,VLOOKUP(B1843,'MD Usage'!$A$1:$W$5000,7,FALSE))</f>
        <v>0</v>
      </c>
      <c r="G1844" s="416">
        <f>IF(ISERROR(VLOOKUP(B1843,'MD Usage'!$A$1:$W$5000,9,FALSE)),0,VLOOKUP(B1843,'MD Usage'!$A$1:$W$5000,9,FALSE))</f>
        <v>0</v>
      </c>
      <c r="H1844" s="416">
        <f>IF(ISERROR(VLOOKUP(B1843,'MD Usage'!$A$1:$W$5000,11,FALSE)),0,VLOOKUP(B1843,'MD Usage'!$A$1:$W$5000,11,FALSE))</f>
        <v>0</v>
      </c>
      <c r="I1844" s="416">
        <f>IF(ISERROR(VLOOKUP(B1843,'MD Usage'!A1:R2000,13,FALSE)),0,VLOOKUP(B1843,'MD Usage'!A1:R2000,13,FALSE))</f>
        <v>0</v>
      </c>
      <c r="J1844" s="416">
        <f>IF(ISERROR(VLOOKUP(B1843,'MD Usage'!A1:R2000,15,FALSE)),0,VLOOKUP(B1843,'MD Usage'!A1:R2000,15,FALSE))</f>
        <v>0</v>
      </c>
      <c r="K1844" s="418">
        <f>SUM(D1844:J1844)</f>
        <v>0</v>
      </c>
    </row>
    <row r="1845" spans="2:13" x14ac:dyDescent="0.25">
      <c r="B1845" s="419"/>
      <c r="C1845" s="420"/>
      <c r="D1845" s="421">
        <f>D1844*C1845</f>
        <v>0</v>
      </c>
      <c r="E1845" s="421">
        <f>E1844*C1845</f>
        <v>0</v>
      </c>
      <c r="F1845" s="421">
        <f>F1844*C1845</f>
        <v>0</v>
      </c>
      <c r="G1845" s="421">
        <f>G1844*C1845</f>
        <v>0</v>
      </c>
      <c r="H1845" s="421">
        <f>H1844*C1845</f>
        <v>0</v>
      </c>
      <c r="I1845" s="421">
        <f>I1844*C1845</f>
        <v>0</v>
      </c>
      <c r="J1845" s="421">
        <f>J1844*C1845</f>
        <v>0</v>
      </c>
      <c r="K1845" s="422">
        <f>SUM(D1845:J1845)</f>
        <v>0</v>
      </c>
    </row>
    <row r="1846" spans="2:13" x14ac:dyDescent="0.25">
      <c r="B1846" s="389"/>
      <c r="C1846" s="423"/>
      <c r="D1846" s="421">
        <f>D1844*C1846</f>
        <v>0</v>
      </c>
      <c r="E1846" s="421">
        <f>E1844*C1846</f>
        <v>0</v>
      </c>
      <c r="F1846" s="421">
        <f>F1844*C1846</f>
        <v>0</v>
      </c>
      <c r="G1846" s="421">
        <f>G1844*C1846</f>
        <v>0</v>
      </c>
      <c r="H1846" s="421">
        <f>H1844*C1846</f>
        <v>0</v>
      </c>
      <c r="I1846" s="421">
        <f>I1844*C1846</f>
        <v>0</v>
      </c>
      <c r="J1846" s="421">
        <f>J1844*C1846</f>
        <v>0</v>
      </c>
      <c r="K1846" s="424">
        <f>SUM(D1846:J1846)</f>
        <v>0</v>
      </c>
    </row>
    <row r="1847" spans="2:13" x14ac:dyDescent="0.25">
      <c r="B1847" s="389"/>
      <c r="C1847" s="423"/>
      <c r="D1847" s="421">
        <f>D1844*C1847</f>
        <v>0</v>
      </c>
      <c r="E1847" s="421">
        <f>E1844*C1847</f>
        <v>0</v>
      </c>
      <c r="F1847" s="421">
        <f>F1844*C1847</f>
        <v>0</v>
      </c>
      <c r="G1847" s="421">
        <f>G1844*C1847</f>
        <v>0</v>
      </c>
      <c r="H1847" s="421">
        <f>H1844*C1847</f>
        <v>0</v>
      </c>
      <c r="I1847" s="421">
        <f>I1844*C1847</f>
        <v>0</v>
      </c>
      <c r="J1847" s="421">
        <f>J1844*C1847</f>
        <v>0</v>
      </c>
      <c r="K1847" s="424">
        <f>SUM(D1847:J1847)</f>
        <v>0</v>
      </c>
    </row>
    <row r="1848" spans="2:13" x14ac:dyDescent="0.25">
      <c r="B1848" s="389"/>
      <c r="C1848" s="423"/>
      <c r="D1848" s="421">
        <f>D1844*C1848</f>
        <v>0</v>
      </c>
      <c r="E1848" s="421">
        <f>E1844*C1848</f>
        <v>0</v>
      </c>
      <c r="F1848" s="421">
        <f>F1844*C1848</f>
        <v>0</v>
      </c>
      <c r="G1848" s="421">
        <f>G1844*C1848</f>
        <v>0</v>
      </c>
      <c r="H1848" s="421">
        <f>H1844*C1848</f>
        <v>0</v>
      </c>
      <c r="I1848" s="421">
        <f>I1844*C1848</f>
        <v>0</v>
      </c>
      <c r="J1848" s="421">
        <f>J1844*C1848</f>
        <v>0</v>
      </c>
      <c r="K1848" s="424">
        <f>SUM(D1848:J1848)</f>
        <v>0</v>
      </c>
    </row>
    <row r="1849" spans="2:13" ht="15.75" thickBot="1" x14ac:dyDescent="0.3"/>
    <row r="1850" spans="2:13" ht="15" customHeight="1" thickBot="1" x14ac:dyDescent="0.3">
      <c r="B1850" s="433"/>
      <c r="C1850" s="411"/>
      <c r="D1850" s="407" t="s">
        <v>548</v>
      </c>
      <c r="E1850" s="408" t="s">
        <v>549</v>
      </c>
      <c r="F1850" s="408" t="s">
        <v>550</v>
      </c>
      <c r="G1850" s="408" t="s">
        <v>551</v>
      </c>
      <c r="H1850" s="408" t="s">
        <v>552</v>
      </c>
      <c r="I1850" s="408" t="s">
        <v>553</v>
      </c>
      <c r="J1850" s="408" t="s">
        <v>554</v>
      </c>
      <c r="K1850" s="408" t="s">
        <v>555</v>
      </c>
      <c r="M1850" s="438"/>
    </row>
    <row r="1851" spans="2:13" ht="15.75" thickBot="1" x14ac:dyDescent="0.3">
      <c r="B1851" s="429" t="s">
        <v>556</v>
      </c>
      <c r="C1851" s="415" t="s">
        <v>620</v>
      </c>
      <c r="D1851" s="416">
        <f>IF(ISERROR(VLOOKUP(B1850,'MD Usage'!$A$1:$W$5000,3,FALSE)),0,VLOOKUP(B1850,'MD Usage'!$A$1:$W$5000,3,FALSE))</f>
        <v>0</v>
      </c>
      <c r="E1851" s="416">
        <f>IF(ISERROR(VLOOKUP(B1850,'MD Usage'!$A$1:$W$5000,5,FALSE)),0,VLOOKUP(B1850,'MD Usage'!$A$1:$W$5000,5,FALSE))</f>
        <v>0</v>
      </c>
      <c r="F1851" s="416">
        <f>IF(ISERROR(VLOOKUP(B1850,'MD Usage'!$A$1:$W$5000,7,FALSE)),0,VLOOKUP(B1850,'MD Usage'!$A$1:$W$5000,7,FALSE))</f>
        <v>0</v>
      </c>
      <c r="G1851" s="416">
        <f>IF(ISERROR(VLOOKUP(B1850,'MD Usage'!$A$1:$W$5000,9,FALSE)),0,VLOOKUP(B1850,'MD Usage'!$A$1:$W$5000,9,FALSE))</f>
        <v>0</v>
      </c>
      <c r="H1851" s="416">
        <f>IF(ISERROR(VLOOKUP(B1850,'MD Usage'!$A$1:$W$5000,11,FALSE)),0,VLOOKUP(B1850,'MD Usage'!$A$1:$W$5000,11,FALSE))</f>
        <v>0</v>
      </c>
      <c r="I1851" s="416">
        <f>IF(ISERROR(VLOOKUP(B1850,'MD Usage'!A1:R2000,13,FALSE)),0,VLOOKUP(B1850,'MD Usage'!A1:R2000,13,FALSE))</f>
        <v>0</v>
      </c>
      <c r="J1851" s="416">
        <f>IF(ISERROR(VLOOKUP(B1850,'MD Usage'!A1:R2000,15,FALSE)),0,VLOOKUP(B1850,'MD Usage'!A1:R2000,15,FALSE))</f>
        <v>0</v>
      </c>
      <c r="K1851" s="418">
        <f>SUM(D1851:J1851)</f>
        <v>0</v>
      </c>
    </row>
    <row r="1852" spans="2:13" ht="15" customHeight="1" x14ac:dyDescent="0.25">
      <c r="B1852" s="419"/>
      <c r="C1852" s="420"/>
      <c r="D1852" s="421">
        <f>D1851*C1852</f>
        <v>0</v>
      </c>
      <c r="E1852" s="421">
        <f>E1851*C1852</f>
        <v>0</v>
      </c>
      <c r="F1852" s="421">
        <f>F1851*C1852</f>
        <v>0</v>
      </c>
      <c r="G1852" s="421">
        <f>G1851*C1852</f>
        <v>0</v>
      </c>
      <c r="H1852" s="421">
        <f>H1851*C1852</f>
        <v>0</v>
      </c>
      <c r="I1852" s="421">
        <f>I1851*C1852</f>
        <v>0</v>
      </c>
      <c r="J1852" s="421">
        <f>J1851*C1852</f>
        <v>0</v>
      </c>
      <c r="K1852" s="422">
        <f>SUM(D1852:J1852)</f>
        <v>0</v>
      </c>
    </row>
    <row r="1853" spans="2:13" x14ac:dyDescent="0.25">
      <c r="B1853" s="389"/>
      <c r="C1853" s="423"/>
      <c r="D1853" s="421">
        <f>D1851*C1853</f>
        <v>0</v>
      </c>
      <c r="E1853" s="421">
        <f>E1851*C1853</f>
        <v>0</v>
      </c>
      <c r="F1853" s="421">
        <f>F1851*C1853</f>
        <v>0</v>
      </c>
      <c r="G1853" s="421">
        <f>G1851*C1853</f>
        <v>0</v>
      </c>
      <c r="H1853" s="421">
        <f>H1851*C1853</f>
        <v>0</v>
      </c>
      <c r="I1853" s="421">
        <f>I1851*C1853</f>
        <v>0</v>
      </c>
      <c r="J1853" s="421">
        <f>J1851*C1853</f>
        <v>0</v>
      </c>
      <c r="K1853" s="424">
        <f>SUM(D1853:J1853)</f>
        <v>0</v>
      </c>
    </row>
    <row r="1854" spans="2:13" ht="15" customHeight="1" x14ac:dyDescent="0.25">
      <c r="B1854" s="389"/>
      <c r="C1854" s="423"/>
      <c r="D1854" s="421">
        <f>D1851*C1854</f>
        <v>0</v>
      </c>
      <c r="E1854" s="421">
        <f>E1851*C1854</f>
        <v>0</v>
      </c>
      <c r="F1854" s="421">
        <f>F1851*C1854</f>
        <v>0</v>
      </c>
      <c r="G1854" s="421">
        <f>G1851*C1854</f>
        <v>0</v>
      </c>
      <c r="H1854" s="421">
        <f>H1851*C1854</f>
        <v>0</v>
      </c>
      <c r="I1854" s="421">
        <f>I1851*C1854</f>
        <v>0</v>
      </c>
      <c r="J1854" s="421">
        <f>J1851*C1854</f>
        <v>0</v>
      </c>
      <c r="K1854" s="424">
        <f>SUM(D1854:J1854)</f>
        <v>0</v>
      </c>
    </row>
    <row r="1855" spans="2:13" ht="15" customHeight="1" x14ac:dyDescent="0.25">
      <c r="B1855" s="389"/>
      <c r="C1855" s="423"/>
      <c r="D1855" s="421">
        <f>D1851*C1855</f>
        <v>0</v>
      </c>
      <c r="E1855" s="421">
        <f>E1851*C1855</f>
        <v>0</v>
      </c>
      <c r="F1855" s="421">
        <f>F1851*C1855</f>
        <v>0</v>
      </c>
      <c r="G1855" s="421">
        <f>G1851*C1855</f>
        <v>0</v>
      </c>
      <c r="H1855" s="421">
        <f>H1851*C1855</f>
        <v>0</v>
      </c>
      <c r="I1855" s="421">
        <f>I1851*C1855</f>
        <v>0</v>
      </c>
      <c r="J1855" s="421">
        <f>J1851*C1855</f>
        <v>0</v>
      </c>
      <c r="K1855" s="424">
        <f>SUM(D1855:J1855)</f>
        <v>0</v>
      </c>
    </row>
    <row r="1856" spans="2:13" ht="15.75" thickBot="1" x14ac:dyDescent="0.3"/>
    <row r="1857" spans="2:13" ht="15.75" thickBot="1" x14ac:dyDescent="0.3">
      <c r="B1857" s="432"/>
      <c r="C1857" s="411"/>
      <c r="D1857" s="407" t="s">
        <v>548</v>
      </c>
      <c r="E1857" s="408" t="s">
        <v>549</v>
      </c>
      <c r="F1857" s="408" t="s">
        <v>550</v>
      </c>
      <c r="G1857" s="408" t="s">
        <v>551</v>
      </c>
      <c r="H1857" s="408" t="s">
        <v>552</v>
      </c>
      <c r="I1857" s="408" t="s">
        <v>553</v>
      </c>
      <c r="J1857" s="408" t="s">
        <v>554</v>
      </c>
      <c r="K1857" s="408" t="s">
        <v>555</v>
      </c>
      <c r="M1857" s="414"/>
    </row>
    <row r="1858" spans="2:13" ht="15.75" thickBot="1" x14ac:dyDescent="0.3">
      <c r="B1858" s="414" t="s">
        <v>556</v>
      </c>
      <c r="C1858" s="415" t="s">
        <v>620</v>
      </c>
      <c r="D1858" s="416">
        <f>IF(ISERROR(VLOOKUP(B1857,'MD Usage'!$A$1:$W$5000,3,FALSE)),0,VLOOKUP(B1857,'MD Usage'!$A$1:$W$5000,3,FALSE))</f>
        <v>0</v>
      </c>
      <c r="E1858" s="416">
        <f>IF(ISERROR(VLOOKUP(B1857,'MD Usage'!$A$1:$W$5000,5,FALSE)),0,VLOOKUP(B1857,'MD Usage'!$A$1:$W$5000,5,FALSE))</f>
        <v>0</v>
      </c>
      <c r="F1858" s="416">
        <f>IF(ISERROR(VLOOKUP(B1857,'MD Usage'!$A$1:$W$5000,7,FALSE)),0,VLOOKUP(B1857,'MD Usage'!$A$1:$W$5000,7,FALSE))</f>
        <v>0</v>
      </c>
      <c r="G1858" s="416">
        <f>IF(ISERROR(VLOOKUP(B1857,'MD Usage'!$A$1:$W$5000,9,FALSE)),0,VLOOKUP(B1857,'MD Usage'!$A$1:$W$5000,9,FALSE))</f>
        <v>0</v>
      </c>
      <c r="H1858" s="416">
        <f>IF(ISERROR(VLOOKUP(B1857,'MD Usage'!$A$1:$W$5000,11,FALSE)),0,VLOOKUP(B1857,'MD Usage'!$A$1:$W$5000,11,FALSE))</f>
        <v>0</v>
      </c>
      <c r="I1858" s="416">
        <f>IF(ISERROR(VLOOKUP(B1857,'MD Usage'!A1:R2000,13,FALSE)),0,VLOOKUP(B1857,'MD Usage'!A1:R2000,13,FALSE))</f>
        <v>0</v>
      </c>
      <c r="J1858" s="416">
        <f>IF(ISERROR(VLOOKUP(B1857,'MD Usage'!A1:R2000,15,FALSE)),0,VLOOKUP(B1857,'MD Usage'!A1:R2000,15,FALSE))</f>
        <v>0</v>
      </c>
      <c r="K1858" s="418">
        <f>SUM(D1858:J1858)</f>
        <v>0</v>
      </c>
    </row>
    <row r="1859" spans="2:13" x14ac:dyDescent="0.25">
      <c r="B1859" s="419"/>
      <c r="C1859" s="420"/>
      <c r="D1859" s="421">
        <f>D1858*C1859</f>
        <v>0</v>
      </c>
      <c r="E1859" s="421">
        <f>E1858*C1859</f>
        <v>0</v>
      </c>
      <c r="F1859" s="421">
        <f>F1858*C1859</f>
        <v>0</v>
      </c>
      <c r="G1859" s="421">
        <f>G1858*C1859</f>
        <v>0</v>
      </c>
      <c r="H1859" s="421">
        <f>H1858*C1859</f>
        <v>0</v>
      </c>
      <c r="I1859" s="421">
        <f>I1858*C1859</f>
        <v>0</v>
      </c>
      <c r="J1859" s="421">
        <f>J1858*C1859</f>
        <v>0</v>
      </c>
      <c r="K1859" s="422">
        <f>SUM(D1859:J1859)</f>
        <v>0</v>
      </c>
    </row>
    <row r="1860" spans="2:13" x14ac:dyDescent="0.25">
      <c r="B1860" s="389"/>
      <c r="C1860" s="423"/>
      <c r="D1860" s="421">
        <f>D1858*C1860</f>
        <v>0</v>
      </c>
      <c r="E1860" s="421">
        <f>E1858*C1860</f>
        <v>0</v>
      </c>
      <c r="F1860" s="421">
        <f>F1858*C1860</f>
        <v>0</v>
      </c>
      <c r="G1860" s="421">
        <f>G1858*C1860</f>
        <v>0</v>
      </c>
      <c r="H1860" s="421">
        <f>H1858*C1860</f>
        <v>0</v>
      </c>
      <c r="I1860" s="421">
        <f>I1858*C1860</f>
        <v>0</v>
      </c>
      <c r="J1860" s="421">
        <f>J1858*C1860</f>
        <v>0</v>
      </c>
      <c r="K1860" s="424">
        <f>SUM(D1860:J1860)</f>
        <v>0</v>
      </c>
    </row>
    <row r="1861" spans="2:13" x14ac:dyDescent="0.25">
      <c r="B1861" s="389"/>
      <c r="C1861" s="423"/>
      <c r="D1861" s="421">
        <f>D1858*C1861</f>
        <v>0</v>
      </c>
      <c r="E1861" s="421">
        <f>E1858*C1861</f>
        <v>0</v>
      </c>
      <c r="F1861" s="421">
        <f>F1858*C1861</f>
        <v>0</v>
      </c>
      <c r="G1861" s="421">
        <f>G1858*C1861</f>
        <v>0</v>
      </c>
      <c r="H1861" s="421">
        <f>H1858*C1861</f>
        <v>0</v>
      </c>
      <c r="I1861" s="421">
        <f>I1858*C1861</f>
        <v>0</v>
      </c>
      <c r="J1861" s="421">
        <f>J1858*C1861</f>
        <v>0</v>
      </c>
      <c r="K1861" s="424">
        <f>SUM(D1861:J1861)</f>
        <v>0</v>
      </c>
    </row>
    <row r="1862" spans="2:13" ht="15" customHeight="1" x14ac:dyDescent="0.25">
      <c r="B1862" s="389"/>
      <c r="C1862" s="423"/>
      <c r="D1862" s="421">
        <f>D1858*C1862</f>
        <v>0</v>
      </c>
      <c r="E1862" s="421">
        <f>E1858*C1862</f>
        <v>0</v>
      </c>
      <c r="F1862" s="421">
        <f>F1858*C1862</f>
        <v>0</v>
      </c>
      <c r="G1862" s="421">
        <f>G1858*C1862</f>
        <v>0</v>
      </c>
      <c r="H1862" s="421">
        <f>H1858*C1862</f>
        <v>0</v>
      </c>
      <c r="I1862" s="421">
        <f>I1858*C1862</f>
        <v>0</v>
      </c>
      <c r="J1862" s="421">
        <f>J1858*C1862</f>
        <v>0</v>
      </c>
      <c r="K1862" s="424">
        <f>SUM(D1862:J1862)</f>
        <v>0</v>
      </c>
    </row>
    <row r="1863" spans="2:13" ht="15.75" thickBot="1" x14ac:dyDescent="0.3"/>
    <row r="1864" spans="2:13" ht="15.75" thickBot="1" x14ac:dyDescent="0.3">
      <c r="B1864" s="432"/>
      <c r="C1864" s="411"/>
      <c r="D1864" s="407" t="s">
        <v>548</v>
      </c>
      <c r="E1864" s="408" t="s">
        <v>549</v>
      </c>
      <c r="F1864" s="408" t="s">
        <v>550</v>
      </c>
      <c r="G1864" s="408" t="s">
        <v>551</v>
      </c>
      <c r="H1864" s="408" t="s">
        <v>552</v>
      </c>
      <c r="I1864" s="408" t="s">
        <v>553</v>
      </c>
      <c r="J1864" s="408" t="s">
        <v>554</v>
      </c>
      <c r="K1864" s="408" t="s">
        <v>555</v>
      </c>
      <c r="M1864" s="414"/>
    </row>
    <row r="1865" spans="2:13" ht="15" customHeight="1" thickBot="1" x14ac:dyDescent="0.3">
      <c r="B1865" s="414" t="s">
        <v>556</v>
      </c>
      <c r="C1865" s="415" t="s">
        <v>620</v>
      </c>
      <c r="D1865" s="416">
        <f>IF(ISERROR(VLOOKUP(B1864,'MD Usage'!$A$1:$W$5000,3,FALSE)),0,VLOOKUP(B1864,'MD Usage'!$A$1:$W$5000,3,FALSE))</f>
        <v>0</v>
      </c>
      <c r="E1865" s="416">
        <f>IF(ISERROR(VLOOKUP(B1864,'MD Usage'!$A$1:$W$5000,5,FALSE)),0,VLOOKUP(B1864,'MD Usage'!$A$1:$W$5000,5,FALSE))</f>
        <v>0</v>
      </c>
      <c r="F1865" s="416">
        <f>IF(ISERROR(VLOOKUP(B1864,'MD Usage'!$A$1:$W$5000,7,FALSE)),0,VLOOKUP(B1864,'MD Usage'!$A$1:$W$5000,7,FALSE))</f>
        <v>0</v>
      </c>
      <c r="G1865" s="416">
        <f>IF(ISERROR(VLOOKUP(B1864,'MD Usage'!$A$1:$W$5000,9,FALSE)),0,VLOOKUP(B1864,'MD Usage'!$A$1:$W$5000,9,FALSE))</f>
        <v>0</v>
      </c>
      <c r="H1865" s="416">
        <f>IF(ISERROR(VLOOKUP(B1864,'MD Usage'!$A$1:$W$5000,11,FALSE)),0,VLOOKUP(B1864,'MD Usage'!$A$1:$W$5000,11,FALSE))</f>
        <v>0</v>
      </c>
      <c r="I1865" s="416">
        <f>IF(ISERROR(VLOOKUP(B1864,'MD Usage'!A1:R2000,13,FALSE)),0,VLOOKUP(B1864,'MD Usage'!A1:R2000,13,FALSE))</f>
        <v>0</v>
      </c>
      <c r="J1865" s="416">
        <f>IF(ISERROR(VLOOKUP(B1864,'MD Usage'!A1:R2000,15,FALSE)),0,VLOOKUP(B1864,'MD Usage'!A1:R2000,15,FALSE))</f>
        <v>0</v>
      </c>
      <c r="K1865" s="418">
        <f t="shared" ref="K1865:K1870" si="91">SUM(D1865:J1865)</f>
        <v>0</v>
      </c>
    </row>
    <row r="1866" spans="2:13" x14ac:dyDescent="0.25">
      <c r="B1866" s="419"/>
      <c r="C1866" s="420"/>
      <c r="D1866" s="421">
        <f>D1865*C1866</f>
        <v>0</v>
      </c>
      <c r="E1866" s="421">
        <f>E1865*C1866</f>
        <v>0</v>
      </c>
      <c r="F1866" s="421">
        <f>F1865*C1866</f>
        <v>0</v>
      </c>
      <c r="G1866" s="421">
        <f>G1865*C1866</f>
        <v>0</v>
      </c>
      <c r="H1866" s="421">
        <f>H1865*C1866</f>
        <v>0</v>
      </c>
      <c r="I1866" s="421">
        <f>I1865*C1866</f>
        <v>0</v>
      </c>
      <c r="J1866" s="421">
        <f>J1865*C1866</f>
        <v>0</v>
      </c>
      <c r="K1866" s="422">
        <f t="shared" si="91"/>
        <v>0</v>
      </c>
    </row>
    <row r="1867" spans="2:13" x14ac:dyDescent="0.25">
      <c r="B1867" s="389"/>
      <c r="C1867" s="423"/>
      <c r="D1867" s="421">
        <f>D1865*C1867</f>
        <v>0</v>
      </c>
      <c r="E1867" s="421">
        <f>E1865*C1867</f>
        <v>0</v>
      </c>
      <c r="F1867" s="421">
        <f>F1865*C1867</f>
        <v>0</v>
      </c>
      <c r="G1867" s="421">
        <f>G1865*C1867</f>
        <v>0</v>
      </c>
      <c r="H1867" s="421">
        <f>H1865*C1867</f>
        <v>0</v>
      </c>
      <c r="I1867" s="421">
        <f>I1865*C1867</f>
        <v>0</v>
      </c>
      <c r="J1867" s="421">
        <f>J1865*C1867</f>
        <v>0</v>
      </c>
      <c r="K1867" s="424">
        <f t="shared" si="91"/>
        <v>0</v>
      </c>
    </row>
    <row r="1868" spans="2:13" x14ac:dyDescent="0.25">
      <c r="B1868" s="389"/>
      <c r="C1868" s="423"/>
      <c r="D1868" s="421">
        <f>D1865*C1868</f>
        <v>0</v>
      </c>
      <c r="E1868" s="421">
        <f>E1865*C1868</f>
        <v>0</v>
      </c>
      <c r="F1868" s="421">
        <f>F1865*C1868</f>
        <v>0</v>
      </c>
      <c r="G1868" s="421">
        <f>G1865*C1868</f>
        <v>0</v>
      </c>
      <c r="H1868" s="421">
        <f>H1865*C1868</f>
        <v>0</v>
      </c>
      <c r="I1868" s="421">
        <f>I1865*C1868</f>
        <v>0</v>
      </c>
      <c r="J1868" s="421">
        <f>J1865*C1868</f>
        <v>0</v>
      </c>
      <c r="K1868" s="424">
        <f t="shared" si="91"/>
        <v>0</v>
      </c>
    </row>
    <row r="1869" spans="2:13" x14ac:dyDescent="0.25">
      <c r="B1869" s="389"/>
      <c r="C1869" s="423"/>
      <c r="D1869" s="421">
        <f>D1865*C1869</f>
        <v>0</v>
      </c>
      <c r="E1869" s="421">
        <f>E1865*C1869</f>
        <v>0</v>
      </c>
      <c r="F1869" s="421">
        <f>F1865*C1869</f>
        <v>0</v>
      </c>
      <c r="G1869" s="421">
        <f>G1865*C1869</f>
        <v>0</v>
      </c>
      <c r="H1869" s="421">
        <f>H1865*C1869</f>
        <v>0</v>
      </c>
      <c r="I1869" s="421">
        <f>I1865*C1869</f>
        <v>0</v>
      </c>
      <c r="J1869" s="421">
        <f>J1865*C1869</f>
        <v>0</v>
      </c>
      <c r="K1869" s="424">
        <f t="shared" si="91"/>
        <v>0</v>
      </c>
    </row>
    <row r="1870" spans="2:13" ht="15" customHeight="1" x14ac:dyDescent="0.25">
      <c r="B1870" s="389"/>
      <c r="C1870" s="423"/>
      <c r="D1870" s="421">
        <f>D1865*C1870</f>
        <v>0</v>
      </c>
      <c r="E1870" s="421">
        <f>E1865*C1870</f>
        <v>0</v>
      </c>
      <c r="F1870" s="421">
        <f>F1865*C1870</f>
        <v>0</v>
      </c>
      <c r="G1870" s="421">
        <f>G1865*C1870</f>
        <v>0</v>
      </c>
      <c r="H1870" s="421">
        <f>H1865*C1870</f>
        <v>0</v>
      </c>
      <c r="I1870" s="421">
        <f>I1865*C1870</f>
        <v>0</v>
      </c>
      <c r="J1870" s="421">
        <f>J1865*C1870</f>
        <v>0</v>
      </c>
      <c r="K1870" s="424">
        <f t="shared" si="91"/>
        <v>0</v>
      </c>
    </row>
    <row r="1871" spans="2:13" ht="15.75" thickBot="1" x14ac:dyDescent="0.3"/>
    <row r="1872" spans="2:13" ht="15.75" thickBot="1" x14ac:dyDescent="0.3">
      <c r="B1872" s="432"/>
      <c r="C1872" s="411"/>
      <c r="D1872" s="407" t="s">
        <v>548</v>
      </c>
      <c r="E1872" s="408" t="s">
        <v>549</v>
      </c>
      <c r="F1872" s="408" t="s">
        <v>550</v>
      </c>
      <c r="G1872" s="408" t="s">
        <v>551</v>
      </c>
      <c r="H1872" s="408" t="s">
        <v>552</v>
      </c>
      <c r="I1872" s="408" t="s">
        <v>553</v>
      </c>
      <c r="J1872" s="408" t="s">
        <v>554</v>
      </c>
      <c r="K1872" s="408" t="s">
        <v>555</v>
      </c>
      <c r="M1872" s="414"/>
    </row>
    <row r="1873" spans="2:13" ht="15.75" thickBot="1" x14ac:dyDescent="0.3">
      <c r="B1873" s="414" t="s">
        <v>556</v>
      </c>
      <c r="C1873" s="415" t="s">
        <v>620</v>
      </c>
      <c r="D1873" s="416">
        <f>IF(ISERROR(VLOOKUP(B1872,'MD Usage'!$A$1:$W$5000,3,FALSE)),0,VLOOKUP(B1872,'MD Usage'!$A$1:$W$5000,3,FALSE))</f>
        <v>0</v>
      </c>
      <c r="E1873" s="416">
        <f>IF(ISERROR(VLOOKUP(B1872,'MD Usage'!$A$1:$W$5000,5,FALSE)),0,VLOOKUP(B1872,'MD Usage'!$A$1:$W$5000,5,FALSE))</f>
        <v>0</v>
      </c>
      <c r="F1873" s="416">
        <f>IF(ISERROR(VLOOKUP(B1872,'MD Usage'!$A$1:$W$5000,7,FALSE)),0,VLOOKUP(B1872,'MD Usage'!$A$1:$W$5000,7,FALSE))</f>
        <v>0</v>
      </c>
      <c r="G1873" s="416">
        <f>IF(ISERROR(VLOOKUP(B1872,'MD Usage'!$A$1:$W$5000,9,FALSE)),0,VLOOKUP(B1872,'MD Usage'!$A$1:$W$5000,9,FALSE))</f>
        <v>0</v>
      </c>
      <c r="H1873" s="416">
        <f>IF(ISERROR(VLOOKUP(B1872,'MD Usage'!$A$1:$W$5000,11,FALSE)),0,VLOOKUP(B1872,'MD Usage'!$A$1:$W$5000,11,FALSE))</f>
        <v>0</v>
      </c>
      <c r="I1873" s="416">
        <f>IF(ISERROR(VLOOKUP(B1872,'MD Usage'!A1:R2000,13,FALSE)),0,VLOOKUP(B1872,'MD Usage'!A1:R2000,13,FALSE))</f>
        <v>0</v>
      </c>
      <c r="J1873" s="416">
        <f>IF(ISERROR(VLOOKUP(B1872,'MD Usage'!A1:R2000,15,FALSE)),0,VLOOKUP(B1872,'MD Usage'!A1:R2000,15,FALSE))</f>
        <v>0</v>
      </c>
      <c r="K1873" s="418">
        <f>SUM(D1873:J1873)</f>
        <v>0</v>
      </c>
    </row>
    <row r="1874" spans="2:13" x14ac:dyDescent="0.25">
      <c r="B1874" s="419"/>
      <c r="C1874" s="420"/>
      <c r="D1874" s="421">
        <f>D1873*C1874</f>
        <v>0</v>
      </c>
      <c r="E1874" s="421">
        <f>E1873*C1874</f>
        <v>0</v>
      </c>
      <c r="F1874" s="421">
        <f>F1873*C1874</f>
        <v>0</v>
      </c>
      <c r="G1874" s="421">
        <f>G1873*C1874</f>
        <v>0</v>
      </c>
      <c r="H1874" s="421">
        <f>H1873*C1874</f>
        <v>0</v>
      </c>
      <c r="I1874" s="421">
        <f>I1873*C1874</f>
        <v>0</v>
      </c>
      <c r="J1874" s="421">
        <f>J1873*C1874</f>
        <v>0</v>
      </c>
      <c r="K1874" s="422">
        <f>SUM(D1874:J1874)</f>
        <v>0</v>
      </c>
    </row>
    <row r="1875" spans="2:13" x14ac:dyDescent="0.25">
      <c r="B1875" s="389"/>
      <c r="C1875" s="423"/>
      <c r="D1875" s="421">
        <f>D1873*C1875</f>
        <v>0</v>
      </c>
      <c r="E1875" s="421">
        <f>E1873*C1875</f>
        <v>0</v>
      </c>
      <c r="F1875" s="421">
        <f>F1873*C1875</f>
        <v>0</v>
      </c>
      <c r="G1875" s="421">
        <f>G1873*C1875</f>
        <v>0</v>
      </c>
      <c r="H1875" s="421">
        <f>H1873*C1875</f>
        <v>0</v>
      </c>
      <c r="I1875" s="421">
        <f>I1873*C1875</f>
        <v>0</v>
      </c>
      <c r="J1875" s="421">
        <f>J1873*C1875</f>
        <v>0</v>
      </c>
      <c r="K1875" s="424">
        <f>SUM(D1875:J1875)</f>
        <v>0</v>
      </c>
    </row>
    <row r="1876" spans="2:13" ht="15" customHeight="1" x14ac:dyDescent="0.25">
      <c r="B1876" s="389"/>
      <c r="C1876" s="423"/>
      <c r="D1876" s="421">
        <f>D1873*C1876</f>
        <v>0</v>
      </c>
      <c r="E1876" s="421">
        <f>E1873*C1876</f>
        <v>0</v>
      </c>
      <c r="F1876" s="421">
        <f>F1873*C1876</f>
        <v>0</v>
      </c>
      <c r="G1876" s="421">
        <f>G1873*C1876</f>
        <v>0</v>
      </c>
      <c r="H1876" s="421">
        <f>H1873*C1876</f>
        <v>0</v>
      </c>
      <c r="I1876" s="421">
        <f>I1873*C1876</f>
        <v>0</v>
      </c>
      <c r="J1876" s="421">
        <f>J1873*C1876</f>
        <v>0</v>
      </c>
      <c r="K1876" s="424">
        <f>SUM(D1876:J1876)</f>
        <v>0</v>
      </c>
    </row>
    <row r="1877" spans="2:13" x14ac:dyDescent="0.25">
      <c r="B1877" s="389"/>
      <c r="C1877" s="423"/>
      <c r="D1877" s="421">
        <f>D1873*C1877</f>
        <v>0</v>
      </c>
      <c r="E1877" s="421">
        <f>E1873*C1877</f>
        <v>0</v>
      </c>
      <c r="F1877" s="421">
        <f>F1873*C1877</f>
        <v>0</v>
      </c>
      <c r="G1877" s="421">
        <f>G1873*C1877</f>
        <v>0</v>
      </c>
      <c r="H1877" s="421">
        <f>H1873*C1877</f>
        <v>0</v>
      </c>
      <c r="I1877" s="421">
        <f>I1873*C1877</f>
        <v>0</v>
      </c>
      <c r="J1877" s="421">
        <f>J1873*C1877</f>
        <v>0</v>
      </c>
      <c r="K1877" s="424">
        <f>SUM(D1877:J1877)</f>
        <v>0</v>
      </c>
    </row>
    <row r="1878" spans="2:13" ht="15" customHeight="1" thickBot="1" x14ac:dyDescent="0.3"/>
    <row r="1879" spans="2:13" ht="15" customHeight="1" thickBot="1" x14ac:dyDescent="0.3">
      <c r="B1879" s="432"/>
      <c r="C1879" s="411"/>
      <c r="D1879" s="407" t="s">
        <v>548</v>
      </c>
      <c r="E1879" s="408" t="s">
        <v>549</v>
      </c>
      <c r="F1879" s="408" t="s">
        <v>550</v>
      </c>
      <c r="G1879" s="408" t="s">
        <v>551</v>
      </c>
      <c r="H1879" s="408" t="s">
        <v>552</v>
      </c>
      <c r="I1879" s="408" t="s">
        <v>553</v>
      </c>
      <c r="J1879" s="408" t="s">
        <v>554</v>
      </c>
      <c r="K1879" s="408" t="s">
        <v>555</v>
      </c>
      <c r="M1879" s="426"/>
    </row>
    <row r="1880" spans="2:13" ht="15.75" thickBot="1" x14ac:dyDescent="0.3">
      <c r="B1880" s="414" t="s">
        <v>556</v>
      </c>
      <c r="C1880" s="415" t="s">
        <v>620</v>
      </c>
      <c r="D1880" s="416">
        <f>IF(ISERROR(VLOOKUP(B1879,'MD Usage'!$A$1:$W$5000,3,FALSE)),0,VLOOKUP(B1879,'MD Usage'!$A$1:$W$5000,3,FALSE))</f>
        <v>0</v>
      </c>
      <c r="E1880" s="416">
        <f>IF(ISERROR(VLOOKUP(B1879,'MD Usage'!$A$1:$W$5000,5,FALSE)),0,VLOOKUP(B1879,'MD Usage'!$A$1:$W$5000,5,FALSE))</f>
        <v>0</v>
      </c>
      <c r="F1880" s="416">
        <f>IF(ISERROR(VLOOKUP(B1879,'MD Usage'!$A$1:$W$5000,7,FALSE)),0,VLOOKUP(B1879,'MD Usage'!$A$1:$W$5000,7,FALSE))</f>
        <v>0</v>
      </c>
      <c r="G1880" s="416">
        <f>IF(ISERROR(VLOOKUP(B1879,'MD Usage'!$A$1:$W$5000,9,FALSE)),0,VLOOKUP(B1879,'MD Usage'!$A$1:$W$5000,9,FALSE))</f>
        <v>0</v>
      </c>
      <c r="H1880" s="416">
        <f>IF(ISERROR(VLOOKUP(B1879,'MD Usage'!$A$1:$W$5000,11,FALSE)),0,VLOOKUP(B1879,'MD Usage'!$A$1:$W$5000,11,FALSE))</f>
        <v>0</v>
      </c>
      <c r="I1880" s="416">
        <f>IF(ISERROR(VLOOKUP(B1879,'MD Usage'!A1:R2000,13,FALSE)),0,VLOOKUP(B1879,'MD Usage'!A1:R2000,13,FALSE))</f>
        <v>0</v>
      </c>
      <c r="J1880" s="416">
        <f>IF(ISERROR(VLOOKUP(B1879,'MD Usage'!A1:R2000,15,FALSE)),0,VLOOKUP(B1879,'MD Usage'!A1:R2000,15,FALSE))</f>
        <v>0</v>
      </c>
      <c r="K1880" s="418">
        <f>SUM(D1880:J1880)</f>
        <v>0</v>
      </c>
    </row>
    <row r="1881" spans="2:13" x14ac:dyDescent="0.25">
      <c r="B1881" s="419"/>
      <c r="C1881" s="420"/>
      <c r="D1881" s="421">
        <f>D1880*C1881</f>
        <v>0</v>
      </c>
      <c r="E1881" s="421">
        <f>E1880*C1881</f>
        <v>0</v>
      </c>
      <c r="F1881" s="421">
        <f>F1880*C1881</f>
        <v>0</v>
      </c>
      <c r="G1881" s="421">
        <f>G1880*C1881</f>
        <v>0</v>
      </c>
      <c r="H1881" s="421">
        <f>H1880*C1881</f>
        <v>0</v>
      </c>
      <c r="I1881" s="421">
        <f>I1880*C1881</f>
        <v>0</v>
      </c>
      <c r="J1881" s="421">
        <f>J1880*C1881</f>
        <v>0</v>
      </c>
      <c r="K1881" s="422">
        <f>SUM(D1881:J1881)</f>
        <v>0</v>
      </c>
    </row>
    <row r="1882" spans="2:13" x14ac:dyDescent="0.25">
      <c r="B1882" s="389"/>
      <c r="C1882" s="423"/>
      <c r="D1882" s="421">
        <f>D1880*C1882</f>
        <v>0</v>
      </c>
      <c r="E1882" s="421">
        <f>E1880*C1882</f>
        <v>0</v>
      </c>
      <c r="F1882" s="421">
        <f>F1880*C1882</f>
        <v>0</v>
      </c>
      <c r="G1882" s="421">
        <f>G1880*C1882</f>
        <v>0</v>
      </c>
      <c r="H1882" s="421">
        <f>H1880*C1882</f>
        <v>0</v>
      </c>
      <c r="I1882" s="421">
        <f>I1880*C1882</f>
        <v>0</v>
      </c>
      <c r="J1882" s="421">
        <f>J1880*C1882</f>
        <v>0</v>
      </c>
      <c r="K1882" s="424">
        <f>SUM(D1882:J1882)</f>
        <v>0</v>
      </c>
    </row>
    <row r="1883" spans="2:13" x14ac:dyDescent="0.25">
      <c r="B1883" s="389"/>
      <c r="C1883" s="423"/>
      <c r="D1883" s="421">
        <f>D1880*C1883</f>
        <v>0</v>
      </c>
      <c r="E1883" s="421">
        <f>E1880*C1883</f>
        <v>0</v>
      </c>
      <c r="F1883" s="421">
        <f>F1880*C1883</f>
        <v>0</v>
      </c>
      <c r="G1883" s="421">
        <f>G1880*C1883</f>
        <v>0</v>
      </c>
      <c r="H1883" s="421">
        <f>H1880*C1883</f>
        <v>0</v>
      </c>
      <c r="I1883" s="421">
        <f>I1880*C1883</f>
        <v>0</v>
      </c>
      <c r="J1883" s="421">
        <f>J1880*C1883</f>
        <v>0</v>
      </c>
      <c r="K1883" s="424">
        <f>SUM(D1883:J1883)</f>
        <v>0</v>
      </c>
    </row>
    <row r="1884" spans="2:13" x14ac:dyDescent="0.25">
      <c r="B1884" s="389"/>
      <c r="C1884" s="423"/>
      <c r="D1884" s="421">
        <f>D1880*C1884</f>
        <v>0</v>
      </c>
      <c r="E1884" s="421">
        <f>E1880*C1884</f>
        <v>0</v>
      </c>
      <c r="F1884" s="421">
        <f>F1880*C1884</f>
        <v>0</v>
      </c>
      <c r="G1884" s="421">
        <f>G1880*C1884</f>
        <v>0</v>
      </c>
      <c r="H1884" s="421">
        <f>H1880*C1884</f>
        <v>0</v>
      </c>
      <c r="I1884" s="421">
        <f>I1880*C1884</f>
        <v>0</v>
      </c>
      <c r="J1884" s="421">
        <f>J1880*C1884</f>
        <v>0</v>
      </c>
      <c r="K1884" s="424">
        <f>SUM(D1884:J1884)</f>
        <v>0</v>
      </c>
    </row>
    <row r="1885" spans="2:13" ht="15.75" thickBot="1" x14ac:dyDescent="0.3"/>
    <row r="1886" spans="2:13" ht="15.75" thickBot="1" x14ac:dyDescent="0.3">
      <c r="B1886" s="432"/>
      <c r="C1886" s="411"/>
      <c r="D1886" s="407" t="s">
        <v>548</v>
      </c>
      <c r="E1886" s="408" t="s">
        <v>549</v>
      </c>
      <c r="F1886" s="408" t="s">
        <v>550</v>
      </c>
      <c r="G1886" s="408" t="s">
        <v>551</v>
      </c>
      <c r="H1886" s="408" t="s">
        <v>552</v>
      </c>
      <c r="I1886" s="408" t="s">
        <v>553</v>
      </c>
      <c r="J1886" s="408" t="s">
        <v>554</v>
      </c>
      <c r="K1886" s="408" t="s">
        <v>555</v>
      </c>
      <c r="M1886" s="414"/>
    </row>
    <row r="1887" spans="2:13" ht="15" customHeight="1" thickBot="1" x14ac:dyDescent="0.3">
      <c r="B1887" s="414" t="s">
        <v>556</v>
      </c>
      <c r="C1887" s="415" t="s">
        <v>620</v>
      </c>
      <c r="D1887" s="416">
        <f>IF(ISERROR(VLOOKUP(B1886,'MD Usage'!$A$1:$W$5000,3,FALSE)),0,VLOOKUP(B1886,'MD Usage'!$A$1:$W$5000,3,FALSE))</f>
        <v>0</v>
      </c>
      <c r="E1887" s="416">
        <f>IF(ISERROR(VLOOKUP(B1886,'MD Usage'!$A$1:$W$5000,5,FALSE)),0,VLOOKUP(B1886,'MD Usage'!$A$1:$W$5000,5,FALSE))</f>
        <v>0</v>
      </c>
      <c r="F1887" s="416">
        <f>IF(ISERROR(VLOOKUP(B1886,'MD Usage'!$A$1:$W$5000,7,FALSE)),0,VLOOKUP(B1886,'MD Usage'!$A$1:$W$5000,7,FALSE))</f>
        <v>0</v>
      </c>
      <c r="G1887" s="416">
        <f>IF(ISERROR(VLOOKUP(B1886,'MD Usage'!$A$1:$W$5000,9,FALSE)),0,VLOOKUP(B1886,'MD Usage'!$A$1:$W$5000,9,FALSE))</f>
        <v>0</v>
      </c>
      <c r="H1887" s="416">
        <f>IF(ISERROR(VLOOKUP(B1886,'MD Usage'!$A$1:$W$5000,11,FALSE)),0,VLOOKUP(B1886,'MD Usage'!$A$1:$W$5000,11,FALSE))</f>
        <v>0</v>
      </c>
      <c r="I1887" s="416">
        <f>IF(ISERROR(VLOOKUP(B1886,'MD Usage'!A1:R2000,13,FALSE)),0,VLOOKUP(B1886,'MD Usage'!A1:R2000,13,FALSE))</f>
        <v>0</v>
      </c>
      <c r="J1887" s="416">
        <f>IF(ISERROR(VLOOKUP(B1886,'MD Usage'!A1:R2000,15,FALSE)),0,VLOOKUP(B1886,'MD Usage'!A1:R2000,15,FALSE))</f>
        <v>0</v>
      </c>
      <c r="K1887" s="418">
        <f>SUM(D1887:J1887)</f>
        <v>0</v>
      </c>
    </row>
    <row r="1888" spans="2:13" x14ac:dyDescent="0.25">
      <c r="B1888" s="419"/>
      <c r="C1888" s="420"/>
      <c r="D1888" s="421">
        <f>D1887*C1888</f>
        <v>0</v>
      </c>
      <c r="E1888" s="421">
        <f>E1887*C1888</f>
        <v>0</v>
      </c>
      <c r="F1888" s="421">
        <f>F1887*C1888</f>
        <v>0</v>
      </c>
      <c r="G1888" s="421">
        <f>G1887*C1888</f>
        <v>0</v>
      </c>
      <c r="H1888" s="421">
        <f>H1887*C1888</f>
        <v>0</v>
      </c>
      <c r="I1888" s="421">
        <f>I1887*C1888</f>
        <v>0</v>
      </c>
      <c r="J1888" s="421">
        <f>J1887*C1888</f>
        <v>0</v>
      </c>
      <c r="K1888" s="422">
        <f>SUM(D1888:J1888)</f>
        <v>0</v>
      </c>
    </row>
    <row r="1889" spans="2:14" ht="15" customHeight="1" x14ac:dyDescent="0.25">
      <c r="B1889" s="389"/>
      <c r="C1889" s="423"/>
      <c r="D1889" s="421">
        <f>D1887*C1889</f>
        <v>0</v>
      </c>
      <c r="E1889" s="421">
        <f>E1887*C1889</f>
        <v>0</v>
      </c>
      <c r="F1889" s="421">
        <f>F1887*C1889</f>
        <v>0</v>
      </c>
      <c r="G1889" s="421">
        <f>G1887*C1889</f>
        <v>0</v>
      </c>
      <c r="H1889" s="421">
        <f>H1887*C1889</f>
        <v>0</v>
      </c>
      <c r="I1889" s="421">
        <f>I1887*C1889</f>
        <v>0</v>
      </c>
      <c r="J1889" s="421">
        <f>J1887*C1889</f>
        <v>0</v>
      </c>
      <c r="K1889" s="424">
        <f>SUM(D1889:J1889)</f>
        <v>0</v>
      </c>
    </row>
    <row r="1890" spans="2:14" x14ac:dyDescent="0.25">
      <c r="B1890" s="389"/>
      <c r="C1890" s="423"/>
      <c r="D1890" s="421">
        <f>D1887*C1890</f>
        <v>0</v>
      </c>
      <c r="E1890" s="421">
        <f>E1887*C1890</f>
        <v>0</v>
      </c>
      <c r="F1890" s="421">
        <f>F1887*C1890</f>
        <v>0</v>
      </c>
      <c r="G1890" s="421">
        <f>G1887*C1890</f>
        <v>0</v>
      </c>
      <c r="H1890" s="421">
        <f>H1887*C1890</f>
        <v>0</v>
      </c>
      <c r="I1890" s="421">
        <f>I1887*C1890</f>
        <v>0</v>
      </c>
      <c r="J1890" s="421">
        <f>J1887*C1890</f>
        <v>0</v>
      </c>
      <c r="K1890" s="424">
        <f>SUM(D1890:J1890)</f>
        <v>0</v>
      </c>
    </row>
    <row r="1891" spans="2:14" ht="15" customHeight="1" x14ac:dyDescent="0.25">
      <c r="B1891" s="389"/>
      <c r="C1891" s="423"/>
      <c r="D1891" s="421">
        <f>D1887*C1891</f>
        <v>0</v>
      </c>
      <c r="E1891" s="421">
        <f>E1887*C1891</f>
        <v>0</v>
      </c>
      <c r="F1891" s="421">
        <f>F1887*C1891</f>
        <v>0</v>
      </c>
      <c r="G1891" s="421">
        <f>G1887*C1891</f>
        <v>0</v>
      </c>
      <c r="H1891" s="421">
        <f>H1887*C1891</f>
        <v>0</v>
      </c>
      <c r="I1891" s="421">
        <f>I1887*C1891</f>
        <v>0</v>
      </c>
      <c r="J1891" s="421">
        <f>J1887*C1891</f>
        <v>0</v>
      </c>
      <c r="K1891" s="424">
        <f>SUM(D1891:J1891)</f>
        <v>0</v>
      </c>
    </row>
    <row r="1892" spans="2:14" x14ac:dyDescent="0.25">
      <c r="N1892" t="s">
        <v>785</v>
      </c>
    </row>
    <row r="1893" spans="2:14" ht="15.75" thickBot="1" x14ac:dyDescent="0.3"/>
    <row r="1894" spans="2:14" ht="15.75" thickBot="1" x14ac:dyDescent="0.3">
      <c r="B1894" s="432"/>
      <c r="C1894" s="411"/>
      <c r="D1894" s="407" t="s">
        <v>548</v>
      </c>
      <c r="E1894" s="408" t="s">
        <v>549</v>
      </c>
      <c r="F1894" s="408" t="s">
        <v>550</v>
      </c>
      <c r="G1894" s="408" t="s">
        <v>551</v>
      </c>
      <c r="H1894" s="408" t="s">
        <v>552</v>
      </c>
      <c r="I1894" s="408" t="s">
        <v>553</v>
      </c>
      <c r="J1894" s="408" t="s">
        <v>554</v>
      </c>
      <c r="K1894" s="408" t="s">
        <v>555</v>
      </c>
      <c r="M1894" s="414"/>
      <c r="N1894" t="s">
        <v>786</v>
      </c>
    </row>
    <row r="1895" spans="2:14" ht="15.75" thickBot="1" x14ac:dyDescent="0.3">
      <c r="B1895" s="414" t="s">
        <v>556</v>
      </c>
      <c r="C1895" s="415" t="s">
        <v>620</v>
      </c>
      <c r="D1895" s="416">
        <f>IF(ISERROR(VLOOKUP(B1894,'MD Usage'!$A$1:$W$5000,3,FALSE)),0,VLOOKUP(B1894,'MD Usage'!$A$1:$W$5000,3,FALSE))</f>
        <v>0</v>
      </c>
      <c r="E1895" s="416">
        <f>IF(ISERROR(VLOOKUP(B1894,'MD Usage'!$A$1:$W$5000,5,FALSE)),0,VLOOKUP(B1894,'MD Usage'!$A$1:$W$5000,5,FALSE))</f>
        <v>0</v>
      </c>
      <c r="F1895" s="416">
        <f>IF(ISERROR(VLOOKUP(B1894,'MD Usage'!$A$1:$W$5000,7,FALSE)),0,VLOOKUP(B1894,'MD Usage'!$A$1:$W$5000,7,FALSE))</f>
        <v>0</v>
      </c>
      <c r="G1895" s="416">
        <f>IF(ISERROR(VLOOKUP(B1894,'MD Usage'!$A$1:$W$5000,9,FALSE)),0,VLOOKUP(B1894,'MD Usage'!$A$1:$W$5000,9,FALSE))</f>
        <v>0</v>
      </c>
      <c r="H1895" s="416">
        <f>IF(ISERROR(VLOOKUP(B1894,'MD Usage'!$A$1:$W$5000,11,FALSE)),0,VLOOKUP(B1894,'MD Usage'!$A$1:$W$5000,11,FALSE))</f>
        <v>0</v>
      </c>
      <c r="I1895" s="416">
        <f>IF(ISERROR(VLOOKUP(B1894,'MD Usage'!A1:R2000,13,FALSE)),0,VLOOKUP(B1894,'MD Usage'!A1:R2000,13,FALSE))</f>
        <v>0</v>
      </c>
      <c r="J1895" s="416">
        <f>IF(ISERROR(VLOOKUP(B1894,'MD Usage'!A1:R2000,15,FALSE)),0,VLOOKUP(B1894,'MD Usage'!A1:R2000,15,FALSE))</f>
        <v>0</v>
      </c>
      <c r="K1895" s="418">
        <f>SUM(D1895:J1895)</f>
        <v>0</v>
      </c>
    </row>
    <row r="1896" spans="2:14" ht="15" customHeight="1" x14ac:dyDescent="0.25">
      <c r="B1896" s="419"/>
      <c r="C1896" s="420"/>
      <c r="D1896" s="421">
        <f>D1895*C1896</f>
        <v>0</v>
      </c>
      <c r="E1896" s="421">
        <f>E1895*C1896</f>
        <v>0</v>
      </c>
      <c r="F1896" s="421">
        <f>F1895*C1896</f>
        <v>0</v>
      </c>
      <c r="G1896" s="421">
        <f>G1895*C1896</f>
        <v>0</v>
      </c>
      <c r="H1896" s="421">
        <f>H1895*C1896</f>
        <v>0</v>
      </c>
      <c r="I1896" s="421">
        <f>I1895*C1896</f>
        <v>0</v>
      </c>
      <c r="J1896" s="421">
        <f>J1895*C1896</f>
        <v>0</v>
      </c>
      <c r="K1896" s="422">
        <f>SUM(D1896:J1896)</f>
        <v>0</v>
      </c>
    </row>
    <row r="1897" spans="2:14" x14ac:dyDescent="0.25">
      <c r="B1897" s="389"/>
      <c r="C1897" s="423"/>
      <c r="D1897" s="421">
        <f>D1895*C1897</f>
        <v>0</v>
      </c>
      <c r="E1897" s="421">
        <f>E1895*C1897</f>
        <v>0</v>
      </c>
      <c r="F1897" s="421">
        <f>F1895*C1897</f>
        <v>0</v>
      </c>
      <c r="G1897" s="421">
        <f>G1895*C1897</f>
        <v>0</v>
      </c>
      <c r="H1897" s="421">
        <f>H1895*C1897</f>
        <v>0</v>
      </c>
      <c r="I1897" s="421">
        <f>I1895*C1897</f>
        <v>0</v>
      </c>
      <c r="J1897" s="421">
        <f>J1895*C1897</f>
        <v>0</v>
      </c>
      <c r="K1897" s="424">
        <f>SUM(D1897:J1897)</f>
        <v>0</v>
      </c>
    </row>
    <row r="1898" spans="2:14" ht="15" customHeight="1" x14ac:dyDescent="0.25">
      <c r="B1898" s="389"/>
      <c r="C1898" s="423"/>
      <c r="D1898" s="421">
        <f>D1895*C1898</f>
        <v>0</v>
      </c>
      <c r="E1898" s="421">
        <f>E1895*C1898</f>
        <v>0</v>
      </c>
      <c r="F1898" s="421">
        <f>F1895*C1898</f>
        <v>0</v>
      </c>
      <c r="G1898" s="421">
        <f>G1895*C1898</f>
        <v>0</v>
      </c>
      <c r="H1898" s="421">
        <f>H1895*C1898</f>
        <v>0</v>
      </c>
      <c r="I1898" s="421">
        <f>I1895*C1898</f>
        <v>0</v>
      </c>
      <c r="J1898" s="421">
        <f>J1895*C1898</f>
        <v>0</v>
      </c>
      <c r="K1898" s="424">
        <f>SUM(D1898:J1898)</f>
        <v>0</v>
      </c>
    </row>
    <row r="1899" spans="2:14" x14ac:dyDescent="0.25">
      <c r="B1899" s="389"/>
      <c r="C1899" s="423"/>
      <c r="D1899" s="421">
        <f>D1895*C1899</f>
        <v>0</v>
      </c>
      <c r="E1899" s="421">
        <f>E1895*C1899</f>
        <v>0</v>
      </c>
      <c r="F1899" s="421">
        <f>F1895*C1899</f>
        <v>0</v>
      </c>
      <c r="G1899" s="421">
        <f>G1895*C1899</f>
        <v>0</v>
      </c>
      <c r="H1899" s="421">
        <f>H1895*C1899</f>
        <v>0</v>
      </c>
      <c r="I1899" s="421">
        <f>I1895*C1899</f>
        <v>0</v>
      </c>
      <c r="J1899" s="421">
        <f>J1895*C1899</f>
        <v>0</v>
      </c>
      <c r="K1899" s="424">
        <f>SUM(D1899:J1899)</f>
        <v>0</v>
      </c>
    </row>
    <row r="1900" spans="2:14" ht="15.75" thickBot="1" x14ac:dyDescent="0.3"/>
    <row r="1901" spans="2:14" ht="15.75" thickBot="1" x14ac:dyDescent="0.3">
      <c r="B1901" s="432"/>
      <c r="C1901" s="411"/>
      <c r="D1901" s="407" t="s">
        <v>548</v>
      </c>
      <c r="E1901" s="408" t="s">
        <v>549</v>
      </c>
      <c r="F1901" s="408" t="s">
        <v>550</v>
      </c>
      <c r="G1901" s="408" t="s">
        <v>551</v>
      </c>
      <c r="H1901" s="408" t="s">
        <v>552</v>
      </c>
      <c r="I1901" s="408" t="s">
        <v>553</v>
      </c>
      <c r="J1901" s="408" t="s">
        <v>554</v>
      </c>
      <c r="K1901" s="408" t="s">
        <v>555</v>
      </c>
      <c r="M1901" s="414"/>
    </row>
    <row r="1902" spans="2:14" ht="15.75" thickBot="1" x14ac:dyDescent="0.3">
      <c r="B1902" s="414" t="s">
        <v>556</v>
      </c>
      <c r="C1902" s="415" t="s">
        <v>620</v>
      </c>
      <c r="D1902" s="416">
        <f>IF(ISERROR(VLOOKUP(B1901,'MD Usage'!$A$1:$W$5000,3,FALSE)),0,VLOOKUP(B1901,'MD Usage'!$A$1:$W$5000,3,FALSE))</f>
        <v>0</v>
      </c>
      <c r="E1902" s="416">
        <f>IF(ISERROR(VLOOKUP(B1901,'MD Usage'!$A$1:$W$5000,5,FALSE)),0,VLOOKUP(B1901,'MD Usage'!$A$1:$W$5000,5,FALSE))</f>
        <v>0</v>
      </c>
      <c r="F1902" s="416">
        <f>IF(ISERROR(VLOOKUP(B1901,'MD Usage'!$A$1:$W$5000,7,FALSE)),0,VLOOKUP(B1901,'MD Usage'!$A$1:$W$5000,7,FALSE))</f>
        <v>0</v>
      </c>
      <c r="G1902" s="416">
        <f>IF(ISERROR(VLOOKUP(B1901,'MD Usage'!$A$1:$W$5000,9,FALSE)),0,VLOOKUP(B1901,'MD Usage'!$A$1:$W$5000,9,FALSE))</f>
        <v>0</v>
      </c>
      <c r="H1902" s="416">
        <f>IF(ISERROR(VLOOKUP(B1901,'MD Usage'!$A$1:$W$5000,11,FALSE)),0,VLOOKUP(B1901,'MD Usage'!$A$1:$W$5000,11,FALSE))</f>
        <v>0</v>
      </c>
      <c r="I1902" s="416">
        <f>IF(ISERROR(VLOOKUP(B1901,'MD Usage'!A1:R2000,13,FALSE)),0,VLOOKUP(B1901,'MD Usage'!A1:R2000,13,FALSE))</f>
        <v>0</v>
      </c>
      <c r="J1902" s="416">
        <f>IF(ISERROR(VLOOKUP(B1901,'MD Usage'!A1:R2000,15,FALSE)),0,VLOOKUP(B1901,'MD Usage'!A1:R2000,15,FALSE))</f>
        <v>0</v>
      </c>
      <c r="K1902" s="418">
        <f>SUM(D1902:J1902)</f>
        <v>0</v>
      </c>
    </row>
    <row r="1903" spans="2:14" x14ac:dyDescent="0.25">
      <c r="B1903" s="419"/>
      <c r="C1903" s="420"/>
      <c r="D1903" s="421">
        <f>D1902*C1903</f>
        <v>0</v>
      </c>
      <c r="E1903" s="421">
        <f>E1902*C1903</f>
        <v>0</v>
      </c>
      <c r="F1903" s="421">
        <f>F1902*C1903</f>
        <v>0</v>
      </c>
      <c r="G1903" s="421">
        <f>G1902*C1903</f>
        <v>0</v>
      </c>
      <c r="H1903" s="421">
        <f>H1902*C1903</f>
        <v>0</v>
      </c>
      <c r="I1903" s="421">
        <f>I1902*C1903</f>
        <v>0</v>
      </c>
      <c r="J1903" s="421">
        <f>J1902*C1903</f>
        <v>0</v>
      </c>
      <c r="K1903" s="422">
        <f>SUM(D1903:J1903)</f>
        <v>0</v>
      </c>
    </row>
    <row r="1904" spans="2:14" x14ac:dyDescent="0.25">
      <c r="B1904" s="389"/>
      <c r="C1904" s="423"/>
      <c r="D1904" s="421">
        <f>D1902*C1904</f>
        <v>0</v>
      </c>
      <c r="E1904" s="421">
        <f>E1902*C1904</f>
        <v>0</v>
      </c>
      <c r="F1904" s="421">
        <f>F1902*C1904</f>
        <v>0</v>
      </c>
      <c r="G1904" s="421">
        <f>G1902*C1904</f>
        <v>0</v>
      </c>
      <c r="H1904" s="421">
        <f>H1902*C1904</f>
        <v>0</v>
      </c>
      <c r="I1904" s="421">
        <f>I1902*C1904</f>
        <v>0</v>
      </c>
      <c r="J1904" s="421">
        <f>J1902*C1904</f>
        <v>0</v>
      </c>
      <c r="K1904" s="424">
        <f>SUM(D1904:J1904)</f>
        <v>0</v>
      </c>
    </row>
    <row r="1905" spans="2:13" ht="15" customHeight="1" x14ac:dyDescent="0.25">
      <c r="B1905" s="389"/>
      <c r="C1905" s="423"/>
      <c r="D1905" s="421">
        <f>D1902*C1905</f>
        <v>0</v>
      </c>
      <c r="E1905" s="421">
        <f>E1902*C1905</f>
        <v>0</v>
      </c>
      <c r="F1905" s="421">
        <f>F1902*C1905</f>
        <v>0</v>
      </c>
      <c r="G1905" s="421">
        <f>G1902*C1905</f>
        <v>0</v>
      </c>
      <c r="H1905" s="421">
        <f>H1902*C1905</f>
        <v>0</v>
      </c>
      <c r="I1905" s="421">
        <f>I1902*C1905</f>
        <v>0</v>
      </c>
      <c r="J1905" s="421">
        <f>J1902*C1905</f>
        <v>0</v>
      </c>
      <c r="K1905" s="424">
        <f>SUM(D1905:J1905)</f>
        <v>0</v>
      </c>
    </row>
    <row r="1906" spans="2:13" x14ac:dyDescent="0.25">
      <c r="B1906" s="389"/>
      <c r="C1906" s="423"/>
      <c r="D1906" s="421">
        <f>D1902*C1906</f>
        <v>0</v>
      </c>
      <c r="E1906" s="421">
        <f>E1902*C1906</f>
        <v>0</v>
      </c>
      <c r="F1906" s="421">
        <f>F1902*C1906</f>
        <v>0</v>
      </c>
      <c r="G1906" s="421">
        <f>G1902*C1906</f>
        <v>0</v>
      </c>
      <c r="H1906" s="421">
        <f>H1902*C1906</f>
        <v>0</v>
      </c>
      <c r="I1906" s="421">
        <f>I1902*C1906</f>
        <v>0</v>
      </c>
      <c r="J1906" s="421">
        <f>J1902*C1906</f>
        <v>0</v>
      </c>
      <c r="K1906" s="424">
        <f>SUM(D1906:J1906)</f>
        <v>0</v>
      </c>
    </row>
    <row r="1907" spans="2:13" ht="15.75" thickBot="1" x14ac:dyDescent="0.3"/>
    <row r="1908" spans="2:13" ht="15.75" thickBot="1" x14ac:dyDescent="0.3">
      <c r="B1908" s="432"/>
      <c r="C1908" s="411"/>
      <c r="D1908" s="407" t="s">
        <v>548</v>
      </c>
      <c r="E1908" s="408" t="s">
        <v>549</v>
      </c>
      <c r="F1908" s="408" t="s">
        <v>550</v>
      </c>
      <c r="G1908" s="408" t="s">
        <v>551</v>
      </c>
      <c r="H1908" s="408" t="s">
        <v>552</v>
      </c>
      <c r="I1908" s="408" t="s">
        <v>553</v>
      </c>
      <c r="J1908" s="408" t="s">
        <v>554</v>
      </c>
      <c r="K1908" s="408" t="s">
        <v>555</v>
      </c>
      <c r="M1908" s="414"/>
    </row>
    <row r="1909" spans="2:13" ht="15.75" thickBot="1" x14ac:dyDescent="0.3">
      <c r="B1909" s="414" t="s">
        <v>556</v>
      </c>
      <c r="C1909" s="415" t="s">
        <v>620</v>
      </c>
      <c r="D1909" s="416">
        <f>IF(ISERROR(VLOOKUP(B1908,'MD Usage'!$A$1:$W$5000,3,FALSE)),0,VLOOKUP(B1908,'MD Usage'!$A$1:$W$5000,3,FALSE))</f>
        <v>0</v>
      </c>
      <c r="E1909" s="416">
        <f>IF(ISERROR(VLOOKUP(B1908,'MD Usage'!$A$1:$W$5000,5,FALSE)),0,VLOOKUP(B1908,'MD Usage'!$A$1:$W$5000,5,FALSE))</f>
        <v>0</v>
      </c>
      <c r="F1909" s="416">
        <f>IF(ISERROR(VLOOKUP(B1908,'MD Usage'!$A$1:$W$5000,7,FALSE)),0,VLOOKUP(B1908,'MD Usage'!$A$1:$W$5000,7,FALSE))</f>
        <v>0</v>
      </c>
      <c r="G1909" s="416">
        <f>IF(ISERROR(VLOOKUP(B1908,'MD Usage'!$A$1:$W$5000,9,FALSE)),0,VLOOKUP(B1908,'MD Usage'!$A$1:$W$5000,9,FALSE))</f>
        <v>0</v>
      </c>
      <c r="H1909" s="416">
        <f>IF(ISERROR(VLOOKUP(B1908,'MD Usage'!$A$1:$W$5000,11,FALSE)),0,VLOOKUP(B1908,'MD Usage'!$A$1:$W$5000,11,FALSE))</f>
        <v>0</v>
      </c>
      <c r="I1909" s="416">
        <f>IF(ISERROR(VLOOKUP(B1908,'MD Usage'!A1:R2000,13,FALSE)),0,VLOOKUP(B1908,'MD Usage'!A1:R2000,13,FALSE))</f>
        <v>0</v>
      </c>
      <c r="J1909" s="416">
        <f>IF(ISERROR(VLOOKUP(B1908,'MD Usage'!A1:R2000,15,FALSE)),0,VLOOKUP(B1908,'MD Usage'!A1:R2000,15,FALSE))</f>
        <v>0</v>
      </c>
      <c r="K1909" s="418">
        <f>SUM(D1909:J1909)</f>
        <v>0</v>
      </c>
    </row>
    <row r="1910" spans="2:13" x14ac:dyDescent="0.25">
      <c r="B1910" s="419"/>
      <c r="C1910" s="420"/>
      <c r="D1910" s="421">
        <f>D1909*C1910</f>
        <v>0</v>
      </c>
      <c r="E1910" s="421">
        <f>E1909*C1910</f>
        <v>0</v>
      </c>
      <c r="F1910" s="421">
        <f>F1909*C1910</f>
        <v>0</v>
      </c>
      <c r="G1910" s="421">
        <f>G1909*C1910</f>
        <v>0</v>
      </c>
      <c r="H1910" s="421">
        <f>H1909*C1910</f>
        <v>0</v>
      </c>
      <c r="I1910" s="421">
        <f>I1909*C1910</f>
        <v>0</v>
      </c>
      <c r="J1910" s="421">
        <f>J1909*C1910</f>
        <v>0</v>
      </c>
      <c r="K1910" s="422">
        <f>SUM(D1910:J1910)</f>
        <v>0</v>
      </c>
    </row>
    <row r="1911" spans="2:13" x14ac:dyDescent="0.25">
      <c r="B1911" s="389"/>
      <c r="C1911" s="423"/>
      <c r="D1911" s="421">
        <f>D1909*C1911</f>
        <v>0</v>
      </c>
      <c r="E1911" s="421">
        <f>E1909*C1911</f>
        <v>0</v>
      </c>
      <c r="F1911" s="421">
        <f>F1909*C1911</f>
        <v>0</v>
      </c>
      <c r="G1911" s="421">
        <f>G1909*C1911</f>
        <v>0</v>
      </c>
      <c r="H1911" s="421">
        <f>H1909*C1911</f>
        <v>0</v>
      </c>
      <c r="I1911" s="421">
        <f>I1909*C1911</f>
        <v>0</v>
      </c>
      <c r="J1911" s="421">
        <f>J1909*C1911</f>
        <v>0</v>
      </c>
      <c r="K1911" s="424">
        <f>SUM(D1911:J1911)</f>
        <v>0</v>
      </c>
    </row>
    <row r="1912" spans="2:13" ht="15" customHeight="1" x14ac:dyDescent="0.25">
      <c r="B1912" s="389"/>
      <c r="C1912" s="423"/>
      <c r="D1912" s="421">
        <f>D1909*C1912</f>
        <v>0</v>
      </c>
      <c r="E1912" s="421">
        <f>E1909*C1912</f>
        <v>0</v>
      </c>
      <c r="F1912" s="421">
        <f>F1909*C1912</f>
        <v>0</v>
      </c>
      <c r="G1912" s="421">
        <f>G1909*C1912</f>
        <v>0</v>
      </c>
      <c r="H1912" s="421">
        <f>H1909*C1912</f>
        <v>0</v>
      </c>
      <c r="I1912" s="421">
        <f>I1909*C1912</f>
        <v>0</v>
      </c>
      <c r="J1912" s="421">
        <f>J1909*C1912</f>
        <v>0</v>
      </c>
      <c r="K1912" s="424">
        <f>SUM(D1912:J1912)</f>
        <v>0</v>
      </c>
    </row>
    <row r="1913" spans="2:13" ht="15" customHeight="1" x14ac:dyDescent="0.25">
      <c r="B1913" s="389"/>
      <c r="C1913" s="423"/>
      <c r="D1913" s="421">
        <f>D1909*C1913</f>
        <v>0</v>
      </c>
      <c r="E1913" s="421">
        <f>E1909*C1913</f>
        <v>0</v>
      </c>
      <c r="F1913" s="421">
        <f>F1909*C1913</f>
        <v>0</v>
      </c>
      <c r="G1913" s="421">
        <f>G1909*C1913</f>
        <v>0</v>
      </c>
      <c r="H1913" s="421">
        <f>H1909*C1913</f>
        <v>0</v>
      </c>
      <c r="I1913" s="421">
        <f>I1909*C1913</f>
        <v>0</v>
      </c>
      <c r="J1913" s="421">
        <f>J1909*C1913</f>
        <v>0</v>
      </c>
      <c r="K1913" s="424">
        <f>SUM(D1913:J1913)</f>
        <v>0</v>
      </c>
    </row>
    <row r="1914" spans="2:13" ht="15.75" thickBot="1" x14ac:dyDescent="0.3"/>
    <row r="1915" spans="2:13" ht="15.75" thickBot="1" x14ac:dyDescent="0.3">
      <c r="B1915" s="414"/>
      <c r="C1915" s="411"/>
      <c r="D1915" s="407" t="s">
        <v>548</v>
      </c>
      <c r="E1915" s="408" t="s">
        <v>549</v>
      </c>
      <c r="F1915" s="408" t="s">
        <v>550</v>
      </c>
      <c r="G1915" s="408" t="s">
        <v>551</v>
      </c>
      <c r="H1915" s="408" t="s">
        <v>552</v>
      </c>
      <c r="I1915" s="408" t="s">
        <v>553</v>
      </c>
      <c r="J1915" s="408" t="s">
        <v>554</v>
      </c>
      <c r="K1915" s="408" t="s">
        <v>555</v>
      </c>
      <c r="M1915" s="426"/>
    </row>
    <row r="1916" spans="2:13" ht="15.75" thickBot="1" x14ac:dyDescent="0.3">
      <c r="B1916" s="414" t="s">
        <v>556</v>
      </c>
      <c r="C1916" s="415" t="s">
        <v>620</v>
      </c>
      <c r="D1916" s="416">
        <f>IF(ISERROR(VLOOKUP(B1915,'MD Usage'!$A$1:$W$5000,3,FALSE)),0,VLOOKUP(B1915,'MD Usage'!$A$1:$W$5000,3,FALSE))</f>
        <v>0</v>
      </c>
      <c r="E1916" s="416">
        <f>IF(ISERROR(VLOOKUP(B1915,'MD Usage'!$A$1:$W$5000,5,FALSE)),0,VLOOKUP(B1915,'MD Usage'!$A$1:$W$5000,5,FALSE))</f>
        <v>0</v>
      </c>
      <c r="F1916" s="416">
        <f>IF(ISERROR(VLOOKUP(B1915,'MD Usage'!$A$1:$W$5000,7,FALSE)),0,VLOOKUP(B1915,'MD Usage'!$A$1:$W$5000,7,FALSE))</f>
        <v>0</v>
      </c>
      <c r="G1916" s="416">
        <f>IF(ISERROR(VLOOKUP(B1915,'MD Usage'!$A$1:$W$5000,9,FALSE)),0,VLOOKUP(B1915,'MD Usage'!$A$1:$W$5000,9,FALSE))</f>
        <v>0</v>
      </c>
      <c r="H1916" s="416">
        <f>IF(ISERROR(VLOOKUP(B1915,'MD Usage'!$A$1:$W$5000,11,FALSE)),0,VLOOKUP(B1915,'MD Usage'!$A$1:$W$5000,11,FALSE))</f>
        <v>0</v>
      </c>
      <c r="I1916" s="416">
        <f>IF(ISERROR(VLOOKUP(B1915,'MD Usage'!A1:R2000,13,FALSE)),0,VLOOKUP(B1915,'MD Usage'!A1:R2000,13,FALSE))</f>
        <v>0</v>
      </c>
      <c r="J1916" s="416">
        <f>IF(ISERROR(VLOOKUP(B1915,'MD Usage'!A1:R2000,15,FALSE)),0,VLOOKUP(B1915,'MD Usage'!A1:R2000,15,FALSE))</f>
        <v>0</v>
      </c>
      <c r="K1916" s="418">
        <f>SUM(D1916:J1916)</f>
        <v>0</v>
      </c>
    </row>
    <row r="1917" spans="2:13" x14ac:dyDescent="0.25">
      <c r="B1917" s="419"/>
      <c r="C1917" s="420"/>
      <c r="D1917" s="421">
        <f>D1916*C1917</f>
        <v>0</v>
      </c>
      <c r="E1917" s="421">
        <f>E1916*C1917</f>
        <v>0</v>
      </c>
      <c r="F1917" s="421">
        <f>F1916*C1917</f>
        <v>0</v>
      </c>
      <c r="G1917" s="421">
        <f>G1916*C1917</f>
        <v>0</v>
      </c>
      <c r="H1917" s="421">
        <f>H1916*C1917</f>
        <v>0</v>
      </c>
      <c r="I1917" s="421">
        <f>I1916*C1917</f>
        <v>0</v>
      </c>
      <c r="J1917" s="421">
        <f>J1916*C1917</f>
        <v>0</v>
      </c>
      <c r="K1917" s="422">
        <f>SUM(D1917:J1917)</f>
        <v>0</v>
      </c>
    </row>
    <row r="1918" spans="2:13" x14ac:dyDescent="0.25">
      <c r="B1918" s="389"/>
      <c r="C1918" s="423"/>
      <c r="D1918" s="421">
        <f>D1916*C1918</f>
        <v>0</v>
      </c>
      <c r="E1918" s="421">
        <f>E1916*C1918</f>
        <v>0</v>
      </c>
      <c r="F1918" s="421">
        <f>F1916*C1918</f>
        <v>0</v>
      </c>
      <c r="G1918" s="421">
        <f>G1916*C1918</f>
        <v>0</v>
      </c>
      <c r="H1918" s="421">
        <f>H1916*C1918</f>
        <v>0</v>
      </c>
      <c r="I1918" s="421">
        <f>I1916*C1918</f>
        <v>0</v>
      </c>
      <c r="J1918" s="421">
        <f>J1916*C1918</f>
        <v>0</v>
      </c>
      <c r="K1918" s="424">
        <f>SUM(D1918:J1918)</f>
        <v>0</v>
      </c>
    </row>
    <row r="1919" spans="2:13" ht="15" customHeight="1" x14ac:dyDescent="0.25">
      <c r="B1919" s="389"/>
      <c r="C1919" s="423"/>
      <c r="D1919" s="421">
        <f>D1916*C1919</f>
        <v>0</v>
      </c>
      <c r="E1919" s="421">
        <f>E1916*C1919</f>
        <v>0</v>
      </c>
      <c r="F1919" s="421">
        <f>F1916*C1919</f>
        <v>0</v>
      </c>
      <c r="G1919" s="421">
        <f>G1916*C1919</f>
        <v>0</v>
      </c>
      <c r="H1919" s="421">
        <f>H1916*C1919</f>
        <v>0</v>
      </c>
      <c r="I1919" s="421">
        <f>I1916*C1919</f>
        <v>0</v>
      </c>
      <c r="J1919" s="421">
        <f>J1916*C1919</f>
        <v>0</v>
      </c>
      <c r="K1919" s="424">
        <f>SUM(D1919:J1919)</f>
        <v>0</v>
      </c>
    </row>
    <row r="1920" spans="2:13" x14ac:dyDescent="0.25">
      <c r="B1920" s="389"/>
      <c r="C1920" s="423"/>
      <c r="D1920" s="421">
        <f>D1916*C1920</f>
        <v>0</v>
      </c>
      <c r="E1920" s="421">
        <f>E1916*C1920</f>
        <v>0</v>
      </c>
      <c r="F1920" s="421">
        <f>F1916*C1920</f>
        <v>0</v>
      </c>
      <c r="G1920" s="421">
        <f>G1916*C1920</f>
        <v>0</v>
      </c>
      <c r="H1920" s="421">
        <f>H1916*C1920</f>
        <v>0</v>
      </c>
      <c r="I1920" s="421">
        <f>I1916*C1920</f>
        <v>0</v>
      </c>
      <c r="J1920" s="421">
        <f>J1916*C1920</f>
        <v>0</v>
      </c>
      <c r="K1920" s="424">
        <f>SUM(D1920:J1920)</f>
        <v>0</v>
      </c>
    </row>
    <row r="1921" spans="2:13" ht="15.75" thickBot="1" x14ac:dyDescent="0.3"/>
    <row r="1922" spans="2:13" ht="15.75" thickBot="1" x14ac:dyDescent="0.3">
      <c r="B1922" s="414"/>
      <c r="C1922" s="411"/>
      <c r="D1922" s="407" t="s">
        <v>548</v>
      </c>
      <c r="E1922" s="408" t="s">
        <v>549</v>
      </c>
      <c r="F1922" s="408" t="s">
        <v>550</v>
      </c>
      <c r="G1922" s="408" t="s">
        <v>551</v>
      </c>
      <c r="H1922" s="408" t="s">
        <v>552</v>
      </c>
      <c r="I1922" s="408" t="s">
        <v>553</v>
      </c>
      <c r="J1922" s="408" t="s">
        <v>554</v>
      </c>
      <c r="K1922" s="408" t="s">
        <v>555</v>
      </c>
    </row>
    <row r="1923" spans="2:13" ht="15.75" thickBot="1" x14ac:dyDescent="0.3">
      <c r="B1923" s="414" t="s">
        <v>556</v>
      </c>
      <c r="C1923" s="415" t="s">
        <v>620</v>
      </c>
      <c r="D1923" s="416">
        <f>IF(ISERROR(VLOOKUP(B1922,'MD Usage'!$A$1:$W$5000,3,FALSE)),0,VLOOKUP(B1922,'MD Usage'!$A$1:$W$5000,3,FALSE))</f>
        <v>0</v>
      </c>
      <c r="E1923" s="416">
        <f>IF(ISERROR(VLOOKUP(B1922,'MD Usage'!$A$1:$W$5000,5,FALSE)),0,VLOOKUP(B1922,'MD Usage'!$A$1:$W$5000,5,FALSE))</f>
        <v>0</v>
      </c>
      <c r="F1923" s="416">
        <f>IF(ISERROR(VLOOKUP(B1922,'MD Usage'!$A$1:$W$5000,7,FALSE)),0,VLOOKUP(B1922,'MD Usage'!$A$1:$W$5000,7,FALSE))</f>
        <v>0</v>
      </c>
      <c r="G1923" s="416">
        <f>IF(ISERROR(VLOOKUP(B1922,'MD Usage'!$A$1:$W$5000,9,FALSE)),0,VLOOKUP(B1922,'MD Usage'!$A$1:$W$5000,9,FALSE))</f>
        <v>0</v>
      </c>
      <c r="H1923" s="416">
        <f>IF(ISERROR(VLOOKUP(B1922,'MD Usage'!$A$1:$W$5000,11,FALSE)),0,VLOOKUP(B1922,'MD Usage'!$A$1:$W$5000,11,FALSE))</f>
        <v>0</v>
      </c>
      <c r="I1923" s="416">
        <f>IF(ISERROR(VLOOKUP(B1922,'MD Usage'!A1:R2000,13,FALSE)),0,VLOOKUP(B1922,'MD Usage'!A1:R2000,13,FALSE))</f>
        <v>0</v>
      </c>
      <c r="J1923" s="416">
        <f>IF(ISERROR(VLOOKUP(B1922,'MD Usage'!A1:R2000,15,FALSE)),0,VLOOKUP(B1922,'MD Usage'!A1:R2000,15,FALSE))</f>
        <v>0</v>
      </c>
      <c r="K1923" s="418">
        <f>SUM(D1923:J1923)</f>
        <v>0</v>
      </c>
    </row>
    <row r="1924" spans="2:13" x14ac:dyDescent="0.25">
      <c r="B1924" s="419"/>
      <c r="C1924" s="420"/>
      <c r="D1924" s="421">
        <f>D1923*C1924</f>
        <v>0</v>
      </c>
      <c r="E1924" s="421">
        <f>E1923*C1924</f>
        <v>0</v>
      </c>
      <c r="F1924" s="421">
        <f>F1923*C1924</f>
        <v>0</v>
      </c>
      <c r="G1924" s="421">
        <f>G1923*C1924</f>
        <v>0</v>
      </c>
      <c r="H1924" s="421">
        <f>H1923*C1924</f>
        <v>0</v>
      </c>
      <c r="I1924" s="421">
        <f>I1923*C1924</f>
        <v>0</v>
      </c>
      <c r="J1924" s="421">
        <f>J1923*C1924</f>
        <v>0</v>
      </c>
      <c r="K1924" s="422">
        <f>SUM(D1924:J1924)</f>
        <v>0</v>
      </c>
    </row>
    <row r="1925" spans="2:13" x14ac:dyDescent="0.25">
      <c r="B1925" s="389"/>
      <c r="C1925" s="423"/>
      <c r="D1925" s="421">
        <f>D1923*C1925</f>
        <v>0</v>
      </c>
      <c r="E1925" s="421">
        <f>E1923*C1925</f>
        <v>0</v>
      </c>
      <c r="F1925" s="421">
        <f>F1923*C1925</f>
        <v>0</v>
      </c>
      <c r="G1925" s="421">
        <f>G1923*C1925</f>
        <v>0</v>
      </c>
      <c r="H1925" s="421">
        <f>H1923*C1925</f>
        <v>0</v>
      </c>
      <c r="I1925" s="421">
        <f>I1923*C1925</f>
        <v>0</v>
      </c>
      <c r="J1925" s="421">
        <f>J1923*C1925</f>
        <v>0</v>
      </c>
      <c r="K1925" s="424">
        <f>SUM(D1925:J1925)</f>
        <v>0</v>
      </c>
    </row>
    <row r="1926" spans="2:13" ht="15" customHeight="1" x14ac:dyDescent="0.25">
      <c r="B1926" s="389"/>
      <c r="C1926" s="423"/>
      <c r="D1926" s="421">
        <f>D1923*C1926</f>
        <v>0</v>
      </c>
      <c r="E1926" s="421">
        <f>E1923*C1926</f>
        <v>0</v>
      </c>
      <c r="F1926" s="421">
        <f>F1923*C1926</f>
        <v>0</v>
      </c>
      <c r="G1926" s="421">
        <f>G1923*C1926</f>
        <v>0</v>
      </c>
      <c r="H1926" s="421">
        <f>H1923*C1926</f>
        <v>0</v>
      </c>
      <c r="I1926" s="421">
        <f>I1923*C1926</f>
        <v>0</v>
      </c>
      <c r="J1926" s="421">
        <f>J1923*C1926</f>
        <v>0</v>
      </c>
      <c r="K1926" s="424">
        <f>SUM(D1926:J1926)</f>
        <v>0</v>
      </c>
    </row>
    <row r="1927" spans="2:13" x14ac:dyDescent="0.25">
      <c r="B1927" s="389"/>
      <c r="C1927" s="423"/>
      <c r="D1927" s="421">
        <f>D1923*C1927</f>
        <v>0</v>
      </c>
      <c r="E1927" s="421">
        <f>E1923*C1927</f>
        <v>0</v>
      </c>
      <c r="F1927" s="421">
        <f>F1923*C1927</f>
        <v>0</v>
      </c>
      <c r="G1927" s="421">
        <f>G1923*C1927</f>
        <v>0</v>
      </c>
      <c r="H1927" s="421">
        <f>H1923*C1927</f>
        <v>0</v>
      </c>
      <c r="I1927" s="421">
        <f>I1923*C1927</f>
        <v>0</v>
      </c>
      <c r="J1927" s="421">
        <f>J1923*C1927</f>
        <v>0</v>
      </c>
      <c r="K1927" s="424">
        <f>SUM(D1927:J1927)</f>
        <v>0</v>
      </c>
    </row>
    <row r="1928" spans="2:13" ht="15.75" thickBot="1" x14ac:dyDescent="0.3"/>
    <row r="1929" spans="2:13" ht="15.75" thickBot="1" x14ac:dyDescent="0.3">
      <c r="B1929" s="432"/>
      <c r="C1929" s="411"/>
      <c r="D1929" s="407" t="s">
        <v>548</v>
      </c>
      <c r="E1929" s="408" t="s">
        <v>549</v>
      </c>
      <c r="F1929" s="408" t="s">
        <v>550</v>
      </c>
      <c r="G1929" s="408" t="s">
        <v>551</v>
      </c>
      <c r="H1929" s="408" t="s">
        <v>552</v>
      </c>
      <c r="I1929" s="408" t="s">
        <v>553</v>
      </c>
      <c r="J1929" s="408" t="s">
        <v>554</v>
      </c>
      <c r="K1929" s="408" t="s">
        <v>555</v>
      </c>
      <c r="M1929" s="414"/>
    </row>
    <row r="1930" spans="2:13" ht="15.75" thickBot="1" x14ac:dyDescent="0.3">
      <c r="B1930" s="414" t="s">
        <v>556</v>
      </c>
      <c r="C1930" s="415" t="s">
        <v>620</v>
      </c>
      <c r="D1930" s="416">
        <f>IF(ISERROR(VLOOKUP(B1929,'MD Usage'!$A$1:$W$5000,3,FALSE)),0,VLOOKUP(B1929,'MD Usage'!$A$1:$W$5000,3,FALSE))</f>
        <v>0</v>
      </c>
      <c r="E1930" s="416">
        <f>IF(ISERROR(VLOOKUP(B1929,'MD Usage'!$A$1:$W$5000,5,FALSE)),0,VLOOKUP(B1929,'MD Usage'!$A$1:$W$5000,5,FALSE))</f>
        <v>0</v>
      </c>
      <c r="F1930" s="416">
        <f>IF(ISERROR(VLOOKUP(B1929,'MD Usage'!$A$1:$W$5000,7,FALSE)),0,VLOOKUP(B1929,'MD Usage'!$A$1:$W$5000,7,FALSE))</f>
        <v>0</v>
      </c>
      <c r="G1930" s="416">
        <f>IF(ISERROR(VLOOKUP(B1929,'MD Usage'!$A$1:$W$5000,9,FALSE)),0,VLOOKUP(B1929,'MD Usage'!$A$1:$W$5000,9,FALSE))</f>
        <v>0</v>
      </c>
      <c r="H1930" s="416">
        <f>IF(ISERROR(VLOOKUP(B1929,'MD Usage'!$A$1:$W$5000,11,FALSE)),0,VLOOKUP(B1929,'MD Usage'!$A$1:$W$5000,11,FALSE))</f>
        <v>0</v>
      </c>
      <c r="I1930" s="416">
        <f>IF(ISERROR(VLOOKUP(B1929,'MD Usage'!A1:R2000,13,FALSE)),0,VLOOKUP(B1929,'MD Usage'!A1:R2000,13,FALSE))</f>
        <v>0</v>
      </c>
      <c r="J1930" s="416">
        <f>IF(ISERROR(VLOOKUP(B1929,'MD Usage'!A1:R2000,15,FALSE)),0,VLOOKUP(B1929,'MD Usage'!A1:R2000,15,FALSE))</f>
        <v>0</v>
      </c>
      <c r="K1930" s="418">
        <f>SUM(D1930:J1930)</f>
        <v>0</v>
      </c>
    </row>
    <row r="1931" spans="2:13" x14ac:dyDescent="0.25">
      <c r="B1931" s="419"/>
      <c r="C1931" s="420"/>
      <c r="D1931" s="421">
        <f>D1930*C1931</f>
        <v>0</v>
      </c>
      <c r="E1931" s="421">
        <f>E1930*C1931</f>
        <v>0</v>
      </c>
      <c r="F1931" s="421">
        <f>F1930*C1931</f>
        <v>0</v>
      </c>
      <c r="G1931" s="421">
        <f>G1930*C1931</f>
        <v>0</v>
      </c>
      <c r="H1931" s="421">
        <f>H1930*C1931</f>
        <v>0</v>
      </c>
      <c r="I1931" s="421">
        <f>I1930*C1931</f>
        <v>0</v>
      </c>
      <c r="J1931" s="421">
        <f>J1930*C1931</f>
        <v>0</v>
      </c>
      <c r="K1931" s="422">
        <f>SUM(D1931:J1931)</f>
        <v>0</v>
      </c>
    </row>
    <row r="1932" spans="2:13" x14ac:dyDescent="0.25">
      <c r="B1932" s="389"/>
      <c r="C1932" s="423"/>
      <c r="D1932" s="421">
        <f>D1930*C1932</f>
        <v>0</v>
      </c>
      <c r="E1932" s="421">
        <f>E1930*C1932</f>
        <v>0</v>
      </c>
      <c r="F1932" s="421">
        <f>F1930*C1932</f>
        <v>0</v>
      </c>
      <c r="G1932" s="421">
        <f>G1930*C1932</f>
        <v>0</v>
      </c>
      <c r="H1932" s="421">
        <f>H1930*C1932</f>
        <v>0</v>
      </c>
      <c r="I1932" s="421">
        <f>I1930*C1932</f>
        <v>0</v>
      </c>
      <c r="J1932" s="421">
        <f>J1930*C1932</f>
        <v>0</v>
      </c>
      <c r="K1932" s="424">
        <f>SUM(D1932:J1932)</f>
        <v>0</v>
      </c>
    </row>
    <row r="1933" spans="2:13" x14ac:dyDescent="0.25">
      <c r="B1933" s="389"/>
      <c r="C1933" s="423"/>
      <c r="D1933" s="421">
        <f>D1930*C1933</f>
        <v>0</v>
      </c>
      <c r="E1933" s="421">
        <f>E1930*C1933</f>
        <v>0</v>
      </c>
      <c r="F1933" s="421">
        <f>F1930*C1933</f>
        <v>0</v>
      </c>
      <c r="G1933" s="421">
        <f>G1930*C1933</f>
        <v>0</v>
      </c>
      <c r="H1933" s="421">
        <f>H1930*C1933</f>
        <v>0</v>
      </c>
      <c r="I1933" s="421">
        <f>I1930*C1933</f>
        <v>0</v>
      </c>
      <c r="J1933" s="421">
        <f>J1930*C1933</f>
        <v>0</v>
      </c>
      <c r="K1933" s="424">
        <f>SUM(D1933:J1933)</f>
        <v>0</v>
      </c>
    </row>
    <row r="1934" spans="2:13" ht="15" customHeight="1" x14ac:dyDescent="0.25">
      <c r="B1934" s="389"/>
      <c r="C1934" s="423"/>
      <c r="D1934" s="421">
        <f>D1930*C1934</f>
        <v>0</v>
      </c>
      <c r="E1934" s="421">
        <f>E1930*C1934</f>
        <v>0</v>
      </c>
      <c r="F1934" s="421">
        <f>F1930*C1934</f>
        <v>0</v>
      </c>
      <c r="G1934" s="421">
        <f>G1930*C1934</f>
        <v>0</v>
      </c>
      <c r="H1934" s="421">
        <f>H1930*C1934</f>
        <v>0</v>
      </c>
      <c r="I1934" s="421">
        <f>I1930*C1934</f>
        <v>0</v>
      </c>
      <c r="J1934" s="421">
        <f>J1930*C1934</f>
        <v>0</v>
      </c>
      <c r="K1934" s="424">
        <f>SUM(D1934:J1934)</f>
        <v>0</v>
      </c>
    </row>
    <row r="1935" spans="2:13" ht="15.75" thickBot="1" x14ac:dyDescent="0.3"/>
    <row r="1936" spans="2:13" ht="15.75" thickBot="1" x14ac:dyDescent="0.3">
      <c r="B1936" s="432"/>
      <c r="C1936" s="411"/>
      <c r="D1936" s="407" t="s">
        <v>548</v>
      </c>
      <c r="E1936" s="408" t="s">
        <v>549</v>
      </c>
      <c r="F1936" s="408" t="s">
        <v>550</v>
      </c>
      <c r="G1936" s="408" t="s">
        <v>551</v>
      </c>
      <c r="H1936" s="408" t="s">
        <v>552</v>
      </c>
      <c r="I1936" s="408" t="s">
        <v>553</v>
      </c>
      <c r="J1936" s="408" t="s">
        <v>554</v>
      </c>
      <c r="K1936" s="408" t="s">
        <v>555</v>
      </c>
    </row>
    <row r="1937" spans="2:13" ht="15" customHeight="1" thickBot="1" x14ac:dyDescent="0.3">
      <c r="B1937" s="414" t="s">
        <v>556</v>
      </c>
      <c r="C1937" s="415" t="s">
        <v>620</v>
      </c>
      <c r="D1937" s="416">
        <f>IF(ISERROR(VLOOKUP(B1936,'MD Usage'!$A$1:$W$5000,3,FALSE)),0,VLOOKUP(B1936,'MD Usage'!$A$1:$W$5000,3,FALSE))</f>
        <v>0</v>
      </c>
      <c r="E1937" s="416">
        <f>IF(ISERROR(VLOOKUP(B1936,'MD Usage'!$A$1:$W$5000,5,FALSE)),0,VLOOKUP(B1936,'MD Usage'!$A$1:$W$5000,5,FALSE))</f>
        <v>0</v>
      </c>
      <c r="F1937" s="416">
        <f>IF(ISERROR(VLOOKUP(B1936,'MD Usage'!$A$1:$W$5000,7,FALSE)),0,VLOOKUP(B1936,'MD Usage'!$A$1:$W$5000,7,FALSE))</f>
        <v>0</v>
      </c>
      <c r="G1937" s="416">
        <f>IF(ISERROR(VLOOKUP(B1936,'MD Usage'!$A$1:$W$5000,9,FALSE)),0,VLOOKUP(B1936,'MD Usage'!$A$1:$W$5000,9,FALSE))</f>
        <v>0</v>
      </c>
      <c r="H1937" s="416">
        <f>IF(ISERROR(VLOOKUP(B1936,'MD Usage'!$A$1:$W$5000,11,FALSE)),0,VLOOKUP(B1936,'MD Usage'!$A$1:$W$5000,11,FALSE))</f>
        <v>0</v>
      </c>
      <c r="I1937" s="416">
        <f>IF(ISERROR(VLOOKUP(B1936,'MD Usage'!A1:R2000,13,FALSE)),0,VLOOKUP(B1936,'MD Usage'!A1:R2000,13,FALSE))</f>
        <v>0</v>
      </c>
      <c r="J1937" s="416">
        <f>IF(ISERROR(VLOOKUP(B1936,'MD Usage'!A1:R2000,15,FALSE)),0,VLOOKUP(B1936,'MD Usage'!A1:R2000,15,FALSE))</f>
        <v>0</v>
      </c>
      <c r="K1937" s="418">
        <f>SUM(D1937:J1937)</f>
        <v>0</v>
      </c>
    </row>
    <row r="1938" spans="2:13" ht="15" customHeight="1" x14ac:dyDescent="0.25">
      <c r="B1938" s="419"/>
      <c r="C1938" s="420"/>
      <c r="D1938" s="421">
        <f>D1937*C1938</f>
        <v>0</v>
      </c>
      <c r="E1938" s="421">
        <f>E1937*C1938</f>
        <v>0</v>
      </c>
      <c r="F1938" s="421">
        <f>F1937*C1938</f>
        <v>0</v>
      </c>
      <c r="G1938" s="421">
        <f>G1937*C1938</f>
        <v>0</v>
      </c>
      <c r="H1938" s="421">
        <f>H1937*C1938</f>
        <v>0</v>
      </c>
      <c r="I1938" s="421">
        <f>I1937*C1938</f>
        <v>0</v>
      </c>
      <c r="J1938" s="421">
        <f>J1937*C1938</f>
        <v>0</v>
      </c>
      <c r="K1938" s="422">
        <f>SUM(D1938:J1938)</f>
        <v>0</v>
      </c>
    </row>
    <row r="1939" spans="2:13" x14ac:dyDescent="0.25">
      <c r="B1939" s="389"/>
      <c r="C1939" s="423"/>
      <c r="D1939" s="421">
        <f>D1937*C1939</f>
        <v>0</v>
      </c>
      <c r="E1939" s="421">
        <f>E1937*C1939</f>
        <v>0</v>
      </c>
      <c r="F1939" s="421">
        <f>F1937*C1939</f>
        <v>0</v>
      </c>
      <c r="G1939" s="421">
        <f>G1937*C1939</f>
        <v>0</v>
      </c>
      <c r="H1939" s="421">
        <f>H1937*C1939</f>
        <v>0</v>
      </c>
      <c r="I1939" s="421">
        <f>I1937*C1939</f>
        <v>0</v>
      </c>
      <c r="J1939" s="421">
        <f>J1937*C1939</f>
        <v>0</v>
      </c>
      <c r="K1939" s="424">
        <f>SUM(D1939:J1939)</f>
        <v>0</v>
      </c>
    </row>
    <row r="1940" spans="2:13" x14ac:dyDescent="0.25">
      <c r="B1940" s="389"/>
      <c r="C1940" s="423"/>
      <c r="D1940" s="421">
        <f>D1937*C1940</f>
        <v>0</v>
      </c>
      <c r="E1940" s="421">
        <f>E1937*C1940</f>
        <v>0</v>
      </c>
      <c r="F1940" s="421">
        <f>F1937*C1940</f>
        <v>0</v>
      </c>
      <c r="G1940" s="421">
        <f>G1937*C1940</f>
        <v>0</v>
      </c>
      <c r="H1940" s="421">
        <f>H1937*C1940</f>
        <v>0</v>
      </c>
      <c r="I1940" s="421">
        <f>I1937*C1940</f>
        <v>0</v>
      </c>
      <c r="J1940" s="421">
        <f>J1937*C1940</f>
        <v>0</v>
      </c>
      <c r="K1940" s="424">
        <f>SUM(D1940:J1940)</f>
        <v>0</v>
      </c>
    </row>
    <row r="1941" spans="2:13" ht="15" customHeight="1" x14ac:dyDescent="0.25">
      <c r="B1941" s="389"/>
      <c r="C1941" s="423"/>
      <c r="D1941" s="421">
        <f>D1937*C1941</f>
        <v>0</v>
      </c>
      <c r="E1941" s="421">
        <f>E1937*C1941</f>
        <v>0</v>
      </c>
      <c r="F1941" s="421">
        <f>F1937*C1941</f>
        <v>0</v>
      </c>
      <c r="G1941" s="421">
        <f>G1937*C1941</f>
        <v>0</v>
      </c>
      <c r="H1941" s="421">
        <f>H1937*C1941</f>
        <v>0</v>
      </c>
      <c r="I1941" s="421">
        <f>I1937*C1941</f>
        <v>0</v>
      </c>
      <c r="J1941" s="421">
        <f>J1937*C1941</f>
        <v>0</v>
      </c>
      <c r="K1941" s="424">
        <f>SUM(D1941:J1941)</f>
        <v>0</v>
      </c>
    </row>
    <row r="1942" spans="2:13" ht="15.75" thickBot="1" x14ac:dyDescent="0.3"/>
    <row r="1943" spans="2:13" ht="15.75" thickBot="1" x14ac:dyDescent="0.3">
      <c r="B1943" s="432"/>
      <c r="C1943" s="411"/>
      <c r="D1943" s="407" t="s">
        <v>548</v>
      </c>
      <c r="E1943" s="408" t="s">
        <v>549</v>
      </c>
      <c r="F1943" s="408" t="s">
        <v>550</v>
      </c>
      <c r="G1943" s="408" t="s">
        <v>551</v>
      </c>
      <c r="H1943" s="408" t="s">
        <v>552</v>
      </c>
      <c r="I1943" s="408" t="s">
        <v>553</v>
      </c>
      <c r="J1943" s="408" t="s">
        <v>554</v>
      </c>
      <c r="K1943" s="408" t="s">
        <v>555</v>
      </c>
      <c r="M1943" s="426"/>
    </row>
    <row r="1944" spans="2:13" ht="15.75" thickBot="1" x14ac:dyDescent="0.3">
      <c r="B1944" s="414" t="s">
        <v>556</v>
      </c>
      <c r="C1944" s="415" t="s">
        <v>620</v>
      </c>
      <c r="D1944" s="416">
        <f>IF(ISERROR(VLOOKUP(B1943,'MD Usage'!$A$1:$W$5000,3,FALSE)),0,VLOOKUP(B1943,'MD Usage'!$A$1:$W$5000,3,FALSE))</f>
        <v>0</v>
      </c>
      <c r="E1944" s="416">
        <f>IF(ISERROR(VLOOKUP(B1943,'MD Usage'!$A$1:$W$5000,5,FALSE)),0,VLOOKUP(B1943,'MD Usage'!$A$1:$W$5000,5,FALSE))</f>
        <v>0</v>
      </c>
      <c r="F1944" s="416">
        <f>IF(ISERROR(VLOOKUP(B1943,'MD Usage'!$A$1:$W$5000,7,FALSE)),0,VLOOKUP(B1943,'MD Usage'!$A$1:$W$5000,7,FALSE))</f>
        <v>0</v>
      </c>
      <c r="G1944" s="416">
        <f>IF(ISERROR(VLOOKUP(B1943,'MD Usage'!$A$1:$W$5000,9,FALSE)),0,VLOOKUP(B1943,'MD Usage'!$A$1:$W$5000,9,FALSE))</f>
        <v>0</v>
      </c>
      <c r="H1944" s="416">
        <f>IF(ISERROR(VLOOKUP(B1943,'MD Usage'!$A$1:$W$5000,11,FALSE)),0,VLOOKUP(B1943,'MD Usage'!$A$1:$W$5000,11,FALSE))</f>
        <v>0</v>
      </c>
      <c r="I1944" s="416">
        <f>IF(ISERROR(VLOOKUP(B1943,'MD Usage'!A1:R2000,13,FALSE)),0,VLOOKUP(B1943,'MD Usage'!A1:R2000,13,FALSE))</f>
        <v>0</v>
      </c>
      <c r="J1944" s="416">
        <f>IF(ISERROR(VLOOKUP(B1943,'MD Usage'!A1:R2000,15,FALSE)),0,VLOOKUP(B1943,'MD Usage'!A1:R2000,15,FALSE))</f>
        <v>0</v>
      </c>
      <c r="K1944" s="418">
        <f>SUM(D1944:J1944)</f>
        <v>0</v>
      </c>
    </row>
    <row r="1945" spans="2:13" x14ac:dyDescent="0.25">
      <c r="B1945" s="419"/>
      <c r="C1945" s="420"/>
      <c r="D1945" s="421">
        <f>D1944*C1945</f>
        <v>0</v>
      </c>
      <c r="E1945" s="421">
        <f>E1944*C1945</f>
        <v>0</v>
      </c>
      <c r="F1945" s="421">
        <f>F1944*C1945</f>
        <v>0</v>
      </c>
      <c r="G1945" s="421">
        <f>G1944*C1945</f>
        <v>0</v>
      </c>
      <c r="H1945" s="421">
        <f>H1944*C1945</f>
        <v>0</v>
      </c>
      <c r="I1945" s="421">
        <f>I1944*C1945</f>
        <v>0</v>
      </c>
      <c r="J1945" s="421">
        <f>J1944*C1945</f>
        <v>0</v>
      </c>
      <c r="K1945" s="422">
        <f>SUM(D1945:J1945)</f>
        <v>0</v>
      </c>
    </row>
    <row r="1946" spans="2:13" x14ac:dyDescent="0.25">
      <c r="B1946" s="389"/>
      <c r="C1946" s="423"/>
      <c r="D1946" s="421">
        <f>D1944*C1946</f>
        <v>0</v>
      </c>
      <c r="E1946" s="421">
        <f>E1944*C1946</f>
        <v>0</v>
      </c>
      <c r="F1946" s="421">
        <f>F1944*C1946</f>
        <v>0</v>
      </c>
      <c r="G1946" s="421">
        <f>G1944*C1946</f>
        <v>0</v>
      </c>
      <c r="H1946" s="421">
        <f>H1944*C1946</f>
        <v>0</v>
      </c>
      <c r="I1946" s="421">
        <f>I1944*C1946</f>
        <v>0</v>
      </c>
      <c r="J1946" s="421">
        <f>J1944*C1946</f>
        <v>0</v>
      </c>
      <c r="K1946" s="424">
        <f>SUM(D1946:J1946)</f>
        <v>0</v>
      </c>
    </row>
    <row r="1947" spans="2:13" x14ac:dyDescent="0.25">
      <c r="B1947" s="389"/>
      <c r="C1947" s="423"/>
      <c r="D1947" s="421">
        <f>D1944*C1947</f>
        <v>0</v>
      </c>
      <c r="E1947" s="421">
        <f>E1944*C1947</f>
        <v>0</v>
      </c>
      <c r="F1947" s="421">
        <f>F1944*C1947</f>
        <v>0</v>
      </c>
      <c r="G1947" s="421">
        <f>G1944*C1947</f>
        <v>0</v>
      </c>
      <c r="H1947" s="421">
        <f>H1944*C1947</f>
        <v>0</v>
      </c>
      <c r="I1947" s="421">
        <f>I1944*C1947</f>
        <v>0</v>
      </c>
      <c r="J1947" s="421">
        <f>J1944*C1947</f>
        <v>0</v>
      </c>
      <c r="K1947" s="424">
        <f>SUM(D1947:J1947)</f>
        <v>0</v>
      </c>
    </row>
    <row r="1948" spans="2:13" ht="15" customHeight="1" x14ac:dyDescent="0.25">
      <c r="B1948" s="389"/>
      <c r="C1948" s="423"/>
      <c r="D1948" s="421">
        <f>D1944*C1948</f>
        <v>0</v>
      </c>
      <c r="E1948" s="421">
        <f>E1944*C1948</f>
        <v>0</v>
      </c>
      <c r="F1948" s="421">
        <f>F1944*C1948</f>
        <v>0</v>
      </c>
      <c r="G1948" s="421">
        <f>G1944*C1948</f>
        <v>0</v>
      </c>
      <c r="H1948" s="421">
        <f>H1944*C1948</f>
        <v>0</v>
      </c>
      <c r="I1948" s="421">
        <f>I1944*C1948</f>
        <v>0</v>
      </c>
      <c r="J1948" s="421">
        <f>J1944*C1948</f>
        <v>0</v>
      </c>
      <c r="K1948" s="424">
        <f>SUM(D1948:J1948)</f>
        <v>0</v>
      </c>
    </row>
    <row r="1949" spans="2:13" ht="15.75" thickBot="1" x14ac:dyDescent="0.3"/>
    <row r="1950" spans="2:13" ht="15.75" thickBot="1" x14ac:dyDescent="0.3">
      <c r="B1950" s="432"/>
      <c r="C1950" s="411"/>
      <c r="D1950" s="407" t="s">
        <v>548</v>
      </c>
      <c r="E1950" s="408" t="s">
        <v>549</v>
      </c>
      <c r="F1950" s="408" t="s">
        <v>550</v>
      </c>
      <c r="G1950" s="408" t="s">
        <v>551</v>
      </c>
      <c r="H1950" s="408" t="s">
        <v>552</v>
      </c>
      <c r="I1950" s="408" t="s">
        <v>553</v>
      </c>
      <c r="J1950" s="408" t="s">
        <v>554</v>
      </c>
      <c r="K1950" s="408" t="s">
        <v>555</v>
      </c>
      <c r="M1950" s="426"/>
    </row>
    <row r="1951" spans="2:13" ht="15.75" thickBot="1" x14ac:dyDescent="0.3">
      <c r="B1951" s="414" t="s">
        <v>556</v>
      </c>
      <c r="C1951" s="415" t="s">
        <v>620</v>
      </c>
      <c r="D1951" s="416">
        <f>IF(ISERROR(VLOOKUP(B1950,'MD Usage'!$A$1:$W$5000,3,FALSE)),0,VLOOKUP(B1950,'MD Usage'!$A$1:$W$5000,3,FALSE))</f>
        <v>0</v>
      </c>
      <c r="E1951" s="416">
        <f>IF(ISERROR(VLOOKUP(B1950,'MD Usage'!$A$1:$W$5000,5,FALSE)),0,VLOOKUP(B1950,'MD Usage'!$A$1:$W$5000,5,FALSE))</f>
        <v>0</v>
      </c>
      <c r="F1951" s="416">
        <f>IF(ISERROR(VLOOKUP(B1950,'MD Usage'!$A$1:$W$5000,7,FALSE)),0,VLOOKUP(B1950,'MD Usage'!$A$1:$W$5000,7,FALSE))</f>
        <v>0</v>
      </c>
      <c r="G1951" s="416">
        <f>IF(ISERROR(VLOOKUP(B1950,'MD Usage'!$A$1:$W$5000,9,FALSE)),0,VLOOKUP(B1950,'MD Usage'!$A$1:$W$5000,9,FALSE))</f>
        <v>0</v>
      </c>
      <c r="H1951" s="416">
        <f>IF(ISERROR(VLOOKUP(B1950,'MD Usage'!$A$1:$W$5000,11,FALSE)),0,VLOOKUP(B1950,'MD Usage'!$A$1:$W$5000,11,FALSE))</f>
        <v>0</v>
      </c>
      <c r="I1951" s="416">
        <f>IF(ISERROR(VLOOKUP(B1950,'MD Usage'!A1:R2000,13,FALSE)),0,VLOOKUP(B1950,'MD Usage'!A1:R2000,13,FALSE))</f>
        <v>0</v>
      </c>
      <c r="J1951" s="416">
        <f>IF(ISERROR(VLOOKUP(B1950,'MD Usage'!A1:R2000,15,FALSE)),0,VLOOKUP(B1950,'MD Usage'!A1:R2000,15,FALSE))</f>
        <v>0</v>
      </c>
      <c r="K1951" s="418">
        <f>SUM(D1951:J1951)</f>
        <v>0</v>
      </c>
    </row>
    <row r="1952" spans="2:13" ht="15" customHeight="1" x14ac:dyDescent="0.25">
      <c r="B1952" s="419"/>
      <c r="C1952" s="420"/>
      <c r="D1952" s="421">
        <f>D1951*C1952</f>
        <v>0</v>
      </c>
      <c r="E1952" s="421">
        <f>E1951*C1952</f>
        <v>0</v>
      </c>
      <c r="F1952" s="421">
        <f>F1951*C1952</f>
        <v>0</v>
      </c>
      <c r="G1952" s="421">
        <f>G1951*C1952</f>
        <v>0</v>
      </c>
      <c r="H1952" s="421">
        <f>H1951*C1952</f>
        <v>0</v>
      </c>
      <c r="I1952" s="421">
        <f>I1951*C1952</f>
        <v>0</v>
      </c>
      <c r="J1952" s="421">
        <f>J1951*C1952</f>
        <v>0</v>
      </c>
      <c r="K1952" s="422">
        <f>SUM(D1952:J1952)</f>
        <v>0</v>
      </c>
    </row>
    <row r="1953" spans="2:13" x14ac:dyDescent="0.25">
      <c r="B1953" s="389"/>
      <c r="C1953" s="423"/>
      <c r="D1953" s="421">
        <f>D1951*C1953</f>
        <v>0</v>
      </c>
      <c r="E1953" s="421">
        <f>E1951*C1953</f>
        <v>0</v>
      </c>
      <c r="F1953" s="421">
        <f>F1951*C1953</f>
        <v>0</v>
      </c>
      <c r="G1953" s="421">
        <f>G1951*C1953</f>
        <v>0</v>
      </c>
      <c r="H1953" s="421">
        <f>H1951*C1953</f>
        <v>0</v>
      </c>
      <c r="I1953" s="421">
        <f>I1951*C1953</f>
        <v>0</v>
      </c>
      <c r="J1953" s="421">
        <f>J1951*C1953</f>
        <v>0</v>
      </c>
      <c r="K1953" s="424">
        <f>SUM(D1953:J1953)</f>
        <v>0</v>
      </c>
    </row>
    <row r="1954" spans="2:13" x14ac:dyDescent="0.25">
      <c r="B1954" s="389"/>
      <c r="C1954" s="423"/>
      <c r="D1954" s="421">
        <f>D1951*C1954</f>
        <v>0</v>
      </c>
      <c r="E1954" s="421">
        <f>E1951*C1954</f>
        <v>0</v>
      </c>
      <c r="F1954" s="421">
        <f>F1951*C1954</f>
        <v>0</v>
      </c>
      <c r="G1954" s="421">
        <f>G1951*C1954</f>
        <v>0</v>
      </c>
      <c r="H1954" s="421">
        <f>H1951*C1954</f>
        <v>0</v>
      </c>
      <c r="I1954" s="421">
        <f>I1951*C1954</f>
        <v>0</v>
      </c>
      <c r="J1954" s="421">
        <f>J1951*C1954</f>
        <v>0</v>
      </c>
      <c r="K1954" s="424">
        <f>SUM(D1954:J1954)</f>
        <v>0</v>
      </c>
    </row>
    <row r="1955" spans="2:13" ht="15" customHeight="1" x14ac:dyDescent="0.25">
      <c r="B1955" s="389"/>
      <c r="C1955" s="423"/>
      <c r="D1955" s="421">
        <f>D1951*C1955</f>
        <v>0</v>
      </c>
      <c r="E1955" s="421">
        <f>E1951*C1955</f>
        <v>0</v>
      </c>
      <c r="F1955" s="421">
        <f>F1951*C1955</f>
        <v>0</v>
      </c>
      <c r="G1955" s="421">
        <f>G1951*C1955</f>
        <v>0</v>
      </c>
      <c r="H1955" s="421">
        <f>H1951*C1955</f>
        <v>0</v>
      </c>
      <c r="I1955" s="421">
        <f>I1951*C1955</f>
        <v>0</v>
      </c>
      <c r="J1955" s="421">
        <f>J1951*C1955</f>
        <v>0</v>
      </c>
      <c r="K1955" s="424">
        <f>SUM(D1955:J1955)</f>
        <v>0</v>
      </c>
    </row>
    <row r="1956" spans="2:13" ht="15.75" thickBot="1" x14ac:dyDescent="0.3"/>
    <row r="1957" spans="2:13" ht="15.75" thickBot="1" x14ac:dyDescent="0.3">
      <c r="B1957" s="432"/>
      <c r="C1957" s="411"/>
      <c r="D1957" s="407" t="s">
        <v>548</v>
      </c>
      <c r="E1957" s="408" t="s">
        <v>549</v>
      </c>
      <c r="F1957" s="408" t="s">
        <v>550</v>
      </c>
      <c r="G1957" s="408" t="s">
        <v>551</v>
      </c>
      <c r="H1957" s="408" t="s">
        <v>552</v>
      </c>
      <c r="I1957" s="408" t="s">
        <v>553</v>
      </c>
      <c r="J1957" s="408" t="s">
        <v>554</v>
      </c>
      <c r="K1957" s="408" t="s">
        <v>555</v>
      </c>
      <c r="M1957" s="414"/>
    </row>
    <row r="1958" spans="2:13" ht="15.75" thickBot="1" x14ac:dyDescent="0.3">
      <c r="B1958" s="414" t="s">
        <v>556</v>
      </c>
      <c r="C1958" s="415" t="s">
        <v>620</v>
      </c>
      <c r="D1958" s="416">
        <f>IF(ISERROR(VLOOKUP(B1957,'MD Usage'!$A$1:$W$5000,3,FALSE)),0,VLOOKUP(B1957,'MD Usage'!$A$1:$W$5000,3,FALSE))</f>
        <v>0</v>
      </c>
      <c r="E1958" s="416">
        <f>IF(ISERROR(VLOOKUP(B1957,'MD Usage'!$A$1:$W$5000,5,FALSE)),0,VLOOKUP(B1957,'MD Usage'!$A$1:$W$5000,5,FALSE))</f>
        <v>0</v>
      </c>
      <c r="F1958" s="416">
        <f>IF(ISERROR(VLOOKUP(B1957,'MD Usage'!$A$1:$W$5000,7,FALSE)),0,VLOOKUP(B1957,'MD Usage'!$A$1:$W$5000,7,FALSE))</f>
        <v>0</v>
      </c>
      <c r="G1958" s="416">
        <f>IF(ISERROR(VLOOKUP(B1957,'MD Usage'!$A$1:$W$5000,9,FALSE)),0,VLOOKUP(B1957,'MD Usage'!$A$1:$W$5000,9,FALSE))</f>
        <v>0</v>
      </c>
      <c r="H1958" s="416">
        <f>IF(ISERROR(VLOOKUP(B1957,'MD Usage'!$A$1:$W$5000,11,FALSE)),0,VLOOKUP(B1957,'MD Usage'!$A$1:$W$5000,11,FALSE))</f>
        <v>0</v>
      </c>
      <c r="I1958" s="416">
        <f>IF(ISERROR(VLOOKUP(B1957,'MD Usage'!A1:R2000,13,FALSE)),0,VLOOKUP(B1957,'MD Usage'!A1:R2000,13,FALSE))</f>
        <v>0</v>
      </c>
      <c r="J1958" s="416">
        <f>IF(ISERROR(VLOOKUP(B1957,'MD Usage'!A1:R2000,15,FALSE)),0,VLOOKUP(B1957,'MD Usage'!A1:R2000,15,FALSE))</f>
        <v>0</v>
      </c>
      <c r="K1958" s="418">
        <f t="shared" ref="K1958:K1963" si="92">SUM(D1958:J1958)</f>
        <v>0</v>
      </c>
    </row>
    <row r="1959" spans="2:13" x14ac:dyDescent="0.25">
      <c r="B1959" s="419"/>
      <c r="C1959" s="420"/>
      <c r="D1959" s="421">
        <f>D1958*C1959</f>
        <v>0</v>
      </c>
      <c r="E1959" s="421">
        <f>E1958*C1959</f>
        <v>0</v>
      </c>
      <c r="F1959" s="421">
        <f>F1958*C1959</f>
        <v>0</v>
      </c>
      <c r="G1959" s="421">
        <f>G1958*C1959</f>
        <v>0</v>
      </c>
      <c r="H1959" s="421">
        <f>H1958*C1959</f>
        <v>0</v>
      </c>
      <c r="I1959" s="421">
        <f>I1958*C1959</f>
        <v>0</v>
      </c>
      <c r="J1959" s="421">
        <f>J1958*C1959</f>
        <v>0</v>
      </c>
      <c r="K1959" s="422">
        <f t="shared" si="92"/>
        <v>0</v>
      </c>
    </row>
    <row r="1960" spans="2:13" x14ac:dyDescent="0.25">
      <c r="B1960" s="389"/>
      <c r="C1960" s="423"/>
      <c r="D1960" s="421">
        <f>D1958*C1960</f>
        <v>0</v>
      </c>
      <c r="E1960" s="421">
        <f>E1958*C1960</f>
        <v>0</v>
      </c>
      <c r="F1960" s="421">
        <f>F1958*C1960</f>
        <v>0</v>
      </c>
      <c r="G1960" s="421">
        <f>G1958*C1960</f>
        <v>0</v>
      </c>
      <c r="H1960" s="421">
        <f>H1958*C1960</f>
        <v>0</v>
      </c>
      <c r="I1960" s="421">
        <f>I1958*C1960</f>
        <v>0</v>
      </c>
      <c r="J1960" s="421">
        <f>J1958*C1960</f>
        <v>0</v>
      </c>
      <c r="K1960" s="424">
        <f t="shared" si="92"/>
        <v>0</v>
      </c>
    </row>
    <row r="1961" spans="2:13" x14ac:dyDescent="0.25">
      <c r="B1961" s="389"/>
      <c r="C1961" s="423"/>
      <c r="D1961" s="421">
        <f>D1958*C1961</f>
        <v>0</v>
      </c>
      <c r="E1961" s="421">
        <f>E1958*C1961</f>
        <v>0</v>
      </c>
      <c r="F1961" s="421">
        <f>F1958*C1961</f>
        <v>0</v>
      </c>
      <c r="G1961" s="421">
        <f>G1958*C1961</f>
        <v>0</v>
      </c>
      <c r="H1961" s="421">
        <f>H1958*C1961</f>
        <v>0</v>
      </c>
      <c r="I1961" s="421">
        <f>I1958*C1961</f>
        <v>0</v>
      </c>
      <c r="J1961" s="421">
        <f>J1958*C1961</f>
        <v>0</v>
      </c>
      <c r="K1961" s="424">
        <f t="shared" si="92"/>
        <v>0</v>
      </c>
    </row>
    <row r="1962" spans="2:13" ht="15" customHeight="1" x14ac:dyDescent="0.25">
      <c r="B1962" s="389"/>
      <c r="C1962" s="423"/>
      <c r="D1962" s="421">
        <f>D1958*C1962</f>
        <v>0</v>
      </c>
      <c r="E1962" s="421">
        <f>E1958*C1962</f>
        <v>0</v>
      </c>
      <c r="F1962" s="421">
        <f>F1958*C1962</f>
        <v>0</v>
      </c>
      <c r="G1962" s="421">
        <f>G1958*C1962</f>
        <v>0</v>
      </c>
      <c r="H1962" s="421">
        <f>H1958*C1962</f>
        <v>0</v>
      </c>
      <c r="I1962" s="421">
        <f>I1958*C1962</f>
        <v>0</v>
      </c>
      <c r="J1962" s="421">
        <f>J1958*C1962</f>
        <v>0</v>
      </c>
      <c r="K1962" s="424">
        <f t="shared" si="92"/>
        <v>0</v>
      </c>
    </row>
    <row r="1963" spans="2:13" x14ac:dyDescent="0.25">
      <c r="B1963" s="389"/>
      <c r="C1963" s="423"/>
      <c r="D1963" s="421">
        <f>D1958*C1963</f>
        <v>0</v>
      </c>
      <c r="E1963" s="421">
        <f>E1958*C1963</f>
        <v>0</v>
      </c>
      <c r="F1963" s="421">
        <f>F1958*C1963</f>
        <v>0</v>
      </c>
      <c r="G1963" s="421">
        <f>G1958*C1963</f>
        <v>0</v>
      </c>
      <c r="H1963" s="421">
        <f>H1958*C1963</f>
        <v>0</v>
      </c>
      <c r="I1963" s="421">
        <f>I1958*C1963</f>
        <v>0</v>
      </c>
      <c r="J1963" s="421">
        <f>J1958*C1963</f>
        <v>0</v>
      </c>
      <c r="K1963" s="424">
        <f t="shared" si="92"/>
        <v>0</v>
      </c>
    </row>
    <row r="1964" spans="2:13" ht="15.75" thickBot="1" x14ac:dyDescent="0.3"/>
    <row r="1965" spans="2:13" ht="15.75" thickBot="1" x14ac:dyDescent="0.3">
      <c r="B1965" s="414"/>
      <c r="C1965" s="411"/>
      <c r="D1965" s="407" t="s">
        <v>548</v>
      </c>
      <c r="E1965" s="408" t="s">
        <v>549</v>
      </c>
      <c r="F1965" s="408" t="s">
        <v>550</v>
      </c>
      <c r="G1965" s="408" t="s">
        <v>551</v>
      </c>
      <c r="H1965" s="408" t="s">
        <v>552</v>
      </c>
      <c r="I1965" s="408" t="s">
        <v>553</v>
      </c>
      <c r="J1965" s="408" t="s">
        <v>554</v>
      </c>
      <c r="K1965" s="408" t="s">
        <v>555</v>
      </c>
    </row>
    <row r="1966" spans="2:13" ht="15.75" thickBot="1" x14ac:dyDescent="0.3">
      <c r="B1966" s="414" t="s">
        <v>556</v>
      </c>
      <c r="C1966" s="415" t="s">
        <v>620</v>
      </c>
      <c r="D1966" s="416">
        <f>IF(ISERROR(VLOOKUP(B1965,'MD Usage'!$A$1:$W$5000,3,FALSE)),0,VLOOKUP(B1965,'MD Usage'!$A$1:$W$5000,3,FALSE))</f>
        <v>0</v>
      </c>
      <c r="E1966" s="416">
        <f>IF(ISERROR(VLOOKUP(B1965,'MD Usage'!$A$1:$W$5000,5,FALSE)),0,VLOOKUP(B1965,'MD Usage'!$A$1:$W$5000,5,FALSE))</f>
        <v>0</v>
      </c>
      <c r="F1966" s="416">
        <f>IF(ISERROR(VLOOKUP(B1965,'MD Usage'!$A$1:$W$5000,7,FALSE)),0,VLOOKUP(B1965,'MD Usage'!$A$1:$W$5000,7,FALSE))</f>
        <v>0</v>
      </c>
      <c r="G1966" s="416">
        <f>IF(ISERROR(VLOOKUP(B1965,'MD Usage'!$A$1:$W$5000,9,FALSE)),0,VLOOKUP(B1965,'MD Usage'!$A$1:$W$5000,9,FALSE))</f>
        <v>0</v>
      </c>
      <c r="H1966" s="416">
        <f>IF(ISERROR(VLOOKUP(B1965,'MD Usage'!$A$1:$W$5000,11,FALSE)),0,VLOOKUP(B1965,'MD Usage'!$A$1:$W$5000,11,FALSE))</f>
        <v>0</v>
      </c>
      <c r="I1966" s="416">
        <f>IF(ISERROR(VLOOKUP(B1965,'MD Usage'!A1:R2000,13,FALSE)),0,VLOOKUP(B1965,'MD Usage'!A1:R2000,13,FALSE))</f>
        <v>0</v>
      </c>
      <c r="J1966" s="416">
        <f>IF(ISERROR(VLOOKUP(B1965,'MD Usage'!A1:R2000,15,FALSE)),0,VLOOKUP(B1965,'MD Usage'!A1:R2000,15,FALSE))</f>
        <v>0</v>
      </c>
      <c r="K1966" s="418">
        <f>SUM(D1966:J1966)</f>
        <v>0</v>
      </c>
    </row>
    <row r="1967" spans="2:13" x14ac:dyDescent="0.25">
      <c r="B1967" s="419"/>
      <c r="C1967" s="420"/>
      <c r="D1967" s="421">
        <f>D1966*C1967</f>
        <v>0</v>
      </c>
      <c r="E1967" s="421">
        <f>E1966*C1967</f>
        <v>0</v>
      </c>
      <c r="F1967" s="421">
        <f>F1966*C1967</f>
        <v>0</v>
      </c>
      <c r="G1967" s="421">
        <f>G1966*C1967</f>
        <v>0</v>
      </c>
      <c r="H1967" s="421">
        <f>H1966*C1967</f>
        <v>0</v>
      </c>
      <c r="I1967" s="421">
        <f>I1966*C1967</f>
        <v>0</v>
      </c>
      <c r="J1967" s="421">
        <f>J1966*C1967</f>
        <v>0</v>
      </c>
      <c r="K1967" s="422">
        <f>SUM(D1967:J1967)</f>
        <v>0</v>
      </c>
    </row>
    <row r="1968" spans="2:13" x14ac:dyDescent="0.25">
      <c r="B1968" s="389"/>
      <c r="C1968" s="423"/>
      <c r="D1968" s="421">
        <f>D1966*C1968</f>
        <v>0</v>
      </c>
      <c r="E1968" s="421">
        <f>E1966*C1968</f>
        <v>0</v>
      </c>
      <c r="F1968" s="421">
        <f>F1966*C1968</f>
        <v>0</v>
      </c>
      <c r="G1968" s="421">
        <f>G1966*C1968</f>
        <v>0</v>
      </c>
      <c r="H1968" s="421">
        <f>H1966*C1968</f>
        <v>0</v>
      </c>
      <c r="I1968" s="421">
        <f>I1966*C1968</f>
        <v>0</v>
      </c>
      <c r="J1968" s="421">
        <f>J1966*C1968</f>
        <v>0</v>
      </c>
      <c r="K1968" s="424">
        <f>SUM(D1968:J1968)</f>
        <v>0</v>
      </c>
    </row>
    <row r="1969" spans="2:11" x14ac:dyDescent="0.25">
      <c r="B1969" s="389"/>
      <c r="C1969" s="423"/>
      <c r="D1969" s="421">
        <f>D1966*C1969</f>
        <v>0</v>
      </c>
      <c r="E1969" s="421">
        <f>E1966*C1969</f>
        <v>0</v>
      </c>
      <c r="F1969" s="421">
        <f>F1966*C1969</f>
        <v>0</v>
      </c>
      <c r="G1969" s="421">
        <f>G1966*C1969</f>
        <v>0</v>
      </c>
      <c r="H1969" s="421">
        <f>H1966*C1969</f>
        <v>0</v>
      </c>
      <c r="I1969" s="421">
        <f>I1966*C1969</f>
        <v>0</v>
      </c>
      <c r="J1969" s="421">
        <f>J1966*C1969</f>
        <v>0</v>
      </c>
      <c r="K1969" s="424">
        <f>SUM(D1969:J1969)</f>
        <v>0</v>
      </c>
    </row>
    <row r="1970" spans="2:11" ht="15" customHeight="1" x14ac:dyDescent="0.25">
      <c r="B1970" s="389"/>
      <c r="C1970" s="423"/>
      <c r="D1970" s="421">
        <f>D1966*C1970</f>
        <v>0</v>
      </c>
      <c r="E1970" s="421">
        <f>E1966*C1970</f>
        <v>0</v>
      </c>
      <c r="F1970" s="421">
        <f>F1966*C1970</f>
        <v>0</v>
      </c>
      <c r="G1970" s="421">
        <f>G1966*C1970</f>
        <v>0</v>
      </c>
      <c r="H1970" s="421">
        <f>H1966*C1970</f>
        <v>0</v>
      </c>
      <c r="I1970" s="421">
        <f>I1966*C1970</f>
        <v>0</v>
      </c>
      <c r="J1970" s="421">
        <f>J1966*C1970</f>
        <v>0</v>
      </c>
      <c r="K1970" s="424">
        <f>SUM(D1970:J1970)</f>
        <v>0</v>
      </c>
    </row>
    <row r="1971" spans="2:11" ht="15" customHeight="1" thickBot="1" x14ac:dyDescent="0.3"/>
    <row r="1972" spans="2:11" ht="15.75" thickBot="1" x14ac:dyDescent="0.3">
      <c r="B1972" s="432"/>
      <c r="C1972" s="411"/>
      <c r="D1972" s="407" t="s">
        <v>548</v>
      </c>
      <c r="E1972" s="408" t="s">
        <v>549</v>
      </c>
      <c r="F1972" s="408" t="s">
        <v>550</v>
      </c>
      <c r="G1972" s="408" t="s">
        <v>551</v>
      </c>
      <c r="H1972" s="408" t="s">
        <v>552</v>
      </c>
      <c r="I1972" s="408" t="s">
        <v>553</v>
      </c>
      <c r="J1972" s="408" t="s">
        <v>554</v>
      </c>
      <c r="K1972" s="408" t="s">
        <v>555</v>
      </c>
    </row>
    <row r="1973" spans="2:11" ht="15.75" thickBot="1" x14ac:dyDescent="0.3">
      <c r="B1973" s="414" t="s">
        <v>556</v>
      </c>
      <c r="C1973" s="415" t="s">
        <v>620</v>
      </c>
      <c r="D1973" s="416">
        <f>IF(ISERROR(VLOOKUP(B1972,'MD Usage'!$A$1:$W$5000,3,FALSE)),0,VLOOKUP(B1972,'MD Usage'!$A$1:$W$5000,3,FALSE))</f>
        <v>0</v>
      </c>
      <c r="E1973" s="416">
        <f>IF(ISERROR(VLOOKUP(B1972,'MD Usage'!$A$1:$W$5000,5,FALSE)),0,VLOOKUP(B1972,'MD Usage'!$A$1:$W$5000,5,FALSE))</f>
        <v>0</v>
      </c>
      <c r="F1973" s="416">
        <f>IF(ISERROR(VLOOKUP(B1972,'MD Usage'!$A$1:$W$5000,7,FALSE)),0,VLOOKUP(B1972,'MD Usage'!$A$1:$W$5000,7,FALSE))</f>
        <v>0</v>
      </c>
      <c r="G1973" s="416">
        <f>IF(ISERROR(VLOOKUP(B1972,'MD Usage'!$A$1:$W$5000,9,FALSE)),0,VLOOKUP(B1972,'MD Usage'!$A$1:$W$5000,9,FALSE))</f>
        <v>0</v>
      </c>
      <c r="H1973" s="416">
        <f>IF(ISERROR(VLOOKUP(B1972,'MD Usage'!$A$1:$W$5000,11,FALSE)),0,VLOOKUP(B1972,'MD Usage'!$A$1:$W$5000,11,FALSE))</f>
        <v>0</v>
      </c>
      <c r="I1973" s="416">
        <f>IF(ISERROR(VLOOKUP(B1972,'MD Usage'!A1:R2000,13,FALSE)),0,VLOOKUP(B1972,'MD Usage'!A1:R2000,13,FALSE))</f>
        <v>0</v>
      </c>
      <c r="J1973" s="416">
        <f>IF(ISERROR(VLOOKUP(B1972,'MD Usage'!A1:R2000,15,FALSE)),0,VLOOKUP(B1972,'MD Usage'!A1:R2000,15,FALSE))</f>
        <v>0</v>
      </c>
      <c r="K1973" s="418">
        <f>SUM(D1973:J1973)</f>
        <v>0</v>
      </c>
    </row>
    <row r="1974" spans="2:11" x14ac:dyDescent="0.25">
      <c r="B1974" s="419"/>
      <c r="C1974" s="420"/>
      <c r="D1974" s="421">
        <f>D1973*C1974</f>
        <v>0</v>
      </c>
      <c r="E1974" s="421">
        <f>E1973*C1974</f>
        <v>0</v>
      </c>
      <c r="F1974" s="421">
        <f>F1973*C1974</f>
        <v>0</v>
      </c>
      <c r="G1974" s="421">
        <f>G1973*C1974</f>
        <v>0</v>
      </c>
      <c r="H1974" s="421">
        <f>H1973*C1974</f>
        <v>0</v>
      </c>
      <c r="I1974" s="421">
        <f>I1973*C1974</f>
        <v>0</v>
      </c>
      <c r="J1974" s="421">
        <f>J1973*C1974</f>
        <v>0</v>
      </c>
      <c r="K1974" s="422">
        <f>SUM(D1974:J1974)</f>
        <v>0</v>
      </c>
    </row>
    <row r="1975" spans="2:11" x14ac:dyDescent="0.25">
      <c r="B1975" s="389"/>
      <c r="C1975" s="423"/>
      <c r="D1975" s="421">
        <f>D1973*C1975</f>
        <v>0</v>
      </c>
      <c r="E1975" s="421">
        <f>E1973*C1975</f>
        <v>0</v>
      </c>
      <c r="F1975" s="421">
        <f>F1973*C1975</f>
        <v>0</v>
      </c>
      <c r="G1975" s="421">
        <f>G1973*C1975</f>
        <v>0</v>
      </c>
      <c r="H1975" s="421">
        <f>H1973*C1975</f>
        <v>0</v>
      </c>
      <c r="I1975" s="421">
        <f>I1973*C1975</f>
        <v>0</v>
      </c>
      <c r="J1975" s="421">
        <f>J1973*C1975</f>
        <v>0</v>
      </c>
      <c r="K1975" s="424">
        <f>SUM(D1975:J1975)</f>
        <v>0</v>
      </c>
    </row>
    <row r="1976" spans="2:11" x14ac:dyDescent="0.25">
      <c r="B1976" s="389"/>
      <c r="C1976" s="423"/>
      <c r="D1976" s="421">
        <f>D1973*C1976</f>
        <v>0</v>
      </c>
      <c r="E1976" s="421">
        <f>E1973*C1976</f>
        <v>0</v>
      </c>
      <c r="F1976" s="421">
        <f>F1973*C1976</f>
        <v>0</v>
      </c>
      <c r="G1976" s="421">
        <f>G1973*C1976</f>
        <v>0</v>
      </c>
      <c r="H1976" s="421">
        <f>H1973*C1976</f>
        <v>0</v>
      </c>
      <c r="I1976" s="421">
        <f>I1973*C1976</f>
        <v>0</v>
      </c>
      <c r="J1976" s="421">
        <f>J1973*C1976</f>
        <v>0</v>
      </c>
      <c r="K1976" s="424">
        <f>SUM(D1976:J1976)</f>
        <v>0</v>
      </c>
    </row>
    <row r="1977" spans="2:11" x14ac:dyDescent="0.25">
      <c r="B1977" s="389"/>
      <c r="C1977" s="423"/>
      <c r="D1977" s="421">
        <f>D1973*C1977</f>
        <v>0</v>
      </c>
      <c r="E1977" s="421">
        <f>E1973*C1977</f>
        <v>0</v>
      </c>
      <c r="F1977" s="421">
        <f>F1973*C1977</f>
        <v>0</v>
      </c>
      <c r="G1977" s="421">
        <f>G1973*C1977</f>
        <v>0</v>
      </c>
      <c r="H1977" s="421">
        <f>H1973*C1977</f>
        <v>0</v>
      </c>
      <c r="I1977" s="421">
        <f>I1973*C1977</f>
        <v>0</v>
      </c>
      <c r="J1977" s="421">
        <f>J1973*C1977</f>
        <v>0</v>
      </c>
      <c r="K1977" s="424">
        <f>SUM(D1977:J1977)</f>
        <v>0</v>
      </c>
    </row>
    <row r="1978" spans="2:11" ht="15" customHeight="1" thickBot="1" x14ac:dyDescent="0.3"/>
    <row r="1979" spans="2:11" ht="15.75" thickBot="1" x14ac:dyDescent="0.3">
      <c r="B1979" s="414"/>
      <c r="C1979" s="411"/>
      <c r="D1979" s="407" t="s">
        <v>548</v>
      </c>
      <c r="E1979" s="408" t="s">
        <v>549</v>
      </c>
      <c r="F1979" s="408" t="s">
        <v>550</v>
      </c>
      <c r="G1979" s="408" t="s">
        <v>551</v>
      </c>
      <c r="H1979" s="408" t="s">
        <v>552</v>
      </c>
      <c r="I1979" s="408" t="s">
        <v>553</v>
      </c>
      <c r="J1979" s="408" t="s">
        <v>554</v>
      </c>
      <c r="K1979" s="408" t="s">
        <v>555</v>
      </c>
    </row>
    <row r="1980" spans="2:11" ht="15.75" thickBot="1" x14ac:dyDescent="0.3">
      <c r="B1980" s="414" t="s">
        <v>556</v>
      </c>
      <c r="C1980" s="415" t="s">
        <v>620</v>
      </c>
      <c r="D1980" s="416">
        <f>IF(ISERROR(VLOOKUP(B1979,'MD Usage'!$A$1:$W$5000,3,FALSE)),0,VLOOKUP(B1979,'MD Usage'!$A$1:$W$5000,3,FALSE))</f>
        <v>0</v>
      </c>
      <c r="E1980" s="416">
        <f>IF(ISERROR(VLOOKUP(B1979,'MD Usage'!$A$1:$W$5000,5,FALSE)),0,VLOOKUP(B1979,'MD Usage'!$A$1:$W$5000,5,FALSE))</f>
        <v>0</v>
      </c>
      <c r="F1980" s="416">
        <f>IF(ISERROR(VLOOKUP(B1979,'MD Usage'!$A$1:$W$5000,7,FALSE)),0,VLOOKUP(B1979,'MD Usage'!$A$1:$W$5000,7,FALSE))</f>
        <v>0</v>
      </c>
      <c r="G1980" s="416">
        <f>IF(ISERROR(VLOOKUP(B1979,'MD Usage'!$A$1:$W$5000,9,FALSE)),0,VLOOKUP(B1979,'MD Usage'!$A$1:$W$5000,9,FALSE))</f>
        <v>0</v>
      </c>
      <c r="H1980" s="416">
        <f>IF(ISERROR(VLOOKUP(B1979,'MD Usage'!$A$1:$W$5000,11,FALSE)),0,VLOOKUP(B1979,'MD Usage'!$A$1:$W$5000,11,FALSE))</f>
        <v>0</v>
      </c>
      <c r="I1980" s="416">
        <f>IF(ISERROR(VLOOKUP(B1979,'MD Usage'!A1:R2000,13,FALSE)),0,VLOOKUP(B1979,'MD Usage'!A1:R2000,13,FALSE))</f>
        <v>0</v>
      </c>
      <c r="J1980" s="416">
        <f>IF(ISERROR(VLOOKUP(B1979,'MD Usage'!A1:R2000,15,FALSE)),0,VLOOKUP(B1979,'MD Usage'!A1:R2000,15,FALSE))</f>
        <v>0</v>
      </c>
      <c r="K1980" s="418">
        <f>SUM(D1980:J1980)</f>
        <v>0</v>
      </c>
    </row>
    <row r="1981" spans="2:11" x14ac:dyDescent="0.25">
      <c r="B1981" s="419"/>
      <c r="C1981" s="420"/>
      <c r="D1981" s="421">
        <f>D1980*C1981</f>
        <v>0</v>
      </c>
      <c r="E1981" s="421">
        <f>E1980*C1981</f>
        <v>0</v>
      </c>
      <c r="F1981" s="421">
        <f>F1980*C1981</f>
        <v>0</v>
      </c>
      <c r="G1981" s="421">
        <f>G1980*C1981</f>
        <v>0</v>
      </c>
      <c r="H1981" s="421">
        <f>H1980*C1981</f>
        <v>0</v>
      </c>
      <c r="I1981" s="421">
        <f>I1980*C1981</f>
        <v>0</v>
      </c>
      <c r="J1981" s="421">
        <f>J1980*C1981</f>
        <v>0</v>
      </c>
      <c r="K1981" s="422">
        <f>SUM(D1981:J1981)</f>
        <v>0</v>
      </c>
    </row>
    <row r="1982" spans="2:11" x14ac:dyDescent="0.25">
      <c r="B1982" s="389"/>
      <c r="C1982" s="423"/>
      <c r="D1982" s="421">
        <f>D1980*C1982</f>
        <v>0</v>
      </c>
      <c r="E1982" s="421">
        <f>E1980*C1982</f>
        <v>0</v>
      </c>
      <c r="F1982" s="421">
        <f>F1980*C1982</f>
        <v>0</v>
      </c>
      <c r="G1982" s="421">
        <f>G1980*C1982</f>
        <v>0</v>
      </c>
      <c r="H1982" s="421">
        <f>H1980*C1982</f>
        <v>0</v>
      </c>
      <c r="I1982" s="421">
        <f>I1980*C1982</f>
        <v>0</v>
      </c>
      <c r="J1982" s="421">
        <f>J1980*C1982</f>
        <v>0</v>
      </c>
      <c r="K1982" s="424">
        <f>SUM(D1982:J1982)</f>
        <v>0</v>
      </c>
    </row>
    <row r="1983" spans="2:11" x14ac:dyDescent="0.25">
      <c r="B1983" s="389"/>
      <c r="C1983" s="423"/>
      <c r="D1983" s="421">
        <f>D1980*C1983</f>
        <v>0</v>
      </c>
      <c r="E1983" s="421">
        <f>E1980*C1983</f>
        <v>0</v>
      </c>
      <c r="F1983" s="421">
        <f>F1980*C1983</f>
        <v>0</v>
      </c>
      <c r="G1983" s="421">
        <f>G1980*C1983</f>
        <v>0</v>
      </c>
      <c r="H1983" s="421">
        <f>H1980*C1983</f>
        <v>0</v>
      </c>
      <c r="I1983" s="421">
        <f>I1980*C1983</f>
        <v>0</v>
      </c>
      <c r="J1983" s="421">
        <f>J1980*C1983</f>
        <v>0</v>
      </c>
      <c r="K1983" s="424">
        <f>SUM(D1983:J1983)</f>
        <v>0</v>
      </c>
    </row>
    <row r="1984" spans="2:11" x14ac:dyDescent="0.25">
      <c r="B1984" s="389"/>
      <c r="C1984" s="423"/>
      <c r="D1984" s="421">
        <f>D1980*C1984</f>
        <v>0</v>
      </c>
      <c r="E1984" s="421">
        <f>E1980*C1984</f>
        <v>0</v>
      </c>
      <c r="F1984" s="421">
        <f>F1980*C1984</f>
        <v>0</v>
      </c>
      <c r="G1984" s="421">
        <f>G1980*C1984</f>
        <v>0</v>
      </c>
      <c r="H1984" s="421">
        <f>H1980*C1984</f>
        <v>0</v>
      </c>
      <c r="I1984" s="421">
        <f>I1980*C1984</f>
        <v>0</v>
      </c>
      <c r="J1984" s="421">
        <f>J1980*C1984</f>
        <v>0</v>
      </c>
      <c r="K1984" s="424">
        <f>SUM(D1984:J1984)</f>
        <v>0</v>
      </c>
    </row>
    <row r="1985" spans="2:13" ht="15" customHeight="1" thickBot="1" x14ac:dyDescent="0.3"/>
    <row r="1986" spans="2:13" ht="15" customHeight="1" thickBot="1" x14ac:dyDescent="0.3">
      <c r="B1986" s="414"/>
      <c r="C1986" s="411"/>
      <c r="D1986" s="407" t="s">
        <v>548</v>
      </c>
      <c r="E1986" s="408" t="s">
        <v>549</v>
      </c>
      <c r="F1986" s="408" t="s">
        <v>550</v>
      </c>
      <c r="G1986" s="408" t="s">
        <v>551</v>
      </c>
      <c r="H1986" s="408" t="s">
        <v>552</v>
      </c>
      <c r="I1986" s="408" t="s">
        <v>553</v>
      </c>
      <c r="J1986" s="408" t="s">
        <v>554</v>
      </c>
      <c r="K1986" s="408" t="s">
        <v>555</v>
      </c>
    </row>
    <row r="1987" spans="2:13" ht="15.75" thickBot="1" x14ac:dyDescent="0.3">
      <c r="B1987" s="414" t="s">
        <v>556</v>
      </c>
      <c r="C1987" s="415" t="s">
        <v>620</v>
      </c>
      <c r="D1987" s="416">
        <f>IF(ISERROR(VLOOKUP(B1986,'MD Usage'!$A$1:$W$5000,3,FALSE)),0,VLOOKUP(B1986,'MD Usage'!$A$1:$W$5000,3,FALSE))</f>
        <v>0</v>
      </c>
      <c r="E1987" s="416">
        <f>IF(ISERROR(VLOOKUP(B1986,'MD Usage'!$A$1:$W$5000,5,FALSE)),0,VLOOKUP(B1986,'MD Usage'!$A$1:$W$5000,5,FALSE))</f>
        <v>0</v>
      </c>
      <c r="F1987" s="416">
        <f>IF(ISERROR(VLOOKUP(B1986,'MD Usage'!$A$1:$W$5000,7,FALSE)),0,VLOOKUP(B1986,'MD Usage'!$A$1:$W$5000,7,FALSE))</f>
        <v>0</v>
      </c>
      <c r="G1987" s="416">
        <f>IF(ISERROR(VLOOKUP(B1986,'MD Usage'!$A$1:$W$5000,9,FALSE)),0,VLOOKUP(B1986,'MD Usage'!$A$1:$W$5000,9,FALSE))</f>
        <v>0</v>
      </c>
      <c r="H1987" s="416">
        <f>IF(ISERROR(VLOOKUP(B1986,'MD Usage'!$A$1:$W$5000,11,FALSE)),0,VLOOKUP(B1986,'MD Usage'!$A$1:$W$5000,11,FALSE))</f>
        <v>0</v>
      </c>
      <c r="I1987" s="416">
        <f>IF(ISERROR(VLOOKUP(B1986,'MD Usage'!A1:R2000,13,FALSE)),0,VLOOKUP(B1986,'MD Usage'!A1:R2000,13,FALSE))</f>
        <v>0</v>
      </c>
      <c r="J1987" s="416">
        <f>IF(ISERROR(VLOOKUP(B1986,'MD Usage'!A1:R2000,15,FALSE)),0,VLOOKUP(B1986,'MD Usage'!A1:R2000,15,FALSE))</f>
        <v>0</v>
      </c>
      <c r="K1987" s="418">
        <f>SUM(D1987:J1987)</f>
        <v>0</v>
      </c>
    </row>
    <row r="1988" spans="2:13" ht="15" customHeight="1" x14ac:dyDescent="0.25">
      <c r="B1988" s="419"/>
      <c r="C1988" s="420"/>
      <c r="D1988" s="421">
        <f>D1987*C1988</f>
        <v>0</v>
      </c>
      <c r="E1988" s="421">
        <f>E1987*C1988</f>
        <v>0</v>
      </c>
      <c r="F1988" s="421">
        <f>F1987*C1988</f>
        <v>0</v>
      </c>
      <c r="G1988" s="421">
        <f>G1987*C1988</f>
        <v>0</v>
      </c>
      <c r="H1988" s="421">
        <f>H1987*C1988</f>
        <v>0</v>
      </c>
      <c r="I1988" s="421">
        <f>I1987*C1988</f>
        <v>0</v>
      </c>
      <c r="J1988" s="421">
        <f>J1987*C1988</f>
        <v>0</v>
      </c>
      <c r="K1988" s="422">
        <f>SUM(D1988:J1988)</f>
        <v>0</v>
      </c>
    </row>
    <row r="1989" spans="2:13" x14ac:dyDescent="0.25">
      <c r="B1989" s="389"/>
      <c r="C1989" s="423"/>
      <c r="D1989" s="421">
        <f>D1987*C1989</f>
        <v>0</v>
      </c>
      <c r="E1989" s="421">
        <f>E1987*C1989</f>
        <v>0</v>
      </c>
      <c r="F1989" s="421">
        <f>F1987*C1989</f>
        <v>0</v>
      </c>
      <c r="G1989" s="421">
        <f>G1987*C1989</f>
        <v>0</v>
      </c>
      <c r="H1989" s="421">
        <f>H1987*C1989</f>
        <v>0</v>
      </c>
      <c r="I1989" s="421">
        <f>I1987*C1989</f>
        <v>0</v>
      </c>
      <c r="J1989" s="421">
        <f>J1987*C1989</f>
        <v>0</v>
      </c>
      <c r="K1989" s="424">
        <f>SUM(D1989:J1989)</f>
        <v>0</v>
      </c>
    </row>
    <row r="1990" spans="2:13" x14ac:dyDescent="0.25">
      <c r="B1990" s="389"/>
      <c r="C1990" s="423"/>
      <c r="D1990" s="421">
        <f>D1987*C1990</f>
        <v>0</v>
      </c>
      <c r="E1990" s="421">
        <f>E1987*C1990</f>
        <v>0</v>
      </c>
      <c r="F1990" s="421">
        <f>F1987*C1990</f>
        <v>0</v>
      </c>
      <c r="G1990" s="421">
        <f>G1987*C1990</f>
        <v>0</v>
      </c>
      <c r="H1990" s="421">
        <f>H1987*C1990</f>
        <v>0</v>
      </c>
      <c r="I1990" s="421">
        <f>I1987*C1990</f>
        <v>0</v>
      </c>
      <c r="J1990" s="421">
        <f>J1987*C1990</f>
        <v>0</v>
      </c>
      <c r="K1990" s="424">
        <f>SUM(D1990:J1990)</f>
        <v>0</v>
      </c>
    </row>
    <row r="1991" spans="2:13" x14ac:dyDescent="0.25">
      <c r="B1991" s="389"/>
      <c r="C1991" s="423"/>
      <c r="D1991" s="421">
        <f>D1987*C1991</f>
        <v>0</v>
      </c>
      <c r="E1991" s="421">
        <f>E1987*C1991</f>
        <v>0</v>
      </c>
      <c r="F1991" s="421">
        <f>F1987*C1991</f>
        <v>0</v>
      </c>
      <c r="G1991" s="421">
        <f>G1987*C1991</f>
        <v>0</v>
      </c>
      <c r="H1991" s="421">
        <f>H1987*C1991</f>
        <v>0</v>
      </c>
      <c r="I1991" s="421">
        <f>I1987*C1991</f>
        <v>0</v>
      </c>
      <c r="J1991" s="421">
        <f>J1987*C1991</f>
        <v>0</v>
      </c>
      <c r="K1991" s="424">
        <f>SUM(D1991:J1991)</f>
        <v>0</v>
      </c>
    </row>
    <row r="1992" spans="2:13" ht="15" customHeight="1" thickBot="1" x14ac:dyDescent="0.3"/>
    <row r="1993" spans="2:13" ht="15.75" thickBot="1" x14ac:dyDescent="0.3">
      <c r="B1993" s="432"/>
      <c r="C1993" s="411"/>
      <c r="D1993" s="407" t="s">
        <v>548</v>
      </c>
      <c r="E1993" s="408" t="s">
        <v>549</v>
      </c>
      <c r="F1993" s="408" t="s">
        <v>550</v>
      </c>
      <c r="G1993" s="408" t="s">
        <v>551</v>
      </c>
      <c r="H1993" s="408" t="s">
        <v>552</v>
      </c>
      <c r="I1993" s="408" t="s">
        <v>553</v>
      </c>
      <c r="J1993" s="408" t="s">
        <v>554</v>
      </c>
      <c r="K1993" s="408" t="s">
        <v>555</v>
      </c>
      <c r="M1993" s="414"/>
    </row>
    <row r="1994" spans="2:13" ht="15.75" thickBot="1" x14ac:dyDescent="0.3">
      <c r="B1994" s="414" t="s">
        <v>556</v>
      </c>
      <c r="C1994" s="415" t="s">
        <v>620</v>
      </c>
      <c r="D1994" s="416">
        <f>IF(ISERROR(VLOOKUP(B1993,'MD Usage'!$A$1:$W$5000,3,FALSE)),0,VLOOKUP(B1993,'MD Usage'!$A$1:$W$5000,3,FALSE))</f>
        <v>0</v>
      </c>
      <c r="E1994" s="416">
        <f>IF(ISERROR(VLOOKUP(B1993,'MD Usage'!$A$1:$W$5000,5,FALSE)),0,VLOOKUP(B1993,'MD Usage'!$A$1:$W$5000,5,FALSE))</f>
        <v>0</v>
      </c>
      <c r="F1994" s="416">
        <f>IF(ISERROR(VLOOKUP(B1993,'MD Usage'!$A$1:$W$5000,7,FALSE)),0,VLOOKUP(B1993,'MD Usage'!$A$1:$W$5000,7,FALSE))</f>
        <v>0</v>
      </c>
      <c r="G1994" s="416">
        <f>IF(ISERROR(VLOOKUP(B1993,'MD Usage'!$A$1:$W$5000,9,FALSE)),0,VLOOKUP(B1993,'MD Usage'!$A$1:$W$5000,9,FALSE))</f>
        <v>0</v>
      </c>
      <c r="H1994" s="416">
        <f>IF(ISERROR(VLOOKUP(B1993,'MD Usage'!$A$1:$W$5000,11,FALSE)),0,VLOOKUP(B1993,'MD Usage'!$A$1:$W$5000,11,FALSE))</f>
        <v>0</v>
      </c>
      <c r="I1994" s="416">
        <f>IF(ISERROR(VLOOKUP(B1993,'MD Usage'!A1:R2000,13,FALSE)),0,VLOOKUP(B1993,'MD Usage'!A1:R2000,13,FALSE))</f>
        <v>0</v>
      </c>
      <c r="J1994" s="416">
        <f>IF(ISERROR(VLOOKUP(B1993,'MD Usage'!A1:R2000,15,FALSE)),0,VLOOKUP(B1993,'MD Usage'!A1:R2000,15,FALSE))</f>
        <v>0</v>
      </c>
      <c r="K1994" s="418">
        <f t="shared" ref="K1994:K1999" si="93">SUM(D1994:J1994)</f>
        <v>0</v>
      </c>
    </row>
    <row r="1995" spans="2:13" x14ac:dyDescent="0.25">
      <c r="B1995" s="419"/>
      <c r="C1995" s="420"/>
      <c r="D1995" s="421">
        <f>D1994*C1995</f>
        <v>0</v>
      </c>
      <c r="E1995" s="421">
        <f>E1994*C1995</f>
        <v>0</v>
      </c>
      <c r="F1995" s="421">
        <f>F1994*C1995</f>
        <v>0</v>
      </c>
      <c r="G1995" s="421">
        <f>G1994*C1995</f>
        <v>0</v>
      </c>
      <c r="H1995" s="421">
        <f>H1994*C1995</f>
        <v>0</v>
      </c>
      <c r="I1995" s="421">
        <f>I1994*C1995</f>
        <v>0</v>
      </c>
      <c r="J1995" s="421">
        <f>J1994*C1995</f>
        <v>0</v>
      </c>
      <c r="K1995" s="422">
        <f t="shared" si="93"/>
        <v>0</v>
      </c>
    </row>
    <row r="1996" spans="2:13" ht="15" customHeight="1" x14ac:dyDescent="0.25">
      <c r="B1996" s="389"/>
      <c r="C1996" s="423"/>
      <c r="D1996" s="421">
        <f>D1994*C1996</f>
        <v>0</v>
      </c>
      <c r="E1996" s="421">
        <f>E1994*C1996</f>
        <v>0</v>
      </c>
      <c r="F1996" s="421">
        <f>F1994*C1996</f>
        <v>0</v>
      </c>
      <c r="G1996" s="421">
        <f>G1994*C1996</f>
        <v>0</v>
      </c>
      <c r="H1996" s="421">
        <f>H1994*C1996</f>
        <v>0</v>
      </c>
      <c r="I1996" s="421">
        <f>I1994*C1996</f>
        <v>0</v>
      </c>
      <c r="J1996" s="421">
        <f>J1994*C1996</f>
        <v>0</v>
      </c>
      <c r="K1996" s="424">
        <f t="shared" si="93"/>
        <v>0</v>
      </c>
    </row>
    <row r="1997" spans="2:13" x14ac:dyDescent="0.25">
      <c r="B1997" s="389"/>
      <c r="C1997" s="423"/>
      <c r="D1997" s="421">
        <f>D1994*C1997</f>
        <v>0</v>
      </c>
      <c r="E1997" s="421">
        <f>E1994*C1997</f>
        <v>0</v>
      </c>
      <c r="F1997" s="421">
        <f>F1994*C1997</f>
        <v>0</v>
      </c>
      <c r="G1997" s="421">
        <f>G1994*C1997</f>
        <v>0</v>
      </c>
      <c r="H1997" s="421">
        <f>H1994*C1997</f>
        <v>0</v>
      </c>
      <c r="I1997" s="421">
        <f>I1994*C1997</f>
        <v>0</v>
      </c>
      <c r="J1997" s="421">
        <f>J1994*C1997</f>
        <v>0</v>
      </c>
      <c r="K1997" s="424">
        <f t="shared" si="93"/>
        <v>0</v>
      </c>
    </row>
    <row r="1998" spans="2:13" ht="15" customHeight="1" x14ac:dyDescent="0.25">
      <c r="B1998" s="389"/>
      <c r="C1998" s="423"/>
      <c r="D1998" s="421">
        <f>D1994*C1998</f>
        <v>0</v>
      </c>
      <c r="E1998" s="421">
        <f>E1994*C1998</f>
        <v>0</v>
      </c>
      <c r="F1998" s="421">
        <f>F1994*C1998</f>
        <v>0</v>
      </c>
      <c r="G1998" s="421">
        <f>G1994*C1998</f>
        <v>0</v>
      </c>
      <c r="H1998" s="421">
        <f>H1994*C1998</f>
        <v>0</v>
      </c>
      <c r="I1998" s="421">
        <f>I1994*C1998</f>
        <v>0</v>
      </c>
      <c r="J1998" s="421">
        <f>J1994*C1998</f>
        <v>0</v>
      </c>
      <c r="K1998" s="424">
        <f t="shared" si="93"/>
        <v>0</v>
      </c>
    </row>
    <row r="1999" spans="2:13" ht="15" customHeight="1" x14ac:dyDescent="0.25">
      <c r="B1999" s="389"/>
      <c r="C1999" s="423"/>
      <c r="D1999" s="421">
        <f>D1994*C1999</f>
        <v>0</v>
      </c>
      <c r="E1999" s="421">
        <f>E1994*C1999</f>
        <v>0</v>
      </c>
      <c r="F1999" s="421">
        <f>F1994*C1999</f>
        <v>0</v>
      </c>
      <c r="G1999" s="421">
        <f>G1994*C1999</f>
        <v>0</v>
      </c>
      <c r="H1999" s="421">
        <f>H1994*C1999</f>
        <v>0</v>
      </c>
      <c r="I1999" s="421">
        <f>I1994*C1999</f>
        <v>0</v>
      </c>
      <c r="J1999" s="421">
        <f>J1994*C1999</f>
        <v>0</v>
      </c>
      <c r="K1999" s="424">
        <f t="shared" si="93"/>
        <v>0</v>
      </c>
    </row>
    <row r="2000" spans="2:13" ht="15.75" thickBot="1" x14ac:dyDescent="0.3"/>
    <row r="2001" spans="2:13" ht="15.75" thickBot="1" x14ac:dyDescent="0.3">
      <c r="B2001" s="414"/>
      <c r="C2001" s="411"/>
      <c r="D2001" s="407" t="s">
        <v>548</v>
      </c>
      <c r="E2001" s="408" t="s">
        <v>549</v>
      </c>
      <c r="F2001" s="408" t="s">
        <v>550</v>
      </c>
      <c r="G2001" s="408" t="s">
        <v>551</v>
      </c>
      <c r="H2001" s="408" t="s">
        <v>552</v>
      </c>
      <c r="I2001" s="408" t="s">
        <v>553</v>
      </c>
      <c r="J2001" s="408" t="s">
        <v>554</v>
      </c>
      <c r="K2001" s="408" t="s">
        <v>555</v>
      </c>
    </row>
    <row r="2002" spans="2:13" ht="15.75" thickBot="1" x14ac:dyDescent="0.3">
      <c r="B2002" s="414" t="s">
        <v>556</v>
      </c>
      <c r="C2002" s="415" t="s">
        <v>620</v>
      </c>
      <c r="D2002" s="416">
        <f>IF(ISERROR(VLOOKUP(B2001,'MD Usage'!$A$1:$W$5000,3,FALSE)),0,VLOOKUP(B2001,'MD Usage'!$A$1:$W$5000,3,FALSE))</f>
        <v>0</v>
      </c>
      <c r="E2002" s="416">
        <f>IF(ISERROR(VLOOKUP(B2001,'MD Usage'!$A$1:$W$5000,5,FALSE)),0,VLOOKUP(B2001,'MD Usage'!$A$1:$W$5000,5,FALSE))</f>
        <v>0</v>
      </c>
      <c r="F2002" s="416">
        <f>IF(ISERROR(VLOOKUP(B2001,'MD Usage'!$A$1:$W$5000,7,FALSE)),0,VLOOKUP(B2001,'MD Usage'!$A$1:$W$5000,7,FALSE))</f>
        <v>0</v>
      </c>
      <c r="G2002" s="416">
        <f>IF(ISERROR(VLOOKUP(B2001,'MD Usage'!$A$1:$W$5000,9,FALSE)),0,VLOOKUP(B2001,'MD Usage'!$A$1:$W$5000,9,FALSE))</f>
        <v>0</v>
      </c>
      <c r="H2002" s="416">
        <f>IF(ISERROR(VLOOKUP(B2001,'MD Usage'!$A$1:$W$5000,11,FALSE)),0,VLOOKUP(B2001,'MD Usage'!$A$1:$W$5000,11,FALSE))</f>
        <v>0</v>
      </c>
      <c r="I2002" s="416">
        <f>IF(ISERROR(VLOOKUP(B2001,'MD Usage'!A1:R2000,13,FALSE)),0,VLOOKUP(B2001,'MD Usage'!A1:R2000,13,FALSE))</f>
        <v>0</v>
      </c>
      <c r="J2002" s="416">
        <f>IF(ISERROR(VLOOKUP(B2001,'MD Usage'!A1:R2000,15,FALSE)),0,VLOOKUP(B2001,'MD Usage'!A1:R2000,15,FALSE))</f>
        <v>0</v>
      </c>
      <c r="K2002" s="418">
        <f>SUM(D2002:J2002)</f>
        <v>0</v>
      </c>
    </row>
    <row r="2003" spans="2:13" x14ac:dyDescent="0.25">
      <c r="B2003" s="419"/>
      <c r="C2003" s="420"/>
      <c r="D2003" s="421">
        <f>D2002*C2003</f>
        <v>0</v>
      </c>
      <c r="E2003" s="421">
        <f>E2002*C2003</f>
        <v>0</v>
      </c>
      <c r="F2003" s="421">
        <f>F2002*C2003</f>
        <v>0</v>
      </c>
      <c r="G2003" s="421">
        <f>G2002*C2003</f>
        <v>0</v>
      </c>
      <c r="H2003" s="421">
        <f>H2002*C2003</f>
        <v>0</v>
      </c>
      <c r="I2003" s="421">
        <f>I2002*C2003</f>
        <v>0</v>
      </c>
      <c r="J2003" s="421">
        <f>J2002*C2003</f>
        <v>0</v>
      </c>
      <c r="K2003" s="422">
        <f>SUM(D2003:J2003)</f>
        <v>0</v>
      </c>
    </row>
    <row r="2004" spans="2:13" x14ac:dyDescent="0.25">
      <c r="B2004" s="389"/>
      <c r="C2004" s="423"/>
      <c r="D2004" s="421">
        <f>D2002*C2004</f>
        <v>0</v>
      </c>
      <c r="E2004" s="421">
        <f>E2002*C2004</f>
        <v>0</v>
      </c>
      <c r="F2004" s="421">
        <f>F2002*C2004</f>
        <v>0</v>
      </c>
      <c r="G2004" s="421">
        <f>G2002*C2004</f>
        <v>0</v>
      </c>
      <c r="H2004" s="421">
        <f>H2002*C2004</f>
        <v>0</v>
      </c>
      <c r="I2004" s="421">
        <f>I2002*C2004</f>
        <v>0</v>
      </c>
      <c r="J2004" s="421">
        <f>J2002*C2004</f>
        <v>0</v>
      </c>
      <c r="K2004" s="424">
        <f>SUM(D2004:J2004)</f>
        <v>0</v>
      </c>
    </row>
    <row r="2005" spans="2:13" x14ac:dyDescent="0.25">
      <c r="B2005" s="389"/>
      <c r="C2005" s="423"/>
      <c r="D2005" s="421">
        <f>D2002*C2005</f>
        <v>0</v>
      </c>
      <c r="E2005" s="421">
        <f>E2002*C2005</f>
        <v>0</v>
      </c>
      <c r="F2005" s="421">
        <f>F2002*C2005</f>
        <v>0</v>
      </c>
      <c r="G2005" s="421">
        <f>G2002*C2005</f>
        <v>0</v>
      </c>
      <c r="H2005" s="421">
        <f>H2002*C2005</f>
        <v>0</v>
      </c>
      <c r="I2005" s="421">
        <f>I2002*C2005</f>
        <v>0</v>
      </c>
      <c r="J2005" s="421">
        <f>J2002*C2005</f>
        <v>0</v>
      </c>
      <c r="K2005" s="424">
        <f>SUM(D2005:J2005)</f>
        <v>0</v>
      </c>
    </row>
    <row r="2006" spans="2:13" ht="15" customHeight="1" x14ac:dyDescent="0.25">
      <c r="B2006" s="389"/>
      <c r="C2006" s="423"/>
      <c r="D2006" s="421">
        <f>D2002*C2006</f>
        <v>0</v>
      </c>
      <c r="E2006" s="421">
        <f>E2002*C2006</f>
        <v>0</v>
      </c>
      <c r="F2006" s="421">
        <f>F2002*C2006</f>
        <v>0</v>
      </c>
      <c r="G2006" s="421">
        <f>G2002*C2006</f>
        <v>0</v>
      </c>
      <c r="H2006" s="421">
        <f>H2002*C2006</f>
        <v>0</v>
      </c>
      <c r="I2006" s="421">
        <f>I2002*C2006</f>
        <v>0</v>
      </c>
      <c r="J2006" s="421">
        <f>J2002*C2006</f>
        <v>0</v>
      </c>
      <c r="K2006" s="424">
        <f>SUM(D2006:J2006)</f>
        <v>0</v>
      </c>
    </row>
    <row r="2007" spans="2:13" ht="15.75" thickBot="1" x14ac:dyDescent="0.3"/>
    <row r="2008" spans="2:13" ht="15" customHeight="1" thickBot="1" x14ac:dyDescent="0.3">
      <c r="B2008" s="414"/>
      <c r="C2008" s="411"/>
      <c r="D2008" s="407" t="s">
        <v>548</v>
      </c>
      <c r="E2008" s="408" t="s">
        <v>549</v>
      </c>
      <c r="F2008" s="408" t="s">
        <v>550</v>
      </c>
      <c r="G2008" s="408" t="s">
        <v>551</v>
      </c>
      <c r="H2008" s="408" t="s">
        <v>552</v>
      </c>
      <c r="I2008" s="408" t="s">
        <v>553</v>
      </c>
      <c r="J2008" s="408" t="s">
        <v>554</v>
      </c>
      <c r="K2008" s="408" t="s">
        <v>555</v>
      </c>
    </row>
    <row r="2009" spans="2:13" ht="15.75" thickBot="1" x14ac:dyDescent="0.3">
      <c r="B2009" s="414" t="s">
        <v>556</v>
      </c>
      <c r="C2009" s="415" t="s">
        <v>620</v>
      </c>
      <c r="D2009" s="416">
        <f>IF(ISERROR(VLOOKUP(B2008,'MD Usage'!$A$1:$W$5000,3,FALSE)),0,VLOOKUP(B2008,'MD Usage'!$A$1:$W$5000,3,FALSE))</f>
        <v>0</v>
      </c>
      <c r="E2009" s="416">
        <f>IF(ISERROR(VLOOKUP(B2008,'MD Usage'!$A$1:$W$5000,5,FALSE)),0,VLOOKUP(B2008,'MD Usage'!$A$1:$W$5000,5,FALSE))</f>
        <v>0</v>
      </c>
      <c r="F2009" s="416">
        <f>IF(ISERROR(VLOOKUP(B2008,'MD Usage'!$A$1:$W$5000,7,FALSE)),0,VLOOKUP(B2008,'MD Usage'!$A$1:$W$5000,7,FALSE))</f>
        <v>0</v>
      </c>
      <c r="G2009" s="416">
        <f>IF(ISERROR(VLOOKUP(B2008,'MD Usage'!$A$1:$W$5000,9,FALSE)),0,VLOOKUP(B2008,'MD Usage'!$A$1:$W$5000,9,FALSE))</f>
        <v>0</v>
      </c>
      <c r="H2009" s="416">
        <f>IF(ISERROR(VLOOKUP(B2008,'MD Usage'!$A$1:$W$5000,11,FALSE)),0,VLOOKUP(B2008,'MD Usage'!$A$1:$W$5000,11,FALSE))</f>
        <v>0</v>
      </c>
      <c r="I2009" s="416">
        <f>IF(ISERROR(VLOOKUP(B2008,'MD Usage'!A1:R2000,13,FALSE)),0,VLOOKUP(B2008,'MD Usage'!A1:R2000,13,FALSE))</f>
        <v>0</v>
      </c>
      <c r="J2009" s="416">
        <f>IF(ISERROR(VLOOKUP(B2008,'MD Usage'!A1:R2000,15,FALSE)),0,VLOOKUP(B2008,'MD Usage'!A1:R2000,15,FALSE))</f>
        <v>0</v>
      </c>
      <c r="K2009" s="418">
        <f>SUM(D2009:J2009)</f>
        <v>0</v>
      </c>
    </row>
    <row r="2010" spans="2:13" x14ac:dyDescent="0.25">
      <c r="B2010" s="419"/>
      <c r="C2010" s="420"/>
      <c r="D2010" s="421">
        <f>D2009*C2010</f>
        <v>0</v>
      </c>
      <c r="E2010" s="421">
        <f>E2009*C2010</f>
        <v>0</v>
      </c>
      <c r="F2010" s="421">
        <f>F2009*C2010</f>
        <v>0</v>
      </c>
      <c r="G2010" s="421">
        <f>G2009*C2010</f>
        <v>0</v>
      </c>
      <c r="H2010" s="421">
        <f>H2009*C2010</f>
        <v>0</v>
      </c>
      <c r="I2010" s="421">
        <f>I2009*C2010</f>
        <v>0</v>
      </c>
      <c r="J2010" s="421">
        <f>J2009*C2010</f>
        <v>0</v>
      </c>
      <c r="K2010" s="422">
        <f>SUM(D2010:J2010)</f>
        <v>0</v>
      </c>
    </row>
    <row r="2011" spans="2:13" x14ac:dyDescent="0.25">
      <c r="B2011" s="389"/>
      <c r="C2011" s="423"/>
      <c r="D2011" s="421">
        <f>D2009*C2011</f>
        <v>0</v>
      </c>
      <c r="E2011" s="421">
        <f>E2009*C2011</f>
        <v>0</v>
      </c>
      <c r="F2011" s="421">
        <f>F2009*C2011</f>
        <v>0</v>
      </c>
      <c r="G2011" s="421">
        <f>G2009*C2011</f>
        <v>0</v>
      </c>
      <c r="H2011" s="421">
        <f>H2009*C2011</f>
        <v>0</v>
      </c>
      <c r="I2011" s="421">
        <f>I2009*C2011</f>
        <v>0</v>
      </c>
      <c r="J2011" s="421">
        <f>J2009*C2011</f>
        <v>0</v>
      </c>
      <c r="K2011" s="424">
        <f>SUM(D2011:J2011)</f>
        <v>0</v>
      </c>
    </row>
    <row r="2012" spans="2:13" ht="15" customHeight="1" x14ac:dyDescent="0.25">
      <c r="B2012" s="389"/>
      <c r="C2012" s="423"/>
      <c r="D2012" s="421">
        <f>D2009*C2012</f>
        <v>0</v>
      </c>
      <c r="E2012" s="421">
        <f>E2009*C2012</f>
        <v>0</v>
      </c>
      <c r="F2012" s="421">
        <f>F2009*C2012</f>
        <v>0</v>
      </c>
      <c r="G2012" s="421">
        <f>G2009*C2012</f>
        <v>0</v>
      </c>
      <c r="H2012" s="421">
        <f>H2009*C2012</f>
        <v>0</v>
      </c>
      <c r="I2012" s="421">
        <f>I2009*C2012</f>
        <v>0</v>
      </c>
      <c r="J2012" s="421">
        <f>J2009*C2012</f>
        <v>0</v>
      </c>
      <c r="K2012" s="424">
        <f>SUM(D2012:J2012)</f>
        <v>0</v>
      </c>
    </row>
    <row r="2013" spans="2:13" x14ac:dyDescent="0.25">
      <c r="B2013" s="389"/>
      <c r="C2013" s="423"/>
      <c r="D2013" s="421">
        <f>D2009*C2013</f>
        <v>0</v>
      </c>
      <c r="E2013" s="421">
        <f>E2009*C2013</f>
        <v>0</v>
      </c>
      <c r="F2013" s="421">
        <f>F2009*C2013</f>
        <v>0</v>
      </c>
      <c r="G2013" s="421">
        <f>G2009*C2013</f>
        <v>0</v>
      </c>
      <c r="H2013" s="421">
        <f>H2009*C2013</f>
        <v>0</v>
      </c>
      <c r="I2013" s="421">
        <f>I2009*C2013</f>
        <v>0</v>
      </c>
      <c r="J2013" s="421">
        <f>J2009*C2013</f>
        <v>0</v>
      </c>
      <c r="K2013" s="424">
        <f>SUM(D2013:J2013)</f>
        <v>0</v>
      </c>
    </row>
    <row r="2014" spans="2:13" ht="15.75" thickBot="1" x14ac:dyDescent="0.3"/>
    <row r="2015" spans="2:13" ht="15.75" thickBot="1" x14ac:dyDescent="0.3">
      <c r="B2015" s="432"/>
      <c r="C2015" s="411"/>
      <c r="D2015" s="407" t="s">
        <v>548</v>
      </c>
      <c r="E2015" s="408" t="s">
        <v>549</v>
      </c>
      <c r="F2015" s="408" t="s">
        <v>550</v>
      </c>
      <c r="G2015" s="408" t="s">
        <v>551</v>
      </c>
      <c r="H2015" s="408" t="s">
        <v>552</v>
      </c>
      <c r="I2015" s="408" t="s">
        <v>553</v>
      </c>
      <c r="J2015" s="408" t="s">
        <v>554</v>
      </c>
      <c r="K2015" s="408" t="s">
        <v>555</v>
      </c>
      <c r="M2015" s="426"/>
    </row>
    <row r="2016" spans="2:13" ht="15" customHeight="1" thickBot="1" x14ac:dyDescent="0.3">
      <c r="B2016" s="414" t="s">
        <v>556</v>
      </c>
      <c r="C2016" s="415" t="s">
        <v>620</v>
      </c>
      <c r="D2016" s="416">
        <f>IF(ISERROR(VLOOKUP(B2015,'MD Usage'!$A$1:$W$5000,3,FALSE)),0,VLOOKUP(B2015,'MD Usage'!$A$1:$W$5000,3,FALSE))</f>
        <v>0</v>
      </c>
      <c r="E2016" s="416">
        <f>IF(ISERROR(VLOOKUP(B2015,'MD Usage'!$A$1:$W$5000,5,FALSE)),0,VLOOKUP(B2015,'MD Usage'!$A$1:$W$5000,5,FALSE))</f>
        <v>0</v>
      </c>
      <c r="F2016" s="416">
        <f>IF(ISERROR(VLOOKUP(B2015,'MD Usage'!$A$1:$W$5000,7,FALSE)),0,VLOOKUP(B2015,'MD Usage'!$A$1:$W$5000,7,FALSE))</f>
        <v>0</v>
      </c>
      <c r="G2016" s="416">
        <f>IF(ISERROR(VLOOKUP(B2015,'MD Usage'!$A$1:$W$5000,9,FALSE)),0,VLOOKUP(B2015,'MD Usage'!$A$1:$W$5000,9,FALSE))</f>
        <v>0</v>
      </c>
      <c r="H2016" s="416">
        <f>IF(ISERROR(VLOOKUP(B2015,'MD Usage'!$A$1:$W$5000,11,FALSE)),0,VLOOKUP(B2015,'MD Usage'!$A$1:$W$5000,11,FALSE))</f>
        <v>0</v>
      </c>
      <c r="I2016" s="416">
        <f>IF(ISERROR(VLOOKUP(B2015,'MD Usage'!A1:R2000,13,FALSE)),0,VLOOKUP(B2015,'MD Usage'!A1:R2000,13,FALSE))</f>
        <v>0</v>
      </c>
      <c r="J2016" s="416">
        <f>IF(ISERROR(VLOOKUP(B2015,'MD Usage'!A1:R2000,15,FALSE)),0,VLOOKUP(B2015,'MD Usage'!A1:R2000,15,FALSE))</f>
        <v>0</v>
      </c>
      <c r="K2016" s="418">
        <f>SUM(D2016:J2016)</f>
        <v>0</v>
      </c>
    </row>
    <row r="2017" spans="2:13" x14ac:dyDescent="0.25">
      <c r="B2017" s="419"/>
      <c r="C2017" s="420"/>
      <c r="D2017" s="421">
        <f>D2016*C2017</f>
        <v>0</v>
      </c>
      <c r="E2017" s="421">
        <f>E2016*C2017</f>
        <v>0</v>
      </c>
      <c r="F2017" s="421">
        <f>F2016*C2017</f>
        <v>0</v>
      </c>
      <c r="G2017" s="421">
        <f>G2016*C2017</f>
        <v>0</v>
      </c>
      <c r="H2017" s="421">
        <f>H2016*C2017</f>
        <v>0</v>
      </c>
      <c r="I2017" s="421">
        <f>I2016*C2017</f>
        <v>0</v>
      </c>
      <c r="J2017" s="421">
        <f>J2016*C2017</f>
        <v>0</v>
      </c>
      <c r="K2017" s="422">
        <f>SUM(D2017:J2017)</f>
        <v>0</v>
      </c>
    </row>
    <row r="2018" spans="2:13" ht="15" customHeight="1" x14ac:dyDescent="0.25">
      <c r="B2018" s="389"/>
      <c r="C2018" s="423"/>
      <c r="D2018" s="421">
        <f>D2016*C2018</f>
        <v>0</v>
      </c>
      <c r="E2018" s="421">
        <f>E2016*C2018</f>
        <v>0</v>
      </c>
      <c r="F2018" s="421">
        <f>F2016*C2018</f>
        <v>0</v>
      </c>
      <c r="G2018" s="421">
        <f>G2016*C2018</f>
        <v>0</v>
      </c>
      <c r="H2018" s="421">
        <f>H2016*C2018</f>
        <v>0</v>
      </c>
      <c r="I2018" s="421">
        <f>I2016*C2018</f>
        <v>0</v>
      </c>
      <c r="J2018" s="421">
        <f>J2016*C2018</f>
        <v>0</v>
      </c>
      <c r="K2018" s="424">
        <f>SUM(D2018:J2018)</f>
        <v>0</v>
      </c>
    </row>
    <row r="2019" spans="2:13" ht="15" customHeight="1" x14ac:dyDescent="0.25">
      <c r="B2019" s="389"/>
      <c r="C2019" s="423"/>
      <c r="D2019" s="421">
        <f>D2016*C2019</f>
        <v>0</v>
      </c>
      <c r="E2019" s="421">
        <f>E2016*C2019</f>
        <v>0</v>
      </c>
      <c r="F2019" s="421">
        <f>F2016*C2019</f>
        <v>0</v>
      </c>
      <c r="G2019" s="421">
        <f>G2016*C2019</f>
        <v>0</v>
      </c>
      <c r="H2019" s="421">
        <f>H2016*C2019</f>
        <v>0</v>
      </c>
      <c r="I2019" s="421">
        <f>I2016*C2019</f>
        <v>0</v>
      </c>
      <c r="J2019" s="421">
        <f>J2016*C2019</f>
        <v>0</v>
      </c>
      <c r="K2019" s="424">
        <f>SUM(D2019:J2019)</f>
        <v>0</v>
      </c>
    </row>
    <row r="2020" spans="2:13" x14ac:dyDescent="0.25">
      <c r="B2020" s="389"/>
      <c r="C2020" s="423"/>
      <c r="D2020" s="421">
        <f>D2016*C2020</f>
        <v>0</v>
      </c>
      <c r="E2020" s="421">
        <f>E2016*C2020</f>
        <v>0</v>
      </c>
      <c r="F2020" s="421">
        <f>F2016*C2020</f>
        <v>0</v>
      </c>
      <c r="G2020" s="421">
        <f>G2016*C2020</f>
        <v>0</v>
      </c>
      <c r="H2020" s="421">
        <f>H2016*C2020</f>
        <v>0</v>
      </c>
      <c r="I2020" s="421">
        <f>I2016*C2020</f>
        <v>0</v>
      </c>
      <c r="J2020" s="421">
        <f>J2016*C2020</f>
        <v>0</v>
      </c>
      <c r="K2020" s="424">
        <f>SUM(D2020:J2020)</f>
        <v>0</v>
      </c>
    </row>
    <row r="2021" spans="2:13" ht="15" customHeight="1" thickBot="1" x14ac:dyDescent="0.3"/>
    <row r="2022" spans="2:13" ht="15.75" thickBot="1" x14ac:dyDescent="0.3">
      <c r="B2022" s="432"/>
      <c r="C2022" s="411"/>
      <c r="D2022" s="407" t="s">
        <v>548</v>
      </c>
      <c r="E2022" s="408" t="s">
        <v>549</v>
      </c>
      <c r="F2022" s="408" t="s">
        <v>550</v>
      </c>
      <c r="G2022" s="408" t="s">
        <v>551</v>
      </c>
      <c r="H2022" s="408" t="s">
        <v>552</v>
      </c>
      <c r="I2022" s="408" t="s">
        <v>553</v>
      </c>
      <c r="J2022" s="408" t="s">
        <v>554</v>
      </c>
      <c r="K2022" s="408" t="s">
        <v>555</v>
      </c>
      <c r="M2022" s="426"/>
    </row>
    <row r="2023" spans="2:13" ht="15.75" thickBot="1" x14ac:dyDescent="0.3">
      <c r="B2023" s="414" t="s">
        <v>556</v>
      </c>
      <c r="C2023" s="415" t="s">
        <v>620</v>
      </c>
      <c r="D2023" s="416">
        <f>IF(ISERROR(VLOOKUP(B2022,'MD Usage'!$A$1:$W$5000,3,FALSE)),0,VLOOKUP(B2022,'MD Usage'!$A$1:$W$5000,3,FALSE))</f>
        <v>0</v>
      </c>
      <c r="E2023" s="416">
        <f>IF(ISERROR(VLOOKUP(B2022,'MD Usage'!$A$1:$W$5000,5,FALSE)),0,VLOOKUP(B2022,'MD Usage'!$A$1:$W$5000,5,FALSE))</f>
        <v>0</v>
      </c>
      <c r="F2023" s="416">
        <f>IF(ISERROR(VLOOKUP(B2022,'MD Usage'!$A$1:$W$5000,7,FALSE)),0,VLOOKUP(B2022,'MD Usage'!$A$1:$W$5000,7,FALSE))</f>
        <v>0</v>
      </c>
      <c r="G2023" s="416">
        <f>IF(ISERROR(VLOOKUP(B2022,'MD Usage'!$A$1:$W$5000,9,FALSE)),0,VLOOKUP(B2022,'MD Usage'!$A$1:$W$5000,9,FALSE))</f>
        <v>0</v>
      </c>
      <c r="H2023" s="416">
        <f>IF(ISERROR(VLOOKUP(B2022,'MD Usage'!$A$1:$W$5000,11,FALSE)),0,VLOOKUP(B2022,'MD Usage'!$A$1:$W$5000,11,FALSE))</f>
        <v>0</v>
      </c>
      <c r="I2023" s="416">
        <f>IF(ISERROR(VLOOKUP(B2022,'MD Usage'!A1:R2000,13,FALSE)),0,VLOOKUP(B2022,'MD Usage'!A1:R2000,13,FALSE))</f>
        <v>0</v>
      </c>
      <c r="J2023" s="416">
        <f>IF(ISERROR(VLOOKUP(B2022,'MD Usage'!A1:R2000,15,FALSE)),0,VLOOKUP(B2022,'MD Usage'!A1:R2000,15,FALSE))</f>
        <v>0</v>
      </c>
      <c r="K2023" s="418">
        <f>SUM(D2023:J2023)</f>
        <v>0</v>
      </c>
    </row>
    <row r="2024" spans="2:13" x14ac:dyDescent="0.25">
      <c r="B2024" s="419"/>
      <c r="C2024" s="420"/>
      <c r="D2024" s="421">
        <f>D2023*C2024</f>
        <v>0</v>
      </c>
      <c r="E2024" s="421">
        <f>E2023*C2024</f>
        <v>0</v>
      </c>
      <c r="F2024" s="421">
        <f>F2023*C2024</f>
        <v>0</v>
      </c>
      <c r="G2024" s="421">
        <f>G2023*C2024</f>
        <v>0</v>
      </c>
      <c r="H2024" s="421">
        <f>H2023*C2024</f>
        <v>0</v>
      </c>
      <c r="I2024" s="421">
        <f>I2023*C2024</f>
        <v>0</v>
      </c>
      <c r="J2024" s="421">
        <f>J2023*C2024</f>
        <v>0</v>
      </c>
      <c r="K2024" s="422">
        <f>SUM(D2024:J2024)</f>
        <v>0</v>
      </c>
    </row>
    <row r="2025" spans="2:13" x14ac:dyDescent="0.25">
      <c r="B2025" s="389"/>
      <c r="C2025" s="423"/>
      <c r="D2025" s="421">
        <f>D2023*C2025</f>
        <v>0</v>
      </c>
      <c r="E2025" s="421">
        <f>E2023*C2025</f>
        <v>0</v>
      </c>
      <c r="F2025" s="421">
        <f>F2023*C2025</f>
        <v>0</v>
      </c>
      <c r="G2025" s="421">
        <f>G2023*C2025</f>
        <v>0</v>
      </c>
      <c r="H2025" s="421">
        <f>H2023*C2025</f>
        <v>0</v>
      </c>
      <c r="I2025" s="421">
        <f>I2023*C2025</f>
        <v>0</v>
      </c>
      <c r="J2025" s="421">
        <f>J2023*C2025</f>
        <v>0</v>
      </c>
      <c r="K2025" s="424">
        <f>SUM(D2025:J2025)</f>
        <v>0</v>
      </c>
    </row>
    <row r="2026" spans="2:13" ht="15" customHeight="1" x14ac:dyDescent="0.25">
      <c r="B2026" s="389"/>
      <c r="C2026" s="423"/>
      <c r="D2026" s="421">
        <f>D2023*C2026</f>
        <v>0</v>
      </c>
      <c r="E2026" s="421">
        <f>E2023*C2026</f>
        <v>0</v>
      </c>
      <c r="F2026" s="421">
        <f>F2023*C2026</f>
        <v>0</v>
      </c>
      <c r="G2026" s="421">
        <f>G2023*C2026</f>
        <v>0</v>
      </c>
      <c r="H2026" s="421">
        <f>H2023*C2026</f>
        <v>0</v>
      </c>
      <c r="I2026" s="421">
        <f>I2023*C2026</f>
        <v>0</v>
      </c>
      <c r="J2026" s="421">
        <f>J2023*C2026</f>
        <v>0</v>
      </c>
      <c r="K2026" s="424">
        <f>SUM(D2026:J2026)</f>
        <v>0</v>
      </c>
    </row>
    <row r="2027" spans="2:13" x14ac:dyDescent="0.25">
      <c r="B2027" s="389"/>
      <c r="C2027" s="423"/>
      <c r="D2027" s="421">
        <f>D2023*C2027</f>
        <v>0</v>
      </c>
      <c r="E2027" s="421">
        <f>E2023*C2027</f>
        <v>0</v>
      </c>
      <c r="F2027" s="421">
        <f>F2023*C2027</f>
        <v>0</v>
      </c>
      <c r="G2027" s="421">
        <f>G2023*C2027</f>
        <v>0</v>
      </c>
      <c r="H2027" s="421">
        <f>H2023*C2027</f>
        <v>0</v>
      </c>
      <c r="I2027" s="421">
        <f>I2023*C2027</f>
        <v>0</v>
      </c>
      <c r="J2027" s="421">
        <f>J2023*C2027</f>
        <v>0</v>
      </c>
      <c r="K2027" s="424">
        <f>SUM(D2027:J2027)</f>
        <v>0</v>
      </c>
    </row>
    <row r="2028" spans="2:13" ht="15" customHeight="1" thickBot="1" x14ac:dyDescent="0.3"/>
    <row r="2029" spans="2:13" ht="15.75" thickBot="1" x14ac:dyDescent="0.3">
      <c r="B2029" s="432"/>
      <c r="C2029" s="411"/>
      <c r="D2029" s="407" t="s">
        <v>548</v>
      </c>
      <c r="E2029" s="408" t="s">
        <v>549</v>
      </c>
      <c r="F2029" s="408" t="s">
        <v>550</v>
      </c>
      <c r="G2029" s="408" t="s">
        <v>551</v>
      </c>
      <c r="H2029" s="408" t="s">
        <v>552</v>
      </c>
      <c r="I2029" s="408" t="s">
        <v>553</v>
      </c>
      <c r="J2029" s="408" t="s">
        <v>554</v>
      </c>
      <c r="K2029" s="408" t="s">
        <v>555</v>
      </c>
      <c r="M2029" s="426"/>
    </row>
    <row r="2030" spans="2:13" ht="15.75" thickBot="1" x14ac:dyDescent="0.3">
      <c r="B2030" s="414" t="s">
        <v>556</v>
      </c>
      <c r="C2030" s="415" t="s">
        <v>620</v>
      </c>
      <c r="D2030" s="416">
        <f>IF(ISERROR(VLOOKUP(B2029,'MD Usage'!$A$1:$W$5000,3,FALSE)),0,VLOOKUP(B2029,'MD Usage'!$A$1:$W$5000,3,FALSE))</f>
        <v>0</v>
      </c>
      <c r="E2030" s="416">
        <f>IF(ISERROR(VLOOKUP(B2029,'MD Usage'!$A$1:$W$5000,5,FALSE)),0,VLOOKUP(B2029,'MD Usage'!$A$1:$W$5000,5,FALSE))</f>
        <v>0</v>
      </c>
      <c r="F2030" s="416">
        <f>IF(ISERROR(VLOOKUP(B2029,'MD Usage'!$A$1:$W$5000,7,FALSE)),0,VLOOKUP(B2029,'MD Usage'!$A$1:$W$5000,7,FALSE))</f>
        <v>0</v>
      </c>
      <c r="G2030" s="416">
        <f>IF(ISERROR(VLOOKUP(B2029,'MD Usage'!$A$1:$W$5000,9,FALSE)),0,VLOOKUP(B2029,'MD Usage'!$A$1:$W$5000,9,FALSE))</f>
        <v>0</v>
      </c>
      <c r="H2030" s="416">
        <f>IF(ISERROR(VLOOKUP(B2029,'MD Usage'!$A$1:$W$5000,11,FALSE)),0,VLOOKUP(B2029,'MD Usage'!$A$1:$W$5000,11,FALSE))</f>
        <v>0</v>
      </c>
      <c r="I2030" s="416">
        <f>IF(ISERROR(VLOOKUP(B2029,'MD Usage'!A1:R2000,13,FALSE)),0,VLOOKUP(B2029,'MD Usage'!A1:R2000,13,FALSE))</f>
        <v>0</v>
      </c>
      <c r="J2030" s="416">
        <f>IF(ISERROR(VLOOKUP(B2029,'MD Usage'!A1:R2000,15,FALSE)),0,VLOOKUP(B2029,'MD Usage'!A1:R2000,15,FALSE))</f>
        <v>0</v>
      </c>
      <c r="K2030" s="418">
        <f t="shared" ref="K2030:K2036" si="94">SUM(D2030:J2030)</f>
        <v>0</v>
      </c>
    </row>
    <row r="2031" spans="2:13" x14ac:dyDescent="0.25">
      <c r="B2031" s="419"/>
      <c r="C2031" s="420"/>
      <c r="D2031" s="421">
        <f>D2030*C2031</f>
        <v>0</v>
      </c>
      <c r="E2031" s="421">
        <f>E2030*C2031</f>
        <v>0</v>
      </c>
      <c r="F2031" s="421">
        <f>F2030*C2031</f>
        <v>0</v>
      </c>
      <c r="G2031" s="421">
        <f>G2030*C2031</f>
        <v>0</v>
      </c>
      <c r="H2031" s="421">
        <f>H2030*C2031</f>
        <v>0</v>
      </c>
      <c r="I2031" s="421">
        <f>I2030*C2031</f>
        <v>0</v>
      </c>
      <c r="J2031" s="421">
        <f>J2030*C2031</f>
        <v>0</v>
      </c>
      <c r="K2031" s="422">
        <f t="shared" si="94"/>
        <v>0</v>
      </c>
    </row>
    <row r="2032" spans="2:13" ht="15" customHeight="1" x14ac:dyDescent="0.25">
      <c r="B2032" s="389"/>
      <c r="C2032" s="423"/>
      <c r="D2032" s="421">
        <f>D2030*C2032</f>
        <v>0</v>
      </c>
      <c r="E2032" s="421">
        <f>E2030*C2032</f>
        <v>0</v>
      </c>
      <c r="F2032" s="421">
        <f>F2030*C2032</f>
        <v>0</v>
      </c>
      <c r="G2032" s="421">
        <f>G2030*C2032</f>
        <v>0</v>
      </c>
      <c r="H2032" s="421">
        <f>H2030*C2032</f>
        <v>0</v>
      </c>
      <c r="I2032" s="421">
        <f>I2030*C2032</f>
        <v>0</v>
      </c>
      <c r="J2032" s="421">
        <f>J2030*C2032</f>
        <v>0</v>
      </c>
      <c r="K2032" s="424">
        <f t="shared" si="94"/>
        <v>0</v>
      </c>
    </row>
    <row r="2033" spans="2:13" x14ac:dyDescent="0.25">
      <c r="B2033" s="389"/>
      <c r="C2033" s="423"/>
      <c r="D2033" s="421">
        <f>D2030*C2033</f>
        <v>0</v>
      </c>
      <c r="E2033" s="421">
        <f>E2030*C2033</f>
        <v>0</v>
      </c>
      <c r="F2033" s="421">
        <f>F2030*C2033</f>
        <v>0</v>
      </c>
      <c r="G2033" s="421">
        <f>G2030*C2033</f>
        <v>0</v>
      </c>
      <c r="H2033" s="421">
        <f>H2030*C2033</f>
        <v>0</v>
      </c>
      <c r="I2033" s="421">
        <f>I2030*C2033</f>
        <v>0</v>
      </c>
      <c r="J2033" s="421">
        <f>J2030*C2033</f>
        <v>0</v>
      </c>
      <c r="K2033" s="424">
        <f t="shared" si="94"/>
        <v>0</v>
      </c>
    </row>
    <row r="2034" spans="2:13" x14ac:dyDescent="0.25">
      <c r="B2034" s="389"/>
      <c r="C2034" s="423"/>
      <c r="D2034" s="421">
        <f>D2030*C2034</f>
        <v>0</v>
      </c>
      <c r="E2034" s="421">
        <f>E2030*C2034</f>
        <v>0</v>
      </c>
      <c r="F2034" s="421">
        <f>F2030*C2034</f>
        <v>0</v>
      </c>
      <c r="G2034" s="421">
        <f>G2030*C2034</f>
        <v>0</v>
      </c>
      <c r="H2034" s="421">
        <f>H2030*C2034</f>
        <v>0</v>
      </c>
      <c r="I2034" s="421">
        <f>I2030*C2034</f>
        <v>0</v>
      </c>
      <c r="J2034" s="421">
        <f>J2030*C2034</f>
        <v>0</v>
      </c>
      <c r="K2034" s="424">
        <f t="shared" si="94"/>
        <v>0</v>
      </c>
    </row>
    <row r="2035" spans="2:13" x14ac:dyDescent="0.25">
      <c r="B2035" s="389"/>
      <c r="C2035" s="423"/>
      <c r="D2035" s="421">
        <f>D2030*C2035</f>
        <v>0</v>
      </c>
      <c r="E2035" s="421">
        <f>E2030*C2035</f>
        <v>0</v>
      </c>
      <c r="F2035" s="421">
        <f>F2030*C2035</f>
        <v>0</v>
      </c>
      <c r="G2035" s="421">
        <f>G2030*C2035</f>
        <v>0</v>
      </c>
      <c r="H2035" s="421">
        <f>H2030*C2035</f>
        <v>0</v>
      </c>
      <c r="I2035" s="421">
        <f>I2030*C2035</f>
        <v>0</v>
      </c>
      <c r="J2035" s="421">
        <f>J2030*C2035</f>
        <v>0</v>
      </c>
      <c r="K2035" s="424">
        <f t="shared" si="94"/>
        <v>0</v>
      </c>
    </row>
    <row r="2036" spans="2:13" ht="15" customHeight="1" x14ac:dyDescent="0.25">
      <c r="B2036" s="389"/>
      <c r="C2036" s="423"/>
      <c r="D2036" s="421">
        <f>D2031*C2036</f>
        <v>0</v>
      </c>
      <c r="E2036" s="421">
        <f>E2031*C2036</f>
        <v>0</v>
      </c>
      <c r="F2036" s="421">
        <f>F2031*C2036</f>
        <v>0</v>
      </c>
      <c r="G2036" s="421">
        <f>G2031*C2036</f>
        <v>0</v>
      </c>
      <c r="H2036" s="421">
        <f>H2031*C2036</f>
        <v>0</v>
      </c>
      <c r="I2036" s="421">
        <f>I2031*C2036</f>
        <v>0</v>
      </c>
      <c r="J2036" s="421">
        <f>J2031*C2036</f>
        <v>0</v>
      </c>
      <c r="K2036" s="424">
        <f t="shared" si="94"/>
        <v>0</v>
      </c>
    </row>
    <row r="2037" spans="2:13" ht="15" customHeight="1" x14ac:dyDescent="0.25">
      <c r="B2037" s="389"/>
      <c r="C2037" s="423"/>
      <c r="D2037" s="444"/>
      <c r="E2037" s="445"/>
      <c r="F2037" s="445"/>
      <c r="G2037" s="445"/>
      <c r="H2037" s="445"/>
      <c r="I2037" s="445"/>
      <c r="J2037" s="445"/>
      <c r="K2037" s="446"/>
    </row>
    <row r="2038" spans="2:13" ht="15.75" thickBot="1" x14ac:dyDescent="0.3">
      <c r="B2038" s="449"/>
      <c r="C2038" s="423"/>
      <c r="D2038" s="407" t="s">
        <v>548</v>
      </c>
      <c r="E2038" s="408" t="s">
        <v>549</v>
      </c>
      <c r="F2038" s="408" t="s">
        <v>550</v>
      </c>
      <c r="G2038" s="408" t="s">
        <v>551</v>
      </c>
      <c r="H2038" s="408" t="s">
        <v>552</v>
      </c>
      <c r="I2038" s="408" t="s">
        <v>553</v>
      </c>
      <c r="J2038" s="408" t="s">
        <v>554</v>
      </c>
      <c r="K2038" s="408" t="s">
        <v>555</v>
      </c>
    </row>
    <row r="2039" spans="2:13" ht="15" customHeight="1" thickBot="1" x14ac:dyDescent="0.3">
      <c r="B2039" s="414" t="s">
        <v>556</v>
      </c>
      <c r="C2039" s="415" t="s">
        <v>620</v>
      </c>
      <c r="D2039" s="416">
        <f>IF(ISERROR(VLOOKUP(B2038,'MD Usage'!$A$1:$W$5000,3,FALSE)),0,VLOOKUP(B2038,'MD Usage'!$A$1:$W$5000,3,FALSE))</f>
        <v>0</v>
      </c>
      <c r="E2039" s="416">
        <f>IF(ISERROR(VLOOKUP(B2038,'MD Usage'!$A$1:$W$5000,5,FALSE)),0,VLOOKUP(B2038,'MD Usage'!$A$1:$W$5000,5,FALSE))</f>
        <v>0</v>
      </c>
      <c r="F2039" s="416">
        <f>IF(ISERROR(VLOOKUP(B2038,'MD Usage'!$A$1:$W$5000,7,FALSE)),0,VLOOKUP(B2038,'MD Usage'!$A$1:$W$5000,7,FALSE))</f>
        <v>0</v>
      </c>
      <c r="G2039" s="416">
        <f>IF(ISERROR(VLOOKUP(B2038,'MD Usage'!$A$1:$W$5000,9,FALSE)),0,VLOOKUP(B2038,'MD Usage'!$A$1:$W$5000,9,FALSE))</f>
        <v>0</v>
      </c>
      <c r="H2039" s="416">
        <f>IF(ISERROR(VLOOKUP(B2038,'MD Usage'!$A$1:$W$5000,11,FALSE)),0,VLOOKUP(B2038,'MD Usage'!$A$1:$W$5000,11,FALSE))</f>
        <v>0</v>
      </c>
      <c r="I2039" s="416">
        <f>IF(ISERROR(VLOOKUP(B2038,'MD Usage'!A1:R2000,13,FALSE)),0,VLOOKUP(B2038,'MD Usage'!A1:R2000,13,FALSE))</f>
        <v>0</v>
      </c>
      <c r="J2039" s="416">
        <f>IF(ISERROR(VLOOKUP(B2038,'MD Usage'!A1:R2000,15,FALSE)),0,VLOOKUP(B2038,'MD Usage'!A1:R2000,15,FALSE))</f>
        <v>0</v>
      </c>
      <c r="K2039" s="418">
        <f t="shared" ref="K2039:K2044" si="95">SUM(D2039:J2039)</f>
        <v>0</v>
      </c>
    </row>
    <row r="2040" spans="2:13" ht="15" customHeight="1" x14ac:dyDescent="0.25">
      <c r="B2040" s="419"/>
      <c r="C2040" s="420"/>
      <c r="D2040" s="421">
        <f>D2039*C2040</f>
        <v>0</v>
      </c>
      <c r="E2040" s="421">
        <f>E2039*C2040</f>
        <v>0</v>
      </c>
      <c r="F2040" s="421">
        <f>F2039*C2040</f>
        <v>0</v>
      </c>
      <c r="G2040" s="421">
        <f>G2039*C2040</f>
        <v>0</v>
      </c>
      <c r="H2040" s="421">
        <f>H2039*C2040</f>
        <v>0</v>
      </c>
      <c r="I2040" s="421">
        <f>I2039*C2040</f>
        <v>0</v>
      </c>
      <c r="J2040" s="421">
        <f>J2039*C2040</f>
        <v>0</v>
      </c>
      <c r="K2040" s="422">
        <f t="shared" si="95"/>
        <v>0</v>
      </c>
    </row>
    <row r="2041" spans="2:13" x14ac:dyDescent="0.25">
      <c r="B2041" s="389"/>
      <c r="C2041" s="423"/>
      <c r="D2041" s="421">
        <f>D2039*C2041</f>
        <v>0</v>
      </c>
      <c r="E2041" s="421">
        <f>E2039*C2041</f>
        <v>0</v>
      </c>
      <c r="F2041" s="421">
        <f>F2039*C2041</f>
        <v>0</v>
      </c>
      <c r="G2041" s="421">
        <f>G2039*C2041</f>
        <v>0</v>
      </c>
      <c r="H2041" s="421">
        <f>H2039*C2041</f>
        <v>0</v>
      </c>
      <c r="I2041" s="421">
        <f>I2039*C2041</f>
        <v>0</v>
      </c>
      <c r="J2041" s="421">
        <f>J2039*C2041</f>
        <v>0</v>
      </c>
      <c r="K2041" s="424">
        <f t="shared" si="95"/>
        <v>0</v>
      </c>
    </row>
    <row r="2042" spans="2:13" x14ac:dyDescent="0.25">
      <c r="B2042" s="389"/>
      <c r="C2042" s="423"/>
      <c r="D2042" s="421">
        <f>D2039*C2042</f>
        <v>0</v>
      </c>
      <c r="E2042" s="421">
        <f>E2039*C2042</f>
        <v>0</v>
      </c>
      <c r="F2042" s="421">
        <f>F2039*C2042</f>
        <v>0</v>
      </c>
      <c r="G2042" s="421">
        <f>G2039*C2042</f>
        <v>0</v>
      </c>
      <c r="H2042" s="421">
        <f>H2039*C2042</f>
        <v>0</v>
      </c>
      <c r="I2042" s="421">
        <f>I2039*C2042</f>
        <v>0</v>
      </c>
      <c r="J2042" s="421">
        <f>J2039*C2042</f>
        <v>0</v>
      </c>
      <c r="K2042" s="424">
        <f t="shared" si="95"/>
        <v>0</v>
      </c>
    </row>
    <row r="2043" spans="2:13" x14ac:dyDescent="0.25">
      <c r="B2043" s="389"/>
      <c r="C2043" s="423"/>
      <c r="D2043" s="421">
        <f>D2039*C2043</f>
        <v>0</v>
      </c>
      <c r="E2043" s="421">
        <f>E2039*C2043</f>
        <v>0</v>
      </c>
      <c r="F2043" s="421">
        <f>F2039*C2043</f>
        <v>0</v>
      </c>
      <c r="G2043" s="421">
        <f>G2039*C2043</f>
        <v>0</v>
      </c>
      <c r="H2043" s="421">
        <f>H2039*C2043</f>
        <v>0</v>
      </c>
      <c r="I2043" s="421">
        <f>I2039*C2043</f>
        <v>0</v>
      </c>
      <c r="J2043" s="421">
        <f>J2039*C2043</f>
        <v>0</v>
      </c>
      <c r="K2043" s="424">
        <f t="shared" si="95"/>
        <v>0</v>
      </c>
    </row>
    <row r="2044" spans="2:13" x14ac:dyDescent="0.25">
      <c r="B2044" s="389"/>
      <c r="C2044" s="423"/>
      <c r="D2044" s="421">
        <f>D2039*C2044</f>
        <v>0</v>
      </c>
      <c r="E2044" s="421">
        <f>E2039*C2044</f>
        <v>0</v>
      </c>
      <c r="F2044" s="421">
        <f>F2039*C2044</f>
        <v>0</v>
      </c>
      <c r="G2044" s="421">
        <f>G2039*C2044</f>
        <v>0</v>
      </c>
      <c r="H2044" s="421">
        <f>H2039*C2044</f>
        <v>0</v>
      </c>
      <c r="I2044" s="421">
        <f>I2039*C2044</f>
        <v>0</v>
      </c>
      <c r="J2044" s="421">
        <f>J2039*C2044</f>
        <v>0</v>
      </c>
      <c r="K2044" s="424">
        <f t="shared" si="95"/>
        <v>0</v>
      </c>
    </row>
    <row r="2045" spans="2:13" ht="15.75" thickBot="1" x14ac:dyDescent="0.3"/>
    <row r="2046" spans="2:13" ht="15.75" thickBot="1" x14ac:dyDescent="0.3">
      <c r="B2046" s="432"/>
      <c r="C2046" s="411"/>
      <c r="D2046" s="407" t="s">
        <v>548</v>
      </c>
      <c r="E2046" s="408" t="s">
        <v>549</v>
      </c>
      <c r="F2046" s="408" t="s">
        <v>550</v>
      </c>
      <c r="G2046" s="408" t="s">
        <v>551</v>
      </c>
      <c r="H2046" s="408" t="s">
        <v>552</v>
      </c>
      <c r="I2046" s="408" t="s">
        <v>553</v>
      </c>
      <c r="J2046" s="408" t="s">
        <v>554</v>
      </c>
      <c r="K2046" s="408" t="s">
        <v>555</v>
      </c>
      <c r="M2046" s="414"/>
    </row>
    <row r="2047" spans="2:13" ht="15" customHeight="1" thickBot="1" x14ac:dyDescent="0.3">
      <c r="B2047" s="414" t="s">
        <v>556</v>
      </c>
      <c r="C2047" s="415" t="s">
        <v>620</v>
      </c>
      <c r="D2047" s="416">
        <f>IF(ISERROR(VLOOKUP(B2046,'MD Usage'!$A$1:$W$5000,3,FALSE)),0,VLOOKUP(B2046,'MD Usage'!$A$1:$W$5000,3,FALSE))</f>
        <v>0</v>
      </c>
      <c r="E2047" s="416">
        <f>IF(ISERROR(VLOOKUP(B2046,'MD Usage'!$A$1:$W$5000,5,FALSE)),0,VLOOKUP(B2046,'MD Usage'!$A$1:$W$5000,5,FALSE))</f>
        <v>0</v>
      </c>
      <c r="F2047" s="416">
        <f>IF(ISERROR(VLOOKUP(B2046,'MD Usage'!$A$1:$W$5000,7,FALSE)),0,VLOOKUP(B2046,'MD Usage'!$A$1:$W$5000,7,FALSE))</f>
        <v>0</v>
      </c>
      <c r="G2047" s="416">
        <f>IF(ISERROR(VLOOKUP(B2046,'MD Usage'!$A$1:$W$5000,9,FALSE)),0,VLOOKUP(B2046,'MD Usage'!$A$1:$W$5000,9,FALSE))</f>
        <v>0</v>
      </c>
      <c r="H2047" s="416">
        <f>IF(ISERROR(VLOOKUP(B2046,'MD Usage'!$A$1:$W$5000,11,FALSE)),0,VLOOKUP(B2046,'MD Usage'!$A$1:$W$5000,11,FALSE))</f>
        <v>0</v>
      </c>
      <c r="I2047" s="416">
        <f>IF(ISERROR(VLOOKUP(B2046,'MD Usage'!A1:R2000,13,FALSE)),0,VLOOKUP(B2046,'MD Usage'!A1:R2000,13,FALSE))</f>
        <v>0</v>
      </c>
      <c r="J2047" s="416">
        <f>IF(ISERROR(VLOOKUP(B2046,'MD Usage'!A1:R2000,15,FALSE)),0,VLOOKUP(B2046,'MD Usage'!A1:R2000,15,FALSE))</f>
        <v>0</v>
      </c>
      <c r="K2047" s="418">
        <f t="shared" ref="K2047:K2053" si="96">SUM(D2047:J2047)</f>
        <v>0</v>
      </c>
    </row>
    <row r="2048" spans="2:13" x14ac:dyDescent="0.25">
      <c r="B2048" s="419"/>
      <c r="C2048" s="420"/>
      <c r="D2048" s="421">
        <f>D2047*C2048</f>
        <v>0</v>
      </c>
      <c r="E2048" s="421">
        <f>E2047*C2048</f>
        <v>0</v>
      </c>
      <c r="F2048" s="421">
        <f>F2047*C2048</f>
        <v>0</v>
      </c>
      <c r="G2048" s="421">
        <f>G2047*C2048</f>
        <v>0</v>
      </c>
      <c r="H2048" s="421">
        <f>H2047*C2048</f>
        <v>0</v>
      </c>
      <c r="I2048" s="421">
        <f>I2047*C2048</f>
        <v>0</v>
      </c>
      <c r="J2048" s="421">
        <f>J2047*C2048</f>
        <v>0</v>
      </c>
      <c r="K2048" s="422">
        <f t="shared" si="96"/>
        <v>0</v>
      </c>
    </row>
    <row r="2049" spans="2:23" ht="15" customHeight="1" x14ac:dyDescent="0.25">
      <c r="B2049" s="389"/>
      <c r="C2049" s="423"/>
      <c r="D2049" s="421">
        <f>D2047*C2049</f>
        <v>0</v>
      </c>
      <c r="E2049" s="421">
        <f>E2047*C2049</f>
        <v>0</v>
      </c>
      <c r="F2049" s="421">
        <f>F2047*C2049</f>
        <v>0</v>
      </c>
      <c r="G2049" s="421">
        <f>G2047*C2049</f>
        <v>0</v>
      </c>
      <c r="H2049" s="421">
        <f>H2047*C2049</f>
        <v>0</v>
      </c>
      <c r="I2049" s="421">
        <f>I2047*C2049</f>
        <v>0</v>
      </c>
      <c r="J2049" s="421">
        <f>J2047*C2049</f>
        <v>0</v>
      </c>
      <c r="K2049" s="424">
        <f t="shared" si="96"/>
        <v>0</v>
      </c>
    </row>
    <row r="2050" spans="2:23" x14ac:dyDescent="0.25">
      <c r="B2050" s="389"/>
      <c r="C2050" s="423"/>
      <c r="D2050" s="421">
        <f>D2047*C2050</f>
        <v>0</v>
      </c>
      <c r="E2050" s="421">
        <f>E2047*C2050</f>
        <v>0</v>
      </c>
      <c r="F2050" s="421">
        <f>F2047*C2050</f>
        <v>0</v>
      </c>
      <c r="G2050" s="421">
        <f>G2047*C2050</f>
        <v>0</v>
      </c>
      <c r="H2050" s="421">
        <f>H2047*C2050</f>
        <v>0</v>
      </c>
      <c r="I2050" s="421">
        <f>I2047*C2050</f>
        <v>0</v>
      </c>
      <c r="J2050" s="421">
        <f>J2047*C2050</f>
        <v>0</v>
      </c>
      <c r="K2050" s="424">
        <f t="shared" si="96"/>
        <v>0</v>
      </c>
    </row>
    <row r="2051" spans="2:23" x14ac:dyDescent="0.25">
      <c r="B2051" s="389"/>
      <c r="C2051" s="423"/>
      <c r="D2051" s="421">
        <f>D2047*C2051</f>
        <v>0</v>
      </c>
      <c r="E2051" s="421">
        <f>E2047*C2051</f>
        <v>0</v>
      </c>
      <c r="F2051" s="421">
        <f>F2047*C2051</f>
        <v>0</v>
      </c>
      <c r="G2051" s="421">
        <f>G2047*C2051</f>
        <v>0</v>
      </c>
      <c r="H2051" s="421">
        <f>H2047*C2051</f>
        <v>0</v>
      </c>
      <c r="I2051" s="421">
        <f>I2047*C2051</f>
        <v>0</v>
      </c>
      <c r="J2051" s="421">
        <f>J2047*C2051</f>
        <v>0</v>
      </c>
      <c r="K2051" s="424">
        <f t="shared" si="96"/>
        <v>0</v>
      </c>
    </row>
    <row r="2052" spans="2:23" x14ac:dyDescent="0.25">
      <c r="B2052" s="389"/>
      <c r="C2052" s="423"/>
      <c r="D2052" s="421">
        <f>D2047*C2052</f>
        <v>0</v>
      </c>
      <c r="E2052" s="421">
        <f>E2047*C2052</f>
        <v>0</v>
      </c>
      <c r="F2052" s="421">
        <f>F2047*C2052</f>
        <v>0</v>
      </c>
      <c r="G2052" s="421">
        <f>G2047*C2052</f>
        <v>0</v>
      </c>
      <c r="H2052" s="421">
        <f>H2047*C2052</f>
        <v>0</v>
      </c>
      <c r="I2052" s="421">
        <f>I2047*C2052</f>
        <v>0</v>
      </c>
      <c r="J2052" s="421">
        <f>J2047*C2052</f>
        <v>0</v>
      </c>
      <c r="K2052" s="424">
        <f t="shared" si="96"/>
        <v>0</v>
      </c>
    </row>
    <row r="2053" spans="2:23" ht="15" customHeight="1" x14ac:dyDescent="0.25">
      <c r="B2053" s="389"/>
      <c r="C2053" s="423"/>
      <c r="D2053" s="421">
        <f>D2047*C2053</f>
        <v>0</v>
      </c>
      <c r="E2053" s="421">
        <f>E2047*C2053</f>
        <v>0</v>
      </c>
      <c r="F2053" s="421">
        <f>F2047*C2053</f>
        <v>0</v>
      </c>
      <c r="G2053" s="421">
        <f>G2047*C2053</f>
        <v>0</v>
      </c>
      <c r="H2053" s="421">
        <f>H2047*C2053</f>
        <v>0</v>
      </c>
      <c r="I2053" s="421">
        <f>I2047*C2053</f>
        <v>0</v>
      </c>
      <c r="J2053" s="421">
        <f>J2047*C2053</f>
        <v>0</v>
      </c>
      <c r="K2053" s="424">
        <f t="shared" si="96"/>
        <v>0</v>
      </c>
    </row>
    <row r="2054" spans="2:23" ht="15.75" thickBot="1" x14ac:dyDescent="0.3"/>
    <row r="2055" spans="2:23" ht="15.75" thickBot="1" x14ac:dyDescent="0.3">
      <c r="B2055" s="432"/>
      <c r="C2055" s="411"/>
      <c r="D2055" s="407" t="s">
        <v>548</v>
      </c>
      <c r="E2055" s="408" t="s">
        <v>549</v>
      </c>
      <c r="F2055" s="408" t="s">
        <v>550</v>
      </c>
      <c r="G2055" s="408" t="s">
        <v>551</v>
      </c>
      <c r="H2055" s="408" t="s">
        <v>552</v>
      </c>
      <c r="I2055" s="408" t="s">
        <v>553</v>
      </c>
      <c r="J2055" s="408" t="s">
        <v>554</v>
      </c>
      <c r="K2055" s="408" t="s">
        <v>555</v>
      </c>
      <c r="M2055" s="426"/>
    </row>
    <row r="2056" spans="2:23" ht="15" customHeight="1" thickBot="1" x14ac:dyDescent="0.3">
      <c r="B2056" s="414" t="s">
        <v>556</v>
      </c>
      <c r="C2056" s="415" t="s">
        <v>620</v>
      </c>
      <c r="D2056" s="416">
        <f>IF(ISERROR(VLOOKUP(B2055,'MD Usage'!$A$1:$W$5000,3,FALSE)),0,VLOOKUP(B2055,'MD Usage'!$A$1:$W$5000,3,FALSE))</f>
        <v>0</v>
      </c>
      <c r="E2056" s="416">
        <f>IF(ISERROR(VLOOKUP(B2055,'MD Usage'!$A$1:$W$5000,5,FALSE)),0,VLOOKUP(B2055,'MD Usage'!$A$1:$W$5000,5,FALSE))</f>
        <v>0</v>
      </c>
      <c r="F2056" s="416">
        <f>IF(ISERROR(VLOOKUP(B2055,'MD Usage'!$A$1:$W$5000,7,FALSE)),0,VLOOKUP(B2055,'MD Usage'!$A$1:$W$5000,7,FALSE))</f>
        <v>0</v>
      </c>
      <c r="G2056" s="416">
        <f>IF(ISERROR(VLOOKUP(B2055,'MD Usage'!$A$1:$W$5000,9,FALSE)),0,VLOOKUP(B2055,'MD Usage'!$A$1:$W$5000,9,FALSE))</f>
        <v>0</v>
      </c>
      <c r="H2056" s="416">
        <f>IF(ISERROR(VLOOKUP(B2055,'MD Usage'!$A$1:$W$5000,11,FALSE)),0,VLOOKUP(B2055,'MD Usage'!$A$1:$W$5000,11,FALSE))</f>
        <v>0</v>
      </c>
      <c r="I2056" s="416">
        <f>IF(ISERROR(VLOOKUP(B2055,'MD Usage'!A1:R2000,13,FALSE)),0,VLOOKUP(B2055,'MD Usage'!A1:R2000,13,FALSE))</f>
        <v>0</v>
      </c>
      <c r="J2056" s="416">
        <f>IF(ISERROR(VLOOKUP(B2055,'MD Usage'!A1:R2000,15,FALSE)),0,VLOOKUP(B2055,'MD Usage'!A1:R2000,15,FALSE))</f>
        <v>0</v>
      </c>
      <c r="K2056" s="418">
        <f t="shared" ref="K2056:K2061" si="97">SUM(D2056:J2056)</f>
        <v>0</v>
      </c>
    </row>
    <row r="2057" spans="2:23" ht="15" customHeight="1" x14ac:dyDescent="0.25">
      <c r="B2057" s="419"/>
      <c r="C2057" s="420"/>
      <c r="D2057" s="421">
        <f>D2056*C2057</f>
        <v>0</v>
      </c>
      <c r="E2057" s="421">
        <f>E2056*C2057</f>
        <v>0</v>
      </c>
      <c r="F2057" s="421">
        <f>F2056*C2057</f>
        <v>0</v>
      </c>
      <c r="G2057" s="421">
        <f>G2056*C2057</f>
        <v>0</v>
      </c>
      <c r="H2057" s="421">
        <f>H2056*C2057</f>
        <v>0</v>
      </c>
      <c r="I2057" s="421">
        <f>I2056*C2057</f>
        <v>0</v>
      </c>
      <c r="J2057" s="421">
        <f>J2056*C2057</f>
        <v>0</v>
      </c>
      <c r="K2057" s="422">
        <f t="shared" si="97"/>
        <v>0</v>
      </c>
    </row>
    <row r="2058" spans="2:23" x14ac:dyDescent="0.25">
      <c r="B2058" s="389"/>
      <c r="C2058" s="423"/>
      <c r="D2058" s="421">
        <f>D2056*C2058</f>
        <v>0</v>
      </c>
      <c r="E2058" s="421">
        <f>E2056*C2058</f>
        <v>0</v>
      </c>
      <c r="F2058" s="421">
        <f>F2056*C2058</f>
        <v>0</v>
      </c>
      <c r="G2058" s="421">
        <f>G2056*C2058</f>
        <v>0</v>
      </c>
      <c r="H2058" s="421">
        <f>H2056*C2058</f>
        <v>0</v>
      </c>
      <c r="I2058" s="421">
        <f>I2056*C2058</f>
        <v>0</v>
      </c>
      <c r="J2058" s="421">
        <f>J2056*C2058</f>
        <v>0</v>
      </c>
      <c r="K2058" s="424">
        <f t="shared" si="97"/>
        <v>0</v>
      </c>
    </row>
    <row r="2059" spans="2:23" ht="15" customHeight="1" x14ac:dyDescent="0.25">
      <c r="B2059" s="389"/>
      <c r="C2059" s="423"/>
      <c r="D2059" s="421">
        <f>D2056*C2059</f>
        <v>0</v>
      </c>
      <c r="E2059" s="421">
        <f>E2056*C2059</f>
        <v>0</v>
      </c>
      <c r="F2059" s="421">
        <f>F2056*C2059</f>
        <v>0</v>
      </c>
      <c r="G2059" s="421">
        <f>G2056*C2059</f>
        <v>0</v>
      </c>
      <c r="H2059" s="421">
        <f>H2056*C2059</f>
        <v>0</v>
      </c>
      <c r="I2059" s="421">
        <f>I2056*C2059</f>
        <v>0</v>
      </c>
      <c r="J2059" s="421">
        <f>J2056*C2059</f>
        <v>0</v>
      </c>
      <c r="K2059" s="424">
        <f t="shared" si="97"/>
        <v>0</v>
      </c>
    </row>
    <row r="2060" spans="2:23" ht="15" customHeight="1" x14ac:dyDescent="0.25">
      <c r="B2060" s="389"/>
      <c r="C2060" s="423"/>
      <c r="D2060" s="421">
        <f>D2056*C2060</f>
        <v>0</v>
      </c>
      <c r="E2060" s="421">
        <f>E2056*C2060</f>
        <v>0</v>
      </c>
      <c r="F2060" s="421">
        <f>F2056*C2060</f>
        <v>0</v>
      </c>
      <c r="G2060" s="421">
        <f>G2056*C2060</f>
        <v>0</v>
      </c>
      <c r="H2060" s="421">
        <f>H2056*C2060</f>
        <v>0</v>
      </c>
      <c r="I2060" s="421">
        <f>I2056*C2060</f>
        <v>0</v>
      </c>
      <c r="J2060" s="421">
        <f>J2056*C2060</f>
        <v>0</v>
      </c>
      <c r="K2060" s="424">
        <f t="shared" si="97"/>
        <v>0</v>
      </c>
    </row>
    <row r="2061" spans="2:23" x14ac:dyDescent="0.25">
      <c r="B2061" s="389"/>
      <c r="C2061" s="423"/>
      <c r="D2061" s="421">
        <f>D2057*C2061</f>
        <v>0</v>
      </c>
      <c r="E2061" s="421">
        <f>E2057*C2061</f>
        <v>0</v>
      </c>
      <c r="F2061" s="421">
        <f>F2057*C2061</f>
        <v>0</v>
      </c>
      <c r="G2061" s="421">
        <f>G2057*C2061</f>
        <v>0</v>
      </c>
      <c r="H2061" s="421">
        <f>H2057*C2061</f>
        <v>0</v>
      </c>
      <c r="I2061" s="421">
        <f>I2057*C2061</f>
        <v>0</v>
      </c>
      <c r="J2061" s="421">
        <f>J2057*C2061</f>
        <v>0</v>
      </c>
      <c r="K2061" s="424">
        <f t="shared" si="97"/>
        <v>0</v>
      </c>
    </row>
    <row r="2062" spans="2:23" ht="15.75" thickBot="1" x14ac:dyDescent="0.3">
      <c r="B2062" s="383"/>
      <c r="C2062" s="443"/>
      <c r="P2062" s="421">
        <f>P2058*O2062</f>
        <v>0</v>
      </c>
      <c r="Q2062" s="421">
        <f>Q2058*O2062</f>
        <v>0</v>
      </c>
      <c r="R2062" s="421">
        <f>R2058*O2062</f>
        <v>0</v>
      </c>
      <c r="S2062" s="421">
        <f>S2058*O2062</f>
        <v>0</v>
      </c>
      <c r="T2062" s="421">
        <f>T2058*O2062</f>
        <v>0</v>
      </c>
      <c r="U2062" s="421">
        <f>U2058*O2062</f>
        <v>0</v>
      </c>
      <c r="V2062" s="421">
        <f>V2058*O2062</f>
        <v>0</v>
      </c>
      <c r="W2062" s="424">
        <f>SUM(P2062:V2062)</f>
        <v>0</v>
      </c>
    </row>
    <row r="2063" spans="2:23" ht="15.75" thickBot="1" x14ac:dyDescent="0.3">
      <c r="B2063" s="414"/>
      <c r="C2063" s="411"/>
      <c r="D2063" s="407" t="s">
        <v>548</v>
      </c>
      <c r="E2063" s="408" t="s">
        <v>549</v>
      </c>
      <c r="F2063" s="408" t="s">
        <v>550</v>
      </c>
      <c r="G2063" s="408" t="s">
        <v>551</v>
      </c>
      <c r="H2063" s="408" t="s">
        <v>552</v>
      </c>
      <c r="I2063" s="408" t="s">
        <v>553</v>
      </c>
      <c r="J2063" s="408" t="s">
        <v>554</v>
      </c>
      <c r="K2063" s="408" t="s">
        <v>555</v>
      </c>
    </row>
    <row r="2064" spans="2:23" ht="15.75" thickBot="1" x14ac:dyDescent="0.3">
      <c r="B2064" s="414" t="s">
        <v>556</v>
      </c>
      <c r="C2064" s="415" t="s">
        <v>620</v>
      </c>
      <c r="D2064" s="416">
        <f>IF(ISERROR(VLOOKUP(B2063,'MD Usage'!$A$1:$W$5000,3,FALSE)),0,VLOOKUP(B2063,'MD Usage'!$A$1:$W$5000,3,FALSE))</f>
        <v>0</v>
      </c>
      <c r="E2064" s="416">
        <f>IF(ISERROR(VLOOKUP(B2063,'MD Usage'!$A$1:$W$5000,5,FALSE)),0,VLOOKUP(B2063,'MD Usage'!$A$1:$W$5000,5,FALSE))</f>
        <v>0</v>
      </c>
      <c r="F2064" s="416">
        <f>IF(ISERROR(VLOOKUP(B2063,'MD Usage'!$A$1:$W$5000,7,FALSE)),0,VLOOKUP(B2063,'MD Usage'!$A$1:$W$5000,7,FALSE))</f>
        <v>0</v>
      </c>
      <c r="G2064" s="416">
        <f>IF(ISERROR(VLOOKUP(B2063,'MD Usage'!$A$1:$W$5000,9,FALSE)),0,VLOOKUP(B2063,'MD Usage'!$A$1:$W$5000,9,FALSE))</f>
        <v>0</v>
      </c>
      <c r="H2064" s="416">
        <f>IF(ISERROR(VLOOKUP(B2063,'MD Usage'!$A$1:$W$5000,11,FALSE)),0,VLOOKUP(B2063,'MD Usage'!$A$1:$W$5000,11,FALSE))</f>
        <v>0</v>
      </c>
      <c r="I2064" s="416">
        <f>IF(ISERROR(VLOOKUP(B2063,'MD Usage'!A1:R2000,13,FALSE)),0,VLOOKUP(B2063,'MD Usage'!A1:R2000,13,FALSE))</f>
        <v>0</v>
      </c>
      <c r="J2064" s="416">
        <f>IF(ISERROR(VLOOKUP(B2063,'MD Usage'!A1:R2000,15,FALSE)),0,VLOOKUP(B2063,'MD Usage'!A1:R2000,15,FALSE))</f>
        <v>0</v>
      </c>
      <c r="K2064" s="418">
        <f>SUM(D2064:J2064)</f>
        <v>0</v>
      </c>
    </row>
    <row r="2065" spans="2:13" x14ac:dyDescent="0.25">
      <c r="B2065" s="419"/>
      <c r="C2065" s="420"/>
      <c r="D2065" s="421">
        <f>D2064*C2065</f>
        <v>0</v>
      </c>
      <c r="E2065" s="421">
        <f>E2064*C2065</f>
        <v>0</v>
      </c>
      <c r="F2065" s="421">
        <f>F2064*C2065</f>
        <v>0</v>
      </c>
      <c r="G2065" s="421">
        <f>G2064*C2065</f>
        <v>0</v>
      </c>
      <c r="H2065" s="421">
        <f>H2064*C2065</f>
        <v>0</v>
      </c>
      <c r="I2065" s="421">
        <f>I2064*C2065</f>
        <v>0</v>
      </c>
      <c r="J2065" s="421">
        <f>J2064*C2065</f>
        <v>0</v>
      </c>
      <c r="K2065" s="422">
        <f>SUM(D2065:J2065)</f>
        <v>0</v>
      </c>
    </row>
    <row r="2066" spans="2:13" x14ac:dyDescent="0.25">
      <c r="B2066" s="389"/>
      <c r="C2066" s="423"/>
      <c r="D2066" s="421">
        <f>D2064*C2066</f>
        <v>0</v>
      </c>
      <c r="E2066" s="421">
        <f>E2064*C2066</f>
        <v>0</v>
      </c>
      <c r="F2066" s="421">
        <f>F2064*C2066</f>
        <v>0</v>
      </c>
      <c r="G2066" s="421">
        <f>G2064*C2066</f>
        <v>0</v>
      </c>
      <c r="H2066" s="421">
        <f>H2064*C2066</f>
        <v>0</v>
      </c>
      <c r="I2066" s="421">
        <f>I2064*C2066</f>
        <v>0</v>
      </c>
      <c r="J2066" s="421">
        <f>J2064*C2066</f>
        <v>0</v>
      </c>
      <c r="K2066" s="424">
        <f>SUM(D2066:J2066)</f>
        <v>0</v>
      </c>
    </row>
    <row r="2067" spans="2:13" x14ac:dyDescent="0.25">
      <c r="B2067" s="389"/>
      <c r="C2067" s="423"/>
      <c r="D2067" s="421">
        <f>D2064*C2067</f>
        <v>0</v>
      </c>
      <c r="E2067" s="421">
        <f>E2064*C2067</f>
        <v>0</v>
      </c>
      <c r="F2067" s="421">
        <f>F2064*C2067</f>
        <v>0</v>
      </c>
      <c r="G2067" s="421">
        <f>G2064*C2067</f>
        <v>0</v>
      </c>
      <c r="H2067" s="421">
        <f>H2064*C2067</f>
        <v>0</v>
      </c>
      <c r="I2067" s="421">
        <f>I2064*C2067</f>
        <v>0</v>
      </c>
      <c r="J2067" s="421">
        <f>J2064*C2067</f>
        <v>0</v>
      </c>
      <c r="K2067" s="424">
        <f>SUM(D2067:J2067)</f>
        <v>0</v>
      </c>
    </row>
    <row r="2068" spans="2:13" ht="15" customHeight="1" x14ac:dyDescent="0.25">
      <c r="B2068" s="389"/>
      <c r="C2068" s="423"/>
      <c r="D2068" s="421">
        <f>D2064*C2068</f>
        <v>0</v>
      </c>
      <c r="E2068" s="421">
        <f>E2064*C2068</f>
        <v>0</v>
      </c>
      <c r="F2068" s="421">
        <f>F2064*C2068</f>
        <v>0</v>
      </c>
      <c r="G2068" s="421">
        <f>G2064*C2068</f>
        <v>0</v>
      </c>
      <c r="H2068" s="421">
        <f>H2064*C2068</f>
        <v>0</v>
      </c>
      <c r="I2068" s="421">
        <f>I2064*C2068</f>
        <v>0</v>
      </c>
      <c r="J2068" s="421">
        <f>J2064*C2068</f>
        <v>0</v>
      </c>
      <c r="K2068" s="424">
        <f>SUM(D2068:J2068)</f>
        <v>0</v>
      </c>
    </row>
    <row r="2069" spans="2:13" ht="15" customHeight="1" thickBot="1" x14ac:dyDescent="0.3"/>
    <row r="2070" spans="2:13" ht="15" customHeight="1" thickBot="1" x14ac:dyDescent="0.3">
      <c r="B2070" s="432"/>
      <c r="C2070" s="411"/>
      <c r="D2070" s="407" t="s">
        <v>548</v>
      </c>
      <c r="E2070" s="408" t="s">
        <v>549</v>
      </c>
      <c r="F2070" s="408" t="s">
        <v>550</v>
      </c>
      <c r="G2070" s="408" t="s">
        <v>551</v>
      </c>
      <c r="H2070" s="408" t="s">
        <v>552</v>
      </c>
      <c r="I2070" s="408" t="s">
        <v>553</v>
      </c>
      <c r="J2070" s="408" t="s">
        <v>554</v>
      </c>
      <c r="K2070" s="408" t="s">
        <v>555</v>
      </c>
      <c r="M2070" s="414"/>
    </row>
    <row r="2071" spans="2:13" ht="15" customHeight="1" thickBot="1" x14ac:dyDescent="0.3">
      <c r="B2071" s="414" t="s">
        <v>556</v>
      </c>
      <c r="C2071" s="415" t="s">
        <v>620</v>
      </c>
      <c r="D2071" s="416">
        <f>IF(ISERROR(VLOOKUP(B2070,'MD Usage'!$A$1:$W$5000,3,FALSE)),0,VLOOKUP(B2070,'MD Usage'!$A$1:$W$5000,3,FALSE))</f>
        <v>0</v>
      </c>
      <c r="E2071" s="416">
        <f>IF(ISERROR(VLOOKUP(B2070,'MD Usage'!$A$1:$W$5000,5,FALSE)),0,VLOOKUP(B2070,'MD Usage'!$A$1:$W$5000,5,FALSE))</f>
        <v>0</v>
      </c>
      <c r="F2071" s="416">
        <f>IF(ISERROR(VLOOKUP(B2070,'MD Usage'!$A$1:$W$5000,7,FALSE)),0,VLOOKUP(B2070,'MD Usage'!$A$1:$W$5000,7,FALSE))</f>
        <v>0</v>
      </c>
      <c r="G2071" s="416">
        <f>IF(ISERROR(VLOOKUP(B2070,'MD Usage'!$A$1:$W$5000,9,FALSE)),0,VLOOKUP(B2070,'MD Usage'!$A$1:$W$5000,9,FALSE))</f>
        <v>0</v>
      </c>
      <c r="H2071" s="416">
        <f>IF(ISERROR(VLOOKUP(B2070,'MD Usage'!$A$1:$W$5000,11,FALSE)),0,VLOOKUP(B2070,'MD Usage'!$A$1:$W$5000,11,FALSE))</f>
        <v>0</v>
      </c>
      <c r="I2071" s="416">
        <f>IF(ISERROR(VLOOKUP(B2070,'MD Usage'!A1:R2000,13,FALSE)),0,VLOOKUP(B2070,'MD Usage'!A1:R2000,13,FALSE))</f>
        <v>0</v>
      </c>
      <c r="J2071" s="416">
        <f>IF(ISERROR(VLOOKUP(B2070,'MD Usage'!A1:R2000,15,FALSE)),0,VLOOKUP(B2070,'MD Usage'!A1:R2000,15,FALSE))</f>
        <v>0</v>
      </c>
      <c r="K2071" s="418">
        <f>SUM(D2071:J2071)</f>
        <v>0</v>
      </c>
    </row>
    <row r="2072" spans="2:13" ht="15" customHeight="1" x14ac:dyDescent="0.25">
      <c r="B2072" s="419"/>
      <c r="C2072" s="420"/>
      <c r="D2072" s="421">
        <f>D2071*C2072</f>
        <v>0</v>
      </c>
      <c r="E2072" s="421">
        <f>E2071*C2072</f>
        <v>0</v>
      </c>
      <c r="F2072" s="421">
        <f>F2071*C2072</f>
        <v>0</v>
      </c>
      <c r="G2072" s="421">
        <f>G2071*C2072</f>
        <v>0</v>
      </c>
      <c r="H2072" s="421">
        <f>H2071*C2072</f>
        <v>0</v>
      </c>
      <c r="I2072" s="421">
        <f>I2071*C2072</f>
        <v>0</v>
      </c>
      <c r="J2072" s="421">
        <f>J2071*C2072</f>
        <v>0</v>
      </c>
      <c r="K2072" s="422">
        <f>SUM(D2072:J2072)</f>
        <v>0</v>
      </c>
    </row>
    <row r="2073" spans="2:13" ht="15" customHeight="1" x14ac:dyDescent="0.25">
      <c r="B2073" s="389"/>
      <c r="C2073" s="423"/>
      <c r="D2073" s="421">
        <f>D2071*C2073</f>
        <v>0</v>
      </c>
      <c r="E2073" s="421">
        <f>E2071*C2073</f>
        <v>0</v>
      </c>
      <c r="F2073" s="421">
        <f>F2071*C2073</f>
        <v>0</v>
      </c>
      <c r="G2073" s="421">
        <f>G2071*C2073</f>
        <v>0</v>
      </c>
      <c r="H2073" s="421">
        <f>H2071*C2073</f>
        <v>0</v>
      </c>
      <c r="I2073" s="421">
        <f>I2071*C2073</f>
        <v>0</v>
      </c>
      <c r="J2073" s="421">
        <f>J2071*C2073</f>
        <v>0</v>
      </c>
      <c r="K2073" s="424">
        <f>SUM(D2073:J2073)</f>
        <v>0</v>
      </c>
    </row>
    <row r="2074" spans="2:13" ht="15" customHeight="1" x14ac:dyDescent="0.25">
      <c r="B2074" s="389"/>
      <c r="C2074" s="423"/>
      <c r="D2074" s="421">
        <f>D2071*C2074</f>
        <v>0</v>
      </c>
      <c r="E2074" s="421">
        <f>E2071*C2074</f>
        <v>0</v>
      </c>
      <c r="F2074" s="421">
        <f>F2071*C2074</f>
        <v>0</v>
      </c>
      <c r="G2074" s="421">
        <f>G2071*C2074</f>
        <v>0</v>
      </c>
      <c r="H2074" s="421">
        <f>H2071*C2074</f>
        <v>0</v>
      </c>
      <c r="I2074" s="421">
        <f>I2071*C2074</f>
        <v>0</v>
      </c>
      <c r="J2074" s="421">
        <f>J2071*C2074</f>
        <v>0</v>
      </c>
      <c r="K2074" s="424">
        <f>SUM(D2074:J2074)</f>
        <v>0</v>
      </c>
    </row>
    <row r="2075" spans="2:13" ht="15" customHeight="1" x14ac:dyDescent="0.25">
      <c r="B2075" s="389"/>
      <c r="C2075" s="423"/>
      <c r="D2075" s="421">
        <f>D2071*C2075</f>
        <v>0</v>
      </c>
      <c r="E2075" s="421">
        <f>E2071*C2075</f>
        <v>0</v>
      </c>
      <c r="F2075" s="421">
        <f>F2071*C2075</f>
        <v>0</v>
      </c>
      <c r="G2075" s="421">
        <f>G2071*C2075</f>
        <v>0</v>
      </c>
      <c r="H2075" s="421">
        <f>H2071*C2075</f>
        <v>0</v>
      </c>
      <c r="I2075" s="421">
        <f>I2071*C2075</f>
        <v>0</v>
      </c>
      <c r="J2075" s="421">
        <f>J2071*C2075</f>
        <v>0</v>
      </c>
      <c r="K2075" s="424">
        <f>SUM(D2075:J2075)</f>
        <v>0</v>
      </c>
    </row>
    <row r="2076" spans="2:13" ht="15" customHeight="1" thickBot="1" x14ac:dyDescent="0.3"/>
    <row r="2077" spans="2:13" ht="15" customHeight="1" thickBot="1" x14ac:dyDescent="0.3">
      <c r="B2077" s="432"/>
      <c r="C2077" s="411"/>
      <c r="D2077" s="407" t="s">
        <v>548</v>
      </c>
      <c r="E2077" s="408" t="s">
        <v>549</v>
      </c>
      <c r="F2077" s="408" t="s">
        <v>550</v>
      </c>
      <c r="G2077" s="408" t="s">
        <v>551</v>
      </c>
      <c r="H2077" s="408" t="s">
        <v>552</v>
      </c>
      <c r="I2077" s="408" t="s">
        <v>553</v>
      </c>
      <c r="J2077" s="408" t="s">
        <v>554</v>
      </c>
      <c r="K2077" s="408" t="s">
        <v>555</v>
      </c>
      <c r="M2077" s="426"/>
    </row>
    <row r="2078" spans="2:13" ht="15" customHeight="1" thickBot="1" x14ac:dyDescent="0.3">
      <c r="B2078" s="414" t="s">
        <v>556</v>
      </c>
      <c r="C2078" s="415" t="s">
        <v>620</v>
      </c>
      <c r="D2078" s="416">
        <f>IF(ISERROR(VLOOKUP(B2077,'MD Usage'!$A$1:$W$5000,3,FALSE)),0,VLOOKUP(B2077,'MD Usage'!$A$1:$W$5000,3,FALSE))</f>
        <v>0</v>
      </c>
      <c r="E2078" s="416">
        <f>IF(ISERROR(VLOOKUP(B2077,'MD Usage'!$A$1:$W$5000,5,FALSE)),0,VLOOKUP(B2077,'MD Usage'!$A$1:$W$5000,5,FALSE))</f>
        <v>0</v>
      </c>
      <c r="F2078" s="416">
        <f>IF(ISERROR(VLOOKUP(B2077,'MD Usage'!$A$1:$W$5000,7,FALSE)),0,VLOOKUP(B2077,'MD Usage'!$A$1:$W$5000,7,FALSE))</f>
        <v>0</v>
      </c>
      <c r="G2078" s="416">
        <f>IF(ISERROR(VLOOKUP(B2077,'MD Usage'!$A$1:$W$5000,9,FALSE)),0,VLOOKUP(B2077,'MD Usage'!$A$1:$W$5000,9,FALSE))</f>
        <v>0</v>
      </c>
      <c r="H2078" s="416">
        <f>IF(ISERROR(VLOOKUP(B2077,'MD Usage'!$A$1:$W$5000,11,FALSE)),0,VLOOKUP(B2077,'MD Usage'!$A$1:$W$5000,11,FALSE))</f>
        <v>0</v>
      </c>
      <c r="I2078" s="416">
        <f>IF(ISERROR(VLOOKUP(B2077,'MD Usage'!A1:R2000,13,FALSE)),0,VLOOKUP(B2077,'MD Usage'!A1:R2000,13,FALSE))</f>
        <v>0</v>
      </c>
      <c r="J2078" s="416">
        <f>IF(ISERROR(VLOOKUP(B2077,'MD Usage'!A1:R2000,15,FALSE)),0,VLOOKUP(B2077,'MD Usage'!A1:R2000,15,FALSE))</f>
        <v>0</v>
      </c>
      <c r="K2078" s="418">
        <f>SUM(D2078:J2078)</f>
        <v>0</v>
      </c>
    </row>
    <row r="2079" spans="2:13" ht="15" customHeight="1" x14ac:dyDescent="0.25">
      <c r="B2079" s="419"/>
      <c r="C2079" s="420"/>
      <c r="D2079" s="421">
        <f>D2078*C2079</f>
        <v>0</v>
      </c>
      <c r="E2079" s="421">
        <f>E2078*C2079</f>
        <v>0</v>
      </c>
      <c r="F2079" s="421">
        <f>F2078*C2079</f>
        <v>0</v>
      </c>
      <c r="G2079" s="421">
        <f>G2078*C2079</f>
        <v>0</v>
      </c>
      <c r="H2079" s="421">
        <f>H2078*C2079</f>
        <v>0</v>
      </c>
      <c r="I2079" s="421">
        <f>I2078*C2079</f>
        <v>0</v>
      </c>
      <c r="J2079" s="421">
        <f>J2078*C2079</f>
        <v>0</v>
      </c>
      <c r="K2079" s="422">
        <f>SUM(D2079:J2079)</f>
        <v>0</v>
      </c>
    </row>
    <row r="2080" spans="2:13" ht="15" customHeight="1" x14ac:dyDescent="0.25">
      <c r="B2080" s="389"/>
      <c r="C2080" s="423"/>
      <c r="D2080" s="421">
        <f>D2078*C2080</f>
        <v>0</v>
      </c>
      <c r="E2080" s="421">
        <f>E2078*C2080</f>
        <v>0</v>
      </c>
      <c r="F2080" s="421">
        <f>F2078*C2080</f>
        <v>0</v>
      </c>
      <c r="G2080" s="421">
        <f>G2078*C2080</f>
        <v>0</v>
      </c>
      <c r="H2080" s="421">
        <f>H2078*C2080</f>
        <v>0</v>
      </c>
      <c r="I2080" s="421">
        <f>I2078*C2080</f>
        <v>0</v>
      </c>
      <c r="J2080" s="421">
        <f>J2078*C2080</f>
        <v>0</v>
      </c>
      <c r="K2080" s="424">
        <f>SUM(D2080:J2080)</f>
        <v>0</v>
      </c>
    </row>
    <row r="2081" spans="2:13" ht="15" customHeight="1" x14ac:dyDescent="0.25">
      <c r="B2081" s="389"/>
      <c r="C2081" s="423"/>
      <c r="D2081" s="421">
        <f>D2078*C2081</f>
        <v>0</v>
      </c>
      <c r="E2081" s="421">
        <f>E2078*C2081</f>
        <v>0</v>
      </c>
      <c r="F2081" s="421">
        <f>F2078*C2081</f>
        <v>0</v>
      </c>
      <c r="G2081" s="421">
        <f>G2078*C2081</f>
        <v>0</v>
      </c>
      <c r="H2081" s="421">
        <f>H2078*C2081</f>
        <v>0</v>
      </c>
      <c r="I2081" s="421">
        <f>I2078*C2081</f>
        <v>0</v>
      </c>
      <c r="J2081" s="421">
        <f>J2078*C2081</f>
        <v>0</v>
      </c>
      <c r="K2081" s="424">
        <f>SUM(D2081:J2081)</f>
        <v>0</v>
      </c>
    </row>
    <row r="2082" spans="2:13" ht="15" customHeight="1" x14ac:dyDescent="0.25">
      <c r="B2082" s="389"/>
      <c r="C2082" s="423"/>
      <c r="D2082" s="421">
        <f>D2078*C2082</f>
        <v>0</v>
      </c>
      <c r="E2082" s="421">
        <f>E2078*C2082</f>
        <v>0</v>
      </c>
      <c r="F2082" s="421">
        <f>F2078*C2082</f>
        <v>0</v>
      </c>
      <c r="G2082" s="421">
        <f>G2078*C2082</f>
        <v>0</v>
      </c>
      <c r="H2082" s="421">
        <f>H2078*C2082</f>
        <v>0</v>
      </c>
      <c r="I2082" s="421">
        <f>I2078*C2082</f>
        <v>0</v>
      </c>
      <c r="J2082" s="421">
        <f>J2078*C2082</f>
        <v>0</v>
      </c>
      <c r="K2082" s="424">
        <f>SUM(D2082:J2082)</f>
        <v>0</v>
      </c>
    </row>
    <row r="2083" spans="2:13" ht="15" customHeight="1" thickBot="1" x14ac:dyDescent="0.3"/>
    <row r="2084" spans="2:13" ht="15" customHeight="1" thickBot="1" x14ac:dyDescent="0.3">
      <c r="B2084" s="432"/>
      <c r="C2084" s="411"/>
      <c r="D2084" s="407" t="s">
        <v>548</v>
      </c>
      <c r="E2084" s="408" t="s">
        <v>549</v>
      </c>
      <c r="F2084" s="408" t="s">
        <v>550</v>
      </c>
      <c r="G2084" s="408" t="s">
        <v>551</v>
      </c>
      <c r="H2084" s="408" t="s">
        <v>552</v>
      </c>
      <c r="I2084" s="408" t="s">
        <v>553</v>
      </c>
      <c r="J2084" s="408" t="s">
        <v>554</v>
      </c>
      <c r="K2084" s="408" t="s">
        <v>555</v>
      </c>
      <c r="M2084" s="414"/>
    </row>
    <row r="2085" spans="2:13" ht="15" customHeight="1" thickBot="1" x14ac:dyDescent="0.3">
      <c r="B2085" s="414" t="s">
        <v>556</v>
      </c>
      <c r="C2085" s="415" t="s">
        <v>620</v>
      </c>
      <c r="D2085" s="416">
        <f>IF(ISERROR(VLOOKUP(B2084,'MD Usage'!$A$1:$W$5000,3,FALSE)),0,VLOOKUP(B2084,'MD Usage'!$A$1:$W$5000,3,FALSE))</f>
        <v>0</v>
      </c>
      <c r="E2085" s="416">
        <f>IF(ISERROR(VLOOKUP(B2084,'MD Usage'!$A$1:$W$5000,5,FALSE)),0,VLOOKUP(B2084,'MD Usage'!$A$1:$W$5000,5,FALSE))</f>
        <v>0</v>
      </c>
      <c r="F2085" s="416">
        <f>IF(ISERROR(VLOOKUP(B2084,'MD Usage'!$A$1:$W$5000,7,FALSE)),0,VLOOKUP(B2084,'MD Usage'!$A$1:$W$5000,7,FALSE))</f>
        <v>0</v>
      </c>
      <c r="G2085" s="416">
        <f>IF(ISERROR(VLOOKUP(B2084,'MD Usage'!$A$1:$W$5000,9,FALSE)),0,VLOOKUP(B2084,'MD Usage'!$A$1:$W$5000,9,FALSE))</f>
        <v>0</v>
      </c>
      <c r="H2085" s="416">
        <f>IF(ISERROR(VLOOKUP(B2084,'MD Usage'!$A$1:$W$5000,11,FALSE)),0,VLOOKUP(B2084,'MD Usage'!$A$1:$W$5000,11,FALSE))</f>
        <v>0</v>
      </c>
      <c r="I2085" s="416">
        <f>IF(ISERROR(VLOOKUP(B2084,'MD Usage'!A1:R2000,13,FALSE)),0,VLOOKUP(B2084,'MD Usage'!A1:R2000,13,FALSE))</f>
        <v>0</v>
      </c>
      <c r="J2085" s="416">
        <f>IF(ISERROR(VLOOKUP(B2084,'MD Usage'!A1:R2000,15,FALSE)),0,VLOOKUP(B2084,'MD Usage'!A1:R2000,15,FALSE))</f>
        <v>0</v>
      </c>
      <c r="K2085" s="418">
        <f>SUM(D2085:J2085)</f>
        <v>0</v>
      </c>
    </row>
    <row r="2086" spans="2:13" ht="15" customHeight="1" x14ac:dyDescent="0.25">
      <c r="B2086" s="419"/>
      <c r="C2086" s="420"/>
      <c r="D2086" s="421">
        <f>D2085*C2086</f>
        <v>0</v>
      </c>
      <c r="E2086" s="421">
        <f>E2085*C2086</f>
        <v>0</v>
      </c>
      <c r="F2086" s="421">
        <f>F2085*C2086</f>
        <v>0</v>
      </c>
      <c r="G2086" s="421">
        <f>G2085*C2086</f>
        <v>0</v>
      </c>
      <c r="H2086" s="421">
        <f>H2085*C2086</f>
        <v>0</v>
      </c>
      <c r="I2086" s="421">
        <f>I2085*C2086</f>
        <v>0</v>
      </c>
      <c r="J2086" s="421">
        <f>J2085*C2086</f>
        <v>0</v>
      </c>
      <c r="K2086" s="422">
        <f>SUM(D2086:J2086)</f>
        <v>0</v>
      </c>
    </row>
    <row r="2087" spans="2:13" ht="15" customHeight="1" x14ac:dyDescent="0.25">
      <c r="B2087" s="389"/>
      <c r="C2087" s="423"/>
      <c r="D2087" s="421">
        <f>D2085*C2087</f>
        <v>0</v>
      </c>
      <c r="E2087" s="421">
        <f>E2085*C2087</f>
        <v>0</v>
      </c>
      <c r="F2087" s="421">
        <f>F2085*C2087</f>
        <v>0</v>
      </c>
      <c r="G2087" s="421">
        <f>G2085*C2087</f>
        <v>0</v>
      </c>
      <c r="H2087" s="421">
        <f>H2085*C2087</f>
        <v>0</v>
      </c>
      <c r="I2087" s="421">
        <f>I2085*C2087</f>
        <v>0</v>
      </c>
      <c r="J2087" s="421">
        <f>J2085*C2087</f>
        <v>0</v>
      </c>
      <c r="K2087" s="424">
        <f>SUM(D2087:J2087)</f>
        <v>0</v>
      </c>
    </row>
    <row r="2088" spans="2:13" ht="15" customHeight="1" x14ac:dyDescent="0.25">
      <c r="B2088" s="419"/>
      <c r="C2088" s="423"/>
      <c r="D2088" s="421">
        <f>D2085*C2088</f>
        <v>0</v>
      </c>
      <c r="E2088" s="421">
        <f>E2085*C2088</f>
        <v>0</v>
      </c>
      <c r="F2088" s="421">
        <f>F2085*C2088</f>
        <v>0</v>
      </c>
      <c r="G2088" s="421">
        <f>G2085*C2088</f>
        <v>0</v>
      </c>
      <c r="H2088" s="421">
        <f>H2085*C2088</f>
        <v>0</v>
      </c>
      <c r="I2088" s="421">
        <f>I2085*C2088</f>
        <v>0</v>
      </c>
      <c r="J2088" s="421">
        <f>J2085*C2088</f>
        <v>0</v>
      </c>
      <c r="K2088" s="424">
        <f>SUM(D2088:J2088)</f>
        <v>0</v>
      </c>
    </row>
    <row r="2089" spans="2:13" ht="15" customHeight="1" x14ac:dyDescent="0.25">
      <c r="B2089" s="389"/>
      <c r="C2089" s="423"/>
      <c r="D2089" s="421">
        <f>D2085*C2089</f>
        <v>0</v>
      </c>
      <c r="E2089" s="421">
        <f>E2085*C2089</f>
        <v>0</v>
      </c>
      <c r="F2089" s="421">
        <f>F2085*C2089</f>
        <v>0</v>
      </c>
      <c r="G2089" s="421">
        <f>G2085*C2089</f>
        <v>0</v>
      </c>
      <c r="H2089" s="421">
        <f>H2085*C2089</f>
        <v>0</v>
      </c>
      <c r="I2089" s="421">
        <f>I2085*C2089</f>
        <v>0</v>
      </c>
      <c r="J2089" s="421">
        <f>J2085*C2089</f>
        <v>0</v>
      </c>
      <c r="K2089" s="424">
        <f>SUM(D2089:J2089)</f>
        <v>0</v>
      </c>
    </row>
    <row r="2091" spans="2:13" ht="15" customHeight="1" thickBot="1" x14ac:dyDescent="0.3"/>
    <row r="2092" spans="2:13" ht="15" customHeight="1" thickBot="1" x14ac:dyDescent="0.3">
      <c r="B2092" s="414"/>
      <c r="C2092" s="411"/>
      <c r="D2092" s="407" t="s">
        <v>548</v>
      </c>
      <c r="E2092" s="408" t="s">
        <v>549</v>
      </c>
      <c r="F2092" s="408" t="s">
        <v>550</v>
      </c>
      <c r="G2092" s="408" t="s">
        <v>551</v>
      </c>
      <c r="H2092" s="408" t="s">
        <v>552</v>
      </c>
      <c r="I2092" s="408" t="s">
        <v>553</v>
      </c>
      <c r="J2092" s="408" t="s">
        <v>554</v>
      </c>
      <c r="K2092" s="408" t="s">
        <v>555</v>
      </c>
    </row>
    <row r="2093" spans="2:13" ht="15" customHeight="1" thickBot="1" x14ac:dyDescent="0.3">
      <c r="B2093" s="414" t="s">
        <v>556</v>
      </c>
      <c r="C2093" s="415" t="s">
        <v>620</v>
      </c>
      <c r="D2093" s="416">
        <f>IF(ISERROR(VLOOKUP(B2092,'MD Usage'!$A$1:$W$5000,3,FALSE)),0,VLOOKUP(B2092,'MD Usage'!$A$1:$W$5000,3,FALSE))</f>
        <v>0</v>
      </c>
      <c r="E2093" s="416">
        <f>IF(ISERROR(VLOOKUP(B2092,'MD Usage'!$A$1:$W$5000,5,FALSE)),0,VLOOKUP(B2092,'MD Usage'!$A$1:$W$5000,5,FALSE))</f>
        <v>0</v>
      </c>
      <c r="F2093" s="416">
        <f>IF(ISERROR(VLOOKUP(B2092,'MD Usage'!$A$1:$W$5000,7,FALSE)),0,VLOOKUP(B2092,'MD Usage'!$A$1:$W$5000,7,FALSE))</f>
        <v>0</v>
      </c>
      <c r="G2093" s="416">
        <f>IF(ISERROR(VLOOKUP(B2092,'MD Usage'!$A$1:$W$5000,9,FALSE)),0,VLOOKUP(B2092,'MD Usage'!$A$1:$W$5000,9,FALSE))</f>
        <v>0</v>
      </c>
      <c r="H2093" s="416">
        <f>IF(ISERROR(VLOOKUP(B2092,'MD Usage'!$A$1:$W$5000,11,FALSE)),0,VLOOKUP(B2092,'MD Usage'!$A$1:$W$5000,11,FALSE))</f>
        <v>0</v>
      </c>
      <c r="I2093" s="416">
        <f>IF(ISERROR(VLOOKUP(B2092,'MD Usage'!A1:R2000,13,FALSE)),0,VLOOKUP(B2092,'MD Usage'!A1:R2000,13,FALSE))</f>
        <v>0</v>
      </c>
      <c r="J2093" s="416">
        <f>IF(ISERROR(VLOOKUP(B2092,'MD Usage'!A1:R2000,15,FALSE)),0,VLOOKUP(B2092,'MD Usage'!A1:R2000,15,FALSE))</f>
        <v>0</v>
      </c>
      <c r="K2093" s="418">
        <f>SUM(D2093:J2093)</f>
        <v>0</v>
      </c>
    </row>
    <row r="2094" spans="2:13" ht="15" customHeight="1" x14ac:dyDescent="0.25">
      <c r="B2094" s="419"/>
      <c r="C2094" s="420"/>
      <c r="D2094" s="421">
        <f>D2093*C2094</f>
        <v>0</v>
      </c>
      <c r="E2094" s="421">
        <f>E2093*C2094</f>
        <v>0</v>
      </c>
      <c r="F2094" s="421">
        <f>F2093*C2094</f>
        <v>0</v>
      </c>
      <c r="G2094" s="421">
        <f>G2093*C2094</f>
        <v>0</v>
      </c>
      <c r="H2094" s="421">
        <f>H2093*C2094</f>
        <v>0</v>
      </c>
      <c r="I2094" s="421">
        <f>I2093*C2094</f>
        <v>0</v>
      </c>
      <c r="J2094" s="421">
        <f>J2093*C2094</f>
        <v>0</v>
      </c>
      <c r="K2094" s="422">
        <f>SUM(D2094:J2094)</f>
        <v>0</v>
      </c>
    </row>
    <row r="2095" spans="2:13" ht="15" customHeight="1" x14ac:dyDescent="0.25">
      <c r="B2095" s="389"/>
      <c r="C2095" s="423"/>
      <c r="D2095" s="421">
        <f>D2093*C2095</f>
        <v>0</v>
      </c>
      <c r="E2095" s="421">
        <f>E2093*C2095</f>
        <v>0</v>
      </c>
      <c r="F2095" s="421">
        <f>F2093*C2095</f>
        <v>0</v>
      </c>
      <c r="G2095" s="421">
        <f>G2093*C2095</f>
        <v>0</v>
      </c>
      <c r="H2095" s="421">
        <f>H2093*C2095</f>
        <v>0</v>
      </c>
      <c r="I2095" s="421">
        <f>I2093*C2095</f>
        <v>0</v>
      </c>
      <c r="J2095" s="421">
        <f>J2093*C2095</f>
        <v>0</v>
      </c>
      <c r="K2095" s="424">
        <f>SUM(D2095:J2095)</f>
        <v>0</v>
      </c>
    </row>
    <row r="2096" spans="2:13" ht="15" customHeight="1" x14ac:dyDescent="0.25">
      <c r="B2096" s="419"/>
      <c r="C2096" s="423"/>
      <c r="D2096" s="421">
        <f>D2093*C2096</f>
        <v>0</v>
      </c>
      <c r="E2096" s="421">
        <f>E2093*C2096</f>
        <v>0</v>
      </c>
      <c r="F2096" s="421">
        <f>F2093*C2096</f>
        <v>0</v>
      </c>
      <c r="G2096" s="421">
        <f>G2093*C2096</f>
        <v>0</v>
      </c>
      <c r="H2096" s="421">
        <f>H2093*C2096</f>
        <v>0</v>
      </c>
      <c r="I2096" s="421">
        <f>I2093*C2096</f>
        <v>0</v>
      </c>
      <c r="J2096" s="421">
        <f>J2093*C2096</f>
        <v>0</v>
      </c>
      <c r="K2096" s="424">
        <f>SUM(D2096:J2096)</f>
        <v>0</v>
      </c>
    </row>
    <row r="2097" spans="2:13" ht="15" customHeight="1" x14ac:dyDescent="0.25">
      <c r="B2097" s="389"/>
      <c r="C2097" s="423"/>
      <c r="D2097" s="421">
        <f>D2093*C2097</f>
        <v>0</v>
      </c>
      <c r="E2097" s="421">
        <f>E2093*C2097</f>
        <v>0</v>
      </c>
      <c r="F2097" s="421">
        <f>F2093*C2097</f>
        <v>0</v>
      </c>
      <c r="G2097" s="421">
        <f>G2093*C2097</f>
        <v>0</v>
      </c>
      <c r="H2097" s="421">
        <f>H2093*C2097</f>
        <v>0</v>
      </c>
      <c r="I2097" s="421">
        <f>I2093*C2097</f>
        <v>0</v>
      </c>
      <c r="J2097" s="421">
        <f>J2093*C2097</f>
        <v>0</v>
      </c>
      <c r="K2097" s="424">
        <f>SUM(D2097:J2097)</f>
        <v>0</v>
      </c>
    </row>
    <row r="2098" spans="2:13" ht="15" customHeight="1" thickBot="1" x14ac:dyDescent="0.3"/>
    <row r="2099" spans="2:13" ht="15" customHeight="1" thickBot="1" x14ac:dyDescent="0.3">
      <c r="B2099" s="432"/>
      <c r="C2099" s="411"/>
      <c r="D2099" s="407" t="s">
        <v>548</v>
      </c>
      <c r="E2099" s="408" t="s">
        <v>549</v>
      </c>
      <c r="F2099" s="408" t="s">
        <v>550</v>
      </c>
      <c r="G2099" s="408" t="s">
        <v>551</v>
      </c>
      <c r="H2099" s="408" t="s">
        <v>552</v>
      </c>
      <c r="I2099" s="408" t="s">
        <v>553</v>
      </c>
      <c r="J2099" s="408" t="s">
        <v>554</v>
      </c>
      <c r="K2099" s="408" t="s">
        <v>555</v>
      </c>
      <c r="M2099" s="414"/>
    </row>
    <row r="2100" spans="2:13" ht="15" customHeight="1" thickBot="1" x14ac:dyDescent="0.3">
      <c r="B2100" s="414" t="s">
        <v>556</v>
      </c>
      <c r="C2100" s="415" t="s">
        <v>620</v>
      </c>
      <c r="D2100" s="416">
        <f>IF(ISERROR(VLOOKUP(B2099,'MD Usage'!$A$1:$W$5000,3,FALSE)),0,VLOOKUP(B2099,'MD Usage'!$A$1:$W$5000,3,FALSE))</f>
        <v>0</v>
      </c>
      <c r="E2100" s="416">
        <f>IF(ISERROR(VLOOKUP(B2099,'MD Usage'!$A$1:$W$5000,5,FALSE)),0,VLOOKUP(B2099,'MD Usage'!$A$1:$W$5000,5,FALSE))</f>
        <v>0</v>
      </c>
      <c r="F2100" s="416">
        <f>IF(ISERROR(VLOOKUP(B2099,'MD Usage'!$A$1:$W$5000,7,FALSE)),0,VLOOKUP(B2099,'MD Usage'!$A$1:$W$5000,7,FALSE))</f>
        <v>0</v>
      </c>
      <c r="G2100" s="416">
        <f>IF(ISERROR(VLOOKUP(B2099,'MD Usage'!$A$1:$W$5000,9,FALSE)),0,VLOOKUP(B2099,'MD Usage'!$A$1:$W$5000,9,FALSE))</f>
        <v>0</v>
      </c>
      <c r="H2100" s="416">
        <f>IF(ISERROR(VLOOKUP(B2099,'MD Usage'!$A$1:$W$5000,11,FALSE)),0,VLOOKUP(B2099,'MD Usage'!$A$1:$W$5000,11,FALSE))</f>
        <v>0</v>
      </c>
      <c r="I2100" s="416">
        <f>IF(ISERROR(VLOOKUP(B2099,'MD Usage'!A1:R2000,13,FALSE)),0,VLOOKUP(B2099,'MD Usage'!A1:R2000,13,FALSE))</f>
        <v>0</v>
      </c>
      <c r="J2100" s="416">
        <f>IF(ISERROR(VLOOKUP(B2099,'MD Usage'!A1:R2000,15,FALSE)),0,VLOOKUP(B2099,'MD Usage'!A1:R2000,15,FALSE))</f>
        <v>0</v>
      </c>
      <c r="K2100" s="418">
        <f t="shared" ref="K2100:K2105" si="98">SUM(D2100:J2100)</f>
        <v>0</v>
      </c>
    </row>
    <row r="2101" spans="2:13" ht="15" customHeight="1" x14ac:dyDescent="0.25">
      <c r="B2101" s="419"/>
      <c r="C2101" s="420"/>
      <c r="D2101" s="421">
        <f>D2100*C2101</f>
        <v>0</v>
      </c>
      <c r="E2101" s="421">
        <f>E2100*C2101</f>
        <v>0</v>
      </c>
      <c r="F2101" s="421">
        <f>F2100*C2101</f>
        <v>0</v>
      </c>
      <c r="G2101" s="421">
        <f>G2100*C2101</f>
        <v>0</v>
      </c>
      <c r="H2101" s="421">
        <f>H2100*C2101</f>
        <v>0</v>
      </c>
      <c r="I2101" s="421">
        <f>I2100*C2101</f>
        <v>0</v>
      </c>
      <c r="J2101" s="421">
        <f>J2100*C2101</f>
        <v>0</v>
      </c>
      <c r="K2101" s="422">
        <f t="shared" si="98"/>
        <v>0</v>
      </c>
    </row>
    <row r="2102" spans="2:13" ht="15" customHeight="1" x14ac:dyDescent="0.25">
      <c r="B2102" s="389"/>
      <c r="C2102" s="423"/>
      <c r="D2102" s="421">
        <f>D2100*C2102</f>
        <v>0</v>
      </c>
      <c r="E2102" s="421">
        <f>E2100*C2102</f>
        <v>0</v>
      </c>
      <c r="F2102" s="421">
        <f>F2100*C2102</f>
        <v>0</v>
      </c>
      <c r="G2102" s="421">
        <f>G2100*C2102</f>
        <v>0</v>
      </c>
      <c r="H2102" s="421">
        <f>H2100*C2102</f>
        <v>0</v>
      </c>
      <c r="I2102" s="421">
        <f>I2100*C2102</f>
        <v>0</v>
      </c>
      <c r="J2102" s="421">
        <f>J2100*C2102</f>
        <v>0</v>
      </c>
      <c r="K2102" s="424">
        <f t="shared" si="98"/>
        <v>0</v>
      </c>
    </row>
    <row r="2103" spans="2:13" ht="15" customHeight="1" x14ac:dyDescent="0.25">
      <c r="B2103" s="389"/>
      <c r="C2103" s="423"/>
      <c r="D2103" s="421">
        <f>D2100*C2103</f>
        <v>0</v>
      </c>
      <c r="E2103" s="421">
        <f>E2100*C2103</f>
        <v>0</v>
      </c>
      <c r="F2103" s="421">
        <f>F2100*C2103</f>
        <v>0</v>
      </c>
      <c r="G2103" s="421">
        <f>G2100*C2103</f>
        <v>0</v>
      </c>
      <c r="H2103" s="421">
        <f>H2100*C2103</f>
        <v>0</v>
      </c>
      <c r="I2103" s="421">
        <f>I2100*C2103</f>
        <v>0</v>
      </c>
      <c r="J2103" s="421">
        <f>J2100*C2103</f>
        <v>0</v>
      </c>
      <c r="K2103" s="424">
        <f t="shared" si="98"/>
        <v>0</v>
      </c>
    </row>
    <row r="2104" spans="2:13" ht="15" customHeight="1" x14ac:dyDescent="0.25">
      <c r="B2104" s="389"/>
      <c r="C2104" s="423"/>
      <c r="D2104" s="421">
        <f>D2100*C2104</f>
        <v>0</v>
      </c>
      <c r="E2104" s="421">
        <f>E2100*C2104</f>
        <v>0</v>
      </c>
      <c r="F2104" s="421">
        <f>F2100*C2104</f>
        <v>0</v>
      </c>
      <c r="G2104" s="421">
        <f>G2100*C2104</f>
        <v>0</v>
      </c>
      <c r="H2104" s="421">
        <f>H2100*C2104</f>
        <v>0</v>
      </c>
      <c r="I2104" s="421">
        <f>I2100*C2104</f>
        <v>0</v>
      </c>
      <c r="J2104" s="421">
        <f>J2100*C2104</f>
        <v>0</v>
      </c>
      <c r="K2104" s="424">
        <f t="shared" si="98"/>
        <v>0</v>
      </c>
    </row>
    <row r="2105" spans="2:13" ht="15" customHeight="1" x14ac:dyDescent="0.25">
      <c r="B2105" s="389"/>
      <c r="C2105" s="423"/>
      <c r="D2105" s="421">
        <f>D2100*C2105</f>
        <v>0</v>
      </c>
      <c r="E2105" s="421">
        <f>E2100*C2105</f>
        <v>0</v>
      </c>
      <c r="F2105" s="421">
        <f>F2100*C2105</f>
        <v>0</v>
      </c>
      <c r="G2105" s="421">
        <f>G2100*C2105</f>
        <v>0</v>
      </c>
      <c r="H2105" s="421">
        <f>H2100*C2105</f>
        <v>0</v>
      </c>
      <c r="I2105" s="421">
        <f>I2100*C2105</f>
        <v>0</v>
      </c>
      <c r="J2105" s="421">
        <f>J2100*C2105</f>
        <v>0</v>
      </c>
      <c r="K2105" s="424">
        <f t="shared" si="98"/>
        <v>0</v>
      </c>
    </row>
    <row r="2106" spans="2:13" ht="15" customHeight="1" thickBot="1" x14ac:dyDescent="0.3"/>
    <row r="2107" spans="2:13" ht="15" customHeight="1" thickBot="1" x14ac:dyDescent="0.3">
      <c r="B2107" s="432"/>
      <c r="C2107" s="411"/>
      <c r="D2107" s="407" t="s">
        <v>548</v>
      </c>
      <c r="E2107" s="408" t="s">
        <v>549</v>
      </c>
      <c r="F2107" s="408" t="s">
        <v>550</v>
      </c>
      <c r="G2107" s="408" t="s">
        <v>551</v>
      </c>
      <c r="H2107" s="408" t="s">
        <v>552</v>
      </c>
      <c r="I2107" s="408" t="s">
        <v>553</v>
      </c>
      <c r="J2107" s="408" t="s">
        <v>554</v>
      </c>
      <c r="K2107" s="408" t="s">
        <v>555</v>
      </c>
      <c r="M2107" s="414"/>
    </row>
    <row r="2108" spans="2:13" ht="15" customHeight="1" thickBot="1" x14ac:dyDescent="0.3">
      <c r="B2108" s="414" t="s">
        <v>556</v>
      </c>
      <c r="C2108" s="415" t="s">
        <v>620</v>
      </c>
      <c r="D2108" s="416">
        <f>IF(ISERROR(VLOOKUP(B2107,'MD Usage'!$A$1:$W$5000,3,FALSE)),0,VLOOKUP(B2107,'MD Usage'!$A$1:$W$5000,3,FALSE))</f>
        <v>0</v>
      </c>
      <c r="E2108" s="416">
        <f>IF(ISERROR(VLOOKUP(B2107,'MD Usage'!$A$1:$W$5000,5,FALSE)),0,VLOOKUP(B2107,'MD Usage'!$A$1:$W$5000,5,FALSE))</f>
        <v>0</v>
      </c>
      <c r="F2108" s="416">
        <f>IF(ISERROR(VLOOKUP(B2107,'MD Usage'!$A$1:$W$5000,7,FALSE)),0,VLOOKUP(B2107,'MD Usage'!$A$1:$W$5000,7,FALSE))</f>
        <v>0</v>
      </c>
      <c r="G2108" s="416">
        <f>IF(ISERROR(VLOOKUP(B2107,'MD Usage'!$A$1:$W$5000,9,FALSE)),0,VLOOKUP(B2107,'MD Usage'!$A$1:$W$5000,9,FALSE))</f>
        <v>0</v>
      </c>
      <c r="H2108" s="416">
        <f>IF(ISERROR(VLOOKUP(B2107,'MD Usage'!$A$1:$W$5000,11,FALSE)),0,VLOOKUP(B2107,'MD Usage'!$A$1:$W$5000,11,FALSE))</f>
        <v>0</v>
      </c>
      <c r="I2108" s="416">
        <f>IF(ISERROR(VLOOKUP(B2107,'MD Usage'!A1:R2000,13,FALSE)),0,VLOOKUP(B2107,'MD Usage'!A1:R2000,13,FALSE))</f>
        <v>0</v>
      </c>
      <c r="J2108" s="416">
        <f>IF(ISERROR(VLOOKUP(B2107,'MD Usage'!A1:R2000,15,FALSE)),0,VLOOKUP(B2107,'MD Usage'!A1:R2000,15,FALSE))</f>
        <v>0</v>
      </c>
      <c r="K2108" s="418">
        <f>SUM(D2108:J2108)</f>
        <v>0</v>
      </c>
    </row>
    <row r="2109" spans="2:13" ht="15" customHeight="1" x14ac:dyDescent="0.25">
      <c r="B2109" s="419"/>
      <c r="C2109" s="420"/>
      <c r="D2109" s="421">
        <f>D2108*C2109</f>
        <v>0</v>
      </c>
      <c r="E2109" s="421">
        <f>E2108*C2109</f>
        <v>0</v>
      </c>
      <c r="F2109" s="421">
        <f>F2108*C2109</f>
        <v>0</v>
      </c>
      <c r="G2109" s="421">
        <f>G2108*C2109</f>
        <v>0</v>
      </c>
      <c r="H2109" s="421">
        <f>H2108*C2109</f>
        <v>0</v>
      </c>
      <c r="I2109" s="421">
        <f>I2108*C2109</f>
        <v>0</v>
      </c>
      <c r="J2109" s="421">
        <f>J2108*C2109</f>
        <v>0</v>
      </c>
      <c r="K2109" s="422">
        <f>SUM(D2109:J2109)</f>
        <v>0</v>
      </c>
    </row>
    <row r="2110" spans="2:13" ht="15" customHeight="1" x14ac:dyDescent="0.25">
      <c r="B2110" s="389"/>
      <c r="C2110" s="423"/>
      <c r="D2110" s="421">
        <f>D2108*C2110</f>
        <v>0</v>
      </c>
      <c r="E2110" s="421">
        <f>E2108*C2110</f>
        <v>0</v>
      </c>
      <c r="F2110" s="421">
        <f>F2108*C2110</f>
        <v>0</v>
      </c>
      <c r="G2110" s="421">
        <f>G2108*C2110</f>
        <v>0</v>
      </c>
      <c r="H2110" s="421">
        <f>H2108*C2110</f>
        <v>0</v>
      </c>
      <c r="I2110" s="421">
        <f>I2108*C2110</f>
        <v>0</v>
      </c>
      <c r="J2110" s="421">
        <f>J2108*C2110</f>
        <v>0</v>
      </c>
      <c r="K2110" s="424">
        <f>SUM(D2110:J2110)</f>
        <v>0</v>
      </c>
    </row>
    <row r="2111" spans="2:13" ht="15" customHeight="1" x14ac:dyDescent="0.25">
      <c r="B2111" s="389"/>
      <c r="C2111" s="423"/>
      <c r="D2111" s="421">
        <f>D2108*C2111</f>
        <v>0</v>
      </c>
      <c r="E2111" s="421">
        <f>E2108*C2111</f>
        <v>0</v>
      </c>
      <c r="F2111" s="421">
        <f>F2108*C2111</f>
        <v>0</v>
      </c>
      <c r="G2111" s="421">
        <f>G2108*C2111</f>
        <v>0</v>
      </c>
      <c r="H2111" s="421">
        <f>H2108*C2111</f>
        <v>0</v>
      </c>
      <c r="I2111" s="421">
        <f>I2108*C2111</f>
        <v>0</v>
      </c>
      <c r="J2111" s="421">
        <f>J2108*C2111</f>
        <v>0</v>
      </c>
      <c r="K2111" s="424">
        <f>SUM(D2111:J2111)</f>
        <v>0</v>
      </c>
    </row>
    <row r="2112" spans="2:13" ht="15" customHeight="1" x14ac:dyDescent="0.25">
      <c r="B2112" s="389"/>
      <c r="C2112" s="423"/>
      <c r="D2112" s="421">
        <f>D2108*C2112</f>
        <v>0</v>
      </c>
      <c r="E2112" s="421">
        <f>E2108*C2112</f>
        <v>0</v>
      </c>
      <c r="F2112" s="421">
        <f>F2108*C2112</f>
        <v>0</v>
      </c>
      <c r="G2112" s="421">
        <f>G2108*C2112</f>
        <v>0</v>
      </c>
      <c r="H2112" s="421">
        <f>H2108*C2112</f>
        <v>0</v>
      </c>
      <c r="I2112" s="421">
        <f>I2108*C2112</f>
        <v>0</v>
      </c>
      <c r="J2112" s="421">
        <f>J2108*C2112</f>
        <v>0</v>
      </c>
      <c r="K2112" s="424">
        <f>SUM(D2112:J2112)</f>
        <v>0</v>
      </c>
    </row>
    <row r="2113" spans="2:13" ht="15" customHeight="1" thickBot="1" x14ac:dyDescent="0.3"/>
    <row r="2114" spans="2:13" ht="15" customHeight="1" thickBot="1" x14ac:dyDescent="0.3">
      <c r="B2114" s="432"/>
      <c r="C2114" s="411"/>
      <c r="D2114" s="407" t="s">
        <v>548</v>
      </c>
      <c r="E2114" s="408" t="s">
        <v>549</v>
      </c>
      <c r="F2114" s="408" t="s">
        <v>550</v>
      </c>
      <c r="G2114" s="408" t="s">
        <v>551</v>
      </c>
      <c r="H2114" s="408" t="s">
        <v>552</v>
      </c>
      <c r="I2114" s="408" t="s">
        <v>553</v>
      </c>
      <c r="J2114" s="408" t="s">
        <v>554</v>
      </c>
      <c r="K2114" s="408" t="s">
        <v>555</v>
      </c>
      <c r="M2114" s="414"/>
    </row>
    <row r="2115" spans="2:13" ht="15" customHeight="1" thickBot="1" x14ac:dyDescent="0.3">
      <c r="B2115" s="414" t="s">
        <v>556</v>
      </c>
      <c r="C2115" s="415" t="s">
        <v>620</v>
      </c>
      <c r="D2115" s="416">
        <f>IF(ISERROR(VLOOKUP(B2114,'MD Usage'!$A$1:$W$5000,3,FALSE)),0,VLOOKUP(B2114,'MD Usage'!$A$1:$W$5000,3,FALSE))</f>
        <v>0</v>
      </c>
      <c r="E2115" s="416">
        <f>IF(ISERROR(VLOOKUP(B2114,'MD Usage'!$A$1:$W$5000,5,FALSE)),0,VLOOKUP(B2114,'MD Usage'!$A$1:$W$5000,5,FALSE))</f>
        <v>0</v>
      </c>
      <c r="F2115" s="416">
        <f>IF(ISERROR(VLOOKUP(B2114,'MD Usage'!$A$1:$W$5000,7,FALSE)),0,VLOOKUP(B2114,'MD Usage'!$A$1:$W$5000,7,FALSE))</f>
        <v>0</v>
      </c>
      <c r="G2115" s="416">
        <f>IF(ISERROR(VLOOKUP(B2114,'MD Usage'!$A$1:$W$5000,9,FALSE)),0,VLOOKUP(B2114,'MD Usage'!$A$1:$W$5000,9,FALSE))</f>
        <v>0</v>
      </c>
      <c r="H2115" s="416">
        <f>IF(ISERROR(VLOOKUP(B2114,'MD Usage'!$A$1:$W$5000,11,FALSE)),0,VLOOKUP(B2114,'MD Usage'!$A$1:$W$5000,11,FALSE))</f>
        <v>0</v>
      </c>
      <c r="I2115" s="416">
        <f>IF(ISERROR(VLOOKUP(B2114,'MD Usage'!A1:R2000,13,FALSE)),0,VLOOKUP(B2114,'MD Usage'!A1:R2000,13,FALSE))</f>
        <v>0</v>
      </c>
      <c r="J2115" s="416">
        <f>IF(ISERROR(VLOOKUP(B2114,'MD Usage'!A1:R2000,15,FALSE)),0,VLOOKUP(B2114,'MD Usage'!A1:R2000,15,FALSE))</f>
        <v>0</v>
      </c>
      <c r="K2115" s="418">
        <f t="shared" ref="K2115:K2121" si="99">SUM(D2115:J2115)</f>
        <v>0</v>
      </c>
    </row>
    <row r="2116" spans="2:13" ht="15" customHeight="1" x14ac:dyDescent="0.25">
      <c r="B2116" s="419"/>
      <c r="C2116" s="420"/>
      <c r="D2116" s="421">
        <f>D2115*C2116</f>
        <v>0</v>
      </c>
      <c r="E2116" s="421">
        <f>E2115*C2116</f>
        <v>0</v>
      </c>
      <c r="F2116" s="421">
        <f>F2115*C2116</f>
        <v>0</v>
      </c>
      <c r="G2116" s="421">
        <f>G2115*C2116</f>
        <v>0</v>
      </c>
      <c r="H2116" s="421">
        <f>H2115*C2116</f>
        <v>0</v>
      </c>
      <c r="I2116" s="421">
        <f>I2115*C2116</f>
        <v>0</v>
      </c>
      <c r="J2116" s="421">
        <f>J2115*C2116</f>
        <v>0</v>
      </c>
      <c r="K2116" s="422">
        <f t="shared" si="99"/>
        <v>0</v>
      </c>
    </row>
    <row r="2117" spans="2:13" ht="15" customHeight="1" x14ac:dyDescent="0.25">
      <c r="B2117" s="389"/>
      <c r="C2117" s="423"/>
      <c r="D2117" s="421">
        <f>D2115*C2117</f>
        <v>0</v>
      </c>
      <c r="E2117" s="421">
        <f>E2115*C2117</f>
        <v>0</v>
      </c>
      <c r="F2117" s="421">
        <f>F2115*C2117</f>
        <v>0</v>
      </c>
      <c r="G2117" s="421">
        <f>G2115*C2117</f>
        <v>0</v>
      </c>
      <c r="H2117" s="421">
        <f>H2115*C2117</f>
        <v>0</v>
      </c>
      <c r="I2117" s="421">
        <f>I2115*C2117</f>
        <v>0</v>
      </c>
      <c r="J2117" s="421">
        <f>J2115*C2117</f>
        <v>0</v>
      </c>
      <c r="K2117" s="424">
        <f t="shared" si="99"/>
        <v>0</v>
      </c>
    </row>
    <row r="2118" spans="2:13" ht="15" customHeight="1" x14ac:dyDescent="0.25">
      <c r="B2118" s="389"/>
      <c r="C2118" s="423"/>
      <c r="D2118" s="421">
        <f>D2115*C2118</f>
        <v>0</v>
      </c>
      <c r="E2118" s="421">
        <f>E2115*C2118</f>
        <v>0</v>
      </c>
      <c r="F2118" s="421">
        <f>F2115*C2118</f>
        <v>0</v>
      </c>
      <c r="G2118" s="421">
        <f>G2115*C2118</f>
        <v>0</v>
      </c>
      <c r="H2118" s="421">
        <f>H2115*C2118</f>
        <v>0</v>
      </c>
      <c r="I2118" s="421">
        <f>I2115*C2118</f>
        <v>0</v>
      </c>
      <c r="J2118" s="421">
        <f>J2115*C2118</f>
        <v>0</v>
      </c>
      <c r="K2118" s="424">
        <f t="shared" si="99"/>
        <v>0</v>
      </c>
    </row>
    <row r="2119" spans="2:13" ht="15" customHeight="1" x14ac:dyDescent="0.25">
      <c r="B2119" s="389"/>
      <c r="C2119" s="423"/>
      <c r="D2119" s="421">
        <f>D2115*C2119</f>
        <v>0</v>
      </c>
      <c r="E2119" s="421">
        <f>E2115*C2119</f>
        <v>0</v>
      </c>
      <c r="F2119" s="421">
        <f>F2115*C2119</f>
        <v>0</v>
      </c>
      <c r="G2119" s="421">
        <f>G2115*C2119</f>
        <v>0</v>
      </c>
      <c r="H2119" s="421">
        <f>H2115*C2119</f>
        <v>0</v>
      </c>
      <c r="I2119" s="421">
        <f>I2115*C2119</f>
        <v>0</v>
      </c>
      <c r="J2119" s="421">
        <f>J2115*C2119</f>
        <v>0</v>
      </c>
      <c r="K2119" s="424">
        <f t="shared" si="99"/>
        <v>0</v>
      </c>
    </row>
    <row r="2120" spans="2:13" ht="15" customHeight="1" x14ac:dyDescent="0.25">
      <c r="B2120" s="389"/>
      <c r="C2120" s="423"/>
      <c r="D2120" s="421">
        <f>D2115*C2120</f>
        <v>0</v>
      </c>
      <c r="E2120" s="421">
        <f>E2115*C2120</f>
        <v>0</v>
      </c>
      <c r="F2120" s="421">
        <f>F2115*C2120</f>
        <v>0</v>
      </c>
      <c r="G2120" s="421">
        <f>G2115*C2120</f>
        <v>0</v>
      </c>
      <c r="H2120" s="421">
        <f>H2115*C2120</f>
        <v>0</v>
      </c>
      <c r="I2120" s="421">
        <f>I2115*C2120</f>
        <v>0</v>
      </c>
      <c r="J2120" s="421">
        <f>J2115*C2120</f>
        <v>0</v>
      </c>
      <c r="K2120" s="424">
        <f t="shared" si="99"/>
        <v>0</v>
      </c>
    </row>
    <row r="2121" spans="2:13" ht="15" customHeight="1" x14ac:dyDescent="0.25">
      <c r="B2121" s="389"/>
      <c r="C2121" s="423"/>
      <c r="D2121" s="421">
        <f>D2115*C2121</f>
        <v>0</v>
      </c>
      <c r="E2121" s="421">
        <f>E2115*C2121</f>
        <v>0</v>
      </c>
      <c r="F2121" s="421">
        <f>F2115*C2121</f>
        <v>0</v>
      </c>
      <c r="G2121" s="421">
        <f>G2115*C2121</f>
        <v>0</v>
      </c>
      <c r="H2121" s="421">
        <f>H2115*C2121</f>
        <v>0</v>
      </c>
      <c r="I2121" s="421">
        <f>I2115*C2121</f>
        <v>0</v>
      </c>
      <c r="J2121" s="421">
        <f>J2115*C2121</f>
        <v>0</v>
      </c>
      <c r="K2121" s="424">
        <f t="shared" si="99"/>
        <v>0</v>
      </c>
    </row>
    <row r="2122" spans="2:13" ht="15" customHeight="1" thickBot="1" x14ac:dyDescent="0.3"/>
    <row r="2123" spans="2:13" ht="15" customHeight="1" thickBot="1" x14ac:dyDescent="0.3">
      <c r="B2123" s="414"/>
      <c r="C2123" s="411"/>
      <c r="D2123" s="407" t="s">
        <v>548</v>
      </c>
      <c r="E2123" s="408" t="s">
        <v>549</v>
      </c>
      <c r="F2123" s="408" t="s">
        <v>550</v>
      </c>
      <c r="G2123" s="408" t="s">
        <v>551</v>
      </c>
      <c r="H2123" s="408" t="s">
        <v>552</v>
      </c>
      <c r="I2123" s="408" t="s">
        <v>553</v>
      </c>
      <c r="J2123" s="408" t="s">
        <v>554</v>
      </c>
      <c r="K2123" s="408" t="s">
        <v>555</v>
      </c>
    </row>
    <row r="2124" spans="2:13" ht="15" customHeight="1" thickBot="1" x14ac:dyDescent="0.3">
      <c r="B2124" s="429" t="s">
        <v>556</v>
      </c>
      <c r="C2124" s="415" t="s">
        <v>620</v>
      </c>
      <c r="D2124" s="416">
        <f>IF(ISERROR(VLOOKUP(B2123,'MD Usage'!$A$1:$W$5000,3,FALSE)),0,VLOOKUP(B2123,'MD Usage'!$A$1:$W$5000,3,FALSE))</f>
        <v>0</v>
      </c>
      <c r="E2124" s="416">
        <f>IF(ISERROR(VLOOKUP(B2123,'MD Usage'!$A$1:$W$5000,5,FALSE)),0,VLOOKUP(B2123,'MD Usage'!$A$1:$W$5000,5,FALSE))</f>
        <v>0</v>
      </c>
      <c r="F2124" s="416">
        <f>IF(ISERROR(VLOOKUP(B2123,'MD Usage'!$A$1:$W$5000,7,FALSE)),0,VLOOKUP(B2123,'MD Usage'!$A$1:$W$5000,7,FALSE))</f>
        <v>0</v>
      </c>
      <c r="G2124" s="416">
        <f>IF(ISERROR(VLOOKUP(B2123,'MD Usage'!$A$1:$W$5000,9,FALSE)),0,VLOOKUP(B2123,'MD Usage'!$A$1:$W$5000,9,FALSE))</f>
        <v>0</v>
      </c>
      <c r="H2124" s="416">
        <f>IF(ISERROR(VLOOKUP(B2123,'MD Usage'!$A$1:$W$5000,11,FALSE)),0,VLOOKUP(B2123,'MD Usage'!$A$1:$W$5000,11,FALSE))</f>
        <v>0</v>
      </c>
      <c r="I2124" s="416">
        <f>IF(ISERROR(VLOOKUP(B2123,'MD Usage'!A1:R2000,13,FALSE)),0,VLOOKUP(B2123,'MD Usage'!A1:R2000,13,FALSE))</f>
        <v>0</v>
      </c>
      <c r="J2124" s="416">
        <f>IF(ISERROR(VLOOKUP(B2123,'MD Usage'!A1:R2000,15,FALSE)),0,VLOOKUP(B2123,'MD Usage'!A1:R2000,15,FALSE))</f>
        <v>0</v>
      </c>
      <c r="K2124" s="418">
        <f>SUM(D2124:J2124)</f>
        <v>0</v>
      </c>
    </row>
    <row r="2125" spans="2:13" ht="15" customHeight="1" x14ac:dyDescent="0.25">
      <c r="B2125" s="391"/>
      <c r="C2125" s="430"/>
      <c r="D2125" s="421">
        <f>D2124*C2125</f>
        <v>0</v>
      </c>
      <c r="E2125" s="421">
        <f>E2124*C2125</f>
        <v>0</v>
      </c>
      <c r="F2125" s="421">
        <f>F2124*C2125</f>
        <v>0</v>
      </c>
      <c r="G2125" s="421">
        <f>G2124*C2125</f>
        <v>0</v>
      </c>
      <c r="H2125" s="421">
        <f>H2124*C2125</f>
        <v>0</v>
      </c>
      <c r="I2125" s="421">
        <f>I2124*C2125</f>
        <v>0</v>
      </c>
      <c r="J2125" s="421">
        <f>J2124*C2125</f>
        <v>0</v>
      </c>
      <c r="K2125" s="422">
        <f>SUM(D2125:J2125)</f>
        <v>0</v>
      </c>
    </row>
    <row r="2126" spans="2:13" ht="15" customHeight="1" x14ac:dyDescent="0.25">
      <c r="B2126" s="450"/>
      <c r="C2126" s="431"/>
      <c r="D2126" s="421">
        <f>D2124*C2126</f>
        <v>0</v>
      </c>
      <c r="E2126" s="421">
        <f>E2124*C2126</f>
        <v>0</v>
      </c>
      <c r="F2126" s="421">
        <f>F2124*C2126</f>
        <v>0</v>
      </c>
      <c r="G2126" s="421">
        <f>G2124*C2126</f>
        <v>0</v>
      </c>
      <c r="H2126" s="421">
        <f>H2124*C2126</f>
        <v>0</v>
      </c>
      <c r="I2126" s="421">
        <f>I2124*C2126</f>
        <v>0</v>
      </c>
      <c r="J2126" s="421">
        <f>J2124*C2126</f>
        <v>0</v>
      </c>
      <c r="K2126" s="424">
        <f>SUM(D2126:J2126)</f>
        <v>0</v>
      </c>
    </row>
    <row r="2127" spans="2:13" ht="15" customHeight="1" x14ac:dyDescent="0.25">
      <c r="B2127" s="391"/>
      <c r="C2127" s="431"/>
      <c r="D2127" s="421">
        <f>D2124*C2127</f>
        <v>0</v>
      </c>
      <c r="E2127" s="421">
        <f>E2124*C2127</f>
        <v>0</v>
      </c>
      <c r="F2127" s="421">
        <f>F2124*C2127</f>
        <v>0</v>
      </c>
      <c r="G2127" s="421">
        <f>G2124*C2127</f>
        <v>0</v>
      </c>
      <c r="H2127" s="421">
        <f>H2124*C2127</f>
        <v>0</v>
      </c>
      <c r="I2127" s="421">
        <f>I2124*C2127</f>
        <v>0</v>
      </c>
      <c r="J2127" s="421">
        <f>J2124*C2127</f>
        <v>0</v>
      </c>
      <c r="K2127" s="424">
        <f>SUM(D2127:J2127)</f>
        <v>0</v>
      </c>
    </row>
    <row r="2128" spans="2:13" ht="15" customHeight="1" x14ac:dyDescent="0.25">
      <c r="B2128" s="391"/>
      <c r="C2128" s="431"/>
      <c r="D2128" s="421">
        <f>D2124*C2128</f>
        <v>0</v>
      </c>
      <c r="E2128" s="421">
        <f>E2124*C2128</f>
        <v>0</v>
      </c>
      <c r="F2128" s="421">
        <f>F2124*C2128</f>
        <v>0</v>
      </c>
      <c r="G2128" s="421">
        <f>G2124*C2128</f>
        <v>0</v>
      </c>
      <c r="H2128" s="421">
        <f>H2124*C2128</f>
        <v>0</v>
      </c>
      <c r="I2128" s="421">
        <f>I2124*C2128</f>
        <v>0</v>
      </c>
      <c r="J2128" s="421">
        <f>J2124*C2128</f>
        <v>0</v>
      </c>
      <c r="K2128" s="424">
        <f>SUM(D2128:J2128)</f>
        <v>0</v>
      </c>
    </row>
    <row r="2129" spans="2:13" ht="15" customHeight="1" thickBot="1" x14ac:dyDescent="0.3"/>
    <row r="2130" spans="2:13" ht="15" customHeight="1" thickBot="1" x14ac:dyDescent="0.3">
      <c r="B2130" s="414"/>
      <c r="C2130" s="411"/>
      <c r="D2130" s="407" t="s">
        <v>548</v>
      </c>
      <c r="E2130" s="408" t="s">
        <v>549</v>
      </c>
      <c r="F2130" s="408" t="s">
        <v>550</v>
      </c>
      <c r="G2130" s="408" t="s">
        <v>551</v>
      </c>
      <c r="H2130" s="408" t="s">
        <v>552</v>
      </c>
      <c r="I2130" s="408" t="s">
        <v>553</v>
      </c>
      <c r="J2130" s="408" t="s">
        <v>554</v>
      </c>
      <c r="K2130" s="408" t="s">
        <v>555</v>
      </c>
    </row>
    <row r="2131" spans="2:13" ht="15" customHeight="1" thickBot="1" x14ac:dyDescent="0.3">
      <c r="B2131" s="414" t="s">
        <v>556</v>
      </c>
      <c r="C2131" s="415" t="s">
        <v>620</v>
      </c>
      <c r="D2131" s="416">
        <f>IF(ISERROR(VLOOKUP(B2130,'MD Usage'!$A$1:$W$5000,3,FALSE)),0,VLOOKUP(B2130,'MD Usage'!$A$1:$W$5000,3,FALSE))</f>
        <v>0</v>
      </c>
      <c r="E2131" s="416">
        <f>IF(ISERROR(VLOOKUP(B2130,'MD Usage'!$A$1:$W$5000,5,FALSE)),0,VLOOKUP(B2130,'MD Usage'!$A$1:$W$5000,5,FALSE))</f>
        <v>0</v>
      </c>
      <c r="F2131" s="416">
        <f>IF(ISERROR(VLOOKUP(B2130,'MD Usage'!$A$1:$W$5000,7,FALSE)),0,VLOOKUP(B2130,'MD Usage'!$A$1:$W$5000,7,FALSE))</f>
        <v>0</v>
      </c>
      <c r="G2131" s="416">
        <f>IF(ISERROR(VLOOKUP(B2130,'MD Usage'!$A$1:$W$5000,9,FALSE)),0,VLOOKUP(B2130,'MD Usage'!$A$1:$W$5000,9,FALSE))</f>
        <v>0</v>
      </c>
      <c r="H2131" s="416">
        <f>IF(ISERROR(VLOOKUP(B2130,'MD Usage'!$A$1:$W$5000,11,FALSE)),0,VLOOKUP(B2130,'MD Usage'!$A$1:$W$5000,11,FALSE))</f>
        <v>0</v>
      </c>
      <c r="I2131" s="416">
        <f>IF(ISERROR(VLOOKUP(B2130,'MD Usage'!A1:R2000,13,FALSE)),0,VLOOKUP(B2130,'MD Usage'!A1:R2000,13,FALSE))</f>
        <v>0</v>
      </c>
      <c r="J2131" s="416">
        <f>IF(ISERROR(VLOOKUP(B2130,'MD Usage'!A1:R2000,15,FALSE)),0,VLOOKUP(B2130,'MD Usage'!A1:R2000,15,FALSE))</f>
        <v>0</v>
      </c>
      <c r="K2131" s="418">
        <f t="shared" ref="K2131:K2137" si="100">SUM(D2131:J2131)</f>
        <v>0</v>
      </c>
    </row>
    <row r="2132" spans="2:13" ht="15" customHeight="1" x14ac:dyDescent="0.25">
      <c r="B2132" s="419"/>
      <c r="C2132" s="420"/>
      <c r="D2132" s="421">
        <f>D2131*C2132</f>
        <v>0</v>
      </c>
      <c r="E2132" s="421">
        <f>E2131*C2132</f>
        <v>0</v>
      </c>
      <c r="F2132" s="421">
        <f>F2131*C2132</f>
        <v>0</v>
      </c>
      <c r="G2132" s="421">
        <f>G2131*C2132</f>
        <v>0</v>
      </c>
      <c r="H2132" s="421">
        <f>H2131*C2132</f>
        <v>0</v>
      </c>
      <c r="I2132" s="421">
        <f>I2131*C2132</f>
        <v>0</v>
      </c>
      <c r="J2132" s="421">
        <f>J2131*C2132</f>
        <v>0</v>
      </c>
      <c r="K2132" s="422">
        <f t="shared" si="100"/>
        <v>0</v>
      </c>
    </row>
    <row r="2133" spans="2:13" ht="15" customHeight="1" x14ac:dyDescent="0.25">
      <c r="B2133" s="389"/>
      <c r="C2133" s="423"/>
      <c r="D2133" s="421">
        <f>D2131*C2133</f>
        <v>0</v>
      </c>
      <c r="E2133" s="421">
        <f>E2131*C2133</f>
        <v>0</v>
      </c>
      <c r="F2133" s="421">
        <f>F2131*C2133</f>
        <v>0</v>
      </c>
      <c r="G2133" s="421">
        <f>G2131*C2133</f>
        <v>0</v>
      </c>
      <c r="H2133" s="421">
        <f>H2131*C2133</f>
        <v>0</v>
      </c>
      <c r="I2133" s="421">
        <f>I2131*C2133</f>
        <v>0</v>
      </c>
      <c r="J2133" s="421">
        <f>J2131*C2133</f>
        <v>0</v>
      </c>
      <c r="K2133" s="424">
        <f t="shared" si="100"/>
        <v>0</v>
      </c>
    </row>
    <row r="2134" spans="2:13" ht="15" customHeight="1" x14ac:dyDescent="0.25">
      <c r="B2134" s="389"/>
      <c r="C2134" s="423"/>
      <c r="D2134" s="421">
        <f>D2131*C2134</f>
        <v>0</v>
      </c>
      <c r="E2134" s="421">
        <f>E2131*C2134</f>
        <v>0</v>
      </c>
      <c r="F2134" s="421">
        <f>F2131*C2134</f>
        <v>0</v>
      </c>
      <c r="G2134" s="421">
        <f>G2131*C2134</f>
        <v>0</v>
      </c>
      <c r="H2134" s="421">
        <f>H2131*C2134</f>
        <v>0</v>
      </c>
      <c r="I2134" s="421">
        <f>I2131*C2134</f>
        <v>0</v>
      </c>
      <c r="J2134" s="421">
        <f>J2131*C2134</f>
        <v>0</v>
      </c>
      <c r="K2134" s="424">
        <f t="shared" si="100"/>
        <v>0</v>
      </c>
    </row>
    <row r="2135" spans="2:13" ht="15" customHeight="1" x14ac:dyDescent="0.25">
      <c r="B2135" s="389"/>
      <c r="C2135" s="423"/>
      <c r="D2135" s="421">
        <f>D2131*C2135</f>
        <v>0</v>
      </c>
      <c r="E2135" s="421">
        <f>E2131*C2135</f>
        <v>0</v>
      </c>
      <c r="F2135" s="421">
        <f>F2131*C2135</f>
        <v>0</v>
      </c>
      <c r="G2135" s="421">
        <f>G2131*C2135</f>
        <v>0</v>
      </c>
      <c r="H2135" s="421">
        <f>H2131*C2135</f>
        <v>0</v>
      </c>
      <c r="I2135" s="421">
        <f>I2131*C2135</f>
        <v>0</v>
      </c>
      <c r="J2135" s="421">
        <f>J2131*C2135</f>
        <v>0</v>
      </c>
      <c r="K2135" s="424">
        <f t="shared" si="100"/>
        <v>0</v>
      </c>
    </row>
    <row r="2136" spans="2:13" ht="15" customHeight="1" x14ac:dyDescent="0.25">
      <c r="B2136" s="389"/>
      <c r="C2136" s="423"/>
      <c r="D2136" s="421">
        <f>D2131*C2136</f>
        <v>0</v>
      </c>
      <c r="E2136" s="421">
        <f>E2131*C2136</f>
        <v>0</v>
      </c>
      <c r="F2136" s="421">
        <f>F2131*C2136</f>
        <v>0</v>
      </c>
      <c r="G2136" s="421">
        <f>G2131*C2136</f>
        <v>0</v>
      </c>
      <c r="H2136" s="421">
        <f>H2131*C2136</f>
        <v>0</v>
      </c>
      <c r="I2136" s="421">
        <f>I2131*C2136</f>
        <v>0</v>
      </c>
      <c r="J2136" s="421">
        <f>J2131*C2136</f>
        <v>0</v>
      </c>
      <c r="K2136" s="424">
        <f t="shared" si="100"/>
        <v>0</v>
      </c>
    </row>
    <row r="2137" spans="2:13" ht="15" customHeight="1" x14ac:dyDescent="0.25">
      <c r="B2137" s="389"/>
      <c r="C2137" s="423"/>
      <c r="D2137" s="421">
        <f>D2131*C2137</f>
        <v>0</v>
      </c>
      <c r="E2137" s="421">
        <f>E2131*C2137</f>
        <v>0</v>
      </c>
      <c r="F2137" s="421">
        <f>F2131*C2137</f>
        <v>0</v>
      </c>
      <c r="G2137" s="421">
        <f>G2131*C2137</f>
        <v>0</v>
      </c>
      <c r="H2137" s="421">
        <f>H2131*C2137</f>
        <v>0</v>
      </c>
      <c r="I2137" s="421">
        <f>I2131*C2137</f>
        <v>0</v>
      </c>
      <c r="J2137" s="421">
        <f>J2131*C2137</f>
        <v>0</v>
      </c>
      <c r="K2137" s="424">
        <f t="shared" si="100"/>
        <v>0</v>
      </c>
    </row>
    <row r="2139" spans="2:13" ht="15" customHeight="1" thickBot="1" x14ac:dyDescent="0.3"/>
    <row r="2140" spans="2:13" ht="15" customHeight="1" thickBot="1" x14ac:dyDescent="0.3">
      <c r="B2140" s="432"/>
      <c r="C2140" s="411"/>
      <c r="D2140" s="407" t="s">
        <v>548</v>
      </c>
      <c r="E2140" s="408" t="s">
        <v>549</v>
      </c>
      <c r="F2140" s="408" t="s">
        <v>550</v>
      </c>
      <c r="G2140" s="408" t="s">
        <v>551</v>
      </c>
      <c r="H2140" s="408" t="s">
        <v>552</v>
      </c>
      <c r="I2140" s="408" t="s">
        <v>553</v>
      </c>
      <c r="J2140" s="408" t="s">
        <v>554</v>
      </c>
      <c r="K2140" s="408" t="s">
        <v>555</v>
      </c>
      <c r="M2140" s="414"/>
    </row>
    <row r="2141" spans="2:13" ht="15" customHeight="1" thickBot="1" x14ac:dyDescent="0.3">
      <c r="B2141" s="414" t="s">
        <v>556</v>
      </c>
      <c r="C2141" s="415" t="s">
        <v>620</v>
      </c>
      <c r="D2141" s="416">
        <f>IF(ISERROR(VLOOKUP(B2140,'MD Usage'!$A$1:$W$5000,3,FALSE)),0,VLOOKUP(B2140,'MD Usage'!$A$1:$W$5000,3,FALSE))</f>
        <v>0</v>
      </c>
      <c r="E2141" s="416">
        <f>IF(ISERROR(VLOOKUP(B2140,'MD Usage'!$A$1:$W$5000,5,FALSE)),0,VLOOKUP(B2140,'MD Usage'!$A$1:$W$5000,5,FALSE))</f>
        <v>0</v>
      </c>
      <c r="F2141" s="416">
        <f>IF(ISERROR(VLOOKUP(B2140,'MD Usage'!$A$1:$W$5000,7,FALSE)),0,VLOOKUP(B2140,'MD Usage'!$A$1:$W$5000,7,FALSE))</f>
        <v>0</v>
      </c>
      <c r="G2141" s="416">
        <f>IF(ISERROR(VLOOKUP(B2140,'MD Usage'!$A$1:$W$5000,9,FALSE)),0,VLOOKUP(B2140,'MD Usage'!$A$1:$W$5000,9,FALSE))</f>
        <v>0</v>
      </c>
      <c r="H2141" s="416">
        <f>IF(ISERROR(VLOOKUP(B2140,'MD Usage'!$A$1:$W$5000,11,FALSE)),0,VLOOKUP(B2140,'MD Usage'!$A$1:$W$5000,11,FALSE))</f>
        <v>0</v>
      </c>
      <c r="I2141" s="416">
        <f>IF(ISERROR(VLOOKUP(B2140,'MD Usage'!A1:R2000,13,FALSE)),0,VLOOKUP(B2140,'MD Usage'!A1:R2000,13,FALSE))</f>
        <v>0</v>
      </c>
      <c r="J2141" s="416">
        <f>IF(ISERROR(VLOOKUP(B2140,'MD Usage'!A1:R2000,15,FALSE)),0,VLOOKUP(B2140,'MD Usage'!A1:R2000,15,FALSE))</f>
        <v>0</v>
      </c>
      <c r="K2141" s="418">
        <f t="shared" ref="K2141:K2147" si="101">SUM(D2141:J2141)</f>
        <v>0</v>
      </c>
    </row>
    <row r="2142" spans="2:13" ht="15" customHeight="1" x14ac:dyDescent="0.25">
      <c r="B2142" s="419"/>
      <c r="C2142" s="420"/>
      <c r="D2142" s="421">
        <f>D2141*C2142</f>
        <v>0</v>
      </c>
      <c r="E2142" s="421">
        <f>E2141*C2142</f>
        <v>0</v>
      </c>
      <c r="F2142" s="421">
        <f>F2141*C2142</f>
        <v>0</v>
      </c>
      <c r="G2142" s="421">
        <f>G2141*C2142</f>
        <v>0</v>
      </c>
      <c r="H2142" s="421">
        <f>H2141*C2142</f>
        <v>0</v>
      </c>
      <c r="I2142" s="421">
        <f>I2141*C2142</f>
        <v>0</v>
      </c>
      <c r="J2142" s="421">
        <f>J2141*C2142</f>
        <v>0</v>
      </c>
      <c r="K2142" s="422">
        <f t="shared" si="101"/>
        <v>0</v>
      </c>
    </row>
    <row r="2143" spans="2:13" ht="15" customHeight="1" x14ac:dyDescent="0.25">
      <c r="B2143" s="389"/>
      <c r="C2143" s="423"/>
      <c r="D2143" s="421">
        <f>D2141*C2143</f>
        <v>0</v>
      </c>
      <c r="E2143" s="421">
        <f>E2141*C2143</f>
        <v>0</v>
      </c>
      <c r="F2143" s="421">
        <f>F2141*C2143</f>
        <v>0</v>
      </c>
      <c r="G2143" s="421">
        <f>G2141*C2143</f>
        <v>0</v>
      </c>
      <c r="H2143" s="421">
        <f>H2141*C2143</f>
        <v>0</v>
      </c>
      <c r="I2143" s="421">
        <f>I2141*C2143</f>
        <v>0</v>
      </c>
      <c r="J2143" s="421">
        <f>J2141*C2143</f>
        <v>0</v>
      </c>
      <c r="K2143" s="424">
        <f t="shared" si="101"/>
        <v>0</v>
      </c>
    </row>
    <row r="2144" spans="2:13" ht="15" customHeight="1" x14ac:dyDescent="0.25">
      <c r="B2144" s="389"/>
      <c r="C2144" s="423"/>
      <c r="D2144" s="421">
        <f>D2141*C2144</f>
        <v>0</v>
      </c>
      <c r="E2144" s="421">
        <f>E2141*C2144</f>
        <v>0</v>
      </c>
      <c r="F2144" s="421">
        <f>F2141*C2144</f>
        <v>0</v>
      </c>
      <c r="G2144" s="421">
        <f>G2141*C2144</f>
        <v>0</v>
      </c>
      <c r="H2144" s="421">
        <f>H2141*C2144</f>
        <v>0</v>
      </c>
      <c r="I2144" s="421">
        <f>I2141*C2144</f>
        <v>0</v>
      </c>
      <c r="J2144" s="421">
        <f>J2141*C2144</f>
        <v>0</v>
      </c>
      <c r="K2144" s="424">
        <f t="shared" si="101"/>
        <v>0</v>
      </c>
    </row>
    <row r="2145" spans="2:13" ht="15" customHeight="1" x14ac:dyDescent="0.25">
      <c r="B2145" s="389"/>
      <c r="C2145" s="423"/>
      <c r="D2145" s="421">
        <f>D2141*C2145</f>
        <v>0</v>
      </c>
      <c r="E2145" s="421">
        <f>E2141*C2145</f>
        <v>0</v>
      </c>
      <c r="F2145" s="421">
        <f>F2141*C2145</f>
        <v>0</v>
      </c>
      <c r="G2145" s="421">
        <f>G2141*C2145</f>
        <v>0</v>
      </c>
      <c r="H2145" s="421">
        <f>H2141*C2145</f>
        <v>0</v>
      </c>
      <c r="I2145" s="421">
        <f>I2141*C2145</f>
        <v>0</v>
      </c>
      <c r="J2145" s="421">
        <f>J2141*C2145</f>
        <v>0</v>
      </c>
      <c r="K2145" s="424">
        <f t="shared" si="101"/>
        <v>0</v>
      </c>
    </row>
    <row r="2146" spans="2:13" ht="15" customHeight="1" x14ac:dyDescent="0.25">
      <c r="B2146" s="389"/>
      <c r="C2146" s="423"/>
      <c r="D2146" s="421">
        <f>D2141*C2146</f>
        <v>0</v>
      </c>
      <c r="E2146" s="421">
        <f>E2141*C2146</f>
        <v>0</v>
      </c>
      <c r="F2146" s="421">
        <f>F2141*C2146</f>
        <v>0</v>
      </c>
      <c r="G2146" s="421">
        <f>G2141*C2146</f>
        <v>0</v>
      </c>
      <c r="H2146" s="421">
        <f>H2141*C2146</f>
        <v>0</v>
      </c>
      <c r="I2146" s="421">
        <f>I2141*C2146</f>
        <v>0</v>
      </c>
      <c r="J2146" s="421">
        <f>J2141*C2146</f>
        <v>0</v>
      </c>
      <c r="K2146" s="424">
        <f t="shared" si="101"/>
        <v>0</v>
      </c>
    </row>
    <row r="2147" spans="2:13" ht="15" customHeight="1" x14ac:dyDescent="0.25">
      <c r="B2147" s="389"/>
      <c r="C2147" s="423"/>
      <c r="D2147" s="421">
        <f>D2141*C2147</f>
        <v>0</v>
      </c>
      <c r="E2147" s="421">
        <f>E2141*C2147</f>
        <v>0</v>
      </c>
      <c r="F2147" s="421">
        <f>F2141*C2147</f>
        <v>0</v>
      </c>
      <c r="G2147" s="421">
        <f>G2141*C2147</f>
        <v>0</v>
      </c>
      <c r="H2147" s="421">
        <f>H2141*C2147</f>
        <v>0</v>
      </c>
      <c r="I2147" s="421">
        <f>I2141*C2147</f>
        <v>0</v>
      </c>
      <c r="J2147" s="421">
        <f>J2141*C2147</f>
        <v>0</v>
      </c>
      <c r="K2147" s="424">
        <f t="shared" si="101"/>
        <v>0</v>
      </c>
    </row>
    <row r="2149" spans="2:13" ht="15" customHeight="1" thickBot="1" x14ac:dyDescent="0.3"/>
    <row r="2150" spans="2:13" ht="15" customHeight="1" thickBot="1" x14ac:dyDescent="0.3">
      <c r="B2150" s="432"/>
      <c r="C2150" s="411"/>
      <c r="D2150" s="407" t="s">
        <v>548</v>
      </c>
      <c r="E2150" s="408" t="s">
        <v>549</v>
      </c>
      <c r="F2150" s="408" t="s">
        <v>550</v>
      </c>
      <c r="G2150" s="408" t="s">
        <v>551</v>
      </c>
      <c r="H2150" s="408" t="s">
        <v>552</v>
      </c>
      <c r="I2150" s="408" t="s">
        <v>553</v>
      </c>
      <c r="J2150" s="408" t="s">
        <v>554</v>
      </c>
      <c r="K2150" s="408" t="s">
        <v>555</v>
      </c>
      <c r="M2150" s="426"/>
    </row>
    <row r="2151" spans="2:13" ht="15" customHeight="1" thickBot="1" x14ac:dyDescent="0.3">
      <c r="B2151" s="414" t="s">
        <v>556</v>
      </c>
      <c r="C2151" s="415" t="s">
        <v>620</v>
      </c>
      <c r="D2151" s="416">
        <f>IF(ISERROR(VLOOKUP(B2150,'MD Usage'!$A$1:$W$5000,3,FALSE)),0,VLOOKUP(B2150,'MD Usage'!$A$1:$W$5000,3,FALSE))</f>
        <v>0</v>
      </c>
      <c r="E2151" s="416">
        <f>IF(ISERROR(VLOOKUP(B2150,'MD Usage'!$A$1:$W$5000,5,FALSE)),0,VLOOKUP(B2150,'MD Usage'!$A$1:$W$5000,5,FALSE))</f>
        <v>0</v>
      </c>
      <c r="F2151" s="416">
        <f>IF(ISERROR(VLOOKUP(B2150,'MD Usage'!$A$1:$W$5000,7,FALSE)),0,VLOOKUP(B2150,'MD Usage'!$A$1:$W$5000,7,FALSE))</f>
        <v>0</v>
      </c>
      <c r="G2151" s="416">
        <f>IF(ISERROR(VLOOKUP(B2150,'MD Usage'!$A$1:$W$5000,9,FALSE)),0,VLOOKUP(B2150,'MD Usage'!$A$1:$W$5000,9,FALSE))</f>
        <v>0</v>
      </c>
      <c r="H2151" s="416">
        <f>IF(ISERROR(VLOOKUP(B2150,'MD Usage'!$A$1:$W$5000,11,FALSE)),0,VLOOKUP(B2150,'MD Usage'!$A$1:$W$5000,11,FALSE))</f>
        <v>0</v>
      </c>
      <c r="I2151" s="416">
        <f>IF(ISERROR(VLOOKUP(B2150,'MD Usage'!A1:R2000,13,FALSE)),0,VLOOKUP(B2150,'MD Usage'!A1:R2000,13,FALSE))</f>
        <v>0</v>
      </c>
      <c r="J2151" s="416">
        <f>IF(ISERROR(VLOOKUP(B2150,'MD Usage'!A1:R2000,15,FALSE)),0,VLOOKUP(B2150,'MD Usage'!A1:R2000,15,FALSE))</f>
        <v>0</v>
      </c>
      <c r="K2151" s="418">
        <f t="shared" ref="K2151:K2157" si="102">SUM(D2151:J2151)</f>
        <v>0</v>
      </c>
    </row>
    <row r="2152" spans="2:13" ht="15" customHeight="1" x14ac:dyDescent="0.25">
      <c r="B2152" s="389"/>
      <c r="C2152" s="420"/>
      <c r="D2152" s="421">
        <f>D2151*C2152</f>
        <v>0</v>
      </c>
      <c r="E2152" s="421">
        <f>E2151*C2152</f>
        <v>0</v>
      </c>
      <c r="F2152" s="421">
        <f>F2151*C2152</f>
        <v>0</v>
      </c>
      <c r="G2152" s="421">
        <f>G2151*C2152</f>
        <v>0</v>
      </c>
      <c r="H2152" s="421">
        <f>H2151*C2152</f>
        <v>0</v>
      </c>
      <c r="I2152" s="421">
        <f>I2151*C2152</f>
        <v>0</v>
      </c>
      <c r="J2152" s="421">
        <f>J2151*C2152</f>
        <v>0</v>
      </c>
      <c r="K2152" s="422">
        <f t="shared" si="102"/>
        <v>0</v>
      </c>
    </row>
    <row r="2153" spans="2:13" ht="15" customHeight="1" x14ac:dyDescent="0.25">
      <c r="B2153" s="419"/>
      <c r="C2153" s="423"/>
      <c r="D2153" s="421">
        <f>D2151*C2153</f>
        <v>0</v>
      </c>
      <c r="E2153" s="421">
        <f>E2151*C2153</f>
        <v>0</v>
      </c>
      <c r="F2153" s="421">
        <f>F2151*C2153</f>
        <v>0</v>
      </c>
      <c r="G2153" s="421">
        <f>G2151*C2153</f>
        <v>0</v>
      </c>
      <c r="H2153" s="421">
        <f>H2151*C2153</f>
        <v>0</v>
      </c>
      <c r="I2153" s="421">
        <f>I2151*C2153</f>
        <v>0</v>
      </c>
      <c r="J2153" s="421">
        <f>J2151*C2153</f>
        <v>0</v>
      </c>
      <c r="K2153" s="424">
        <f t="shared" si="102"/>
        <v>0</v>
      </c>
    </row>
    <row r="2154" spans="2:13" ht="15" customHeight="1" x14ac:dyDescent="0.25">
      <c r="B2154" s="389"/>
      <c r="C2154" s="423"/>
      <c r="D2154" s="421">
        <f>D2151*C2154</f>
        <v>0</v>
      </c>
      <c r="E2154" s="421">
        <f>E2151*C2154</f>
        <v>0</v>
      </c>
      <c r="F2154" s="421">
        <f>F2151*C2154</f>
        <v>0</v>
      </c>
      <c r="G2154" s="421">
        <f>G2151*C2154</f>
        <v>0</v>
      </c>
      <c r="H2154" s="421">
        <f>H2151*C2154</f>
        <v>0</v>
      </c>
      <c r="I2154" s="421">
        <f>I2151*C2154</f>
        <v>0</v>
      </c>
      <c r="J2154" s="421">
        <f>J2151*C2154</f>
        <v>0</v>
      </c>
      <c r="K2154" s="424">
        <f t="shared" si="102"/>
        <v>0</v>
      </c>
    </row>
    <row r="2155" spans="2:13" ht="15" customHeight="1" x14ac:dyDescent="0.25">
      <c r="B2155" s="389"/>
      <c r="C2155" s="423"/>
      <c r="D2155" s="421">
        <f>D2151*C2155</f>
        <v>0</v>
      </c>
      <c r="E2155" s="421">
        <f>E2151*C2155</f>
        <v>0</v>
      </c>
      <c r="F2155" s="421">
        <f>F2151*C2155</f>
        <v>0</v>
      </c>
      <c r="G2155" s="421">
        <f>G2151*C2155</f>
        <v>0</v>
      </c>
      <c r="H2155" s="421">
        <f>H2151*C2155</f>
        <v>0</v>
      </c>
      <c r="I2155" s="421">
        <f>I2151*C2155</f>
        <v>0</v>
      </c>
      <c r="J2155" s="421">
        <f>J2151*C2155</f>
        <v>0</v>
      </c>
      <c r="K2155" s="424">
        <f t="shared" si="102"/>
        <v>0</v>
      </c>
    </row>
    <row r="2156" spans="2:13" ht="15" customHeight="1" x14ac:dyDescent="0.25">
      <c r="B2156" s="389"/>
      <c r="C2156" s="423"/>
      <c r="D2156" s="421">
        <f>D2151*C2156</f>
        <v>0</v>
      </c>
      <c r="E2156" s="421">
        <f>E2151*C2156</f>
        <v>0</v>
      </c>
      <c r="F2156" s="421">
        <f>F2151*C2156</f>
        <v>0</v>
      </c>
      <c r="G2156" s="421">
        <f>G2151*C2156</f>
        <v>0</v>
      </c>
      <c r="H2156" s="421">
        <f>H2151*C2156</f>
        <v>0</v>
      </c>
      <c r="I2156" s="421">
        <f>I2151*C2156</f>
        <v>0</v>
      </c>
      <c r="J2156" s="421">
        <f>J2151*C2156</f>
        <v>0</v>
      </c>
      <c r="K2156" s="424">
        <f t="shared" si="102"/>
        <v>0</v>
      </c>
    </row>
    <row r="2157" spans="2:13" ht="15" customHeight="1" x14ac:dyDescent="0.25">
      <c r="B2157" s="389"/>
      <c r="C2157" s="423"/>
      <c r="D2157" s="421">
        <f>D2151*C2157</f>
        <v>0</v>
      </c>
      <c r="E2157" s="421">
        <f>E2151*C2157</f>
        <v>0</v>
      </c>
      <c r="F2157" s="421">
        <f>F2151*C2157</f>
        <v>0</v>
      </c>
      <c r="G2157" s="421">
        <f>G2151*C2157</f>
        <v>0</v>
      </c>
      <c r="H2157" s="421">
        <f>H2151*C2157</f>
        <v>0</v>
      </c>
      <c r="I2157" s="421">
        <f>I2151*C2157</f>
        <v>0</v>
      </c>
      <c r="J2157" s="421">
        <f>J2151*C2157</f>
        <v>0</v>
      </c>
      <c r="K2157" s="424">
        <f t="shared" si="102"/>
        <v>0</v>
      </c>
    </row>
    <row r="2159" spans="2:13" ht="15" customHeight="1" thickBot="1" x14ac:dyDescent="0.3"/>
    <row r="2160" spans="2:13" ht="15" customHeight="1" thickBot="1" x14ac:dyDescent="0.3">
      <c r="B2160" s="432"/>
      <c r="C2160" s="411"/>
      <c r="D2160" s="407" t="s">
        <v>548</v>
      </c>
      <c r="E2160" s="408" t="s">
        <v>549</v>
      </c>
      <c r="F2160" s="408" t="s">
        <v>550</v>
      </c>
      <c r="G2160" s="408" t="s">
        <v>551</v>
      </c>
      <c r="H2160" s="408" t="s">
        <v>552</v>
      </c>
      <c r="I2160" s="408" t="s">
        <v>553</v>
      </c>
      <c r="J2160" s="408" t="s">
        <v>554</v>
      </c>
      <c r="K2160" s="408" t="s">
        <v>555</v>
      </c>
      <c r="M2160" s="426"/>
    </row>
    <row r="2161" spans="2:13" ht="15" customHeight="1" thickBot="1" x14ac:dyDescent="0.3">
      <c r="B2161" s="414" t="s">
        <v>556</v>
      </c>
      <c r="C2161" s="415" t="s">
        <v>620</v>
      </c>
      <c r="D2161" s="416">
        <f>IF(ISERROR(VLOOKUP(B2160,'MD Usage'!$A$1:$W$5000,3,FALSE)),0,VLOOKUP(B2160,'MD Usage'!$A$1:$W$5000,3,FALSE))</f>
        <v>0</v>
      </c>
      <c r="E2161" s="416">
        <f>IF(ISERROR(VLOOKUP(B2160,'MD Usage'!$A$1:$W$5000,5,FALSE)),0,VLOOKUP(B2160,'MD Usage'!$A$1:$W$5000,5,FALSE))</f>
        <v>0</v>
      </c>
      <c r="F2161" s="416">
        <f>IF(ISERROR(VLOOKUP(B2160,'MD Usage'!$A$1:$W$5000,7,FALSE)),0,VLOOKUP(B2160,'MD Usage'!$A$1:$W$5000,7,FALSE))</f>
        <v>0</v>
      </c>
      <c r="G2161" s="416">
        <f>IF(ISERROR(VLOOKUP(B2160,'MD Usage'!$A$1:$W$5000,9,FALSE)),0,VLOOKUP(B2160,'MD Usage'!$A$1:$W$5000,9,FALSE))</f>
        <v>0</v>
      </c>
      <c r="H2161" s="416">
        <f>IF(ISERROR(VLOOKUP(B2160,'MD Usage'!$A$1:$W$5000,11,FALSE)),0,VLOOKUP(B2160,'MD Usage'!$A$1:$W$5000,11,FALSE))</f>
        <v>0</v>
      </c>
      <c r="I2161" s="416">
        <f>IF(ISERROR(VLOOKUP(B2160,'MD Usage'!A1:R2000,13,FALSE)),0,VLOOKUP(B2160,'MD Usage'!A1:R2000,13,FALSE))</f>
        <v>0</v>
      </c>
      <c r="J2161" s="416">
        <f>IF(ISERROR(VLOOKUP(B2160,'MD Usage'!A1:R2000,15,FALSE)),0,VLOOKUP(B2160,'MD Usage'!A1:R2000,15,FALSE))</f>
        <v>0</v>
      </c>
      <c r="K2161" s="418">
        <f t="shared" ref="K2161:K2167" si="103">SUM(D2161:J2161)</f>
        <v>0</v>
      </c>
    </row>
    <row r="2162" spans="2:13" ht="15" customHeight="1" x14ac:dyDescent="0.25">
      <c r="B2162" s="419"/>
      <c r="C2162" s="420"/>
      <c r="D2162" s="421">
        <f>D2161*C2162</f>
        <v>0</v>
      </c>
      <c r="E2162" s="421">
        <f>E2161*C2162</f>
        <v>0</v>
      </c>
      <c r="F2162" s="421">
        <f>F2161*C2162</f>
        <v>0</v>
      </c>
      <c r="G2162" s="421">
        <f>G2161*C2162</f>
        <v>0</v>
      </c>
      <c r="H2162" s="421">
        <f>H2161*C2162</f>
        <v>0</v>
      </c>
      <c r="I2162" s="421">
        <f>I2161*C2162</f>
        <v>0</v>
      </c>
      <c r="J2162" s="421">
        <f>J2161*C2162</f>
        <v>0</v>
      </c>
      <c r="K2162" s="422">
        <f t="shared" si="103"/>
        <v>0</v>
      </c>
    </row>
    <row r="2163" spans="2:13" ht="15" customHeight="1" x14ac:dyDescent="0.25">
      <c r="B2163" s="389"/>
      <c r="C2163" s="423"/>
      <c r="D2163" s="421">
        <f>D2161*C2163</f>
        <v>0</v>
      </c>
      <c r="E2163" s="421">
        <f>E2161*C2163</f>
        <v>0</v>
      </c>
      <c r="F2163" s="421">
        <f>F2161*C2163</f>
        <v>0</v>
      </c>
      <c r="G2163" s="421">
        <f>G2161*C2163</f>
        <v>0</v>
      </c>
      <c r="H2163" s="421">
        <f>H2161*C2163</f>
        <v>0</v>
      </c>
      <c r="I2163" s="421">
        <f>I2161*C2163</f>
        <v>0</v>
      </c>
      <c r="J2163" s="421">
        <f>J2161*C2163</f>
        <v>0</v>
      </c>
      <c r="K2163" s="424">
        <f t="shared" si="103"/>
        <v>0</v>
      </c>
    </row>
    <row r="2164" spans="2:13" ht="15" customHeight="1" x14ac:dyDescent="0.25">
      <c r="B2164" s="389"/>
      <c r="C2164" s="423"/>
      <c r="D2164" s="421">
        <f>D2161*C2164</f>
        <v>0</v>
      </c>
      <c r="E2164" s="421">
        <f>E2161*C2164</f>
        <v>0</v>
      </c>
      <c r="F2164" s="421">
        <f>F2161*C2164</f>
        <v>0</v>
      </c>
      <c r="G2164" s="421">
        <f>G2161*C2164</f>
        <v>0</v>
      </c>
      <c r="H2164" s="421">
        <f>H2161*C2164</f>
        <v>0</v>
      </c>
      <c r="I2164" s="421">
        <f>I2161*C2164</f>
        <v>0</v>
      </c>
      <c r="J2164" s="421">
        <f>J2161*C2164</f>
        <v>0</v>
      </c>
      <c r="K2164" s="424">
        <f t="shared" si="103"/>
        <v>0</v>
      </c>
    </row>
    <row r="2165" spans="2:13" ht="15" customHeight="1" x14ac:dyDescent="0.25">
      <c r="B2165" s="389"/>
      <c r="C2165" s="423"/>
      <c r="D2165" s="421">
        <f>D2161*C2165</f>
        <v>0</v>
      </c>
      <c r="E2165" s="421">
        <f>E2161*C2165</f>
        <v>0</v>
      </c>
      <c r="F2165" s="421">
        <f>F2161*C2165</f>
        <v>0</v>
      </c>
      <c r="G2165" s="421">
        <f>G2161*C2165</f>
        <v>0</v>
      </c>
      <c r="H2165" s="421">
        <f>H2161*C2165</f>
        <v>0</v>
      </c>
      <c r="I2165" s="421">
        <f>I2161*C2165</f>
        <v>0</v>
      </c>
      <c r="J2165" s="421">
        <f>J2161*C2165</f>
        <v>0</v>
      </c>
      <c r="K2165" s="424">
        <f t="shared" si="103"/>
        <v>0</v>
      </c>
    </row>
    <row r="2166" spans="2:13" ht="15" customHeight="1" x14ac:dyDescent="0.25">
      <c r="B2166" s="389"/>
      <c r="C2166" s="423"/>
      <c r="D2166" s="421">
        <f>D2161*C2166</f>
        <v>0</v>
      </c>
      <c r="E2166" s="421">
        <f>E2161*C2166</f>
        <v>0</v>
      </c>
      <c r="F2166" s="421">
        <f>F2161*C2166</f>
        <v>0</v>
      </c>
      <c r="G2166" s="421">
        <f>G2161*C2166</f>
        <v>0</v>
      </c>
      <c r="H2166" s="421">
        <f>H2161*C2166</f>
        <v>0</v>
      </c>
      <c r="I2166" s="421">
        <f>I2161*C2166</f>
        <v>0</v>
      </c>
      <c r="J2166" s="421">
        <f>J2161*C2166</f>
        <v>0</v>
      </c>
      <c r="K2166" s="424">
        <f t="shared" si="103"/>
        <v>0</v>
      </c>
    </row>
    <row r="2167" spans="2:13" ht="15" customHeight="1" x14ac:dyDescent="0.25">
      <c r="B2167" s="389"/>
      <c r="C2167" s="423"/>
      <c r="D2167" s="421">
        <f>D2161*C2167</f>
        <v>0</v>
      </c>
      <c r="E2167" s="421">
        <f>E2161*C2167</f>
        <v>0</v>
      </c>
      <c r="F2167" s="421">
        <f>F2161*C2167</f>
        <v>0</v>
      </c>
      <c r="G2167" s="421">
        <f>G2161*C2167</f>
        <v>0</v>
      </c>
      <c r="H2167" s="421">
        <f>H2161*C2167</f>
        <v>0</v>
      </c>
      <c r="I2167" s="421">
        <f>I2161*C2167</f>
        <v>0</v>
      </c>
      <c r="J2167" s="421">
        <f>J2161*C2167</f>
        <v>0</v>
      </c>
      <c r="K2167" s="424">
        <f t="shared" si="103"/>
        <v>0</v>
      </c>
    </row>
    <row r="2169" spans="2:13" ht="15" customHeight="1" thickBot="1" x14ac:dyDescent="0.3"/>
    <row r="2170" spans="2:13" ht="15" customHeight="1" thickBot="1" x14ac:dyDescent="0.3">
      <c r="B2170" s="432"/>
      <c r="C2170" s="411"/>
      <c r="D2170" s="407" t="s">
        <v>548</v>
      </c>
      <c r="E2170" s="408" t="s">
        <v>549</v>
      </c>
      <c r="F2170" s="408" t="s">
        <v>550</v>
      </c>
      <c r="G2170" s="408" t="s">
        <v>551</v>
      </c>
      <c r="H2170" s="408" t="s">
        <v>552</v>
      </c>
      <c r="I2170" s="408" t="s">
        <v>553</v>
      </c>
      <c r="J2170" s="408" t="s">
        <v>554</v>
      </c>
      <c r="K2170" s="408" t="s">
        <v>555</v>
      </c>
      <c r="M2170" s="426"/>
    </row>
    <row r="2171" spans="2:13" ht="15" customHeight="1" thickBot="1" x14ac:dyDescent="0.3">
      <c r="B2171" s="414" t="s">
        <v>556</v>
      </c>
      <c r="C2171" s="415" t="s">
        <v>620</v>
      </c>
      <c r="D2171" s="416">
        <f>IF(ISERROR(VLOOKUP(B2170,'MD Usage'!$A$1:$W$5000,3,FALSE)),0,VLOOKUP(B2170,'MD Usage'!$A$1:$W$5000,3,FALSE))</f>
        <v>0</v>
      </c>
      <c r="E2171" s="416">
        <f>IF(ISERROR(VLOOKUP(B2170,'MD Usage'!$A$1:$W$5000,5,FALSE)),0,VLOOKUP(B2170,'MD Usage'!$A$1:$W$5000,5,FALSE))</f>
        <v>0</v>
      </c>
      <c r="F2171" s="416">
        <f>IF(ISERROR(VLOOKUP(B2170,'MD Usage'!$A$1:$W$5000,7,FALSE)),0,VLOOKUP(B2170,'MD Usage'!$A$1:$W$5000,7,FALSE))</f>
        <v>0</v>
      </c>
      <c r="G2171" s="416">
        <f>IF(ISERROR(VLOOKUP(B2170,'MD Usage'!$A$1:$W$5000,9,FALSE)),0,VLOOKUP(B2170,'MD Usage'!$A$1:$W$5000,9,FALSE))</f>
        <v>0</v>
      </c>
      <c r="H2171" s="416">
        <f>IF(ISERROR(VLOOKUP(B2170,'MD Usage'!$A$1:$W$5000,11,FALSE)),0,VLOOKUP(B2170,'MD Usage'!$A$1:$W$5000,11,FALSE))</f>
        <v>0</v>
      </c>
      <c r="I2171" s="416">
        <f>IF(ISERROR(VLOOKUP(B2170,'MD Usage'!A1:R2000,13,FALSE)),0,VLOOKUP(B2170,'MD Usage'!A1:R2000,13,FALSE))</f>
        <v>0</v>
      </c>
      <c r="J2171" s="416">
        <f>IF(ISERROR(VLOOKUP(B2170,'MD Usage'!A1:R2000,15,FALSE)),0,VLOOKUP(B2170,'MD Usage'!A1:R2000,15,FALSE))</f>
        <v>0</v>
      </c>
      <c r="K2171" s="418">
        <f t="shared" ref="K2171:K2177" si="104">SUM(D2171:J2171)</f>
        <v>0</v>
      </c>
    </row>
    <row r="2172" spans="2:13" ht="15" customHeight="1" x14ac:dyDescent="0.25">
      <c r="B2172" s="419"/>
      <c r="C2172" s="420"/>
      <c r="D2172" s="421">
        <f>D2171*C2172</f>
        <v>0</v>
      </c>
      <c r="E2172" s="421">
        <f>E2171*C2172</f>
        <v>0</v>
      </c>
      <c r="F2172" s="421">
        <f>F2171*C2172</f>
        <v>0</v>
      </c>
      <c r="G2172" s="421">
        <f>G2171*C2172</f>
        <v>0</v>
      </c>
      <c r="H2172" s="421">
        <f>H2171*C2172</f>
        <v>0</v>
      </c>
      <c r="I2172" s="421">
        <f>I2171*C2172</f>
        <v>0</v>
      </c>
      <c r="J2172" s="421">
        <f>J2171*C2172</f>
        <v>0</v>
      </c>
      <c r="K2172" s="422">
        <f t="shared" si="104"/>
        <v>0</v>
      </c>
    </row>
    <row r="2173" spans="2:13" ht="15" customHeight="1" x14ac:dyDescent="0.25">
      <c r="B2173" s="389"/>
      <c r="C2173" s="423"/>
      <c r="D2173" s="421">
        <f>D2171*C2173</f>
        <v>0</v>
      </c>
      <c r="E2173" s="421">
        <f>E2171*C2173</f>
        <v>0</v>
      </c>
      <c r="F2173" s="421">
        <f>F2171*C2173</f>
        <v>0</v>
      </c>
      <c r="G2173" s="421">
        <f>G2171*C2173</f>
        <v>0</v>
      </c>
      <c r="H2173" s="421">
        <f>H2171*C2173</f>
        <v>0</v>
      </c>
      <c r="I2173" s="421">
        <f>I2171*C2173</f>
        <v>0</v>
      </c>
      <c r="J2173" s="421">
        <f>J2171*C2173</f>
        <v>0</v>
      </c>
      <c r="K2173" s="424">
        <f t="shared" si="104"/>
        <v>0</v>
      </c>
    </row>
    <row r="2174" spans="2:13" ht="15" customHeight="1" x14ac:dyDescent="0.25">
      <c r="B2174" s="389"/>
      <c r="C2174" s="423"/>
      <c r="D2174" s="421">
        <f>D2171*C2174</f>
        <v>0</v>
      </c>
      <c r="E2174" s="421">
        <f>E2171*C2174</f>
        <v>0</v>
      </c>
      <c r="F2174" s="421">
        <f>F2171*C2174</f>
        <v>0</v>
      </c>
      <c r="G2174" s="421">
        <f>G2171*C2174</f>
        <v>0</v>
      </c>
      <c r="H2174" s="421">
        <f>H2171*C2174</f>
        <v>0</v>
      </c>
      <c r="I2174" s="421">
        <f>I2171*C2174</f>
        <v>0</v>
      </c>
      <c r="J2174" s="421">
        <f>J2171*C2174</f>
        <v>0</v>
      </c>
      <c r="K2174" s="424">
        <f t="shared" si="104"/>
        <v>0</v>
      </c>
    </row>
    <row r="2175" spans="2:13" ht="15" customHeight="1" x14ac:dyDescent="0.25">
      <c r="B2175" s="389"/>
      <c r="C2175" s="423"/>
      <c r="D2175" s="421">
        <f>D2171*C2175</f>
        <v>0</v>
      </c>
      <c r="E2175" s="421">
        <f>E2171*C2175</f>
        <v>0</v>
      </c>
      <c r="F2175" s="421">
        <f>F2171*C2175</f>
        <v>0</v>
      </c>
      <c r="G2175" s="421">
        <f>G2171*C2175</f>
        <v>0</v>
      </c>
      <c r="H2175" s="421">
        <f>H2171*C2175</f>
        <v>0</v>
      </c>
      <c r="I2175" s="421">
        <f>I2171*C2175</f>
        <v>0</v>
      </c>
      <c r="J2175" s="421">
        <f>J2171*C2175</f>
        <v>0</v>
      </c>
      <c r="K2175" s="424">
        <f t="shared" si="104"/>
        <v>0</v>
      </c>
    </row>
    <row r="2176" spans="2:13" ht="15" customHeight="1" x14ac:dyDescent="0.25">
      <c r="B2176" s="389"/>
      <c r="C2176" s="423"/>
      <c r="D2176" s="421">
        <f>D2171*C2176</f>
        <v>0</v>
      </c>
      <c r="E2176" s="421">
        <f>E2171*C2176</f>
        <v>0</v>
      </c>
      <c r="F2176" s="421">
        <f>F2171*C2176</f>
        <v>0</v>
      </c>
      <c r="G2176" s="421">
        <f>G2171*C2176</f>
        <v>0</v>
      </c>
      <c r="H2176" s="421">
        <f>H2171*C2176</f>
        <v>0</v>
      </c>
      <c r="I2176" s="421">
        <f>I2171*C2176</f>
        <v>0</v>
      </c>
      <c r="J2176" s="421">
        <f>J2171*C2176</f>
        <v>0</v>
      </c>
      <c r="K2176" s="424">
        <f t="shared" si="104"/>
        <v>0</v>
      </c>
    </row>
    <row r="2177" spans="2:13" ht="15" customHeight="1" x14ac:dyDescent="0.25">
      <c r="B2177" s="389"/>
      <c r="C2177" s="423"/>
      <c r="D2177" s="421">
        <f>D2171*C2177</f>
        <v>0</v>
      </c>
      <c r="E2177" s="421">
        <f>E2171*C2177</f>
        <v>0</v>
      </c>
      <c r="F2177" s="421">
        <f>F2171*C2177</f>
        <v>0</v>
      </c>
      <c r="G2177" s="421">
        <f>G2171*C2177</f>
        <v>0</v>
      </c>
      <c r="H2177" s="421">
        <f>H2171*C2177</f>
        <v>0</v>
      </c>
      <c r="I2177" s="421">
        <f>I2171*C2177</f>
        <v>0</v>
      </c>
      <c r="J2177" s="421">
        <f>J2171*C2177</f>
        <v>0</v>
      </c>
      <c r="K2177" s="424">
        <f t="shared" si="104"/>
        <v>0</v>
      </c>
    </row>
    <row r="2179" spans="2:13" ht="15" customHeight="1" thickBot="1" x14ac:dyDescent="0.3"/>
    <row r="2180" spans="2:13" ht="15" customHeight="1" thickBot="1" x14ac:dyDescent="0.3">
      <c r="B2180" s="432"/>
      <c r="C2180" s="411"/>
      <c r="D2180" s="407" t="s">
        <v>548</v>
      </c>
      <c r="E2180" s="408" t="s">
        <v>549</v>
      </c>
      <c r="F2180" s="408" t="s">
        <v>550</v>
      </c>
      <c r="G2180" s="408" t="s">
        <v>551</v>
      </c>
      <c r="H2180" s="408" t="s">
        <v>552</v>
      </c>
      <c r="I2180" s="408" t="s">
        <v>553</v>
      </c>
      <c r="J2180" s="408" t="s">
        <v>554</v>
      </c>
      <c r="K2180" s="408" t="s">
        <v>555</v>
      </c>
      <c r="M2180" s="414"/>
    </row>
    <row r="2181" spans="2:13" ht="15" customHeight="1" thickBot="1" x14ac:dyDescent="0.3">
      <c r="B2181" s="414" t="s">
        <v>556</v>
      </c>
      <c r="C2181" s="415" t="s">
        <v>620</v>
      </c>
      <c r="D2181" s="416">
        <f>IF(ISERROR(VLOOKUP(B2180,'MD Usage'!$A$1:$W$5000,3,FALSE)),0,VLOOKUP(B2180,'MD Usage'!$A$1:$W$5000,3,FALSE))</f>
        <v>0</v>
      </c>
      <c r="E2181" s="416">
        <f>IF(ISERROR(VLOOKUP(B2180,'MD Usage'!$A$1:$W$5000,5,FALSE)),0,VLOOKUP(B2180,'MD Usage'!$A$1:$W$5000,5,FALSE))</f>
        <v>0</v>
      </c>
      <c r="F2181" s="416">
        <f>IF(ISERROR(VLOOKUP(B2180,'MD Usage'!$A$1:$W$5000,7,FALSE)),0,VLOOKUP(B2180,'MD Usage'!$A$1:$W$5000,7,FALSE))</f>
        <v>0</v>
      </c>
      <c r="G2181" s="416">
        <f>IF(ISERROR(VLOOKUP(B2180,'MD Usage'!$A$1:$W$5000,9,FALSE)),0,VLOOKUP(B2180,'MD Usage'!$A$1:$W$5000,9,FALSE))</f>
        <v>0</v>
      </c>
      <c r="H2181" s="416">
        <f>IF(ISERROR(VLOOKUP(B2180,'MD Usage'!$A$1:$W$5000,11,FALSE)),0,VLOOKUP(B2180,'MD Usage'!$A$1:$W$5000,11,FALSE))</f>
        <v>0</v>
      </c>
      <c r="I2181" s="416">
        <f>IF(ISERROR(VLOOKUP(B2180,'MD Usage'!A1:R2000,13,FALSE)),0,VLOOKUP(B2180,'MD Usage'!A1:R2000,13,FALSE))</f>
        <v>0</v>
      </c>
      <c r="J2181" s="416">
        <f>IF(ISERROR(VLOOKUP(B2180,'MD Usage'!A1:R2000,15,FALSE)),0,VLOOKUP(B2180,'MD Usage'!A1:R2000,15,FALSE))</f>
        <v>0</v>
      </c>
      <c r="K2181" s="418">
        <f>SUM(D2181:J2181)</f>
        <v>0</v>
      </c>
    </row>
    <row r="2182" spans="2:13" ht="15" customHeight="1" x14ac:dyDescent="0.25">
      <c r="B2182" s="419"/>
      <c r="C2182" s="420"/>
      <c r="D2182" s="421">
        <f>D2181*C2182</f>
        <v>0</v>
      </c>
      <c r="E2182" s="421">
        <f>E2181*C2182</f>
        <v>0</v>
      </c>
      <c r="F2182" s="421">
        <f>F2181*C2182</f>
        <v>0</v>
      </c>
      <c r="G2182" s="421">
        <f>G2181*C2182</f>
        <v>0</v>
      </c>
      <c r="H2182" s="421">
        <f>H2181*C2182</f>
        <v>0</v>
      </c>
      <c r="I2182" s="421">
        <f>I2181*C2182</f>
        <v>0</v>
      </c>
      <c r="J2182" s="421">
        <f>J2181*C2182</f>
        <v>0</v>
      </c>
      <c r="K2182" s="422">
        <f>SUM(D2182:J2182)</f>
        <v>0</v>
      </c>
    </row>
    <row r="2183" spans="2:13" ht="15" customHeight="1" x14ac:dyDescent="0.25">
      <c r="B2183" s="389"/>
      <c r="C2183" s="423"/>
      <c r="D2183" s="421">
        <f>D2181*C2183</f>
        <v>0</v>
      </c>
      <c r="E2183" s="421">
        <f>E2181*C2183</f>
        <v>0</v>
      </c>
      <c r="F2183" s="421">
        <f>F2181*C2183</f>
        <v>0</v>
      </c>
      <c r="G2183" s="421">
        <f>G2181*C2183</f>
        <v>0</v>
      </c>
      <c r="H2183" s="421">
        <f>H2181*C2183</f>
        <v>0</v>
      </c>
      <c r="I2183" s="421">
        <f>I2181*C2183</f>
        <v>0</v>
      </c>
      <c r="J2183" s="421">
        <f>J2181*C2183</f>
        <v>0</v>
      </c>
      <c r="K2183" s="424">
        <f>SUM(D2183:J2183)</f>
        <v>0</v>
      </c>
    </row>
    <row r="2184" spans="2:13" ht="15" customHeight="1" x14ac:dyDescent="0.25">
      <c r="B2184" s="389"/>
      <c r="C2184" s="423"/>
      <c r="D2184" s="421">
        <f>D2181*C2184</f>
        <v>0</v>
      </c>
      <c r="E2184" s="421">
        <f>E2181*C2184</f>
        <v>0</v>
      </c>
      <c r="F2184" s="421">
        <f>F2181*C2184</f>
        <v>0</v>
      </c>
      <c r="G2184" s="421">
        <f>G2181*C2184</f>
        <v>0</v>
      </c>
      <c r="H2184" s="421">
        <f>H2181*C2184</f>
        <v>0</v>
      </c>
      <c r="I2184" s="421">
        <f>I2181*C2184</f>
        <v>0</v>
      </c>
      <c r="J2184" s="421">
        <f>J2181*C2184</f>
        <v>0</v>
      </c>
      <c r="K2184" s="424">
        <f>SUM(D2184:J2184)</f>
        <v>0</v>
      </c>
    </row>
    <row r="2185" spans="2:13" ht="15" customHeight="1" x14ac:dyDescent="0.25">
      <c r="B2185" s="389"/>
      <c r="C2185" s="423"/>
      <c r="D2185" s="421">
        <f>D2181*C2185</f>
        <v>0</v>
      </c>
      <c r="E2185" s="421">
        <f>E2181*C2185</f>
        <v>0</v>
      </c>
      <c r="F2185" s="421">
        <f>F2181*C2185</f>
        <v>0</v>
      </c>
      <c r="G2185" s="421">
        <f>G2181*C2185</f>
        <v>0</v>
      </c>
      <c r="H2185" s="421">
        <f>H2181*C2185</f>
        <v>0</v>
      </c>
      <c r="I2185" s="421">
        <f>I2181*C2185</f>
        <v>0</v>
      </c>
      <c r="J2185" s="421">
        <f>J2181*C2185</f>
        <v>0</v>
      </c>
      <c r="K2185" s="424">
        <f>SUM(D2185:J2185)</f>
        <v>0</v>
      </c>
    </row>
    <row r="2186" spans="2:13" ht="15" customHeight="1" thickBot="1" x14ac:dyDescent="0.3"/>
    <row r="2187" spans="2:13" ht="15" customHeight="1" thickBot="1" x14ac:dyDescent="0.3">
      <c r="B2187" s="432"/>
      <c r="C2187" s="411"/>
      <c r="D2187" s="407" t="s">
        <v>548</v>
      </c>
      <c r="E2187" s="408" t="s">
        <v>549</v>
      </c>
      <c r="F2187" s="408" t="s">
        <v>550</v>
      </c>
      <c r="G2187" s="408" t="s">
        <v>551</v>
      </c>
      <c r="H2187" s="408" t="s">
        <v>552</v>
      </c>
      <c r="I2187" s="408" t="s">
        <v>553</v>
      </c>
      <c r="J2187" s="408" t="s">
        <v>554</v>
      </c>
      <c r="K2187" s="408" t="s">
        <v>555</v>
      </c>
      <c r="M2187" s="414"/>
    </row>
    <row r="2188" spans="2:13" ht="15" customHeight="1" thickBot="1" x14ac:dyDescent="0.3">
      <c r="B2188" s="414" t="s">
        <v>556</v>
      </c>
      <c r="C2188" s="415" t="s">
        <v>620</v>
      </c>
      <c r="D2188" s="416">
        <f>IF(ISERROR(VLOOKUP(B2187,'MD Usage'!$A$1:$W$5000,3,FALSE)),0,VLOOKUP(B2187,'MD Usage'!$A$1:$W$5000,3,FALSE))</f>
        <v>0</v>
      </c>
      <c r="E2188" s="416">
        <f>IF(ISERROR(VLOOKUP(B2187,'MD Usage'!$A$1:$W$5000,5,FALSE)),0,VLOOKUP(B2187,'MD Usage'!$A$1:$W$5000,5,FALSE))</f>
        <v>0</v>
      </c>
      <c r="F2188" s="416">
        <f>IF(ISERROR(VLOOKUP(B2187,'MD Usage'!$A$1:$W$5000,7,FALSE)),0,VLOOKUP(B2187,'MD Usage'!$A$1:$W$5000,7,FALSE))</f>
        <v>0</v>
      </c>
      <c r="G2188" s="416">
        <f>IF(ISERROR(VLOOKUP(B2187,'MD Usage'!$A$1:$W$5000,9,FALSE)),0,VLOOKUP(B2187,'MD Usage'!$A$1:$W$5000,9,FALSE))</f>
        <v>0</v>
      </c>
      <c r="H2188" s="416">
        <f>IF(ISERROR(VLOOKUP(B2187,'MD Usage'!$A$1:$W$5000,11,FALSE)),0,VLOOKUP(B2187,'MD Usage'!$A$1:$W$5000,11,FALSE))</f>
        <v>0</v>
      </c>
      <c r="I2188" s="416">
        <f>IF(ISERROR(VLOOKUP(B2187,'MD Usage'!A1:R2000,13,FALSE)),0,VLOOKUP(B2187,'MD Usage'!A1:R2000,13,FALSE))</f>
        <v>0</v>
      </c>
      <c r="J2188" s="416">
        <f>IF(ISERROR(VLOOKUP(B2187,'MD Usage'!A1:R2000,15,FALSE)),0,VLOOKUP(B2187,'MD Usage'!A1:R2000,15,FALSE))</f>
        <v>0</v>
      </c>
      <c r="K2188" s="418">
        <f>SUM(D2188:J2188)</f>
        <v>0</v>
      </c>
    </row>
    <row r="2189" spans="2:13" ht="15" customHeight="1" x14ac:dyDescent="0.25">
      <c r="B2189" s="419"/>
      <c r="C2189" s="420"/>
      <c r="D2189" s="421">
        <f>D2188*C2189</f>
        <v>0</v>
      </c>
      <c r="E2189" s="421">
        <f>E2188*C2189</f>
        <v>0</v>
      </c>
      <c r="F2189" s="421">
        <f>F2188*C2189</f>
        <v>0</v>
      </c>
      <c r="G2189" s="421">
        <f>G2188*C2189</f>
        <v>0</v>
      </c>
      <c r="H2189" s="421">
        <f>H2188*C2189</f>
        <v>0</v>
      </c>
      <c r="I2189" s="421">
        <f>I2188*C2189</f>
        <v>0</v>
      </c>
      <c r="J2189" s="421">
        <f>J2188*C2189</f>
        <v>0</v>
      </c>
      <c r="K2189" s="422">
        <f>SUM(D2189:J2189)</f>
        <v>0</v>
      </c>
    </row>
    <row r="2190" spans="2:13" ht="15" customHeight="1" x14ac:dyDescent="0.25">
      <c r="B2190" s="389"/>
      <c r="C2190" s="423"/>
      <c r="D2190" s="421">
        <f>D2188*C2190</f>
        <v>0</v>
      </c>
      <c r="E2190" s="421">
        <f>E2188*C2190</f>
        <v>0</v>
      </c>
      <c r="F2190" s="421">
        <f>F2188*C2190</f>
        <v>0</v>
      </c>
      <c r="G2190" s="421">
        <f>G2188*C2190</f>
        <v>0</v>
      </c>
      <c r="H2190" s="421">
        <f>H2188*C2190</f>
        <v>0</v>
      </c>
      <c r="I2190" s="421">
        <f>I2188*C2190</f>
        <v>0</v>
      </c>
      <c r="J2190" s="421">
        <f>J2188*C2190</f>
        <v>0</v>
      </c>
      <c r="K2190" s="424">
        <f>SUM(D2190:J2190)</f>
        <v>0</v>
      </c>
    </row>
    <row r="2191" spans="2:13" ht="15" customHeight="1" x14ac:dyDescent="0.25">
      <c r="B2191" s="389"/>
      <c r="C2191" s="423"/>
      <c r="D2191" s="421">
        <f>D2188*C2191</f>
        <v>0</v>
      </c>
      <c r="E2191" s="421">
        <f>E2188*C2191</f>
        <v>0</v>
      </c>
      <c r="F2191" s="421">
        <f>F2188*C2191</f>
        <v>0</v>
      </c>
      <c r="G2191" s="421">
        <f>G2188*C2191</f>
        <v>0</v>
      </c>
      <c r="H2191" s="421">
        <f>H2188*C2191</f>
        <v>0</v>
      </c>
      <c r="I2191" s="421">
        <f>I2188*C2191</f>
        <v>0</v>
      </c>
      <c r="J2191" s="421">
        <f>J2188*C2191</f>
        <v>0</v>
      </c>
      <c r="K2191" s="424">
        <f>SUM(D2191:J2191)</f>
        <v>0</v>
      </c>
    </row>
    <row r="2192" spans="2:13" ht="15" customHeight="1" x14ac:dyDescent="0.25">
      <c r="B2192" s="389"/>
      <c r="C2192" s="423"/>
      <c r="D2192" s="421">
        <f>D2188*C2192</f>
        <v>0</v>
      </c>
      <c r="E2192" s="421">
        <f>E2188*C2192</f>
        <v>0</v>
      </c>
      <c r="F2192" s="421">
        <f>F2188*C2192</f>
        <v>0</v>
      </c>
      <c r="G2192" s="421">
        <f>G2188*C2192</f>
        <v>0</v>
      </c>
      <c r="H2192" s="421">
        <f>H2188*C2192</f>
        <v>0</v>
      </c>
      <c r="I2192" s="421">
        <f>I2188*C2192</f>
        <v>0</v>
      </c>
      <c r="J2192" s="421">
        <f>J2188*C2192</f>
        <v>0</v>
      </c>
      <c r="K2192" s="424">
        <f>SUM(D2192:J2192)</f>
        <v>0</v>
      </c>
    </row>
    <row r="2193" spans="2:13" ht="15" customHeight="1" thickBot="1" x14ac:dyDescent="0.3"/>
    <row r="2194" spans="2:13" ht="15" customHeight="1" thickBot="1" x14ac:dyDescent="0.3">
      <c r="B2194" s="432"/>
      <c r="C2194" s="411"/>
      <c r="D2194" s="407" t="s">
        <v>548</v>
      </c>
      <c r="E2194" s="408" t="s">
        <v>549</v>
      </c>
      <c r="F2194" s="408" t="s">
        <v>550</v>
      </c>
      <c r="G2194" s="408" t="s">
        <v>551</v>
      </c>
      <c r="H2194" s="408" t="s">
        <v>552</v>
      </c>
      <c r="I2194" s="408" t="s">
        <v>553</v>
      </c>
      <c r="J2194" s="408" t="s">
        <v>554</v>
      </c>
      <c r="K2194" s="408" t="s">
        <v>555</v>
      </c>
      <c r="M2194" s="426"/>
    </row>
    <row r="2195" spans="2:13" ht="15" customHeight="1" thickBot="1" x14ac:dyDescent="0.3">
      <c r="B2195" s="414" t="s">
        <v>556</v>
      </c>
      <c r="C2195" s="415" t="s">
        <v>620</v>
      </c>
      <c r="D2195" s="416">
        <f>IF(ISERROR(VLOOKUP(B2194,'MD Usage'!$A$1:$W$5000,3,FALSE)),0,VLOOKUP(B2194,'MD Usage'!$A$1:$W$5000,3,FALSE))</f>
        <v>0</v>
      </c>
      <c r="E2195" s="416">
        <f>IF(ISERROR(VLOOKUP(B2194,'MD Usage'!$A$1:$W$5000,5,FALSE)),0,VLOOKUP(B2194,'MD Usage'!$A$1:$W$5000,5,FALSE))</f>
        <v>0</v>
      </c>
      <c r="F2195" s="416">
        <f>IF(ISERROR(VLOOKUP(B2194,'MD Usage'!$A$1:$W$5000,7,FALSE)),0,VLOOKUP(B2194,'MD Usage'!$A$1:$W$5000,7,FALSE))</f>
        <v>0</v>
      </c>
      <c r="G2195" s="416">
        <f>IF(ISERROR(VLOOKUP(B2194,'MD Usage'!$A$1:$W$5000,9,FALSE)),0,VLOOKUP(B2194,'MD Usage'!$A$1:$W$5000,9,FALSE))</f>
        <v>0</v>
      </c>
      <c r="H2195" s="416">
        <f>IF(ISERROR(VLOOKUP(B2194,'MD Usage'!$A$1:$W$5000,11,FALSE)),0,VLOOKUP(B2194,'MD Usage'!$A$1:$W$5000,11,FALSE))</f>
        <v>0</v>
      </c>
      <c r="I2195" s="416">
        <f>IF(ISERROR(VLOOKUP(B2194,'MD Usage'!A1:R2000,13,FALSE)),0,VLOOKUP(B2194,'MD Usage'!A1:R2000,13,FALSE))</f>
        <v>0</v>
      </c>
      <c r="J2195" s="416">
        <f>IF(ISERROR(VLOOKUP(B2194,'MD Usage'!A1:R2000,15,FALSE)),0,VLOOKUP(B2194,'MD Usage'!A1:R2000,15,FALSE))</f>
        <v>0</v>
      </c>
      <c r="K2195" s="418">
        <f>SUM(D2195:J2195)</f>
        <v>0</v>
      </c>
    </row>
    <row r="2196" spans="2:13" ht="15" customHeight="1" x14ac:dyDescent="0.25">
      <c r="B2196" s="419"/>
      <c r="C2196" s="420"/>
      <c r="D2196" s="421">
        <f>D2195*C2196</f>
        <v>0</v>
      </c>
      <c r="E2196" s="421">
        <f>E2195*C2196</f>
        <v>0</v>
      </c>
      <c r="F2196" s="421">
        <f>F2195*C2196</f>
        <v>0</v>
      </c>
      <c r="G2196" s="421">
        <f>G2195*C2196</f>
        <v>0</v>
      </c>
      <c r="H2196" s="421">
        <f>H2195*C2196</f>
        <v>0</v>
      </c>
      <c r="I2196" s="421">
        <f>I2195*C2196</f>
        <v>0</v>
      </c>
      <c r="J2196" s="421">
        <f>J2195*C2196</f>
        <v>0</v>
      </c>
      <c r="K2196" s="422">
        <f>SUM(D2196:J2196)</f>
        <v>0</v>
      </c>
    </row>
    <row r="2197" spans="2:13" ht="15" customHeight="1" x14ac:dyDescent="0.25">
      <c r="B2197" s="389"/>
      <c r="C2197" s="423"/>
      <c r="D2197" s="421">
        <f>D2195*C2197</f>
        <v>0</v>
      </c>
      <c r="E2197" s="421">
        <f>E2195*C2197</f>
        <v>0</v>
      </c>
      <c r="F2197" s="421">
        <f>F2195*C2197</f>
        <v>0</v>
      </c>
      <c r="G2197" s="421">
        <f>G2195*C2197</f>
        <v>0</v>
      </c>
      <c r="H2197" s="421">
        <f>H2195*C2197</f>
        <v>0</v>
      </c>
      <c r="I2197" s="421">
        <f>I2195*C2197</f>
        <v>0</v>
      </c>
      <c r="J2197" s="421">
        <f>J2195*C2197</f>
        <v>0</v>
      </c>
      <c r="K2197" s="424">
        <f>SUM(D2197:J2197)</f>
        <v>0</v>
      </c>
    </row>
    <row r="2198" spans="2:13" ht="15" customHeight="1" x14ac:dyDescent="0.25">
      <c r="B2198" s="389"/>
      <c r="C2198" s="423"/>
      <c r="D2198" s="421">
        <f>D2195*C2198</f>
        <v>0</v>
      </c>
      <c r="E2198" s="421">
        <f>E2195*C2198</f>
        <v>0</v>
      </c>
      <c r="F2198" s="421">
        <f>F2195*C2198</f>
        <v>0</v>
      </c>
      <c r="G2198" s="421">
        <f>G2195*C2198</f>
        <v>0</v>
      </c>
      <c r="H2198" s="421">
        <f>H2195*C2198</f>
        <v>0</v>
      </c>
      <c r="I2198" s="421">
        <f>I2195*C2198</f>
        <v>0</v>
      </c>
      <c r="J2198" s="421">
        <f>J2195*C2198</f>
        <v>0</v>
      </c>
      <c r="K2198" s="424">
        <f>SUM(D2198:J2198)</f>
        <v>0</v>
      </c>
    </row>
    <row r="2199" spans="2:13" ht="15" customHeight="1" x14ac:dyDescent="0.25">
      <c r="B2199" s="389"/>
      <c r="C2199" s="423"/>
      <c r="D2199" s="421">
        <f>D2195*C2199</f>
        <v>0</v>
      </c>
      <c r="E2199" s="421">
        <f>E2195*C2199</f>
        <v>0</v>
      </c>
      <c r="F2199" s="421">
        <f>F2195*C2199</f>
        <v>0</v>
      </c>
      <c r="G2199" s="421">
        <f>G2195*C2199</f>
        <v>0</v>
      </c>
      <c r="H2199" s="421">
        <f>H2195*C2199</f>
        <v>0</v>
      </c>
      <c r="I2199" s="421">
        <f>I2195*C2199</f>
        <v>0</v>
      </c>
      <c r="J2199" s="421">
        <f>J2195*C2199</f>
        <v>0</v>
      </c>
      <c r="K2199" s="424">
        <f>SUM(D2199:J2199)</f>
        <v>0</v>
      </c>
    </row>
    <row r="2200" spans="2:13" ht="15" customHeight="1" thickBot="1" x14ac:dyDescent="0.3"/>
    <row r="2201" spans="2:13" ht="15" customHeight="1" thickBot="1" x14ac:dyDescent="0.3">
      <c r="B2201" s="432"/>
      <c r="C2201" s="411"/>
      <c r="D2201" s="407" t="s">
        <v>548</v>
      </c>
      <c r="E2201" s="408" t="s">
        <v>549</v>
      </c>
      <c r="F2201" s="408" t="s">
        <v>550</v>
      </c>
      <c r="G2201" s="408" t="s">
        <v>551</v>
      </c>
      <c r="H2201" s="408" t="s">
        <v>552</v>
      </c>
      <c r="I2201" s="408" t="s">
        <v>553</v>
      </c>
      <c r="J2201" s="408" t="s">
        <v>554</v>
      </c>
      <c r="K2201" s="408" t="s">
        <v>555</v>
      </c>
    </row>
    <row r="2202" spans="2:13" ht="15" customHeight="1" thickBot="1" x14ac:dyDescent="0.3">
      <c r="B2202" s="414" t="s">
        <v>556</v>
      </c>
      <c r="C2202" s="415" t="s">
        <v>620</v>
      </c>
      <c r="D2202" s="416">
        <f>IF(ISERROR(VLOOKUP(B2201,'MD Usage'!$A$1:$W$5000,3,FALSE)),0,VLOOKUP(B2201,'MD Usage'!$A$1:$W$5000,3,FALSE))</f>
        <v>0</v>
      </c>
      <c r="E2202" s="416">
        <f>IF(ISERROR(VLOOKUP(B2201,'MD Usage'!$A$1:$W$5000,5,FALSE)),0,VLOOKUP(B2201,'MD Usage'!$A$1:$W$5000,5,FALSE))</f>
        <v>0</v>
      </c>
      <c r="F2202" s="416">
        <f>IF(ISERROR(VLOOKUP(B2201,'MD Usage'!$A$1:$W$5000,7,FALSE)),0,VLOOKUP(B2201,'MD Usage'!$A$1:$W$5000,7,FALSE))</f>
        <v>0</v>
      </c>
      <c r="G2202" s="416">
        <f>IF(ISERROR(VLOOKUP(B2201,'MD Usage'!$A$1:$W$5000,9,FALSE)),0,VLOOKUP(B2201,'MD Usage'!$A$1:$W$5000,9,FALSE))</f>
        <v>0</v>
      </c>
      <c r="H2202" s="416">
        <f>IF(ISERROR(VLOOKUP(B2201,'MD Usage'!$A$1:$W$5000,11,FALSE)),0,VLOOKUP(B2201,'MD Usage'!$A$1:$W$5000,11,FALSE))</f>
        <v>0</v>
      </c>
      <c r="I2202" s="416">
        <f>IF(ISERROR(VLOOKUP(B2201,'MD Usage'!A1:R2000,13,FALSE)),0,VLOOKUP(B2201,'MD Usage'!A1:R2000,13,FALSE))</f>
        <v>0</v>
      </c>
      <c r="J2202" s="416">
        <f>IF(ISERROR(VLOOKUP(B2201,'MD Usage'!A1:R2000,15,FALSE)),0,VLOOKUP(B2201,'MD Usage'!A1:R2000,15,FALSE))</f>
        <v>0</v>
      </c>
      <c r="K2202" s="418">
        <f>SUM(D2202:J2202)</f>
        <v>0</v>
      </c>
    </row>
    <row r="2203" spans="2:13" ht="15" customHeight="1" x14ac:dyDescent="0.25">
      <c r="B2203" s="419"/>
      <c r="C2203" s="420"/>
      <c r="D2203" s="421">
        <f>D2202*C2203</f>
        <v>0</v>
      </c>
      <c r="E2203" s="421">
        <f>E2202*C2203</f>
        <v>0</v>
      </c>
      <c r="F2203" s="421">
        <f>F2202*C2203</f>
        <v>0</v>
      </c>
      <c r="G2203" s="421">
        <f>G2202*C2203</f>
        <v>0</v>
      </c>
      <c r="H2203" s="421">
        <f>H2202*C2203</f>
        <v>0</v>
      </c>
      <c r="I2203" s="421">
        <f>I2202*C2203</f>
        <v>0</v>
      </c>
      <c r="J2203" s="421">
        <f>J2202*C2203</f>
        <v>0</v>
      </c>
      <c r="K2203" s="422">
        <f>SUM(D2203:J2203)</f>
        <v>0</v>
      </c>
    </row>
    <row r="2204" spans="2:13" ht="15" customHeight="1" x14ac:dyDescent="0.25">
      <c r="B2204" s="389"/>
      <c r="C2204" s="423"/>
      <c r="D2204" s="421">
        <f>D2202*C2204</f>
        <v>0</v>
      </c>
      <c r="E2204" s="421">
        <f>E2202*C2204</f>
        <v>0</v>
      </c>
      <c r="F2204" s="421">
        <f>F2202*C2204</f>
        <v>0</v>
      </c>
      <c r="G2204" s="421">
        <f>G2202*C2204</f>
        <v>0</v>
      </c>
      <c r="H2204" s="421">
        <f>H2202*C2204</f>
        <v>0</v>
      </c>
      <c r="I2204" s="421">
        <f>I2202*C2204</f>
        <v>0</v>
      </c>
      <c r="J2204" s="421">
        <f>J2202*C2204</f>
        <v>0</v>
      </c>
      <c r="K2204" s="424">
        <f>SUM(D2204:J2204)</f>
        <v>0</v>
      </c>
    </row>
    <row r="2205" spans="2:13" ht="15" customHeight="1" x14ac:dyDescent="0.25">
      <c r="B2205" s="389"/>
      <c r="C2205" s="423"/>
      <c r="D2205" s="421">
        <f>D2202*C2205</f>
        <v>0</v>
      </c>
      <c r="E2205" s="421">
        <f>E2202*C2205</f>
        <v>0</v>
      </c>
      <c r="F2205" s="421">
        <f>F2202*C2205</f>
        <v>0</v>
      </c>
      <c r="G2205" s="421">
        <f>G2202*C2205</f>
        <v>0</v>
      </c>
      <c r="H2205" s="421">
        <f>H2202*C2205</f>
        <v>0</v>
      </c>
      <c r="I2205" s="421">
        <f>I2202*C2205</f>
        <v>0</v>
      </c>
      <c r="J2205" s="421">
        <f>J2202*C2205</f>
        <v>0</v>
      </c>
      <c r="K2205" s="424">
        <f>SUM(D2205:J2205)</f>
        <v>0</v>
      </c>
    </row>
    <row r="2206" spans="2:13" ht="15" customHeight="1" x14ac:dyDescent="0.25">
      <c r="B2206" s="389"/>
      <c r="C2206" s="423"/>
      <c r="D2206" s="421">
        <f>D2202*C2206</f>
        <v>0</v>
      </c>
      <c r="E2206" s="421">
        <f>E2202*C2206</f>
        <v>0</v>
      </c>
      <c r="F2206" s="421">
        <f>F2202*C2206</f>
        <v>0</v>
      </c>
      <c r="G2206" s="421">
        <f>G2202*C2206</f>
        <v>0</v>
      </c>
      <c r="H2206" s="421">
        <f>H2202*C2206</f>
        <v>0</v>
      </c>
      <c r="I2206" s="421">
        <f>I2202*C2206</f>
        <v>0</v>
      </c>
      <c r="J2206" s="421">
        <f>J2202*C2206</f>
        <v>0</v>
      </c>
      <c r="K2206" s="424">
        <f>SUM(D2206:J2206)</f>
        <v>0</v>
      </c>
    </row>
    <row r="2207" spans="2:13" ht="15" customHeight="1" thickBot="1" x14ac:dyDescent="0.3"/>
    <row r="2208" spans="2:13" ht="15" customHeight="1" thickBot="1" x14ac:dyDescent="0.3">
      <c r="B2208" s="432"/>
      <c r="C2208" s="411"/>
      <c r="D2208" s="407" t="s">
        <v>548</v>
      </c>
      <c r="E2208" s="408" t="s">
        <v>549</v>
      </c>
      <c r="F2208" s="408" t="s">
        <v>550</v>
      </c>
      <c r="G2208" s="408" t="s">
        <v>551</v>
      </c>
      <c r="H2208" s="408" t="s">
        <v>552</v>
      </c>
      <c r="I2208" s="408" t="s">
        <v>553</v>
      </c>
      <c r="J2208" s="408" t="s">
        <v>554</v>
      </c>
      <c r="K2208" s="408" t="s">
        <v>555</v>
      </c>
      <c r="M2208" s="414"/>
    </row>
    <row r="2209" spans="2:13" ht="15" customHeight="1" thickBot="1" x14ac:dyDescent="0.3">
      <c r="B2209" s="414" t="s">
        <v>556</v>
      </c>
      <c r="C2209" s="415" t="s">
        <v>620</v>
      </c>
      <c r="D2209" s="416">
        <f>IF(ISERROR(VLOOKUP(B2208,'MD Usage'!$A$1:$W$5000,3,FALSE)),0,VLOOKUP(B2208,'MD Usage'!$A$1:$W$5000,3,FALSE))</f>
        <v>0</v>
      </c>
      <c r="E2209" s="416">
        <f>IF(ISERROR(VLOOKUP(B2208,'MD Usage'!$A$1:$W$5000,5,FALSE)),0,VLOOKUP(B2208,'MD Usage'!$A$1:$W$5000,5,FALSE))</f>
        <v>0</v>
      </c>
      <c r="F2209" s="416">
        <f>IF(ISERROR(VLOOKUP(B2208,'MD Usage'!$A$1:$W$5000,7,FALSE)),0,VLOOKUP(B2208,'MD Usage'!$A$1:$W$5000,7,FALSE))</f>
        <v>0</v>
      </c>
      <c r="G2209" s="416">
        <f>IF(ISERROR(VLOOKUP(B2208,'MD Usage'!$A$1:$W$5000,9,FALSE)),0,VLOOKUP(B2208,'MD Usage'!$A$1:$W$5000,9,FALSE))</f>
        <v>0</v>
      </c>
      <c r="H2209" s="416">
        <f>IF(ISERROR(VLOOKUP(B2208,'MD Usage'!$A$1:$W$5000,11,FALSE)),0,VLOOKUP(B2208,'MD Usage'!$A$1:$W$5000,11,FALSE))</f>
        <v>0</v>
      </c>
      <c r="I2209" s="416">
        <f>IF(ISERROR(VLOOKUP(B2208,'MD Usage'!A1:R2000,13,FALSE)),0,VLOOKUP(B2208,'MD Usage'!A1:R2000,13,FALSE))</f>
        <v>0</v>
      </c>
      <c r="J2209" s="416">
        <f>IF(ISERROR(VLOOKUP(B2208,'MD Usage'!A1:R2000,15,FALSE)),0,VLOOKUP(B2208,'MD Usage'!A1:R2000,15,FALSE))</f>
        <v>0</v>
      </c>
      <c r="K2209" s="418">
        <f>SUM(D2209:J2209)</f>
        <v>0</v>
      </c>
    </row>
    <row r="2210" spans="2:13" ht="15" customHeight="1" x14ac:dyDescent="0.25">
      <c r="B2210" s="419"/>
      <c r="C2210" s="420"/>
      <c r="D2210" s="421">
        <f>D2209*C2210</f>
        <v>0</v>
      </c>
      <c r="E2210" s="421">
        <f>E2209*C2210</f>
        <v>0</v>
      </c>
      <c r="F2210" s="421">
        <f>F2209*C2210</f>
        <v>0</v>
      </c>
      <c r="G2210" s="421">
        <f>G2209*C2210</f>
        <v>0</v>
      </c>
      <c r="H2210" s="421">
        <f>H2209*C2210</f>
        <v>0</v>
      </c>
      <c r="I2210" s="421">
        <f>I2209*C2210</f>
        <v>0</v>
      </c>
      <c r="J2210" s="421">
        <f>J2209*C2210</f>
        <v>0</v>
      </c>
      <c r="K2210" s="422">
        <f>SUM(D2210:J2210)</f>
        <v>0</v>
      </c>
    </row>
    <row r="2211" spans="2:13" ht="15" customHeight="1" x14ac:dyDescent="0.25">
      <c r="B2211" s="389"/>
      <c r="C2211" s="423"/>
      <c r="D2211" s="421">
        <f>D2209*C2211</f>
        <v>0</v>
      </c>
      <c r="E2211" s="421">
        <f>E2209*C2211</f>
        <v>0</v>
      </c>
      <c r="F2211" s="421">
        <f>F2209*C2211</f>
        <v>0</v>
      </c>
      <c r="G2211" s="421">
        <f>G2209*C2211</f>
        <v>0</v>
      </c>
      <c r="H2211" s="421">
        <f>H2209*C2211</f>
        <v>0</v>
      </c>
      <c r="I2211" s="421">
        <f>I2209*C2211</f>
        <v>0</v>
      </c>
      <c r="J2211" s="421">
        <f>J2209*C2211</f>
        <v>0</v>
      </c>
      <c r="K2211" s="424">
        <f>SUM(D2211:J2211)</f>
        <v>0</v>
      </c>
    </row>
    <row r="2212" spans="2:13" ht="15" customHeight="1" x14ac:dyDescent="0.25">
      <c r="B2212" s="389"/>
      <c r="C2212" s="423"/>
      <c r="D2212" s="421">
        <f>D2209*C2212</f>
        <v>0</v>
      </c>
      <c r="E2212" s="421">
        <f>E2209*C2212</f>
        <v>0</v>
      </c>
      <c r="F2212" s="421">
        <f>F2209*C2212</f>
        <v>0</v>
      </c>
      <c r="G2212" s="421">
        <f>G2209*C2212</f>
        <v>0</v>
      </c>
      <c r="H2212" s="421">
        <f>H2209*C2212</f>
        <v>0</v>
      </c>
      <c r="I2212" s="421">
        <f>I2209*C2212</f>
        <v>0</v>
      </c>
      <c r="J2212" s="421">
        <f>J2209*C2212</f>
        <v>0</v>
      </c>
      <c r="K2212" s="424">
        <f>SUM(D2212:J2212)</f>
        <v>0</v>
      </c>
    </row>
    <row r="2213" spans="2:13" ht="15" customHeight="1" x14ac:dyDescent="0.25">
      <c r="B2213" s="389"/>
      <c r="C2213" s="423"/>
      <c r="D2213" s="421">
        <f>D2209*C2213</f>
        <v>0</v>
      </c>
      <c r="E2213" s="421">
        <f>E2209*C2213</f>
        <v>0</v>
      </c>
      <c r="F2213" s="421">
        <f>F2209*C2213</f>
        <v>0</v>
      </c>
      <c r="G2213" s="421">
        <f>G2209*C2213</f>
        <v>0</v>
      </c>
      <c r="H2213" s="421">
        <f>H2209*C2213</f>
        <v>0</v>
      </c>
      <c r="I2213" s="421">
        <f>I2209*C2213</f>
        <v>0</v>
      </c>
      <c r="J2213" s="421">
        <f>J2209*C2213</f>
        <v>0</v>
      </c>
      <c r="K2213" s="424">
        <f>SUM(D2213:J2213)</f>
        <v>0</v>
      </c>
    </row>
    <row r="2214" spans="2:13" ht="15" customHeight="1" thickBot="1" x14ac:dyDescent="0.3"/>
    <row r="2215" spans="2:13" ht="15" customHeight="1" thickBot="1" x14ac:dyDescent="0.3">
      <c r="B2215" s="432"/>
      <c r="C2215" s="411"/>
      <c r="D2215" s="407" t="s">
        <v>548</v>
      </c>
      <c r="E2215" s="408" t="s">
        <v>549</v>
      </c>
      <c r="F2215" s="408" t="s">
        <v>550</v>
      </c>
      <c r="G2215" s="408" t="s">
        <v>551</v>
      </c>
      <c r="H2215" s="408" t="s">
        <v>552</v>
      </c>
      <c r="I2215" s="408" t="s">
        <v>553</v>
      </c>
      <c r="J2215" s="408" t="s">
        <v>554</v>
      </c>
      <c r="K2215" s="408" t="s">
        <v>555</v>
      </c>
      <c r="M2215" s="414"/>
    </row>
    <row r="2216" spans="2:13" ht="15" customHeight="1" thickBot="1" x14ac:dyDescent="0.3">
      <c r="B2216" s="414" t="s">
        <v>556</v>
      </c>
      <c r="C2216" s="415" t="s">
        <v>620</v>
      </c>
      <c r="D2216" s="416">
        <f>IF(ISERROR(VLOOKUP(B2215,'MD Usage'!$A$1:$W$5000,3,FALSE)),0,VLOOKUP(B2215,'MD Usage'!$A$1:$W$5000,3,FALSE))</f>
        <v>0</v>
      </c>
      <c r="E2216" s="416">
        <f>IF(ISERROR(VLOOKUP(B2215,'MD Usage'!$A$1:$W$5000,5,FALSE)),0,VLOOKUP(B2215,'MD Usage'!$A$1:$W$5000,5,FALSE))</f>
        <v>0</v>
      </c>
      <c r="F2216" s="416">
        <f>IF(ISERROR(VLOOKUP(B2215,'MD Usage'!$A$1:$W$5000,7,FALSE)),0,VLOOKUP(B2215,'MD Usage'!$A$1:$W$5000,7,FALSE))</f>
        <v>0</v>
      </c>
      <c r="G2216" s="416">
        <f>IF(ISERROR(VLOOKUP(B2215,'MD Usage'!$A$1:$W$5000,9,FALSE)),0,VLOOKUP(B2215,'MD Usage'!$A$1:$W$5000,9,FALSE))</f>
        <v>0</v>
      </c>
      <c r="H2216" s="416">
        <f>IF(ISERROR(VLOOKUP(B2215,'MD Usage'!$A$1:$W$5000,11,FALSE)),0,VLOOKUP(B2215,'MD Usage'!$A$1:$W$5000,11,FALSE))</f>
        <v>0</v>
      </c>
      <c r="I2216" s="416">
        <f>IF(ISERROR(VLOOKUP(B2215,'MD Usage'!A1:R2000,13,FALSE)),0,VLOOKUP(B2215,'MD Usage'!A1:R2000,13,FALSE))</f>
        <v>0</v>
      </c>
      <c r="J2216" s="416">
        <f>IF(ISERROR(VLOOKUP(B2215,'MD Usage'!A1:R2000,15,FALSE)),0,VLOOKUP(B2215,'MD Usage'!A1:R2000,15,FALSE))</f>
        <v>0</v>
      </c>
      <c r="K2216" s="418">
        <f>SUM(D2216:J2216)</f>
        <v>0</v>
      </c>
    </row>
    <row r="2217" spans="2:13" ht="15" customHeight="1" x14ac:dyDescent="0.25">
      <c r="B2217" s="419"/>
      <c r="C2217" s="420"/>
      <c r="D2217" s="421">
        <f>D2216*C2217</f>
        <v>0</v>
      </c>
      <c r="E2217" s="421">
        <f>E2216*C2217</f>
        <v>0</v>
      </c>
      <c r="F2217" s="421">
        <f>F2216*C2217</f>
        <v>0</v>
      </c>
      <c r="G2217" s="421">
        <f>G2216*C2217</f>
        <v>0</v>
      </c>
      <c r="H2217" s="421">
        <f>H2216*C2217</f>
        <v>0</v>
      </c>
      <c r="I2217" s="421">
        <f>I2216*C2217</f>
        <v>0</v>
      </c>
      <c r="J2217" s="421">
        <f>J2216*C2217</f>
        <v>0</v>
      </c>
      <c r="K2217" s="422">
        <f>SUM(D2217:J2217)</f>
        <v>0</v>
      </c>
    </row>
    <row r="2218" spans="2:13" ht="15" customHeight="1" x14ac:dyDescent="0.25">
      <c r="B2218" s="389"/>
      <c r="C2218" s="423"/>
      <c r="D2218" s="421">
        <f>D2216*C2218</f>
        <v>0</v>
      </c>
      <c r="E2218" s="421">
        <f>E2216*C2218</f>
        <v>0</v>
      </c>
      <c r="F2218" s="421">
        <f>F2216*C2218</f>
        <v>0</v>
      </c>
      <c r="G2218" s="421">
        <f>G2216*C2218</f>
        <v>0</v>
      </c>
      <c r="H2218" s="421">
        <f>H2216*C2218</f>
        <v>0</v>
      </c>
      <c r="I2218" s="421">
        <f>I2216*C2218</f>
        <v>0</v>
      </c>
      <c r="J2218" s="421">
        <f>J2216*C2218</f>
        <v>0</v>
      </c>
      <c r="K2218" s="424">
        <f>SUM(D2218:J2218)</f>
        <v>0</v>
      </c>
    </row>
    <row r="2219" spans="2:13" ht="15" customHeight="1" x14ac:dyDescent="0.25">
      <c r="B2219" s="389"/>
      <c r="C2219" s="423"/>
      <c r="D2219" s="421">
        <f>D2216*C2219</f>
        <v>0</v>
      </c>
      <c r="E2219" s="421">
        <f>E2216*C2219</f>
        <v>0</v>
      </c>
      <c r="F2219" s="421">
        <f>F2216*C2219</f>
        <v>0</v>
      </c>
      <c r="G2219" s="421">
        <f>G2216*C2219</f>
        <v>0</v>
      </c>
      <c r="H2219" s="421">
        <f>H2216*C2219</f>
        <v>0</v>
      </c>
      <c r="I2219" s="421">
        <f>I2216*C2219</f>
        <v>0</v>
      </c>
      <c r="J2219" s="421">
        <f>J2216*C2219</f>
        <v>0</v>
      </c>
      <c r="K2219" s="424">
        <f>SUM(D2219:J2219)</f>
        <v>0</v>
      </c>
    </row>
    <row r="2220" spans="2:13" ht="15" customHeight="1" x14ac:dyDescent="0.25">
      <c r="B2220" s="389"/>
      <c r="C2220" s="423"/>
      <c r="D2220" s="421">
        <f>D2216*C2220</f>
        <v>0</v>
      </c>
      <c r="E2220" s="421">
        <f>E2216*C2220</f>
        <v>0</v>
      </c>
      <c r="F2220" s="421">
        <f>F2216*C2220</f>
        <v>0</v>
      </c>
      <c r="G2220" s="421">
        <f>G2216*C2220</f>
        <v>0</v>
      </c>
      <c r="H2220" s="421">
        <f>H2216*C2220</f>
        <v>0</v>
      </c>
      <c r="I2220" s="421">
        <f>I2216*C2220</f>
        <v>0</v>
      </c>
      <c r="J2220" s="421">
        <f>J2216*C2220</f>
        <v>0</v>
      </c>
      <c r="K2220" s="424">
        <f>SUM(D2220:J2220)</f>
        <v>0</v>
      </c>
    </row>
    <row r="2221" spans="2:13" ht="15" customHeight="1" thickBot="1" x14ac:dyDescent="0.3"/>
    <row r="2222" spans="2:13" ht="15" customHeight="1" thickBot="1" x14ac:dyDescent="0.3">
      <c r="B2222" s="432"/>
      <c r="C2222" s="411"/>
      <c r="D2222" s="407" t="s">
        <v>548</v>
      </c>
      <c r="E2222" s="408" t="s">
        <v>549</v>
      </c>
      <c r="F2222" s="408" t="s">
        <v>550</v>
      </c>
      <c r="G2222" s="408" t="s">
        <v>551</v>
      </c>
      <c r="H2222" s="408" t="s">
        <v>552</v>
      </c>
      <c r="I2222" s="408" t="s">
        <v>553</v>
      </c>
      <c r="J2222" s="408" t="s">
        <v>554</v>
      </c>
      <c r="K2222" s="408" t="s">
        <v>555</v>
      </c>
      <c r="M2222" s="426"/>
    </row>
    <row r="2223" spans="2:13" ht="15" customHeight="1" thickBot="1" x14ac:dyDescent="0.3">
      <c r="B2223" s="414" t="s">
        <v>556</v>
      </c>
      <c r="C2223" s="415" t="s">
        <v>620</v>
      </c>
      <c r="D2223" s="416">
        <f>IF(ISERROR(VLOOKUP(B2222,'MD Usage'!$A$1:$W$5000,3,FALSE)),0,VLOOKUP(B2222,'MD Usage'!$A$1:$W$5000,3,FALSE))</f>
        <v>0</v>
      </c>
      <c r="E2223" s="416">
        <f>IF(ISERROR(VLOOKUP(B2222,'MD Usage'!$A$1:$W$5000,5,FALSE)),0,VLOOKUP(B2222,'MD Usage'!$A$1:$W$5000,5,FALSE))</f>
        <v>0</v>
      </c>
      <c r="F2223" s="416">
        <f>IF(ISERROR(VLOOKUP(B2222,'MD Usage'!$A$1:$W$5000,7,FALSE)),0,VLOOKUP(B2222,'MD Usage'!$A$1:$W$5000,7,FALSE))</f>
        <v>0</v>
      </c>
      <c r="G2223" s="416">
        <f>IF(ISERROR(VLOOKUP(B2222,'MD Usage'!$A$1:$W$5000,9,FALSE)),0,VLOOKUP(B2222,'MD Usage'!$A$1:$W$5000,9,FALSE))</f>
        <v>0</v>
      </c>
      <c r="H2223" s="416">
        <f>IF(ISERROR(VLOOKUP(B2222,'MD Usage'!$A$1:$W$5000,11,FALSE)),0,VLOOKUP(B2222,'MD Usage'!$A$1:$W$5000,11,FALSE))</f>
        <v>0</v>
      </c>
      <c r="I2223" s="416">
        <f>IF(ISERROR(VLOOKUP(B2222,'MD Usage'!A1:R2000,13,FALSE)),0,VLOOKUP(B2222,'MD Usage'!A1:R2000,13,FALSE))</f>
        <v>0</v>
      </c>
      <c r="J2223" s="416">
        <f>IF(ISERROR(VLOOKUP(B2222,'MD Usage'!A1:R2000,15,FALSE)),0,VLOOKUP(B2222,'MD Usage'!A1:R2000,15,FALSE))</f>
        <v>0</v>
      </c>
      <c r="K2223" s="418">
        <f>SUM(D2223:J2223)</f>
        <v>0</v>
      </c>
    </row>
    <row r="2224" spans="2:13" ht="15" customHeight="1" x14ac:dyDescent="0.25">
      <c r="B2224" s="419"/>
      <c r="C2224" s="420"/>
      <c r="D2224" s="421">
        <f>D2223*C2224</f>
        <v>0</v>
      </c>
      <c r="E2224" s="421">
        <f>E2223*C2224</f>
        <v>0</v>
      </c>
      <c r="F2224" s="421">
        <f>F2223*C2224</f>
        <v>0</v>
      </c>
      <c r="G2224" s="421">
        <f>G2223*C2224</f>
        <v>0</v>
      </c>
      <c r="H2224" s="421">
        <f>H2223*C2224</f>
        <v>0</v>
      </c>
      <c r="I2224" s="421">
        <f>I2223*C2224</f>
        <v>0</v>
      </c>
      <c r="J2224" s="421">
        <f>J2223*C2224</f>
        <v>0</v>
      </c>
      <c r="K2224" s="422">
        <f>SUM(D2224:J2224)</f>
        <v>0</v>
      </c>
    </row>
    <row r="2225" spans="2:13" ht="15" customHeight="1" x14ac:dyDescent="0.25">
      <c r="B2225" s="389"/>
      <c r="C2225" s="423"/>
      <c r="D2225" s="421">
        <f>D2223*C2225</f>
        <v>0</v>
      </c>
      <c r="E2225" s="421">
        <f>E2223*C2225</f>
        <v>0</v>
      </c>
      <c r="F2225" s="421">
        <f>F2223*C2225</f>
        <v>0</v>
      </c>
      <c r="G2225" s="421">
        <f>G2223*C2225</f>
        <v>0</v>
      </c>
      <c r="H2225" s="421">
        <f>H2223*C2225</f>
        <v>0</v>
      </c>
      <c r="I2225" s="421">
        <f>I2223*C2225</f>
        <v>0</v>
      </c>
      <c r="J2225" s="421">
        <f>J2223*C2225</f>
        <v>0</v>
      </c>
      <c r="K2225" s="424">
        <f>SUM(D2225:J2225)</f>
        <v>0</v>
      </c>
    </row>
    <row r="2226" spans="2:13" ht="15" customHeight="1" x14ac:dyDescent="0.25">
      <c r="B2226" s="389"/>
      <c r="C2226" s="423"/>
      <c r="D2226" s="421">
        <f>D2223*C2226</f>
        <v>0</v>
      </c>
      <c r="E2226" s="421">
        <f>E2223*C2226</f>
        <v>0</v>
      </c>
      <c r="F2226" s="421">
        <f>F2223*C2226</f>
        <v>0</v>
      </c>
      <c r="G2226" s="421">
        <f>G2223*C2226</f>
        <v>0</v>
      </c>
      <c r="H2226" s="421">
        <f>H2223*C2226</f>
        <v>0</v>
      </c>
      <c r="I2226" s="421">
        <f>I2223*C2226</f>
        <v>0</v>
      </c>
      <c r="J2226" s="421">
        <f>J2223*C2226</f>
        <v>0</v>
      </c>
      <c r="K2226" s="424">
        <f>SUM(D2226:J2226)</f>
        <v>0</v>
      </c>
    </row>
    <row r="2227" spans="2:13" ht="15" customHeight="1" x14ac:dyDescent="0.25">
      <c r="B2227" s="389"/>
      <c r="C2227" s="423"/>
      <c r="D2227" s="421">
        <f>D2223*C2227</f>
        <v>0</v>
      </c>
      <c r="E2227" s="421">
        <f>E2223*C2227</f>
        <v>0</v>
      </c>
      <c r="F2227" s="421">
        <f>F2223*C2227</f>
        <v>0</v>
      </c>
      <c r="G2227" s="421">
        <f>G2223*C2227</f>
        <v>0</v>
      </c>
      <c r="H2227" s="421">
        <f>H2223*C2227</f>
        <v>0</v>
      </c>
      <c r="I2227" s="421">
        <f>I2223*C2227</f>
        <v>0</v>
      </c>
      <c r="J2227" s="421">
        <f>J2223*C2227</f>
        <v>0</v>
      </c>
      <c r="K2227" s="424">
        <f>SUM(D2227:J2227)</f>
        <v>0</v>
      </c>
    </row>
    <row r="2228" spans="2:13" ht="15" customHeight="1" thickBot="1" x14ac:dyDescent="0.3"/>
    <row r="2229" spans="2:13" ht="15" customHeight="1" thickBot="1" x14ac:dyDescent="0.3">
      <c r="B2229" s="432"/>
      <c r="C2229" s="411"/>
      <c r="D2229" s="407" t="s">
        <v>548</v>
      </c>
      <c r="E2229" s="408" t="s">
        <v>549</v>
      </c>
      <c r="F2229" s="408" t="s">
        <v>550</v>
      </c>
      <c r="G2229" s="408" t="s">
        <v>551</v>
      </c>
      <c r="H2229" s="408" t="s">
        <v>552</v>
      </c>
      <c r="I2229" s="408" t="s">
        <v>553</v>
      </c>
      <c r="J2229" s="408" t="s">
        <v>554</v>
      </c>
      <c r="K2229" s="408" t="s">
        <v>555</v>
      </c>
      <c r="M2229" s="426"/>
    </row>
    <row r="2230" spans="2:13" ht="15" customHeight="1" thickBot="1" x14ac:dyDescent="0.3">
      <c r="B2230" s="414" t="s">
        <v>556</v>
      </c>
      <c r="C2230" s="415" t="s">
        <v>620</v>
      </c>
      <c r="D2230" s="416">
        <f>IF(ISERROR(VLOOKUP(B2229,'MD Usage'!$A$1:$W$5000,3,FALSE)),0,VLOOKUP(B2229,'MD Usage'!$A$1:$W$5000,3,FALSE))</f>
        <v>0</v>
      </c>
      <c r="E2230" s="416">
        <f>IF(ISERROR(VLOOKUP(B2229,'MD Usage'!$A$1:$W$5000,5,FALSE)),0,VLOOKUP(B2229,'MD Usage'!$A$1:$W$5000,5,FALSE))</f>
        <v>0</v>
      </c>
      <c r="F2230" s="416">
        <f>IF(ISERROR(VLOOKUP(B2229,'MD Usage'!$A$1:$W$5000,7,FALSE)),0,VLOOKUP(B2229,'MD Usage'!$A$1:$W$5000,7,FALSE))</f>
        <v>0</v>
      </c>
      <c r="G2230" s="416">
        <f>IF(ISERROR(VLOOKUP(B2229,'MD Usage'!$A$1:$W$5000,9,FALSE)),0,VLOOKUP(B2229,'MD Usage'!$A$1:$W$5000,9,FALSE))</f>
        <v>0</v>
      </c>
      <c r="H2230" s="416">
        <f>IF(ISERROR(VLOOKUP(B2229,'MD Usage'!$A$1:$W$5000,11,FALSE)),0,VLOOKUP(B2229,'MD Usage'!$A$1:$W$5000,11,FALSE))</f>
        <v>0</v>
      </c>
      <c r="I2230" s="416">
        <f>IF(ISERROR(VLOOKUP(B2229,'MD Usage'!A1:R2000,13,FALSE)),0,VLOOKUP(B2229,'MD Usage'!A1:R2000,13,FALSE))</f>
        <v>0</v>
      </c>
      <c r="J2230" s="416">
        <f>IF(ISERROR(VLOOKUP(B2229,'MD Usage'!A1:R2000,15,FALSE)),0,VLOOKUP(B2229,'MD Usage'!A1:R2000,15,FALSE))</f>
        <v>0</v>
      </c>
      <c r="K2230" s="418">
        <f>SUM(D2230:J2230)</f>
        <v>0</v>
      </c>
    </row>
    <row r="2231" spans="2:13" ht="15" customHeight="1" x14ac:dyDescent="0.25">
      <c r="B2231" s="419"/>
      <c r="C2231" s="420"/>
      <c r="D2231" s="421">
        <f>D2230*C2231</f>
        <v>0</v>
      </c>
      <c r="E2231" s="421">
        <f>E2230*C2231</f>
        <v>0</v>
      </c>
      <c r="F2231" s="421">
        <f>F2230*C2231</f>
        <v>0</v>
      </c>
      <c r="G2231" s="421">
        <f>G2230*C2231</f>
        <v>0</v>
      </c>
      <c r="H2231" s="421">
        <f>H2230*C2231</f>
        <v>0</v>
      </c>
      <c r="I2231" s="421">
        <f>I2230*C2231</f>
        <v>0</v>
      </c>
      <c r="J2231" s="421">
        <f>J2230*C2231</f>
        <v>0</v>
      </c>
      <c r="K2231" s="422">
        <f>SUM(D2231:J2231)</f>
        <v>0</v>
      </c>
    </row>
    <row r="2232" spans="2:13" ht="15" customHeight="1" x14ac:dyDescent="0.25">
      <c r="B2232" s="389"/>
      <c r="C2232" s="423"/>
      <c r="D2232" s="421">
        <f>D2230*C2232</f>
        <v>0</v>
      </c>
      <c r="E2232" s="421">
        <f>E2230*C2232</f>
        <v>0</v>
      </c>
      <c r="F2232" s="421">
        <f>F2230*C2232</f>
        <v>0</v>
      </c>
      <c r="G2232" s="421">
        <f>G2230*C2232</f>
        <v>0</v>
      </c>
      <c r="H2232" s="421">
        <f>H2230*C2232</f>
        <v>0</v>
      </c>
      <c r="I2232" s="421">
        <f>I2230*C2232</f>
        <v>0</v>
      </c>
      <c r="J2232" s="421">
        <f>J2230*C2232</f>
        <v>0</v>
      </c>
      <c r="K2232" s="424">
        <f>SUM(D2232:J2232)</f>
        <v>0</v>
      </c>
    </row>
    <row r="2233" spans="2:13" ht="15" customHeight="1" x14ac:dyDescent="0.25">
      <c r="B2233" s="389"/>
      <c r="C2233" s="423"/>
      <c r="D2233" s="421">
        <f>D2230*C2233</f>
        <v>0</v>
      </c>
      <c r="E2233" s="421">
        <f>E2230*C2233</f>
        <v>0</v>
      </c>
      <c r="F2233" s="421">
        <f>F2230*C2233</f>
        <v>0</v>
      </c>
      <c r="G2233" s="421">
        <f>G2230*C2233</f>
        <v>0</v>
      </c>
      <c r="H2233" s="421">
        <f>H2230*C2233</f>
        <v>0</v>
      </c>
      <c r="I2233" s="421">
        <f>I2230*C2233</f>
        <v>0</v>
      </c>
      <c r="J2233" s="421">
        <f>J2230*C2233</f>
        <v>0</v>
      </c>
      <c r="K2233" s="424">
        <f>SUM(D2233:J2233)</f>
        <v>0</v>
      </c>
    </row>
    <row r="2234" spans="2:13" ht="15" customHeight="1" x14ac:dyDescent="0.25">
      <c r="B2234" s="389"/>
      <c r="C2234" s="423"/>
      <c r="D2234" s="421">
        <f>D2230*C2234</f>
        <v>0</v>
      </c>
      <c r="E2234" s="421">
        <f>E2230*C2234</f>
        <v>0</v>
      </c>
      <c r="F2234" s="421">
        <f>F2230*C2234</f>
        <v>0</v>
      </c>
      <c r="G2234" s="421">
        <f>G2230*C2234</f>
        <v>0</v>
      </c>
      <c r="H2234" s="421">
        <f>H2230*C2234</f>
        <v>0</v>
      </c>
      <c r="I2234" s="421">
        <f>I2230*C2234</f>
        <v>0</v>
      </c>
      <c r="J2234" s="421">
        <f>J2230*C2234</f>
        <v>0</v>
      </c>
      <c r="K2234" s="424">
        <f>SUM(D2234:J2234)</f>
        <v>0</v>
      </c>
    </row>
    <row r="2235" spans="2:13" ht="15" customHeight="1" thickBot="1" x14ac:dyDescent="0.3"/>
    <row r="2236" spans="2:13" ht="15" customHeight="1" thickBot="1" x14ac:dyDescent="0.3">
      <c r="B2236" s="432"/>
      <c r="C2236" s="411"/>
      <c r="D2236" s="407" t="s">
        <v>548</v>
      </c>
      <c r="E2236" s="408" t="s">
        <v>549</v>
      </c>
      <c r="F2236" s="408" t="s">
        <v>550</v>
      </c>
      <c r="G2236" s="408" t="s">
        <v>551</v>
      </c>
      <c r="H2236" s="408" t="s">
        <v>552</v>
      </c>
      <c r="I2236" s="408" t="s">
        <v>553</v>
      </c>
      <c r="J2236" s="408" t="s">
        <v>554</v>
      </c>
      <c r="K2236" s="408" t="s">
        <v>555</v>
      </c>
      <c r="M2236" s="414"/>
    </row>
    <row r="2237" spans="2:13" ht="15" customHeight="1" thickBot="1" x14ac:dyDescent="0.3">
      <c r="B2237" s="414" t="s">
        <v>556</v>
      </c>
      <c r="C2237" s="415" t="s">
        <v>620</v>
      </c>
      <c r="D2237" s="416">
        <f>IF(ISERROR(VLOOKUP(B2236,'MD Usage'!$A$1:$W$5000,3,FALSE)),0,VLOOKUP(B2236,'MD Usage'!$A$1:$W$5000,3,FALSE))</f>
        <v>0</v>
      </c>
      <c r="E2237" s="416">
        <f>IF(ISERROR(VLOOKUP(B2236,'MD Usage'!$A$1:$W$5000,5,FALSE)),0,VLOOKUP(B2236,'MD Usage'!$A$1:$W$5000,5,FALSE))</f>
        <v>0</v>
      </c>
      <c r="F2237" s="416">
        <f>IF(ISERROR(VLOOKUP(B2236,'MD Usage'!$A$1:$W$5000,7,FALSE)),0,VLOOKUP(B2236,'MD Usage'!$A$1:$W$5000,7,FALSE))</f>
        <v>0</v>
      </c>
      <c r="G2237" s="416">
        <f>IF(ISERROR(VLOOKUP(B2236,'MD Usage'!$A$1:$W$5000,9,FALSE)),0,VLOOKUP(B2236,'MD Usage'!$A$1:$W$5000,9,FALSE))</f>
        <v>0</v>
      </c>
      <c r="H2237" s="416">
        <f>IF(ISERROR(VLOOKUP(B2236,'MD Usage'!$A$1:$W$5000,11,FALSE)),0,VLOOKUP(B2236,'MD Usage'!$A$1:$W$5000,11,FALSE))</f>
        <v>0</v>
      </c>
      <c r="I2237" s="416">
        <f>IF(ISERROR(VLOOKUP(B2236,'MD Usage'!A1:R2000,13,FALSE)),0,VLOOKUP(B2236,'MD Usage'!A1:R2000,13,FALSE))</f>
        <v>0</v>
      </c>
      <c r="J2237" s="416">
        <f>IF(ISERROR(VLOOKUP(B2236,'MD Usage'!A1:R2000,15,FALSE)),0,VLOOKUP(B2236,'MD Usage'!A1:R2000,15,FALSE))</f>
        <v>0</v>
      </c>
      <c r="K2237" s="418">
        <f>SUM(D2237:J2237)</f>
        <v>0</v>
      </c>
    </row>
    <row r="2238" spans="2:13" ht="15" customHeight="1" x14ac:dyDescent="0.25">
      <c r="B2238" s="419"/>
      <c r="C2238" s="420"/>
      <c r="D2238" s="421">
        <f>D2237*C2238</f>
        <v>0</v>
      </c>
      <c r="E2238" s="421">
        <f>E2237*C2238</f>
        <v>0</v>
      </c>
      <c r="F2238" s="421">
        <f>F2237*C2238</f>
        <v>0</v>
      </c>
      <c r="G2238" s="421">
        <f>G2237*C2238</f>
        <v>0</v>
      </c>
      <c r="H2238" s="421">
        <f>H2237*C2238</f>
        <v>0</v>
      </c>
      <c r="I2238" s="421">
        <f>I2237*C2238</f>
        <v>0</v>
      </c>
      <c r="J2238" s="421">
        <f>J2237*C2238</f>
        <v>0</v>
      </c>
      <c r="K2238" s="422">
        <f>SUM(D2238:J2238)</f>
        <v>0</v>
      </c>
    </row>
    <row r="2239" spans="2:13" ht="15" customHeight="1" x14ac:dyDescent="0.25">
      <c r="B2239" s="389"/>
      <c r="C2239" s="423"/>
      <c r="D2239" s="421">
        <f>D2237*C2239</f>
        <v>0</v>
      </c>
      <c r="E2239" s="421">
        <f>E2237*C2239</f>
        <v>0</v>
      </c>
      <c r="F2239" s="421">
        <f>F2237*C2239</f>
        <v>0</v>
      </c>
      <c r="G2239" s="421">
        <f>G2237*C2239</f>
        <v>0</v>
      </c>
      <c r="H2239" s="421">
        <f>H2237*C2239</f>
        <v>0</v>
      </c>
      <c r="I2239" s="421">
        <f>I2237*C2239</f>
        <v>0</v>
      </c>
      <c r="J2239" s="421">
        <f>J2237*C2239</f>
        <v>0</v>
      </c>
      <c r="K2239" s="424">
        <f>SUM(D2239:J2239)</f>
        <v>0</v>
      </c>
    </row>
    <row r="2240" spans="2:13" ht="15" customHeight="1" x14ac:dyDescent="0.25">
      <c r="B2240" s="389"/>
      <c r="C2240" s="423"/>
      <c r="D2240" s="421">
        <f>D2237*C2240</f>
        <v>0</v>
      </c>
      <c r="E2240" s="421">
        <f>E2237*C2240</f>
        <v>0</v>
      </c>
      <c r="F2240" s="421">
        <f>F2237*C2240</f>
        <v>0</v>
      </c>
      <c r="G2240" s="421">
        <f>G2237*C2240</f>
        <v>0</v>
      </c>
      <c r="H2240" s="421">
        <f>H2237*C2240</f>
        <v>0</v>
      </c>
      <c r="I2240" s="421">
        <f>I2237*C2240</f>
        <v>0</v>
      </c>
      <c r="J2240" s="421">
        <f>J2237*C2240</f>
        <v>0</v>
      </c>
      <c r="K2240" s="424">
        <f>SUM(D2240:J2240)</f>
        <v>0</v>
      </c>
    </row>
    <row r="2241" spans="2:13" ht="15" customHeight="1" x14ac:dyDescent="0.25">
      <c r="B2241" s="389"/>
      <c r="C2241" s="423"/>
      <c r="D2241" s="421">
        <f>D2237*C2241</f>
        <v>0</v>
      </c>
      <c r="E2241" s="421">
        <f>E2237*C2241</f>
        <v>0</v>
      </c>
      <c r="F2241" s="421">
        <f>F2237*C2241</f>
        <v>0</v>
      </c>
      <c r="G2241" s="421">
        <f>G2237*C2241</f>
        <v>0</v>
      </c>
      <c r="H2241" s="421">
        <f>H2237*C2241</f>
        <v>0</v>
      </c>
      <c r="I2241" s="421">
        <f>I2237*C2241</f>
        <v>0</v>
      </c>
      <c r="J2241" s="421">
        <f>J2237*C2241</f>
        <v>0</v>
      </c>
      <c r="K2241" s="424">
        <f>SUM(D2241:J2241)</f>
        <v>0</v>
      </c>
    </row>
    <row r="2242" spans="2:13" ht="15" customHeight="1" thickBot="1" x14ac:dyDescent="0.3"/>
    <row r="2243" spans="2:13" ht="15" customHeight="1" thickBot="1" x14ac:dyDescent="0.3">
      <c r="B2243" s="432"/>
      <c r="C2243" s="411"/>
      <c r="D2243" s="407" t="s">
        <v>548</v>
      </c>
      <c r="E2243" s="408" t="s">
        <v>549</v>
      </c>
      <c r="F2243" s="408" t="s">
        <v>550</v>
      </c>
      <c r="G2243" s="408" t="s">
        <v>551</v>
      </c>
      <c r="H2243" s="408" t="s">
        <v>552</v>
      </c>
      <c r="I2243" s="408" t="s">
        <v>553</v>
      </c>
      <c r="J2243" s="408" t="s">
        <v>554</v>
      </c>
      <c r="K2243" s="408" t="s">
        <v>555</v>
      </c>
      <c r="M2243" s="426"/>
    </row>
    <row r="2244" spans="2:13" ht="15" customHeight="1" thickBot="1" x14ac:dyDescent="0.3">
      <c r="B2244" s="414" t="s">
        <v>556</v>
      </c>
      <c r="C2244" s="415" t="s">
        <v>620</v>
      </c>
      <c r="D2244" s="416">
        <f>IF(ISERROR(VLOOKUP(B2243,'MD Usage'!$A$1:$W$5000,3,FALSE)),0,VLOOKUP(B2243,'MD Usage'!$A$1:$W$5000,3,FALSE))</f>
        <v>0</v>
      </c>
      <c r="E2244" s="416">
        <f>IF(ISERROR(VLOOKUP(B2243,'MD Usage'!$A$1:$W$5000,5,FALSE)),0,VLOOKUP(B2243,'MD Usage'!$A$1:$W$5000,5,FALSE))</f>
        <v>0</v>
      </c>
      <c r="F2244" s="416">
        <f>IF(ISERROR(VLOOKUP(B2243,'MD Usage'!$A$1:$W$5000,7,FALSE)),0,VLOOKUP(B2243,'MD Usage'!$A$1:$W$5000,7,FALSE))</f>
        <v>0</v>
      </c>
      <c r="G2244" s="416">
        <f>IF(ISERROR(VLOOKUP(B2243,'MD Usage'!$A$1:$W$5000,9,FALSE)),0,VLOOKUP(B2243,'MD Usage'!$A$1:$W$5000,9,FALSE))</f>
        <v>0</v>
      </c>
      <c r="H2244" s="416">
        <f>IF(ISERROR(VLOOKUP(B2243,'MD Usage'!$A$1:$W$5000,11,FALSE)),0,VLOOKUP(B2243,'MD Usage'!$A$1:$W$5000,11,FALSE))</f>
        <v>0</v>
      </c>
      <c r="I2244" s="416">
        <f>IF(ISERROR(VLOOKUP(B2243,'MD Usage'!A1:R2000,13,FALSE)),0,VLOOKUP(B2243,'MD Usage'!A1:R2000,13,FALSE))</f>
        <v>0</v>
      </c>
      <c r="J2244" s="416">
        <f>IF(ISERROR(VLOOKUP(B2243,'MD Usage'!A1:R2000,15,FALSE)),0,VLOOKUP(B2243,'MD Usage'!A1:R2000,15,FALSE))</f>
        <v>0</v>
      </c>
      <c r="K2244" s="418">
        <f>SUM(D2244:J2244)</f>
        <v>0</v>
      </c>
    </row>
    <row r="2245" spans="2:13" ht="15" customHeight="1" x14ac:dyDescent="0.25">
      <c r="B2245" s="419"/>
      <c r="C2245" s="420"/>
      <c r="D2245" s="421">
        <f>D2244*C2245</f>
        <v>0</v>
      </c>
      <c r="E2245" s="421">
        <f>E2244*C2245</f>
        <v>0</v>
      </c>
      <c r="F2245" s="421">
        <f>F2244*C2245</f>
        <v>0</v>
      </c>
      <c r="G2245" s="421">
        <f>G2244*C2245</f>
        <v>0</v>
      </c>
      <c r="H2245" s="421">
        <f>H2244*C2245</f>
        <v>0</v>
      </c>
      <c r="I2245" s="421">
        <f>I2244*C2245</f>
        <v>0</v>
      </c>
      <c r="J2245" s="421">
        <f>J2244*C2245</f>
        <v>0</v>
      </c>
      <c r="K2245" s="422">
        <f>SUM(D2245:J2245)</f>
        <v>0</v>
      </c>
    </row>
    <row r="2246" spans="2:13" ht="15" customHeight="1" x14ac:dyDescent="0.25">
      <c r="B2246" s="389"/>
      <c r="C2246" s="423"/>
      <c r="D2246" s="421">
        <f>D2244*C2246</f>
        <v>0</v>
      </c>
      <c r="E2246" s="421">
        <f>E2244*C2246</f>
        <v>0</v>
      </c>
      <c r="F2246" s="421">
        <f>F2244*C2246</f>
        <v>0</v>
      </c>
      <c r="G2246" s="421">
        <f>G2244*C2246</f>
        <v>0</v>
      </c>
      <c r="H2246" s="421">
        <f>H2244*C2246</f>
        <v>0</v>
      </c>
      <c r="I2246" s="421">
        <f>I2244*C2246</f>
        <v>0</v>
      </c>
      <c r="J2246" s="421">
        <f>J2244*C2246</f>
        <v>0</v>
      </c>
      <c r="K2246" s="424">
        <f>SUM(D2246:J2246)</f>
        <v>0</v>
      </c>
    </row>
    <row r="2247" spans="2:13" ht="15" customHeight="1" x14ac:dyDescent="0.25">
      <c r="B2247" s="389"/>
      <c r="C2247" s="423"/>
      <c r="D2247" s="421">
        <f>D2244*C2247</f>
        <v>0</v>
      </c>
      <c r="E2247" s="421">
        <f>E2244*C2247</f>
        <v>0</v>
      </c>
      <c r="F2247" s="421">
        <f>F2244*C2247</f>
        <v>0</v>
      </c>
      <c r="G2247" s="421">
        <f>G2244*C2247</f>
        <v>0</v>
      </c>
      <c r="H2247" s="421">
        <f>H2244*C2247</f>
        <v>0</v>
      </c>
      <c r="I2247" s="421">
        <f>I2244*C2247</f>
        <v>0</v>
      </c>
      <c r="J2247" s="421">
        <f>J2244*C2247</f>
        <v>0</v>
      </c>
      <c r="K2247" s="424">
        <f>SUM(D2247:J2247)</f>
        <v>0</v>
      </c>
    </row>
    <row r="2248" spans="2:13" ht="15" customHeight="1" x14ac:dyDescent="0.25">
      <c r="B2248" s="389"/>
      <c r="C2248" s="423"/>
      <c r="D2248" s="421">
        <f>D2244*C2248</f>
        <v>0</v>
      </c>
      <c r="E2248" s="421">
        <f>E2244*C2248</f>
        <v>0</v>
      </c>
      <c r="F2248" s="421">
        <f>F2244*C2248</f>
        <v>0</v>
      </c>
      <c r="G2248" s="421">
        <f>G2244*C2248</f>
        <v>0</v>
      </c>
      <c r="H2248" s="421">
        <f>H2244*C2248</f>
        <v>0</v>
      </c>
      <c r="I2248" s="421">
        <f>I2244*C2248</f>
        <v>0</v>
      </c>
      <c r="J2248" s="421">
        <f>J2244*C2248</f>
        <v>0</v>
      </c>
      <c r="K2248" s="424">
        <f>SUM(D2248:J2248)</f>
        <v>0</v>
      </c>
    </row>
    <row r="2249" spans="2:13" ht="15" customHeight="1" thickBot="1" x14ac:dyDescent="0.3"/>
    <row r="2250" spans="2:13" ht="15" customHeight="1" thickBot="1" x14ac:dyDescent="0.3">
      <c r="B2250" s="414"/>
      <c r="C2250" s="411"/>
      <c r="D2250" s="407" t="s">
        <v>548</v>
      </c>
      <c r="E2250" s="408" t="s">
        <v>549</v>
      </c>
      <c r="F2250" s="408" t="s">
        <v>550</v>
      </c>
      <c r="G2250" s="408" t="s">
        <v>551</v>
      </c>
      <c r="H2250" s="408" t="s">
        <v>552</v>
      </c>
      <c r="I2250" s="408" t="s">
        <v>553</v>
      </c>
      <c r="J2250" s="408" t="s">
        <v>554</v>
      </c>
      <c r="K2250" s="408" t="s">
        <v>555</v>
      </c>
    </row>
    <row r="2251" spans="2:13" ht="15" customHeight="1" thickBot="1" x14ac:dyDescent="0.3">
      <c r="B2251" s="414" t="s">
        <v>556</v>
      </c>
      <c r="C2251" s="415" t="s">
        <v>620</v>
      </c>
      <c r="D2251" s="416">
        <f>IF(ISERROR(VLOOKUP(B2250,'MD Usage'!$A$1:$W$5000,3,FALSE)),0,VLOOKUP(B2250,'MD Usage'!$A$1:$W$5000,3,FALSE))</f>
        <v>0</v>
      </c>
      <c r="E2251" s="416">
        <f>IF(ISERROR(VLOOKUP(B2250,'MD Usage'!$A$1:$W$5000,5,FALSE)),0,VLOOKUP(B2250,'MD Usage'!$A$1:$W$5000,5,FALSE))</f>
        <v>0</v>
      </c>
      <c r="F2251" s="416">
        <f>IF(ISERROR(VLOOKUP(B2250,'MD Usage'!$A$1:$W$5000,7,FALSE)),0,VLOOKUP(B2250,'MD Usage'!$A$1:$W$5000,7,FALSE))</f>
        <v>0</v>
      </c>
      <c r="G2251" s="416">
        <f>IF(ISERROR(VLOOKUP(B2250,'MD Usage'!$A$1:$W$5000,9,FALSE)),0,VLOOKUP(B2250,'MD Usage'!$A$1:$W$5000,9,FALSE))</f>
        <v>0</v>
      </c>
      <c r="H2251" s="416">
        <f>IF(ISERROR(VLOOKUP(B2250,'MD Usage'!$A$1:$W$5000,11,FALSE)),0,VLOOKUP(B2250,'MD Usage'!$A$1:$W$5000,11,FALSE))</f>
        <v>0</v>
      </c>
      <c r="I2251" s="416">
        <f>IF(ISERROR(VLOOKUP(B2250,'MD Usage'!A1:R2000,13,FALSE)),0,VLOOKUP(B2250,'MD Usage'!A1:R2000,13,FALSE))</f>
        <v>0</v>
      </c>
      <c r="J2251" s="416">
        <f>IF(ISERROR(VLOOKUP(B2250,'MD Usage'!A1:R2000,15,FALSE)),0,VLOOKUP(B2250,'MD Usage'!A1:R2000,15,FALSE))</f>
        <v>0</v>
      </c>
      <c r="K2251" s="418">
        <f>SUM(D2251:J2251)</f>
        <v>0</v>
      </c>
    </row>
    <row r="2252" spans="2:13" ht="15" customHeight="1" x14ac:dyDescent="0.25">
      <c r="B2252" s="419"/>
      <c r="C2252" s="420"/>
      <c r="D2252" s="421">
        <f>D2251*C2252</f>
        <v>0</v>
      </c>
      <c r="E2252" s="421">
        <f>E2251*C2252</f>
        <v>0</v>
      </c>
      <c r="F2252" s="421">
        <f>F2251*C2252</f>
        <v>0</v>
      </c>
      <c r="G2252" s="421">
        <f>G2251*C2252</f>
        <v>0</v>
      </c>
      <c r="H2252" s="421">
        <f>H2251*C2252</f>
        <v>0</v>
      </c>
      <c r="I2252" s="421">
        <f>I2251*C2252</f>
        <v>0</v>
      </c>
      <c r="J2252" s="421">
        <f>J2251*C2252</f>
        <v>0</v>
      </c>
      <c r="K2252" s="422">
        <f>SUM(D2252:J2252)</f>
        <v>0</v>
      </c>
    </row>
    <row r="2253" spans="2:13" ht="15" customHeight="1" x14ac:dyDescent="0.25">
      <c r="B2253" s="389"/>
      <c r="C2253" s="423"/>
      <c r="D2253" s="421">
        <f>D2251*C2253</f>
        <v>0</v>
      </c>
      <c r="E2253" s="421">
        <f>E2251*C2253</f>
        <v>0</v>
      </c>
      <c r="F2253" s="421">
        <f>F2251*C2253</f>
        <v>0</v>
      </c>
      <c r="G2253" s="421">
        <f>G2251*C2253</f>
        <v>0</v>
      </c>
      <c r="H2253" s="421">
        <f>H2251*C2253</f>
        <v>0</v>
      </c>
      <c r="I2253" s="421">
        <f>I2251*C2253</f>
        <v>0</v>
      </c>
      <c r="J2253" s="421">
        <f>J2251*C2253</f>
        <v>0</v>
      </c>
      <c r="K2253" s="424">
        <f>SUM(D2253:J2253)</f>
        <v>0</v>
      </c>
    </row>
    <row r="2254" spans="2:13" ht="15" customHeight="1" x14ac:dyDescent="0.25">
      <c r="B2254" s="389"/>
      <c r="C2254" s="423"/>
      <c r="D2254" s="421">
        <f>D2251*C2254</f>
        <v>0</v>
      </c>
      <c r="E2254" s="421">
        <f>E2251*C2254</f>
        <v>0</v>
      </c>
      <c r="F2254" s="421">
        <f>F2251*C2254</f>
        <v>0</v>
      </c>
      <c r="G2254" s="421">
        <f>G2251*C2254</f>
        <v>0</v>
      </c>
      <c r="H2254" s="421">
        <f>H2251*C2254</f>
        <v>0</v>
      </c>
      <c r="I2254" s="421">
        <f>I2251*C2254</f>
        <v>0</v>
      </c>
      <c r="J2254" s="421">
        <f>J2251*C2254</f>
        <v>0</v>
      </c>
      <c r="K2254" s="424">
        <f>SUM(D2254:J2254)</f>
        <v>0</v>
      </c>
    </row>
    <row r="2255" spans="2:13" ht="15" customHeight="1" x14ac:dyDescent="0.25">
      <c r="B2255" s="389"/>
      <c r="C2255" s="423"/>
      <c r="D2255" s="421">
        <f>D2251*C2255</f>
        <v>0</v>
      </c>
      <c r="E2255" s="421">
        <f>E2251*C2255</f>
        <v>0</v>
      </c>
      <c r="F2255" s="421">
        <f>F2251*C2255</f>
        <v>0</v>
      </c>
      <c r="G2255" s="421">
        <f>G2251*C2255</f>
        <v>0</v>
      </c>
      <c r="H2255" s="421">
        <f>H2251*C2255</f>
        <v>0</v>
      </c>
      <c r="I2255" s="421">
        <f>I2251*C2255</f>
        <v>0</v>
      </c>
      <c r="J2255" s="421">
        <f>J2251*C2255</f>
        <v>0</v>
      </c>
      <c r="K2255" s="424">
        <f>SUM(D2255:J2255)</f>
        <v>0</v>
      </c>
    </row>
    <row r="2256" spans="2:13" ht="15" customHeight="1" thickBot="1" x14ac:dyDescent="0.3"/>
    <row r="2257" spans="2:13" ht="15" customHeight="1" thickBot="1" x14ac:dyDescent="0.3">
      <c r="B2257" s="432"/>
      <c r="C2257" s="411"/>
      <c r="D2257" s="407" t="s">
        <v>548</v>
      </c>
      <c r="E2257" s="408" t="s">
        <v>549</v>
      </c>
      <c r="F2257" s="408" t="s">
        <v>550</v>
      </c>
      <c r="G2257" s="408" t="s">
        <v>551</v>
      </c>
      <c r="H2257" s="408" t="s">
        <v>552</v>
      </c>
      <c r="I2257" s="408" t="s">
        <v>553</v>
      </c>
      <c r="J2257" s="408" t="s">
        <v>554</v>
      </c>
      <c r="K2257" s="408" t="s">
        <v>555</v>
      </c>
      <c r="M2257" s="414"/>
    </row>
    <row r="2258" spans="2:13" ht="15" customHeight="1" thickBot="1" x14ac:dyDescent="0.3">
      <c r="B2258" s="414" t="s">
        <v>556</v>
      </c>
      <c r="C2258" s="415" t="s">
        <v>620</v>
      </c>
      <c r="D2258" s="416">
        <f>IF(ISERROR(VLOOKUP(B2257,'MD Usage'!$A$1:$W$5000,3,FALSE)),0,VLOOKUP(B2257,'MD Usage'!$A$1:$W$5000,3,FALSE))</f>
        <v>0</v>
      </c>
      <c r="E2258" s="416">
        <f>IF(ISERROR(VLOOKUP(B2257,'MD Usage'!$A$1:$W$5000,5,FALSE)),0,VLOOKUP(B2257,'MD Usage'!$A$1:$W$5000,5,FALSE))</f>
        <v>0</v>
      </c>
      <c r="F2258" s="416">
        <f>IF(ISERROR(VLOOKUP(B2257,'MD Usage'!$A$1:$W$5000,7,FALSE)),0,VLOOKUP(B2257,'MD Usage'!$A$1:$W$5000,7,FALSE))</f>
        <v>0</v>
      </c>
      <c r="G2258" s="416">
        <f>IF(ISERROR(VLOOKUP(B2257,'MD Usage'!$A$1:$W$5000,9,FALSE)),0,VLOOKUP(B2257,'MD Usage'!$A$1:$W$5000,9,FALSE))</f>
        <v>0</v>
      </c>
      <c r="H2258" s="416">
        <f>IF(ISERROR(VLOOKUP(B2257,'MD Usage'!$A$1:$W$5000,11,FALSE)),0,VLOOKUP(B2257,'MD Usage'!$A$1:$W$5000,11,FALSE))</f>
        <v>0</v>
      </c>
      <c r="I2258" s="416">
        <f>IF(ISERROR(VLOOKUP(B2257,'MD Usage'!A1:R2000,13,FALSE)),0,VLOOKUP(B2257,'MD Usage'!A1:R2000,13,FALSE))</f>
        <v>0</v>
      </c>
      <c r="J2258" s="416">
        <f>IF(ISERROR(VLOOKUP(B2257,'MD Usage'!A1:R2000,15,FALSE)),0,VLOOKUP(B2257,'MD Usage'!A1:R2000,15,FALSE))</f>
        <v>0</v>
      </c>
      <c r="K2258" s="418">
        <f>SUM(D2258:J2258)</f>
        <v>0</v>
      </c>
    </row>
    <row r="2259" spans="2:13" ht="15" customHeight="1" x14ac:dyDescent="0.25">
      <c r="B2259" s="419"/>
      <c r="C2259" s="420"/>
      <c r="D2259" s="421">
        <f>D2258*C2259</f>
        <v>0</v>
      </c>
      <c r="E2259" s="421">
        <f>E2258*C2259</f>
        <v>0</v>
      </c>
      <c r="F2259" s="421">
        <f>F2258*C2259</f>
        <v>0</v>
      </c>
      <c r="G2259" s="421">
        <f>G2258*C2259</f>
        <v>0</v>
      </c>
      <c r="H2259" s="421">
        <f>H2258*C2259</f>
        <v>0</v>
      </c>
      <c r="I2259" s="421">
        <f>I2258*C2259</f>
        <v>0</v>
      </c>
      <c r="J2259" s="421">
        <f>J2258*C2259</f>
        <v>0</v>
      </c>
      <c r="K2259" s="422">
        <f>SUM(D2259:J2259)</f>
        <v>0</v>
      </c>
    </row>
    <row r="2260" spans="2:13" ht="15" customHeight="1" x14ac:dyDescent="0.25">
      <c r="B2260" s="389"/>
      <c r="C2260" s="423"/>
      <c r="D2260" s="421">
        <f>D2258*C2260</f>
        <v>0</v>
      </c>
      <c r="E2260" s="421">
        <f>E2258*C2260</f>
        <v>0</v>
      </c>
      <c r="F2260" s="421">
        <f>F2258*C2260</f>
        <v>0</v>
      </c>
      <c r="G2260" s="421">
        <f>G2258*C2260</f>
        <v>0</v>
      </c>
      <c r="H2260" s="421">
        <f>H2258*C2260</f>
        <v>0</v>
      </c>
      <c r="I2260" s="421">
        <f>I2258*C2260</f>
        <v>0</v>
      </c>
      <c r="J2260" s="421">
        <f>J2258*C2260</f>
        <v>0</v>
      </c>
      <c r="K2260" s="424">
        <f>SUM(D2260:J2260)</f>
        <v>0</v>
      </c>
    </row>
    <row r="2261" spans="2:13" ht="15" customHeight="1" x14ac:dyDescent="0.25">
      <c r="B2261" s="389"/>
      <c r="C2261" s="423"/>
      <c r="D2261" s="421">
        <f>D2258*C2261</f>
        <v>0</v>
      </c>
      <c r="E2261" s="421">
        <f>E2258*C2261</f>
        <v>0</v>
      </c>
      <c r="F2261" s="421">
        <f>F2258*C2261</f>
        <v>0</v>
      </c>
      <c r="G2261" s="421">
        <f>G2258*C2261</f>
        <v>0</v>
      </c>
      <c r="H2261" s="421">
        <f>H2258*C2261</f>
        <v>0</v>
      </c>
      <c r="I2261" s="421">
        <f>I2258*C2261</f>
        <v>0</v>
      </c>
      <c r="J2261" s="421">
        <f>J2258*C2261</f>
        <v>0</v>
      </c>
      <c r="K2261" s="424">
        <f>SUM(D2261:J2261)</f>
        <v>0</v>
      </c>
    </row>
    <row r="2262" spans="2:13" ht="15" customHeight="1" x14ac:dyDescent="0.25">
      <c r="B2262" s="389"/>
      <c r="C2262" s="423"/>
      <c r="D2262" s="421">
        <f>D2258*C2262</f>
        <v>0</v>
      </c>
      <c r="E2262" s="421">
        <f>E2258*C2262</f>
        <v>0</v>
      </c>
      <c r="F2262" s="421">
        <f>F2258*C2262</f>
        <v>0</v>
      </c>
      <c r="G2262" s="421">
        <f>G2258*C2262</f>
        <v>0</v>
      </c>
      <c r="H2262" s="421">
        <f>H2258*C2262</f>
        <v>0</v>
      </c>
      <c r="I2262" s="421">
        <f>I2258*C2262</f>
        <v>0</v>
      </c>
      <c r="J2262" s="421">
        <f>J2258*C2262</f>
        <v>0</v>
      </c>
      <c r="K2262" s="424">
        <f>SUM(D2262:J2262)</f>
        <v>0</v>
      </c>
    </row>
    <row r="2263" spans="2:13" ht="15" customHeight="1" thickBot="1" x14ac:dyDescent="0.3"/>
    <row r="2264" spans="2:13" ht="15" customHeight="1" thickBot="1" x14ac:dyDescent="0.3">
      <c r="B2264" s="432"/>
      <c r="C2264" s="411"/>
      <c r="D2264" s="407" t="s">
        <v>548</v>
      </c>
      <c r="E2264" s="408" t="s">
        <v>549</v>
      </c>
      <c r="F2264" s="408" t="s">
        <v>550</v>
      </c>
      <c r="G2264" s="408" t="s">
        <v>551</v>
      </c>
      <c r="H2264" s="408" t="s">
        <v>552</v>
      </c>
      <c r="I2264" s="408" t="s">
        <v>553</v>
      </c>
      <c r="J2264" s="408" t="s">
        <v>554</v>
      </c>
      <c r="K2264" s="408" t="s">
        <v>555</v>
      </c>
    </row>
    <row r="2265" spans="2:13" ht="15" customHeight="1" thickBot="1" x14ac:dyDescent="0.3">
      <c r="B2265" s="414" t="s">
        <v>556</v>
      </c>
      <c r="C2265" s="415" t="s">
        <v>620</v>
      </c>
      <c r="D2265" s="416">
        <f>IF(ISERROR(VLOOKUP(B2264,'MD Usage'!$A$1:$W$5000,3,FALSE)),0,VLOOKUP(B2264,'MD Usage'!$A$1:$W$5000,3,FALSE))</f>
        <v>0</v>
      </c>
      <c r="E2265" s="416">
        <f>IF(ISERROR(VLOOKUP(B2264,'MD Usage'!$A$1:$W$5000,5,FALSE)),0,VLOOKUP(B2264,'MD Usage'!$A$1:$W$5000,5,FALSE))</f>
        <v>0</v>
      </c>
      <c r="F2265" s="416">
        <f>IF(ISERROR(VLOOKUP(B2264,'MD Usage'!$A$1:$W$5000,7,FALSE)),0,VLOOKUP(B2264,'MD Usage'!$A$1:$W$5000,7,FALSE))</f>
        <v>0</v>
      </c>
      <c r="G2265" s="416">
        <f>IF(ISERROR(VLOOKUP(B2264,'MD Usage'!$A$1:$W$5000,9,FALSE)),0,VLOOKUP(B2264,'MD Usage'!$A$1:$W$5000,9,FALSE))</f>
        <v>0</v>
      </c>
      <c r="H2265" s="416">
        <f>IF(ISERROR(VLOOKUP(B2264,'MD Usage'!$A$1:$W$5000,11,FALSE)),0,VLOOKUP(B2264,'MD Usage'!$A$1:$W$5000,11,FALSE))</f>
        <v>0</v>
      </c>
      <c r="I2265" s="416">
        <f>IF(ISERROR(VLOOKUP(B2264,'MD Usage'!A1:R2000,13,FALSE)),0,VLOOKUP(B2264,'MD Usage'!A1:R2000,13,FALSE))</f>
        <v>0</v>
      </c>
      <c r="J2265" s="416">
        <f>IF(ISERROR(VLOOKUP(B2264,'MD Usage'!A1:R2000,15,FALSE)),0,VLOOKUP(B2264,'MD Usage'!A1:R2000,15,FALSE))</f>
        <v>0</v>
      </c>
      <c r="K2265" s="418">
        <f>SUM(D2265:J2265)</f>
        <v>0</v>
      </c>
    </row>
    <row r="2266" spans="2:13" ht="15" customHeight="1" x14ac:dyDescent="0.25">
      <c r="B2266" s="419"/>
      <c r="C2266" s="420"/>
      <c r="D2266" s="421">
        <f>D2265*C2266</f>
        <v>0</v>
      </c>
      <c r="E2266" s="421">
        <f>E2265*C2266</f>
        <v>0</v>
      </c>
      <c r="F2266" s="421">
        <f>F2265*C2266</f>
        <v>0</v>
      </c>
      <c r="G2266" s="421">
        <f>G2265*C2266</f>
        <v>0</v>
      </c>
      <c r="H2266" s="421">
        <f>H2265*C2266</f>
        <v>0</v>
      </c>
      <c r="I2266" s="421">
        <f>I2265*C2266</f>
        <v>0</v>
      </c>
      <c r="J2266" s="421">
        <f>J2265*C2266</f>
        <v>0</v>
      </c>
      <c r="K2266" s="422">
        <f>SUM(D2266:J2266)</f>
        <v>0</v>
      </c>
    </row>
    <row r="2267" spans="2:13" ht="15" customHeight="1" x14ac:dyDescent="0.25">
      <c r="C2267" s="423"/>
      <c r="D2267" s="421">
        <f>D2265*C2267</f>
        <v>0</v>
      </c>
      <c r="E2267" s="421">
        <f>E2265*C2267</f>
        <v>0</v>
      </c>
      <c r="F2267" s="421">
        <f>F2265*C2267</f>
        <v>0</v>
      </c>
      <c r="G2267" s="421">
        <f>G2265*C2267</f>
        <v>0</v>
      </c>
      <c r="H2267" s="421">
        <f>H2265*C2267</f>
        <v>0</v>
      </c>
      <c r="I2267" s="421">
        <f>I2265*C2267</f>
        <v>0</v>
      </c>
      <c r="J2267" s="421">
        <f>J2265*C2267</f>
        <v>0</v>
      </c>
      <c r="K2267" s="424">
        <f>SUM(D2267:J2267)</f>
        <v>0</v>
      </c>
    </row>
    <row r="2268" spans="2:13" ht="15" customHeight="1" x14ac:dyDescent="0.25">
      <c r="B2268" s="389"/>
      <c r="C2268" s="423"/>
      <c r="D2268" s="421">
        <f>D2265*C2268</f>
        <v>0</v>
      </c>
      <c r="E2268" s="421">
        <f>E2265*C2268</f>
        <v>0</v>
      </c>
      <c r="F2268" s="421">
        <f>F2265*C2268</f>
        <v>0</v>
      </c>
      <c r="G2268" s="421">
        <f>G2265*C2268</f>
        <v>0</v>
      </c>
      <c r="H2268" s="421">
        <f>H2265*C2268</f>
        <v>0</v>
      </c>
      <c r="I2268" s="421">
        <f>I2265*C2268</f>
        <v>0</v>
      </c>
      <c r="J2268" s="421">
        <f>J2265*C2268</f>
        <v>0</v>
      </c>
      <c r="K2268" s="424">
        <f>SUM(D2268:J2268)</f>
        <v>0</v>
      </c>
    </row>
    <row r="2269" spans="2:13" ht="15" customHeight="1" x14ac:dyDescent="0.25">
      <c r="B2269" s="389"/>
      <c r="C2269" s="423"/>
      <c r="D2269" s="421">
        <f>D2265*C2269</f>
        <v>0</v>
      </c>
      <c r="E2269" s="421">
        <f>E2265*C2269</f>
        <v>0</v>
      </c>
      <c r="F2269" s="421">
        <f>F2265*C2269</f>
        <v>0</v>
      </c>
      <c r="G2269" s="421">
        <f>G2265*C2269</f>
        <v>0</v>
      </c>
      <c r="H2269" s="421">
        <f>H2265*C2269</f>
        <v>0</v>
      </c>
      <c r="I2269" s="421">
        <f>I2265*C2269</f>
        <v>0</v>
      </c>
      <c r="J2269" s="421">
        <f>J2265*C2269</f>
        <v>0</v>
      </c>
      <c r="K2269" s="424">
        <f>SUM(D2269:J2269)</f>
        <v>0</v>
      </c>
    </row>
    <row r="2270" spans="2:13" ht="15" customHeight="1" thickBot="1" x14ac:dyDescent="0.3"/>
    <row r="2271" spans="2:13" ht="15" customHeight="1" thickBot="1" x14ac:dyDescent="0.3">
      <c r="B2271" s="432"/>
      <c r="C2271" s="411"/>
      <c r="D2271" s="407" t="s">
        <v>548</v>
      </c>
      <c r="E2271" s="408" t="s">
        <v>549</v>
      </c>
      <c r="F2271" s="408" t="s">
        <v>550</v>
      </c>
      <c r="G2271" s="408" t="s">
        <v>551</v>
      </c>
      <c r="H2271" s="408" t="s">
        <v>552</v>
      </c>
      <c r="I2271" s="408" t="s">
        <v>553</v>
      </c>
      <c r="J2271" s="408" t="s">
        <v>554</v>
      </c>
      <c r="K2271" s="408" t="s">
        <v>555</v>
      </c>
      <c r="M2271" s="414"/>
    </row>
    <row r="2272" spans="2:13" ht="15" customHeight="1" thickBot="1" x14ac:dyDescent="0.3">
      <c r="B2272" s="414" t="s">
        <v>556</v>
      </c>
      <c r="C2272" s="415" t="s">
        <v>620</v>
      </c>
      <c r="D2272" s="416">
        <f>IF(ISERROR(VLOOKUP(B2271,'MD Usage'!$A$1:$W$5000,3,FALSE)),0,VLOOKUP(B2271,'MD Usage'!$A$1:$W$5000,3,FALSE))</f>
        <v>0</v>
      </c>
      <c r="E2272" s="416">
        <f>IF(ISERROR(VLOOKUP(B2271,'MD Usage'!$A$1:$W$5000,5,FALSE)),0,VLOOKUP(B2271,'MD Usage'!$A$1:$W$5000,5,FALSE))</f>
        <v>0</v>
      </c>
      <c r="F2272" s="416">
        <f>IF(ISERROR(VLOOKUP(B2271,'MD Usage'!$A$1:$W$5000,7,FALSE)),0,VLOOKUP(B2271,'MD Usage'!$A$1:$W$5000,7,FALSE))</f>
        <v>0</v>
      </c>
      <c r="G2272" s="416">
        <f>IF(ISERROR(VLOOKUP(B2271,'MD Usage'!$A$1:$W$5000,9,FALSE)),0,VLOOKUP(B2271,'MD Usage'!$A$1:$W$5000,9,FALSE))</f>
        <v>0</v>
      </c>
      <c r="H2272" s="416">
        <f>IF(ISERROR(VLOOKUP(B2271,'MD Usage'!$A$1:$W$5000,11,FALSE)),0,VLOOKUP(B2271,'MD Usage'!$A$1:$W$5000,11,FALSE))</f>
        <v>0</v>
      </c>
      <c r="I2272" s="416">
        <f>IF(ISERROR(VLOOKUP(B2271,'MD Usage'!A1:R2000,13,FALSE)),0,VLOOKUP(B2271,'MD Usage'!A1:R2000,13,FALSE))</f>
        <v>0</v>
      </c>
      <c r="J2272" s="416">
        <f>IF(ISERROR(VLOOKUP(B2271,'MD Usage'!A1:R2000,15,FALSE)),0,VLOOKUP(B2271,'MD Usage'!A1:R2000,15,FALSE))</f>
        <v>0</v>
      </c>
      <c r="K2272" s="418">
        <f>SUM(D2272:J2272)</f>
        <v>0</v>
      </c>
    </row>
    <row r="2273" spans="2:11" ht="15" customHeight="1" x14ac:dyDescent="0.25">
      <c r="B2273" s="419"/>
      <c r="C2273" s="420"/>
      <c r="D2273" s="421">
        <f>D2272*C2273</f>
        <v>0</v>
      </c>
      <c r="E2273" s="421">
        <f>E2272*C2273</f>
        <v>0</v>
      </c>
      <c r="F2273" s="421">
        <f>F2272*C2273</f>
        <v>0</v>
      </c>
      <c r="G2273" s="421">
        <f>G2272*C2273</f>
        <v>0</v>
      </c>
      <c r="H2273" s="421">
        <f>H2272*C2273</f>
        <v>0</v>
      </c>
      <c r="I2273" s="421">
        <f>I2272*C2273</f>
        <v>0</v>
      </c>
      <c r="J2273" s="421">
        <f>J2272*C2273</f>
        <v>0</v>
      </c>
      <c r="K2273" s="422">
        <f>SUM(D2273:J2273)</f>
        <v>0</v>
      </c>
    </row>
    <row r="2274" spans="2:11" ht="15" customHeight="1" x14ac:dyDescent="0.25">
      <c r="B2274" s="389"/>
      <c r="C2274" s="423"/>
      <c r="D2274" s="421">
        <f>D2272*C2274</f>
        <v>0</v>
      </c>
      <c r="E2274" s="421">
        <f>E2272*C2274</f>
        <v>0</v>
      </c>
      <c r="F2274" s="421">
        <f>F2272*C2274</f>
        <v>0</v>
      </c>
      <c r="G2274" s="421">
        <f>G2272*C2274</f>
        <v>0</v>
      </c>
      <c r="H2274" s="421">
        <f>H2272*C2274</f>
        <v>0</v>
      </c>
      <c r="I2274" s="421">
        <f>I2272*C2274</f>
        <v>0</v>
      </c>
      <c r="J2274" s="421">
        <f>J2272*C2274</f>
        <v>0</v>
      </c>
      <c r="K2274" s="424">
        <f>SUM(D2274:J2274)</f>
        <v>0</v>
      </c>
    </row>
    <row r="2275" spans="2:11" ht="15" customHeight="1" x14ac:dyDescent="0.25">
      <c r="B2275" s="389"/>
      <c r="C2275" s="423"/>
      <c r="D2275" s="421">
        <f>D2272*C2275</f>
        <v>0</v>
      </c>
      <c r="E2275" s="421">
        <f>E2272*C2275</f>
        <v>0</v>
      </c>
      <c r="F2275" s="421">
        <f>F2272*C2275</f>
        <v>0</v>
      </c>
      <c r="G2275" s="421">
        <f>G2272*C2275</f>
        <v>0</v>
      </c>
      <c r="H2275" s="421">
        <f>H2272*C2275</f>
        <v>0</v>
      </c>
      <c r="I2275" s="421">
        <f>I2272*C2275</f>
        <v>0</v>
      </c>
      <c r="J2275" s="421">
        <f>J2272*C2275</f>
        <v>0</v>
      </c>
      <c r="K2275" s="424">
        <f>SUM(D2275:J2275)</f>
        <v>0</v>
      </c>
    </row>
    <row r="2276" spans="2:11" ht="15" customHeight="1" x14ac:dyDescent="0.25">
      <c r="B2276" s="389"/>
      <c r="C2276" s="423"/>
      <c r="D2276" s="421">
        <f>D2272*C2276</f>
        <v>0</v>
      </c>
      <c r="E2276" s="421">
        <f>E2272*C2276</f>
        <v>0</v>
      </c>
      <c r="F2276" s="421">
        <f>F2272*C2276</f>
        <v>0</v>
      </c>
      <c r="G2276" s="421">
        <f>G2272*C2276</f>
        <v>0</v>
      </c>
      <c r="H2276" s="421">
        <f>H2272*C2276</f>
        <v>0</v>
      </c>
      <c r="I2276" s="421">
        <f>I2272*C2276</f>
        <v>0</v>
      </c>
      <c r="J2276" s="421">
        <f>J2272*C2276</f>
        <v>0</v>
      </c>
      <c r="K2276" s="424">
        <f>SUM(D2276:J2276)</f>
        <v>0</v>
      </c>
    </row>
    <row r="2277" spans="2:11" ht="15" customHeight="1" thickBot="1" x14ac:dyDescent="0.3"/>
    <row r="2278" spans="2:11" ht="15" customHeight="1" thickBot="1" x14ac:dyDescent="0.3">
      <c r="B2278" s="414"/>
      <c r="C2278" s="411"/>
      <c r="D2278" s="407" t="s">
        <v>548</v>
      </c>
      <c r="E2278" s="408" t="s">
        <v>549</v>
      </c>
      <c r="F2278" s="408" t="s">
        <v>550</v>
      </c>
      <c r="G2278" s="408" t="s">
        <v>551</v>
      </c>
      <c r="H2278" s="408" t="s">
        <v>552</v>
      </c>
      <c r="I2278" s="408" t="s">
        <v>553</v>
      </c>
      <c r="J2278" s="408" t="s">
        <v>554</v>
      </c>
      <c r="K2278" s="408" t="s">
        <v>555</v>
      </c>
    </row>
    <row r="2279" spans="2:11" ht="15" customHeight="1" thickBot="1" x14ac:dyDescent="0.3">
      <c r="B2279" s="414" t="s">
        <v>556</v>
      </c>
      <c r="C2279" s="415" t="s">
        <v>620</v>
      </c>
      <c r="D2279" s="416">
        <f>IF(ISERROR(VLOOKUP(B2278,'MD Usage'!$A$1:$W$5000,3,FALSE)),0,VLOOKUP(B2278,'MD Usage'!$A$1:$W$5000,3,FALSE))</f>
        <v>0</v>
      </c>
      <c r="E2279" s="416">
        <f>IF(ISERROR(VLOOKUP(B2278,'MD Usage'!$A$1:$W$5000,5,FALSE)),0,VLOOKUP(B2278,'MD Usage'!$A$1:$W$5000,5,FALSE))</f>
        <v>0</v>
      </c>
      <c r="F2279" s="416">
        <f>IF(ISERROR(VLOOKUP(B2278,'MD Usage'!$A$1:$W$5000,7,FALSE)),0,VLOOKUP(B2278,'MD Usage'!$A$1:$W$5000,7,FALSE))</f>
        <v>0</v>
      </c>
      <c r="G2279" s="416">
        <f>IF(ISERROR(VLOOKUP(B2278,'MD Usage'!$A$1:$W$5000,9,FALSE)),0,VLOOKUP(B2278,'MD Usage'!$A$1:$W$5000,9,FALSE))</f>
        <v>0</v>
      </c>
      <c r="H2279" s="416">
        <f>IF(ISERROR(VLOOKUP(B2278,'MD Usage'!$A$1:$W$5000,11,FALSE)),0,VLOOKUP(B2278,'MD Usage'!$A$1:$W$5000,11,FALSE))</f>
        <v>0</v>
      </c>
      <c r="I2279" s="416">
        <f>IF(ISERROR(VLOOKUP(B2278,'MD Usage'!A1:R2000,13,FALSE)),0,VLOOKUP(B2278,'MD Usage'!A1:R2000,13,FALSE))</f>
        <v>0</v>
      </c>
      <c r="J2279" s="416">
        <f>IF(ISERROR(VLOOKUP(B2278,'MD Usage'!A1:R2000,15,FALSE)),0,VLOOKUP(B2278,'MD Usage'!A1:R2000,15,FALSE))</f>
        <v>0</v>
      </c>
      <c r="K2279" s="418">
        <f>SUM(D2279:J2279)</f>
        <v>0</v>
      </c>
    </row>
    <row r="2280" spans="2:11" ht="15" customHeight="1" x14ac:dyDescent="0.25">
      <c r="B2280" s="419"/>
      <c r="C2280" s="420"/>
      <c r="D2280" s="421">
        <f>D2279*C2280</f>
        <v>0</v>
      </c>
      <c r="E2280" s="421">
        <f>E2279*C2280</f>
        <v>0</v>
      </c>
      <c r="F2280" s="421">
        <f>F2279*C2280</f>
        <v>0</v>
      </c>
      <c r="G2280" s="421">
        <f>G2279*C2280</f>
        <v>0</v>
      </c>
      <c r="H2280" s="421">
        <f>H2279*C2280</f>
        <v>0</v>
      </c>
      <c r="I2280" s="421">
        <f>I2279*C2280</f>
        <v>0</v>
      </c>
      <c r="J2280" s="421">
        <f>J2279*C2280</f>
        <v>0</v>
      </c>
      <c r="K2280" s="422">
        <f>SUM(D2280:J2280)</f>
        <v>0</v>
      </c>
    </row>
    <row r="2281" spans="2:11" ht="15" customHeight="1" x14ac:dyDescent="0.25">
      <c r="B2281" s="389"/>
      <c r="C2281" s="423"/>
      <c r="D2281" s="421">
        <f>D2279*C2281</f>
        <v>0</v>
      </c>
      <c r="E2281" s="421">
        <f>E2279*C2281</f>
        <v>0</v>
      </c>
      <c r="F2281" s="421">
        <f>F2279*C2281</f>
        <v>0</v>
      </c>
      <c r="G2281" s="421">
        <f>G2279*C2281</f>
        <v>0</v>
      </c>
      <c r="H2281" s="421">
        <f>H2279*C2281</f>
        <v>0</v>
      </c>
      <c r="I2281" s="421">
        <f>I2279*C2281</f>
        <v>0</v>
      </c>
      <c r="J2281" s="421">
        <f>J2279*C2281</f>
        <v>0</v>
      </c>
      <c r="K2281" s="424">
        <f>SUM(D2281:J2281)</f>
        <v>0</v>
      </c>
    </row>
    <row r="2282" spans="2:11" ht="15" customHeight="1" x14ac:dyDescent="0.25">
      <c r="B2282" s="389"/>
      <c r="C2282" s="423"/>
      <c r="D2282" s="421">
        <f>D2279*C2282</f>
        <v>0</v>
      </c>
      <c r="E2282" s="421">
        <f>E2279*C2282</f>
        <v>0</v>
      </c>
      <c r="F2282" s="421">
        <f>F2279*C2282</f>
        <v>0</v>
      </c>
      <c r="G2282" s="421">
        <f>G2279*C2282</f>
        <v>0</v>
      </c>
      <c r="H2282" s="421">
        <f>H2279*C2282</f>
        <v>0</v>
      </c>
      <c r="I2282" s="421">
        <f>I2279*C2282</f>
        <v>0</v>
      </c>
      <c r="J2282" s="421">
        <f>J2279*C2282</f>
        <v>0</v>
      </c>
      <c r="K2282" s="424">
        <f>SUM(D2282:J2282)</f>
        <v>0</v>
      </c>
    </row>
    <row r="2283" spans="2:11" ht="15" customHeight="1" x14ac:dyDescent="0.25">
      <c r="B2283" s="389"/>
      <c r="C2283" s="423"/>
      <c r="D2283" s="421">
        <f>D2279*C2283</f>
        <v>0</v>
      </c>
      <c r="E2283" s="421">
        <f>E2279*C2283</f>
        <v>0</v>
      </c>
      <c r="F2283" s="421">
        <f>F2279*C2283</f>
        <v>0</v>
      </c>
      <c r="G2283" s="421">
        <f>G2279*C2283</f>
        <v>0</v>
      </c>
      <c r="H2283" s="421">
        <f>H2279*C2283</f>
        <v>0</v>
      </c>
      <c r="I2283" s="421">
        <f>I2279*C2283</f>
        <v>0</v>
      </c>
      <c r="J2283" s="421">
        <f>J2279*C2283</f>
        <v>0</v>
      </c>
      <c r="K2283" s="424">
        <f>SUM(D2283:J2283)</f>
        <v>0</v>
      </c>
    </row>
    <row r="2284" spans="2:11" ht="15" customHeight="1" thickBot="1" x14ac:dyDescent="0.3"/>
    <row r="2285" spans="2:11" ht="15" customHeight="1" thickBot="1" x14ac:dyDescent="0.3">
      <c r="B2285" s="414"/>
      <c r="C2285" s="411"/>
      <c r="D2285" s="407" t="s">
        <v>548</v>
      </c>
      <c r="E2285" s="408" t="s">
        <v>549</v>
      </c>
      <c r="F2285" s="408" t="s">
        <v>550</v>
      </c>
      <c r="G2285" s="408" t="s">
        <v>551</v>
      </c>
      <c r="H2285" s="408" t="s">
        <v>552</v>
      </c>
      <c r="I2285" s="408" t="s">
        <v>553</v>
      </c>
      <c r="J2285" s="408" t="s">
        <v>554</v>
      </c>
      <c r="K2285" s="408" t="s">
        <v>555</v>
      </c>
    </row>
    <row r="2286" spans="2:11" ht="15" customHeight="1" thickBot="1" x14ac:dyDescent="0.3">
      <c r="B2286" s="414" t="s">
        <v>556</v>
      </c>
      <c r="C2286" s="415" t="s">
        <v>620</v>
      </c>
      <c r="D2286" s="416">
        <f>IF(ISERROR(VLOOKUP(B2285,'MD Usage'!$A$1:$W$5000,3,FALSE)),0,VLOOKUP(B2285,'MD Usage'!$A$1:$W$5000,3,FALSE))</f>
        <v>0</v>
      </c>
      <c r="E2286" s="416">
        <f>IF(ISERROR(VLOOKUP(B2285,'MD Usage'!$A$1:$W$5000,5,FALSE)),0,VLOOKUP(B2285,'MD Usage'!$A$1:$W$5000,5,FALSE))</f>
        <v>0</v>
      </c>
      <c r="F2286" s="416">
        <f>IF(ISERROR(VLOOKUP(B2285,'MD Usage'!$A$1:$W$5000,7,FALSE)),0,VLOOKUP(B2285,'MD Usage'!$A$1:$W$5000,7,FALSE))</f>
        <v>0</v>
      </c>
      <c r="G2286" s="416">
        <f>IF(ISERROR(VLOOKUP(B2285,'MD Usage'!$A$1:$W$5000,9,FALSE)),0,VLOOKUP(B2285,'MD Usage'!$A$1:$W$5000,9,FALSE))</f>
        <v>0</v>
      </c>
      <c r="H2286" s="416">
        <f>IF(ISERROR(VLOOKUP(B2285,'MD Usage'!$A$1:$W$5000,11,FALSE)),0,VLOOKUP(B2285,'MD Usage'!$A$1:$W$5000,11,FALSE))</f>
        <v>0</v>
      </c>
      <c r="I2286" s="416">
        <f>IF(ISERROR(VLOOKUP(B2285,'MD Usage'!A1:R2000,13,FALSE)),0,VLOOKUP(B2285,'MD Usage'!A1:R2000,13,FALSE))</f>
        <v>0</v>
      </c>
      <c r="J2286" s="416">
        <f>IF(ISERROR(VLOOKUP(B2285,'MD Usage'!A1:R2000,15,FALSE)),0,VLOOKUP(B2285,'MD Usage'!A1:R2000,15,FALSE))</f>
        <v>0</v>
      </c>
      <c r="K2286" s="418">
        <f>SUM(D2286:J2286)</f>
        <v>0</v>
      </c>
    </row>
    <row r="2287" spans="2:11" ht="15" customHeight="1" x14ac:dyDescent="0.25">
      <c r="B2287" s="419"/>
      <c r="C2287" s="420"/>
      <c r="D2287" s="421">
        <f>D2286*C2287</f>
        <v>0</v>
      </c>
      <c r="E2287" s="421">
        <f>E2286*C2287</f>
        <v>0</v>
      </c>
      <c r="F2287" s="421">
        <f>F2286*C2287</f>
        <v>0</v>
      </c>
      <c r="G2287" s="421">
        <f>G2286*C2287</f>
        <v>0</v>
      </c>
      <c r="H2287" s="421">
        <f>H2286*C2287</f>
        <v>0</v>
      </c>
      <c r="I2287" s="421">
        <f>I2286*C2287</f>
        <v>0</v>
      </c>
      <c r="J2287" s="421">
        <f>J2286*C2287</f>
        <v>0</v>
      </c>
      <c r="K2287" s="422">
        <f>SUM(D2287:J2287)</f>
        <v>0</v>
      </c>
    </row>
    <row r="2288" spans="2:11" ht="15" customHeight="1" x14ac:dyDescent="0.25">
      <c r="B2288" s="389"/>
      <c r="C2288" s="423"/>
      <c r="D2288" s="421">
        <f>D2286*C2288</f>
        <v>0</v>
      </c>
      <c r="E2288" s="421">
        <f>E2286*C2288</f>
        <v>0</v>
      </c>
      <c r="F2288" s="421">
        <f>F2286*C2288</f>
        <v>0</v>
      </c>
      <c r="G2288" s="421">
        <f>G2286*C2288</f>
        <v>0</v>
      </c>
      <c r="H2288" s="421">
        <f>H2286*C2288</f>
        <v>0</v>
      </c>
      <c r="I2288" s="421">
        <f>I2286*C2288</f>
        <v>0</v>
      </c>
      <c r="J2288" s="421">
        <f>J2286*C2288</f>
        <v>0</v>
      </c>
      <c r="K2288" s="424">
        <f>SUM(D2288:J2288)</f>
        <v>0</v>
      </c>
    </row>
    <row r="2289" spans="2:13" ht="15" customHeight="1" x14ac:dyDescent="0.25">
      <c r="B2289" s="389"/>
      <c r="C2289" s="423"/>
      <c r="D2289" s="421">
        <f>D2286*C2289</f>
        <v>0</v>
      </c>
      <c r="E2289" s="421">
        <f>E2286*C2289</f>
        <v>0</v>
      </c>
      <c r="F2289" s="421">
        <f>F2286*C2289</f>
        <v>0</v>
      </c>
      <c r="G2289" s="421">
        <f>G2286*C2289</f>
        <v>0</v>
      </c>
      <c r="H2289" s="421">
        <f>H2286*C2289</f>
        <v>0</v>
      </c>
      <c r="I2289" s="421">
        <f>I2286*C2289</f>
        <v>0</v>
      </c>
      <c r="J2289" s="421">
        <f>J2286*C2289</f>
        <v>0</v>
      </c>
      <c r="K2289" s="424">
        <f>SUM(D2289:J2289)</f>
        <v>0</v>
      </c>
    </row>
    <row r="2290" spans="2:13" ht="15" customHeight="1" x14ac:dyDescent="0.25">
      <c r="B2290" s="389"/>
      <c r="C2290" s="423"/>
      <c r="D2290" s="421">
        <f>D2286*C2290</f>
        <v>0</v>
      </c>
      <c r="E2290" s="421">
        <f>E2286*C2290</f>
        <v>0</v>
      </c>
      <c r="F2290" s="421">
        <f>F2286*C2290</f>
        <v>0</v>
      </c>
      <c r="G2290" s="421">
        <f>G2286*C2290</f>
        <v>0</v>
      </c>
      <c r="H2290" s="421">
        <f>H2286*C2290</f>
        <v>0</v>
      </c>
      <c r="I2290" s="421">
        <f>I2286*C2290</f>
        <v>0</v>
      </c>
      <c r="J2290" s="421">
        <f>J2286*C2290</f>
        <v>0</v>
      </c>
      <c r="K2290" s="424">
        <f>SUM(D2290:J2290)</f>
        <v>0</v>
      </c>
    </row>
    <row r="2291" spans="2:13" ht="15" customHeight="1" thickBot="1" x14ac:dyDescent="0.3"/>
    <row r="2292" spans="2:13" ht="15" customHeight="1" thickBot="1" x14ac:dyDescent="0.3">
      <c r="B2292" s="432"/>
      <c r="C2292" s="411"/>
      <c r="D2292" s="407" t="s">
        <v>548</v>
      </c>
      <c r="E2292" s="408" t="s">
        <v>549</v>
      </c>
      <c r="F2292" s="408" t="s">
        <v>550</v>
      </c>
      <c r="G2292" s="408" t="s">
        <v>551</v>
      </c>
      <c r="H2292" s="408" t="s">
        <v>552</v>
      </c>
      <c r="I2292" s="408" t="s">
        <v>553</v>
      </c>
      <c r="J2292" s="408" t="s">
        <v>554</v>
      </c>
      <c r="K2292" s="408" t="s">
        <v>555</v>
      </c>
      <c r="M2292" s="414"/>
    </row>
    <row r="2293" spans="2:13" ht="15" customHeight="1" thickBot="1" x14ac:dyDescent="0.3">
      <c r="B2293" s="414" t="s">
        <v>556</v>
      </c>
      <c r="C2293" s="415" t="s">
        <v>620</v>
      </c>
      <c r="D2293" s="416">
        <f>IF(ISERROR(VLOOKUP(B2292,'MD Usage'!$A$1:$W$5000,3,FALSE)),0,VLOOKUP(B2292,'MD Usage'!$A$1:$W$5000,3,FALSE))</f>
        <v>0</v>
      </c>
      <c r="E2293" s="416">
        <f>IF(ISERROR(VLOOKUP(B2292,'MD Usage'!$A$1:$W$5000,5,FALSE)),0,VLOOKUP(B2292,'MD Usage'!$A$1:$W$5000,5,FALSE))</f>
        <v>0</v>
      </c>
      <c r="F2293" s="416">
        <f>IF(ISERROR(VLOOKUP(B2292,'MD Usage'!$A$1:$W$5000,7,FALSE)),0,VLOOKUP(B2292,'MD Usage'!$A$1:$W$5000,7,FALSE))</f>
        <v>0</v>
      </c>
      <c r="G2293" s="416">
        <f>IF(ISERROR(VLOOKUP(B2292,'MD Usage'!$A$1:$W$5000,9,FALSE)),0,VLOOKUP(B2292,'MD Usage'!$A$1:$W$5000,9,FALSE))</f>
        <v>0</v>
      </c>
      <c r="H2293" s="416">
        <f>IF(ISERROR(VLOOKUP(B2292,'MD Usage'!$A$1:$W$5000,11,FALSE)),0,VLOOKUP(B2292,'MD Usage'!$A$1:$W$5000,11,FALSE))</f>
        <v>0</v>
      </c>
      <c r="I2293" s="416">
        <f>IF(ISERROR(VLOOKUP(B2292,'MD Usage'!A1:R2000,13,FALSE)),0,VLOOKUP(B2292,'MD Usage'!A1:R2000,13,FALSE))</f>
        <v>0</v>
      </c>
      <c r="J2293" s="416">
        <f>IF(ISERROR(VLOOKUP(B2292,'MD Usage'!A1:R2000,15,FALSE)),0,VLOOKUP(B2292,'MD Usage'!A1:R2000,15,FALSE))</f>
        <v>0</v>
      </c>
      <c r="K2293" s="418">
        <f>SUM(D2293:J2293)</f>
        <v>0</v>
      </c>
    </row>
    <row r="2294" spans="2:13" ht="15" customHeight="1" x14ac:dyDescent="0.25">
      <c r="B2294" s="419"/>
      <c r="C2294" s="420"/>
      <c r="D2294" s="421">
        <f>D2293*C2294</f>
        <v>0</v>
      </c>
      <c r="E2294" s="421">
        <f>E2293*C2294</f>
        <v>0</v>
      </c>
      <c r="F2294" s="421">
        <f>F2293*C2294</f>
        <v>0</v>
      </c>
      <c r="G2294" s="421">
        <f>G2293*C2294</f>
        <v>0</v>
      </c>
      <c r="H2294" s="421">
        <f>H2293*C2294</f>
        <v>0</v>
      </c>
      <c r="I2294" s="421">
        <f>I2293*C2294</f>
        <v>0</v>
      </c>
      <c r="J2294" s="421">
        <f>J2293*C2294</f>
        <v>0</v>
      </c>
      <c r="K2294" s="422">
        <f>SUM(D2294:J2294)</f>
        <v>0</v>
      </c>
    </row>
    <row r="2295" spans="2:13" ht="15" customHeight="1" x14ac:dyDescent="0.25">
      <c r="B2295" s="389"/>
      <c r="C2295" s="423"/>
      <c r="D2295" s="421">
        <f>D2293*C2295</f>
        <v>0</v>
      </c>
      <c r="E2295" s="421">
        <f>E2293*C2295</f>
        <v>0</v>
      </c>
      <c r="F2295" s="421">
        <f>F2293*C2295</f>
        <v>0</v>
      </c>
      <c r="G2295" s="421">
        <f>G2293*C2295</f>
        <v>0</v>
      </c>
      <c r="H2295" s="421">
        <f>H2293*C2295</f>
        <v>0</v>
      </c>
      <c r="I2295" s="421">
        <f>I2293*C2295</f>
        <v>0</v>
      </c>
      <c r="J2295" s="421">
        <f>J2293*C2295</f>
        <v>0</v>
      </c>
      <c r="K2295" s="424">
        <f>SUM(D2295:J2295)</f>
        <v>0</v>
      </c>
    </row>
    <row r="2296" spans="2:13" ht="15" customHeight="1" x14ac:dyDescent="0.25">
      <c r="B2296" s="389"/>
      <c r="C2296" s="423"/>
      <c r="D2296" s="421">
        <f>D2293*C2296</f>
        <v>0</v>
      </c>
      <c r="E2296" s="421">
        <f>E2293*C2296</f>
        <v>0</v>
      </c>
      <c r="F2296" s="421">
        <f>F2293*C2296</f>
        <v>0</v>
      </c>
      <c r="G2296" s="421">
        <f>G2293*C2296</f>
        <v>0</v>
      </c>
      <c r="H2296" s="421">
        <f>H2293*C2296</f>
        <v>0</v>
      </c>
      <c r="I2296" s="421">
        <f>I2293*C2296</f>
        <v>0</v>
      </c>
      <c r="J2296" s="421">
        <f>J2293*C2296</f>
        <v>0</v>
      </c>
      <c r="K2296" s="424">
        <f>SUM(D2296:J2296)</f>
        <v>0</v>
      </c>
    </row>
    <row r="2297" spans="2:13" ht="15" customHeight="1" x14ac:dyDescent="0.25">
      <c r="B2297" s="389"/>
      <c r="C2297" s="423"/>
      <c r="D2297" s="421">
        <f>D2293*C2297</f>
        <v>0</v>
      </c>
      <c r="E2297" s="421">
        <f>E2293*C2297</f>
        <v>0</v>
      </c>
      <c r="F2297" s="421">
        <f>F2293*C2297</f>
        <v>0</v>
      </c>
      <c r="G2297" s="421">
        <f>G2293*C2297</f>
        <v>0</v>
      </c>
      <c r="H2297" s="421">
        <f>H2293*C2297</f>
        <v>0</v>
      </c>
      <c r="I2297" s="421">
        <f>I2293*C2297</f>
        <v>0</v>
      </c>
      <c r="J2297" s="421">
        <f>J2293*C2297</f>
        <v>0</v>
      </c>
      <c r="K2297" s="424">
        <f>SUM(D2297:J2297)</f>
        <v>0</v>
      </c>
    </row>
    <row r="2298" spans="2:13" ht="15" customHeight="1" thickBot="1" x14ac:dyDescent="0.3"/>
    <row r="2299" spans="2:13" ht="15" customHeight="1" thickBot="1" x14ac:dyDescent="0.3">
      <c r="B2299" s="432"/>
      <c r="C2299" s="411"/>
      <c r="D2299" s="407" t="s">
        <v>548</v>
      </c>
      <c r="E2299" s="408" t="s">
        <v>549</v>
      </c>
      <c r="F2299" s="408" t="s">
        <v>550</v>
      </c>
      <c r="G2299" s="408" t="s">
        <v>551</v>
      </c>
      <c r="H2299" s="408" t="s">
        <v>552</v>
      </c>
      <c r="I2299" s="408" t="s">
        <v>553</v>
      </c>
      <c r="J2299" s="408" t="s">
        <v>554</v>
      </c>
      <c r="K2299" s="408" t="s">
        <v>555</v>
      </c>
      <c r="M2299" s="414"/>
    </row>
    <row r="2300" spans="2:13" ht="15" customHeight="1" thickBot="1" x14ac:dyDescent="0.3">
      <c r="B2300" s="414" t="s">
        <v>556</v>
      </c>
      <c r="C2300" s="415" t="s">
        <v>620</v>
      </c>
      <c r="D2300" s="416">
        <f>IF(ISERROR(VLOOKUP(B2299,'MD Usage'!$A$1:$W$5000,3,FALSE)),0,VLOOKUP(B2299,'MD Usage'!$A$1:$W$5000,3,FALSE))</f>
        <v>0</v>
      </c>
      <c r="E2300" s="416">
        <f>IF(ISERROR(VLOOKUP(B2299,'MD Usage'!$A$1:$W$5000,5,FALSE)),0,VLOOKUP(B2299,'MD Usage'!$A$1:$W$5000,5,FALSE))</f>
        <v>0</v>
      </c>
      <c r="F2300" s="416">
        <f>IF(ISERROR(VLOOKUP(B2299,'MD Usage'!$A$1:$W$5000,7,FALSE)),0,VLOOKUP(B2299,'MD Usage'!$A$1:$W$5000,7,FALSE))</f>
        <v>0</v>
      </c>
      <c r="G2300" s="416">
        <f>IF(ISERROR(VLOOKUP(B2299,'MD Usage'!$A$1:$W$5000,9,FALSE)),0,VLOOKUP(B2299,'MD Usage'!$A$1:$W$5000,9,FALSE))</f>
        <v>0</v>
      </c>
      <c r="H2300" s="416">
        <f>IF(ISERROR(VLOOKUP(B2299,'MD Usage'!$A$1:$W$5000,11,FALSE)),0,VLOOKUP(B2299,'MD Usage'!$A$1:$W$5000,11,FALSE))</f>
        <v>0</v>
      </c>
      <c r="I2300" s="416">
        <f>IF(ISERROR(VLOOKUP(B2299,'MD Usage'!A1:R2000,13,FALSE)),0,VLOOKUP(B2299,'MD Usage'!A1:R2000,13,FALSE))</f>
        <v>0</v>
      </c>
      <c r="J2300" s="416">
        <f>IF(ISERROR(VLOOKUP(B2299,'MD Usage'!A1:R2000,15,FALSE)),0,VLOOKUP(B2299,'MD Usage'!A1:R2000,15,FALSE))</f>
        <v>0</v>
      </c>
      <c r="K2300" s="418">
        <f>SUM(D2300:J2300)</f>
        <v>0</v>
      </c>
    </row>
    <row r="2301" spans="2:13" ht="15" customHeight="1" x14ac:dyDescent="0.25">
      <c r="B2301" s="419"/>
      <c r="C2301" s="420"/>
      <c r="D2301" s="421">
        <f>D2300*C2301</f>
        <v>0</v>
      </c>
      <c r="E2301" s="421">
        <f>E2300*C2301</f>
        <v>0</v>
      </c>
      <c r="F2301" s="421">
        <f>F2300*C2301</f>
        <v>0</v>
      </c>
      <c r="G2301" s="421">
        <f>G2300*C2301</f>
        <v>0</v>
      </c>
      <c r="H2301" s="421">
        <f>H2300*C2301</f>
        <v>0</v>
      </c>
      <c r="I2301" s="421">
        <f>I2300*C2301</f>
        <v>0</v>
      </c>
      <c r="J2301" s="421">
        <f>J2300*C2301</f>
        <v>0</v>
      </c>
      <c r="K2301" s="422">
        <f>SUM(D2301:J2301)</f>
        <v>0</v>
      </c>
    </row>
    <row r="2302" spans="2:13" ht="15" customHeight="1" x14ac:dyDescent="0.25">
      <c r="B2302" s="389"/>
      <c r="C2302" s="423"/>
      <c r="D2302" s="421">
        <f>D2300*C2302</f>
        <v>0</v>
      </c>
      <c r="E2302" s="421">
        <f>E2300*C2302</f>
        <v>0</v>
      </c>
      <c r="F2302" s="421">
        <f>F2300*C2302</f>
        <v>0</v>
      </c>
      <c r="G2302" s="421">
        <f>G2300*C2302</f>
        <v>0</v>
      </c>
      <c r="H2302" s="421">
        <f>H2300*C2302</f>
        <v>0</v>
      </c>
      <c r="I2302" s="421">
        <f>I2300*C2302</f>
        <v>0</v>
      </c>
      <c r="J2302" s="421">
        <f>J2300*C2302</f>
        <v>0</v>
      </c>
      <c r="K2302" s="424">
        <f>SUM(D2302:J2302)</f>
        <v>0</v>
      </c>
    </row>
    <row r="2303" spans="2:13" ht="15" customHeight="1" x14ac:dyDescent="0.25">
      <c r="B2303" s="389"/>
      <c r="C2303" s="423"/>
      <c r="D2303" s="421">
        <f>D2300*C2303</f>
        <v>0</v>
      </c>
      <c r="E2303" s="421">
        <f>E2300*C2303</f>
        <v>0</v>
      </c>
      <c r="F2303" s="421">
        <f>F2300*C2303</f>
        <v>0</v>
      </c>
      <c r="G2303" s="421">
        <f>G2300*C2303</f>
        <v>0</v>
      </c>
      <c r="H2303" s="421">
        <f>H2300*C2303</f>
        <v>0</v>
      </c>
      <c r="I2303" s="421">
        <f>I2300*C2303</f>
        <v>0</v>
      </c>
      <c r="J2303" s="421">
        <f>J2300*C2303</f>
        <v>0</v>
      </c>
      <c r="K2303" s="424">
        <f>SUM(D2303:J2303)</f>
        <v>0</v>
      </c>
    </row>
    <row r="2304" spans="2:13" ht="15" customHeight="1" x14ac:dyDescent="0.25">
      <c r="B2304" s="389"/>
      <c r="C2304" s="423"/>
      <c r="D2304" s="421">
        <f>D2300*C2304</f>
        <v>0</v>
      </c>
      <c r="E2304" s="421">
        <f>E2300*C2304</f>
        <v>0</v>
      </c>
      <c r="F2304" s="421">
        <f>F2300*C2304</f>
        <v>0</v>
      </c>
      <c r="G2304" s="421">
        <f>G2300*C2304</f>
        <v>0</v>
      </c>
      <c r="H2304" s="421">
        <f>H2300*C2304</f>
        <v>0</v>
      </c>
      <c r="I2304" s="421">
        <f>I2300*C2304</f>
        <v>0</v>
      </c>
      <c r="J2304" s="421">
        <f>J2300*C2304</f>
        <v>0</v>
      </c>
      <c r="K2304" s="424">
        <f>SUM(D2304:J2304)</f>
        <v>0</v>
      </c>
    </row>
    <row r="2305" spans="2:13" ht="15" customHeight="1" thickBot="1" x14ac:dyDescent="0.3"/>
    <row r="2306" spans="2:13" ht="15" customHeight="1" thickBot="1" x14ac:dyDescent="0.3">
      <c r="B2306" s="432"/>
      <c r="C2306" s="411"/>
      <c r="D2306" s="407" t="s">
        <v>548</v>
      </c>
      <c r="E2306" s="408" t="s">
        <v>549</v>
      </c>
      <c r="F2306" s="408" t="s">
        <v>550</v>
      </c>
      <c r="G2306" s="408" t="s">
        <v>551</v>
      </c>
      <c r="H2306" s="408" t="s">
        <v>552</v>
      </c>
      <c r="I2306" s="408" t="s">
        <v>553</v>
      </c>
      <c r="J2306" s="408" t="s">
        <v>554</v>
      </c>
      <c r="K2306" s="408" t="s">
        <v>555</v>
      </c>
    </row>
    <row r="2307" spans="2:13" ht="15" customHeight="1" thickBot="1" x14ac:dyDescent="0.3">
      <c r="B2307" s="414" t="s">
        <v>556</v>
      </c>
      <c r="C2307" s="415" t="s">
        <v>620</v>
      </c>
      <c r="D2307" s="416">
        <f>IF(ISERROR(VLOOKUP(B2306,'MD Usage'!$A$1:$W$5000,3,FALSE)),0,VLOOKUP(B2306,'MD Usage'!$A$1:$W$5000,3,FALSE))</f>
        <v>0</v>
      </c>
      <c r="E2307" s="416">
        <f>IF(ISERROR(VLOOKUP(B2306,'MD Usage'!$A$1:$W$5000,5,FALSE)),0,VLOOKUP(B2306,'MD Usage'!$A$1:$W$5000,5,FALSE))</f>
        <v>0</v>
      </c>
      <c r="F2307" s="416">
        <f>IF(ISERROR(VLOOKUP(B2306,'MD Usage'!$A$1:$W$5000,7,FALSE)),0,VLOOKUP(B2306,'MD Usage'!$A$1:$W$5000,7,FALSE))</f>
        <v>0</v>
      </c>
      <c r="G2307" s="416">
        <f>IF(ISERROR(VLOOKUP(B2306,'MD Usage'!$A$1:$W$5000,9,FALSE)),0,VLOOKUP(B2306,'MD Usage'!$A$1:$W$5000,9,FALSE))</f>
        <v>0</v>
      </c>
      <c r="H2307" s="416">
        <f>IF(ISERROR(VLOOKUP(B2306,'MD Usage'!$A$1:$W$5000,11,FALSE)),0,VLOOKUP(B2306,'MD Usage'!$A$1:$W$5000,11,FALSE))</f>
        <v>0</v>
      </c>
      <c r="I2307" s="416">
        <f>IF(ISERROR(VLOOKUP(B2306,'MD Usage'!A1:R2000,13,FALSE)),0,VLOOKUP(B2306,'MD Usage'!A1:R2000,13,FALSE))</f>
        <v>0</v>
      </c>
      <c r="J2307" s="416">
        <f>IF(ISERROR(VLOOKUP(B2306,'MD Usage'!A1:R2000,15,FALSE)),0,VLOOKUP(B2306,'MD Usage'!A1:R2000,15,FALSE))</f>
        <v>0</v>
      </c>
      <c r="K2307" s="418">
        <f>SUM(D2307:J2307)</f>
        <v>0</v>
      </c>
    </row>
    <row r="2308" spans="2:13" ht="15" customHeight="1" x14ac:dyDescent="0.25">
      <c r="B2308" s="419"/>
      <c r="C2308" s="420"/>
      <c r="D2308" s="421">
        <f>D2307*C2308</f>
        <v>0</v>
      </c>
      <c r="E2308" s="421">
        <f>E2307*C2308</f>
        <v>0</v>
      </c>
      <c r="F2308" s="421">
        <f>F2307*C2308</f>
        <v>0</v>
      </c>
      <c r="G2308" s="421">
        <f>G2307*C2308</f>
        <v>0</v>
      </c>
      <c r="H2308" s="421">
        <f>H2307*C2308</f>
        <v>0</v>
      </c>
      <c r="I2308" s="421">
        <f>I2307*C2308</f>
        <v>0</v>
      </c>
      <c r="J2308" s="421">
        <f>J2307*C2308</f>
        <v>0</v>
      </c>
      <c r="K2308" s="422">
        <f>SUM(D2308:J2308)</f>
        <v>0</v>
      </c>
    </row>
    <row r="2309" spans="2:13" ht="15" customHeight="1" x14ac:dyDescent="0.25">
      <c r="B2309" s="389"/>
      <c r="C2309" s="423"/>
      <c r="D2309" s="421">
        <f>D2307*C2309</f>
        <v>0</v>
      </c>
      <c r="E2309" s="421">
        <f>E2307*C2309</f>
        <v>0</v>
      </c>
      <c r="F2309" s="421">
        <f>F2307*C2309</f>
        <v>0</v>
      </c>
      <c r="G2309" s="421">
        <f>G2307*C2309</f>
        <v>0</v>
      </c>
      <c r="H2309" s="421">
        <f>H2307*C2309</f>
        <v>0</v>
      </c>
      <c r="I2309" s="421">
        <f>I2307*C2309</f>
        <v>0</v>
      </c>
      <c r="J2309" s="421">
        <f>J2307*C2309</f>
        <v>0</v>
      </c>
      <c r="K2309" s="424">
        <f>SUM(D2309:J2309)</f>
        <v>0</v>
      </c>
    </row>
    <row r="2310" spans="2:13" ht="15" customHeight="1" x14ac:dyDescent="0.25">
      <c r="B2310" s="389"/>
      <c r="C2310" s="423"/>
      <c r="D2310" s="421">
        <f>D2307*C2310</f>
        <v>0</v>
      </c>
      <c r="E2310" s="421">
        <f>E2307*C2310</f>
        <v>0</v>
      </c>
      <c r="F2310" s="421">
        <f>F2307*C2310</f>
        <v>0</v>
      </c>
      <c r="G2310" s="421">
        <f>G2307*C2310</f>
        <v>0</v>
      </c>
      <c r="H2310" s="421">
        <f>H2307*C2310</f>
        <v>0</v>
      </c>
      <c r="I2310" s="421">
        <f>I2307*C2310</f>
        <v>0</v>
      </c>
      <c r="J2310" s="421">
        <f>J2307*C2310</f>
        <v>0</v>
      </c>
      <c r="K2310" s="424">
        <f>SUM(D2310:J2310)</f>
        <v>0</v>
      </c>
    </row>
    <row r="2311" spans="2:13" ht="15" customHeight="1" x14ac:dyDescent="0.25">
      <c r="B2311" s="389"/>
      <c r="C2311" s="423"/>
      <c r="D2311" s="421">
        <f>D2307*C2311</f>
        <v>0</v>
      </c>
      <c r="E2311" s="421">
        <f>E2307*C2311</f>
        <v>0</v>
      </c>
      <c r="F2311" s="421">
        <f>F2307*C2311</f>
        <v>0</v>
      </c>
      <c r="G2311" s="421">
        <f>G2307*C2311</f>
        <v>0</v>
      </c>
      <c r="H2311" s="421">
        <f>H2307*C2311</f>
        <v>0</v>
      </c>
      <c r="I2311" s="421">
        <f>I2307*C2311</f>
        <v>0</v>
      </c>
      <c r="J2311" s="421">
        <f>J2307*C2311</f>
        <v>0</v>
      </c>
      <c r="K2311" s="424">
        <f>SUM(D2311:J2311)</f>
        <v>0</v>
      </c>
    </row>
    <row r="2312" spans="2:13" ht="15" customHeight="1" thickBot="1" x14ac:dyDescent="0.3"/>
    <row r="2313" spans="2:13" ht="15" customHeight="1" thickBot="1" x14ac:dyDescent="0.3">
      <c r="B2313" s="432"/>
      <c r="C2313" s="411"/>
      <c r="D2313" s="407" t="s">
        <v>548</v>
      </c>
      <c r="E2313" s="408" t="s">
        <v>549</v>
      </c>
      <c r="F2313" s="408" t="s">
        <v>550</v>
      </c>
      <c r="G2313" s="408" t="s">
        <v>551</v>
      </c>
      <c r="H2313" s="408" t="s">
        <v>552</v>
      </c>
      <c r="I2313" s="408" t="s">
        <v>553</v>
      </c>
      <c r="J2313" s="408" t="s">
        <v>554</v>
      </c>
      <c r="K2313" s="408" t="s">
        <v>555</v>
      </c>
      <c r="M2313" s="414"/>
    </row>
    <row r="2314" spans="2:13" ht="15" customHeight="1" thickBot="1" x14ac:dyDescent="0.3">
      <c r="B2314" s="414" t="s">
        <v>556</v>
      </c>
      <c r="C2314" s="415" t="s">
        <v>620</v>
      </c>
      <c r="D2314" s="416">
        <f>IF(ISERROR(VLOOKUP(B2313,'MD Usage'!$A$1:$W$5000,3,FALSE)),0,VLOOKUP(B2313,'MD Usage'!$A$1:$W$5000,3,FALSE))</f>
        <v>0</v>
      </c>
      <c r="E2314" s="416">
        <f>IF(ISERROR(VLOOKUP(B2313,'MD Usage'!$A$1:$W$5000,5,FALSE)),0,VLOOKUP(B2313,'MD Usage'!$A$1:$W$5000,5,FALSE))</f>
        <v>0</v>
      </c>
      <c r="F2314" s="416">
        <f>IF(ISERROR(VLOOKUP(B2313,'MD Usage'!$A$1:$W$5000,7,FALSE)),0,VLOOKUP(B2313,'MD Usage'!$A$1:$W$5000,7,FALSE))</f>
        <v>0</v>
      </c>
      <c r="G2314" s="416">
        <f>IF(ISERROR(VLOOKUP(B2313,'MD Usage'!$A$1:$W$5000,9,FALSE)),0,VLOOKUP(B2313,'MD Usage'!$A$1:$W$5000,9,FALSE))</f>
        <v>0</v>
      </c>
      <c r="H2314" s="416">
        <f>IF(ISERROR(VLOOKUP(B2313,'MD Usage'!$A$1:$W$5000,11,FALSE)),0,VLOOKUP(B2313,'MD Usage'!$A$1:$W$5000,11,FALSE))</f>
        <v>0</v>
      </c>
      <c r="I2314" s="416">
        <f>IF(ISERROR(VLOOKUP(B2313,'MD Usage'!A1:R2000,13,FALSE)),0,VLOOKUP(B2313,'MD Usage'!A1:R2000,13,FALSE))</f>
        <v>0</v>
      </c>
      <c r="J2314" s="416">
        <f>IF(ISERROR(VLOOKUP(B2313,'MD Usage'!A1:R2000,15,FALSE)),0,VLOOKUP(B2313,'MD Usage'!A1:R2000,15,FALSE))</f>
        <v>0</v>
      </c>
      <c r="K2314" s="418">
        <f>SUM(D2314:J2314)</f>
        <v>0</v>
      </c>
    </row>
    <row r="2315" spans="2:13" ht="15" customHeight="1" x14ac:dyDescent="0.25">
      <c r="B2315" s="419"/>
      <c r="C2315" s="420"/>
      <c r="D2315" s="421">
        <f>D2314*C2315</f>
        <v>0</v>
      </c>
      <c r="E2315" s="421">
        <f>E2314*C2315</f>
        <v>0</v>
      </c>
      <c r="F2315" s="421">
        <f>F2314*C2315</f>
        <v>0</v>
      </c>
      <c r="G2315" s="421">
        <f>G2314*C2315</f>
        <v>0</v>
      </c>
      <c r="H2315" s="421">
        <f>H2314*C2315</f>
        <v>0</v>
      </c>
      <c r="I2315" s="421">
        <f>I2314*C2315</f>
        <v>0</v>
      </c>
      <c r="J2315" s="421">
        <f>J2314*C2315</f>
        <v>0</v>
      </c>
      <c r="K2315" s="422">
        <f>SUM(D2315:J2315)</f>
        <v>0</v>
      </c>
    </row>
    <row r="2316" spans="2:13" ht="15" customHeight="1" x14ac:dyDescent="0.25">
      <c r="B2316" s="389"/>
      <c r="C2316" s="423"/>
      <c r="D2316" s="421">
        <f>D2314*C2316</f>
        <v>0</v>
      </c>
      <c r="E2316" s="421">
        <f>E2314*C2316</f>
        <v>0</v>
      </c>
      <c r="F2316" s="421">
        <f>F2314*C2316</f>
        <v>0</v>
      </c>
      <c r="G2316" s="421">
        <f>G2314*C2316</f>
        <v>0</v>
      </c>
      <c r="H2316" s="421">
        <f>H2314*C2316</f>
        <v>0</v>
      </c>
      <c r="I2316" s="421">
        <f>I2314*C2316</f>
        <v>0</v>
      </c>
      <c r="J2316" s="421">
        <f>J2314*C2316</f>
        <v>0</v>
      </c>
      <c r="K2316" s="424">
        <f>SUM(D2316:J2316)</f>
        <v>0</v>
      </c>
    </row>
    <row r="2317" spans="2:13" ht="15" customHeight="1" x14ac:dyDescent="0.25">
      <c r="B2317" s="389"/>
      <c r="C2317" s="423"/>
      <c r="D2317" s="421">
        <f>D2314*C2317</f>
        <v>0</v>
      </c>
      <c r="E2317" s="421">
        <f>E2314*C2317</f>
        <v>0</v>
      </c>
      <c r="F2317" s="421">
        <f>F2314*C2317</f>
        <v>0</v>
      </c>
      <c r="G2317" s="421">
        <f>G2314*C2317</f>
        <v>0</v>
      </c>
      <c r="H2317" s="421">
        <f>H2314*C2317</f>
        <v>0</v>
      </c>
      <c r="I2317" s="421">
        <f>I2314*C2317</f>
        <v>0</v>
      </c>
      <c r="J2317" s="421">
        <f>J2314*C2317</f>
        <v>0</v>
      </c>
      <c r="K2317" s="424">
        <f>SUM(D2317:J2317)</f>
        <v>0</v>
      </c>
    </row>
    <row r="2318" spans="2:13" ht="15" customHeight="1" x14ac:dyDescent="0.25">
      <c r="B2318" s="389"/>
      <c r="C2318" s="423"/>
      <c r="D2318" s="421">
        <f>D2314*C2318</f>
        <v>0</v>
      </c>
      <c r="E2318" s="421">
        <f>E2314*C2318</f>
        <v>0</v>
      </c>
      <c r="F2318" s="421">
        <f>F2314*C2318</f>
        <v>0</v>
      </c>
      <c r="G2318" s="421">
        <f>G2314*C2318</f>
        <v>0</v>
      </c>
      <c r="H2318" s="421">
        <f>H2314*C2318</f>
        <v>0</v>
      </c>
      <c r="I2318" s="421">
        <f>I2314*C2318</f>
        <v>0</v>
      </c>
      <c r="J2318" s="421">
        <f>J2314*C2318</f>
        <v>0</v>
      </c>
      <c r="K2318" s="424">
        <f>SUM(D2318:J2318)</f>
        <v>0</v>
      </c>
    </row>
    <row r="2319" spans="2:13" ht="15" customHeight="1" thickBot="1" x14ac:dyDescent="0.3"/>
    <row r="2320" spans="2:13" ht="15" customHeight="1" thickBot="1" x14ac:dyDescent="0.3">
      <c r="B2320" s="432"/>
      <c r="C2320" s="411"/>
      <c r="D2320" s="407" t="s">
        <v>548</v>
      </c>
      <c r="E2320" s="408" t="s">
        <v>549</v>
      </c>
      <c r="F2320" s="408" t="s">
        <v>550</v>
      </c>
      <c r="G2320" s="408" t="s">
        <v>551</v>
      </c>
      <c r="H2320" s="408" t="s">
        <v>552</v>
      </c>
      <c r="I2320" s="408" t="s">
        <v>553</v>
      </c>
      <c r="J2320" s="408" t="s">
        <v>554</v>
      </c>
      <c r="K2320" s="408" t="s">
        <v>555</v>
      </c>
      <c r="M2320" s="426"/>
    </row>
    <row r="2321" spans="2:13" ht="15" customHeight="1" thickBot="1" x14ac:dyDescent="0.3">
      <c r="B2321" s="414" t="s">
        <v>556</v>
      </c>
      <c r="C2321" s="415" t="s">
        <v>620</v>
      </c>
      <c r="D2321" s="416">
        <f>IF(ISERROR(VLOOKUP(B2320,'MD Usage'!$A$1:$W$5000,3,FALSE)),0,VLOOKUP(B2320,'MD Usage'!$A$1:$W$5000,3,FALSE))</f>
        <v>0</v>
      </c>
      <c r="E2321" s="416">
        <f>IF(ISERROR(VLOOKUP(B2320,'MD Usage'!$A$1:$W$5000,5,FALSE)),0,VLOOKUP(B2320,'MD Usage'!$A$1:$W$5000,5,FALSE))</f>
        <v>0</v>
      </c>
      <c r="F2321" s="416">
        <f>IF(ISERROR(VLOOKUP(B2320,'MD Usage'!$A$1:$W$5000,7,FALSE)),0,VLOOKUP(B2320,'MD Usage'!$A$1:$W$5000,7,FALSE))</f>
        <v>0</v>
      </c>
      <c r="G2321" s="416">
        <f>IF(ISERROR(VLOOKUP(B2320,'MD Usage'!$A$1:$W$5000,9,FALSE)),0,VLOOKUP(B2320,'MD Usage'!$A$1:$W$5000,9,FALSE))</f>
        <v>0</v>
      </c>
      <c r="H2321" s="416">
        <f>IF(ISERROR(VLOOKUP(B2320,'MD Usage'!$A$1:$W$5000,11,FALSE)),0,VLOOKUP(B2320,'MD Usage'!$A$1:$W$5000,11,FALSE))</f>
        <v>0</v>
      </c>
      <c r="I2321" s="416">
        <f>IF(ISERROR(VLOOKUP(B2320,'MD Usage'!A1:R2000,13,FALSE)),0,VLOOKUP(B2320,'MD Usage'!A1:R2000,13,FALSE))</f>
        <v>0</v>
      </c>
      <c r="J2321" s="416">
        <f>IF(ISERROR(VLOOKUP(B2320,'MD Usage'!A1:R2000,15,FALSE)),0,VLOOKUP(B2320,'MD Usage'!A1:R2000,15,FALSE))</f>
        <v>0</v>
      </c>
      <c r="K2321" s="418">
        <f>SUM(D2321:J2321)</f>
        <v>0</v>
      </c>
    </row>
    <row r="2322" spans="2:13" ht="15" customHeight="1" x14ac:dyDescent="0.25">
      <c r="B2322" s="419"/>
      <c r="C2322" s="420"/>
      <c r="D2322" s="421">
        <f>D2321*C2322</f>
        <v>0</v>
      </c>
      <c r="E2322" s="421">
        <f>E2321*C2322</f>
        <v>0</v>
      </c>
      <c r="F2322" s="421">
        <f>F2321*C2322</f>
        <v>0</v>
      </c>
      <c r="G2322" s="421">
        <f>G2321*C2322</f>
        <v>0</v>
      </c>
      <c r="H2322" s="421">
        <f>H2321*C2322</f>
        <v>0</v>
      </c>
      <c r="I2322" s="421">
        <f>I2321*C2322</f>
        <v>0</v>
      </c>
      <c r="J2322" s="421">
        <f>J2321*C2322</f>
        <v>0</v>
      </c>
      <c r="K2322" s="422">
        <f>SUM(D2322:J2322)</f>
        <v>0</v>
      </c>
    </row>
    <row r="2323" spans="2:13" ht="15" customHeight="1" x14ac:dyDescent="0.25">
      <c r="B2323" s="389"/>
      <c r="C2323" s="423"/>
      <c r="D2323" s="421">
        <f>D2321*C2323</f>
        <v>0</v>
      </c>
      <c r="E2323" s="421">
        <f>E2321*C2323</f>
        <v>0</v>
      </c>
      <c r="F2323" s="421">
        <f>F2321*C2323</f>
        <v>0</v>
      </c>
      <c r="G2323" s="421">
        <f>G2321*C2323</f>
        <v>0</v>
      </c>
      <c r="H2323" s="421">
        <f>H2321*C2323</f>
        <v>0</v>
      </c>
      <c r="I2323" s="421">
        <f>I2321*C2323</f>
        <v>0</v>
      </c>
      <c r="J2323" s="421">
        <f>J2321*C2323</f>
        <v>0</v>
      </c>
      <c r="K2323" s="424">
        <f>SUM(D2323:J2323)</f>
        <v>0</v>
      </c>
    </row>
    <row r="2324" spans="2:13" ht="15" customHeight="1" x14ac:dyDescent="0.25">
      <c r="B2324" s="389"/>
      <c r="C2324" s="423"/>
      <c r="D2324" s="421">
        <f>D2321*C2324</f>
        <v>0</v>
      </c>
      <c r="E2324" s="421">
        <f>E2321*C2324</f>
        <v>0</v>
      </c>
      <c r="F2324" s="421">
        <f>F2321*C2324</f>
        <v>0</v>
      </c>
      <c r="G2324" s="421">
        <f>G2321*C2324</f>
        <v>0</v>
      </c>
      <c r="H2324" s="421">
        <f>H2321*C2324</f>
        <v>0</v>
      </c>
      <c r="I2324" s="421">
        <f>I2321*C2324</f>
        <v>0</v>
      </c>
      <c r="J2324" s="421">
        <f>J2321*C2324</f>
        <v>0</v>
      </c>
      <c r="K2324" s="424">
        <f>SUM(D2324:J2324)</f>
        <v>0</v>
      </c>
    </row>
    <row r="2325" spans="2:13" ht="15" customHeight="1" x14ac:dyDescent="0.25">
      <c r="B2325" s="389"/>
      <c r="C2325" s="423"/>
      <c r="D2325" s="421">
        <f>D2321*C2325</f>
        <v>0</v>
      </c>
      <c r="E2325" s="421">
        <f>E2321*C2325</f>
        <v>0</v>
      </c>
      <c r="F2325" s="421">
        <f>F2321*C2325</f>
        <v>0</v>
      </c>
      <c r="G2325" s="421">
        <f>G2321*C2325</f>
        <v>0</v>
      </c>
      <c r="H2325" s="421">
        <f>H2321*C2325</f>
        <v>0</v>
      </c>
      <c r="I2325" s="421">
        <f>I2321*C2325</f>
        <v>0</v>
      </c>
      <c r="J2325" s="421">
        <f>J2321*C2325</f>
        <v>0</v>
      </c>
      <c r="K2325" s="424">
        <f>SUM(D2325:J2325)</f>
        <v>0</v>
      </c>
    </row>
    <row r="2326" spans="2:13" ht="15" customHeight="1" thickBot="1" x14ac:dyDescent="0.3"/>
    <row r="2327" spans="2:13" ht="15" customHeight="1" thickBot="1" x14ac:dyDescent="0.3">
      <c r="B2327" s="432"/>
      <c r="C2327" s="411"/>
      <c r="D2327" s="407" t="s">
        <v>548</v>
      </c>
      <c r="E2327" s="408" t="s">
        <v>549</v>
      </c>
      <c r="F2327" s="408" t="s">
        <v>550</v>
      </c>
      <c r="G2327" s="408" t="s">
        <v>551</v>
      </c>
      <c r="H2327" s="408" t="s">
        <v>552</v>
      </c>
      <c r="I2327" s="408" t="s">
        <v>553</v>
      </c>
      <c r="J2327" s="408" t="s">
        <v>554</v>
      </c>
      <c r="K2327" s="408" t="s">
        <v>555</v>
      </c>
      <c r="M2327" s="414"/>
    </row>
    <row r="2328" spans="2:13" ht="15" customHeight="1" thickBot="1" x14ac:dyDescent="0.3">
      <c r="B2328" s="414" t="s">
        <v>556</v>
      </c>
      <c r="C2328" s="415" t="s">
        <v>620</v>
      </c>
      <c r="D2328" s="416">
        <f>IF(ISERROR(VLOOKUP(B2327,'MD Usage'!$A$1:$W$5000,3,FALSE)),0,VLOOKUP(B2327,'MD Usage'!$A$1:$W$5000,3,FALSE))</f>
        <v>0</v>
      </c>
      <c r="E2328" s="416">
        <f>IF(ISERROR(VLOOKUP(B2327,'MD Usage'!$A$1:$W$5000,5,FALSE)),0,VLOOKUP(B2327,'MD Usage'!$A$1:$W$5000,5,FALSE))</f>
        <v>0</v>
      </c>
      <c r="F2328" s="416">
        <f>IF(ISERROR(VLOOKUP(B2327,'MD Usage'!$A$1:$W$5000,7,FALSE)),0,VLOOKUP(B2327,'MD Usage'!$A$1:$W$5000,7,FALSE))</f>
        <v>0</v>
      </c>
      <c r="G2328" s="416">
        <f>IF(ISERROR(VLOOKUP(B2327,'MD Usage'!$A$1:$W$5000,9,FALSE)),0,VLOOKUP(B2327,'MD Usage'!$A$1:$W$5000,9,FALSE))</f>
        <v>0</v>
      </c>
      <c r="H2328" s="416">
        <f>IF(ISERROR(VLOOKUP(B2327,'MD Usage'!$A$1:$W$5000,11,FALSE)),0,VLOOKUP(B2327,'MD Usage'!$A$1:$W$5000,11,FALSE))</f>
        <v>0</v>
      </c>
      <c r="I2328" s="416">
        <f>IF(ISERROR(VLOOKUP(B2327,'MD Usage'!A1:R2000,13,FALSE)),0,VLOOKUP(B2327,'MD Usage'!A1:R2000,13,FALSE))</f>
        <v>0</v>
      </c>
      <c r="J2328" s="416">
        <f>IF(ISERROR(VLOOKUP(B2327,'MD Usage'!A1:R2000,15,FALSE)),0,VLOOKUP(B2327,'MD Usage'!A1:R2000,15,FALSE))</f>
        <v>0</v>
      </c>
      <c r="K2328" s="418">
        <f>SUM(D2328:J2328)</f>
        <v>0</v>
      </c>
    </row>
    <row r="2329" spans="2:13" ht="15" customHeight="1" x14ac:dyDescent="0.25">
      <c r="B2329" s="419"/>
      <c r="C2329" s="420"/>
      <c r="D2329" s="421">
        <f>D2328*C2329</f>
        <v>0</v>
      </c>
      <c r="E2329" s="421">
        <f>E2328*C2329</f>
        <v>0</v>
      </c>
      <c r="F2329" s="421">
        <f>F2328*C2329</f>
        <v>0</v>
      </c>
      <c r="G2329" s="421">
        <f>G2328*C2329</f>
        <v>0</v>
      </c>
      <c r="H2329" s="421">
        <f>H2328*C2329</f>
        <v>0</v>
      </c>
      <c r="I2329" s="421">
        <f>I2328*C2329</f>
        <v>0</v>
      </c>
      <c r="J2329" s="421">
        <f>J2328*C2329</f>
        <v>0</v>
      </c>
      <c r="K2329" s="422">
        <f>SUM(D2329:J2329)</f>
        <v>0</v>
      </c>
    </row>
    <row r="2330" spans="2:13" ht="15" customHeight="1" x14ac:dyDescent="0.25">
      <c r="B2330" s="389"/>
      <c r="C2330" s="423"/>
      <c r="D2330" s="421">
        <f>D2328*C2330</f>
        <v>0</v>
      </c>
      <c r="E2330" s="421">
        <f>E2328*C2330</f>
        <v>0</v>
      </c>
      <c r="F2330" s="421">
        <f>F2328*C2330</f>
        <v>0</v>
      </c>
      <c r="G2330" s="421">
        <f>G2328*C2330</f>
        <v>0</v>
      </c>
      <c r="H2330" s="421">
        <f>H2328*C2330</f>
        <v>0</v>
      </c>
      <c r="I2330" s="421">
        <f>I2328*C2330</f>
        <v>0</v>
      </c>
      <c r="J2330" s="421">
        <f>J2328*C2330</f>
        <v>0</v>
      </c>
      <c r="K2330" s="424">
        <f>SUM(D2330:J2330)</f>
        <v>0</v>
      </c>
    </row>
    <row r="2331" spans="2:13" ht="15" customHeight="1" x14ac:dyDescent="0.25">
      <c r="B2331" s="389"/>
      <c r="C2331" s="423"/>
      <c r="D2331" s="421">
        <f>D2328*C2331</f>
        <v>0</v>
      </c>
      <c r="E2331" s="421">
        <f>E2328*C2331</f>
        <v>0</v>
      </c>
      <c r="F2331" s="421">
        <f>F2328*C2331</f>
        <v>0</v>
      </c>
      <c r="G2331" s="421">
        <f>G2328*C2331</f>
        <v>0</v>
      </c>
      <c r="H2331" s="421">
        <f>H2328*C2331</f>
        <v>0</v>
      </c>
      <c r="I2331" s="421">
        <f>I2328*C2331</f>
        <v>0</v>
      </c>
      <c r="J2331" s="421">
        <f>J2328*C2331</f>
        <v>0</v>
      </c>
      <c r="K2331" s="424">
        <f>SUM(D2331:J2331)</f>
        <v>0</v>
      </c>
    </row>
    <row r="2332" spans="2:13" ht="15" customHeight="1" x14ac:dyDescent="0.25">
      <c r="B2332" s="389"/>
      <c r="C2332" s="423"/>
      <c r="D2332" s="421">
        <f>D2328*C2332</f>
        <v>0</v>
      </c>
      <c r="E2332" s="421">
        <f>E2328*C2332</f>
        <v>0</v>
      </c>
      <c r="F2332" s="421">
        <f>F2328*C2332</f>
        <v>0</v>
      </c>
      <c r="G2332" s="421">
        <f>G2328*C2332</f>
        <v>0</v>
      </c>
      <c r="H2332" s="421">
        <f>H2328*C2332</f>
        <v>0</v>
      </c>
      <c r="I2332" s="421">
        <f>I2328*C2332</f>
        <v>0</v>
      </c>
      <c r="J2332" s="421">
        <f>J2328*C2332</f>
        <v>0</v>
      </c>
      <c r="K2332" s="424">
        <f>SUM(D2332:J2332)</f>
        <v>0</v>
      </c>
    </row>
    <row r="2333" spans="2:13" ht="15" customHeight="1" thickBot="1" x14ac:dyDescent="0.3"/>
    <row r="2334" spans="2:13" ht="15" customHeight="1" thickBot="1" x14ac:dyDescent="0.3">
      <c r="B2334" s="433"/>
      <c r="C2334" s="411"/>
      <c r="D2334" s="407" t="s">
        <v>548</v>
      </c>
      <c r="E2334" s="408" t="s">
        <v>549</v>
      </c>
      <c r="F2334" s="408" t="s">
        <v>550</v>
      </c>
      <c r="G2334" s="408" t="s">
        <v>551</v>
      </c>
      <c r="H2334" s="408" t="s">
        <v>552</v>
      </c>
      <c r="I2334" s="408" t="s">
        <v>553</v>
      </c>
      <c r="J2334" s="408" t="s">
        <v>554</v>
      </c>
      <c r="K2334" s="408" t="s">
        <v>555</v>
      </c>
      <c r="M2334" s="438"/>
    </row>
    <row r="2335" spans="2:13" ht="15" customHeight="1" thickBot="1" x14ac:dyDescent="0.3">
      <c r="B2335" s="429" t="s">
        <v>556</v>
      </c>
      <c r="C2335" s="415" t="s">
        <v>620</v>
      </c>
      <c r="D2335" s="416">
        <f>IF(ISERROR(VLOOKUP(B2334,'MD Usage'!$A$1:$W$5000,3,FALSE)),0,VLOOKUP(B2334,'MD Usage'!$A$1:$W$5000,3,FALSE))</f>
        <v>0</v>
      </c>
      <c r="E2335" s="416">
        <f>IF(ISERROR(VLOOKUP(B2334,'MD Usage'!$A$1:$W$5000,5,FALSE)),0,VLOOKUP(B2334,'MD Usage'!$A$1:$W$5000,5,FALSE))</f>
        <v>0</v>
      </c>
      <c r="F2335" s="416">
        <f>IF(ISERROR(VLOOKUP(B2334,'MD Usage'!$A$1:$W$5000,7,FALSE)),0,VLOOKUP(B2334,'MD Usage'!$A$1:$W$5000,7,FALSE))</f>
        <v>0</v>
      </c>
      <c r="G2335" s="416">
        <f>IF(ISERROR(VLOOKUP(B2334,'MD Usage'!$A$1:$W$5000,9,FALSE)),0,VLOOKUP(B2334,'MD Usage'!$A$1:$W$5000,9,FALSE))</f>
        <v>0</v>
      </c>
      <c r="H2335" s="416">
        <f>IF(ISERROR(VLOOKUP(B2334,'MD Usage'!$A$1:$W$5000,11,FALSE)),0,VLOOKUP(B2334,'MD Usage'!$A$1:$W$5000,11,FALSE))</f>
        <v>0</v>
      </c>
      <c r="I2335" s="416">
        <f>IF(ISERROR(VLOOKUP(B2334,'MD Usage'!A1:R2000,13,FALSE)),0,VLOOKUP(B2334,'MD Usage'!A1:R2000,13,FALSE))</f>
        <v>0</v>
      </c>
      <c r="J2335" s="416">
        <f>IF(ISERROR(VLOOKUP(B2334,'MD Usage'!A1:R2000,15,FALSE)),0,VLOOKUP(B2334,'MD Usage'!A1:R2000,15,FALSE))</f>
        <v>0</v>
      </c>
      <c r="K2335" s="418">
        <f>SUM(D2335:J2335)</f>
        <v>0</v>
      </c>
    </row>
    <row r="2336" spans="2:13" ht="15" customHeight="1" x14ac:dyDescent="0.25">
      <c r="B2336" s="391"/>
      <c r="C2336" s="430"/>
      <c r="D2336" s="421">
        <f>D2335*C2336</f>
        <v>0</v>
      </c>
      <c r="E2336" s="421">
        <f>E2335*C2336</f>
        <v>0</v>
      </c>
      <c r="F2336" s="421">
        <f>F2335*C2336</f>
        <v>0</v>
      </c>
      <c r="G2336" s="421">
        <f>G2335*C2336</f>
        <v>0</v>
      </c>
      <c r="H2336" s="421">
        <f>H2335*C2336</f>
        <v>0</v>
      </c>
      <c r="I2336" s="421">
        <f>I2335*C2336</f>
        <v>0</v>
      </c>
      <c r="J2336" s="421">
        <f>J2335*C2336</f>
        <v>0</v>
      </c>
      <c r="K2336" s="422">
        <f>SUM(D2336:J2336)</f>
        <v>0</v>
      </c>
    </row>
    <row r="2337" spans="2:13" ht="15" customHeight="1" x14ac:dyDescent="0.25">
      <c r="B2337" s="389"/>
      <c r="C2337" s="431"/>
      <c r="D2337" s="421">
        <f>D2335*C2337</f>
        <v>0</v>
      </c>
      <c r="E2337" s="421">
        <f>E2335*C2337</f>
        <v>0</v>
      </c>
      <c r="F2337" s="421">
        <f>F2335*C2337</f>
        <v>0</v>
      </c>
      <c r="G2337" s="421">
        <f>G2335*C2337</f>
        <v>0</v>
      </c>
      <c r="H2337" s="421">
        <f>H2335*C2337</f>
        <v>0</v>
      </c>
      <c r="I2337" s="421">
        <f>I2335*C2337</f>
        <v>0</v>
      </c>
      <c r="J2337" s="421">
        <f>J2335*C2337</f>
        <v>0</v>
      </c>
      <c r="K2337" s="424">
        <f>SUM(D2337:J2337)</f>
        <v>0</v>
      </c>
    </row>
    <row r="2338" spans="2:13" ht="15" customHeight="1" x14ac:dyDescent="0.25">
      <c r="B2338" s="389"/>
      <c r="C2338" s="423"/>
      <c r="D2338" s="421">
        <f>D2335*C2338</f>
        <v>0</v>
      </c>
      <c r="E2338" s="421">
        <f>E2335*C2338</f>
        <v>0</v>
      </c>
      <c r="F2338" s="421">
        <f>F2335*C2338</f>
        <v>0</v>
      </c>
      <c r="G2338" s="421">
        <f>G2335*C2338</f>
        <v>0</v>
      </c>
      <c r="H2338" s="421">
        <f>H2335*C2338</f>
        <v>0</v>
      </c>
      <c r="I2338" s="421">
        <f>I2335*C2338</f>
        <v>0</v>
      </c>
      <c r="J2338" s="421">
        <f>J2335*C2338</f>
        <v>0</v>
      </c>
      <c r="K2338" s="424">
        <f>SUM(D2338:J2338)</f>
        <v>0</v>
      </c>
    </row>
    <row r="2339" spans="2:13" ht="15" customHeight="1" x14ac:dyDescent="0.25">
      <c r="B2339" s="389"/>
      <c r="C2339" s="423"/>
      <c r="D2339" s="421">
        <f>D2335*C2339</f>
        <v>0</v>
      </c>
      <c r="E2339" s="421">
        <f>E2335*C2339</f>
        <v>0</v>
      </c>
      <c r="F2339" s="421">
        <f>F2335*C2339</f>
        <v>0</v>
      </c>
      <c r="G2339" s="421">
        <f>G2335*C2339</f>
        <v>0</v>
      </c>
      <c r="H2339" s="421">
        <f>H2335*C2339</f>
        <v>0</v>
      </c>
      <c r="I2339" s="421">
        <f>I2335*C2339</f>
        <v>0</v>
      </c>
      <c r="J2339" s="421">
        <f>J2335*C2339</f>
        <v>0</v>
      </c>
      <c r="K2339" s="424">
        <f>SUM(D2339:J2339)</f>
        <v>0</v>
      </c>
    </row>
    <row r="2341" spans="2:13" ht="15" customHeight="1" thickBot="1" x14ac:dyDescent="0.3"/>
    <row r="2342" spans="2:13" ht="15" customHeight="1" thickBot="1" x14ac:dyDescent="0.3">
      <c r="B2342" s="432"/>
      <c r="C2342" s="411"/>
      <c r="D2342" s="407" t="s">
        <v>548</v>
      </c>
      <c r="E2342" s="408" t="s">
        <v>549</v>
      </c>
      <c r="F2342" s="408" t="s">
        <v>550</v>
      </c>
      <c r="G2342" s="408" t="s">
        <v>551</v>
      </c>
      <c r="H2342" s="408" t="s">
        <v>552</v>
      </c>
      <c r="I2342" s="408" t="s">
        <v>553</v>
      </c>
      <c r="J2342" s="408" t="s">
        <v>554</v>
      </c>
      <c r="K2342" s="408" t="s">
        <v>555</v>
      </c>
      <c r="M2342" s="414"/>
    </row>
    <row r="2343" spans="2:13" ht="15" customHeight="1" thickBot="1" x14ac:dyDescent="0.3">
      <c r="B2343" s="414" t="s">
        <v>556</v>
      </c>
      <c r="C2343" s="415" t="s">
        <v>620</v>
      </c>
      <c r="D2343" s="416">
        <f>IF(ISERROR(VLOOKUP(B2342,'MD Usage'!$A$1:$W$5000,3,FALSE)),0,VLOOKUP(B2342,'MD Usage'!$A$1:$W$5000,3,FALSE))</f>
        <v>0</v>
      </c>
      <c r="E2343" s="416">
        <f>IF(ISERROR(VLOOKUP(B2342,'MD Usage'!$A$1:$W$5000,5,FALSE)),0,VLOOKUP(B2342,'MD Usage'!$A$1:$W$5000,5,FALSE))</f>
        <v>0</v>
      </c>
      <c r="F2343" s="416">
        <f>IF(ISERROR(VLOOKUP(B2342,'MD Usage'!$A$1:$W$5000,7,FALSE)),0,VLOOKUP(B2342,'MD Usage'!$A$1:$W$5000,7,FALSE))</f>
        <v>0</v>
      </c>
      <c r="G2343" s="416">
        <f>IF(ISERROR(VLOOKUP(B2342,'MD Usage'!$A$1:$W$5000,9,FALSE)),0,VLOOKUP(B2342,'MD Usage'!$A$1:$W$5000,9,FALSE))</f>
        <v>0</v>
      </c>
      <c r="H2343" s="416">
        <f>IF(ISERROR(VLOOKUP(B2342,'MD Usage'!$A$1:$W$5000,11,FALSE)),0,VLOOKUP(B2342,'MD Usage'!$A$1:$W$5000,11,FALSE))</f>
        <v>0</v>
      </c>
      <c r="I2343" s="416">
        <f>IF(ISERROR(VLOOKUP(B2342,'MD Usage'!A1:R2000,13,FALSE)),0,VLOOKUP(B2342,'MD Usage'!A1:R2000,13,FALSE))</f>
        <v>0</v>
      </c>
      <c r="J2343" s="416">
        <f>IF(ISERROR(VLOOKUP(B2342,'MD Usage'!A1:R2000,15,FALSE)),0,VLOOKUP(B2342,'MD Usage'!A1:R2000,15,FALSE))</f>
        <v>0</v>
      </c>
      <c r="K2343" s="418">
        <f>SUM(D2343:J2343)</f>
        <v>0</v>
      </c>
    </row>
    <row r="2344" spans="2:13" ht="15" customHeight="1" x14ac:dyDescent="0.25">
      <c r="B2344" s="419"/>
      <c r="C2344" s="420"/>
      <c r="D2344" s="421">
        <f>D2343*C2344</f>
        <v>0</v>
      </c>
      <c r="E2344" s="421">
        <f>E2343*C2344</f>
        <v>0</v>
      </c>
      <c r="F2344" s="421">
        <f>F2343*C2344</f>
        <v>0</v>
      </c>
      <c r="G2344" s="421">
        <f>G2343*C2344</f>
        <v>0</v>
      </c>
      <c r="H2344" s="421">
        <f>H2343*C2344</f>
        <v>0</v>
      </c>
      <c r="I2344" s="421">
        <f>I2343*C2344</f>
        <v>0</v>
      </c>
      <c r="J2344" s="421">
        <f>J2343*C2344</f>
        <v>0</v>
      </c>
      <c r="K2344" s="422">
        <f>SUM(D2344:J2344)</f>
        <v>0</v>
      </c>
    </row>
    <row r="2345" spans="2:13" ht="15" customHeight="1" x14ac:dyDescent="0.25">
      <c r="B2345" s="389"/>
      <c r="C2345" s="423"/>
      <c r="D2345" s="421">
        <f>D2343*C2345</f>
        <v>0</v>
      </c>
      <c r="E2345" s="421">
        <f>E2343*C2345</f>
        <v>0</v>
      </c>
      <c r="F2345" s="421">
        <f>F2343*C2345</f>
        <v>0</v>
      </c>
      <c r="G2345" s="421">
        <f>G2343*C2345</f>
        <v>0</v>
      </c>
      <c r="H2345" s="421">
        <f>H2343*C2345</f>
        <v>0</v>
      </c>
      <c r="I2345" s="421">
        <f>I2343*C2345</f>
        <v>0</v>
      </c>
      <c r="J2345" s="421">
        <f>J2343*C2345</f>
        <v>0</v>
      </c>
      <c r="K2345" s="424">
        <f>SUM(D2345:J2345)</f>
        <v>0</v>
      </c>
    </row>
    <row r="2346" spans="2:13" ht="15" customHeight="1" x14ac:dyDescent="0.25">
      <c r="B2346" s="389"/>
      <c r="C2346" s="423"/>
      <c r="D2346" s="421">
        <f>D2343*C2346</f>
        <v>0</v>
      </c>
      <c r="E2346" s="421">
        <f>E2343*C2346</f>
        <v>0</v>
      </c>
      <c r="F2346" s="421">
        <f>F2343*C2346</f>
        <v>0</v>
      </c>
      <c r="G2346" s="421">
        <f>G2343*C2346</f>
        <v>0</v>
      </c>
      <c r="H2346" s="421">
        <f>H2343*C2346</f>
        <v>0</v>
      </c>
      <c r="I2346" s="421">
        <f>I2343*C2346</f>
        <v>0</v>
      </c>
      <c r="J2346" s="421">
        <f>J2343*C2346</f>
        <v>0</v>
      </c>
      <c r="K2346" s="424">
        <f>SUM(D2346:J2346)</f>
        <v>0</v>
      </c>
    </row>
    <row r="2347" spans="2:13" ht="15" customHeight="1" x14ac:dyDescent="0.25">
      <c r="B2347" s="389"/>
      <c r="C2347" s="423"/>
      <c r="D2347" s="421">
        <f>D2343*C2347</f>
        <v>0</v>
      </c>
      <c r="E2347" s="421">
        <f>E2343*C2347</f>
        <v>0</v>
      </c>
      <c r="F2347" s="421">
        <f>F2343*C2347</f>
        <v>0</v>
      </c>
      <c r="G2347" s="421">
        <f>G2343*C2347</f>
        <v>0</v>
      </c>
      <c r="H2347" s="421">
        <f>H2343*C2347</f>
        <v>0</v>
      </c>
      <c r="I2347" s="421">
        <f>I2343*C2347</f>
        <v>0</v>
      </c>
      <c r="J2347" s="421">
        <f>J2343*C2347</f>
        <v>0</v>
      </c>
      <c r="K2347" s="424">
        <f>SUM(D2347:J2347)</f>
        <v>0</v>
      </c>
    </row>
    <row r="2348" spans="2:13" ht="15" customHeight="1" thickBot="1" x14ac:dyDescent="0.3"/>
    <row r="2349" spans="2:13" ht="15" customHeight="1" thickBot="1" x14ac:dyDescent="0.3">
      <c r="B2349" s="433"/>
      <c r="C2349" s="411"/>
      <c r="D2349" s="407" t="s">
        <v>548</v>
      </c>
      <c r="E2349" s="408" t="s">
        <v>549</v>
      </c>
      <c r="F2349" s="408" t="s">
        <v>550</v>
      </c>
      <c r="G2349" s="408" t="s">
        <v>551</v>
      </c>
      <c r="H2349" s="408" t="s">
        <v>552</v>
      </c>
      <c r="I2349" s="408" t="s">
        <v>553</v>
      </c>
      <c r="J2349" s="408" t="s">
        <v>554</v>
      </c>
      <c r="K2349" s="408" t="s">
        <v>555</v>
      </c>
      <c r="M2349" s="438"/>
    </row>
    <row r="2350" spans="2:13" ht="15" customHeight="1" thickBot="1" x14ac:dyDescent="0.3">
      <c r="B2350" s="429" t="s">
        <v>556</v>
      </c>
      <c r="C2350" s="415" t="s">
        <v>620</v>
      </c>
      <c r="D2350" s="416">
        <f>IF(ISERROR(VLOOKUP(B2349,'MD Usage'!$A$1:$W$5000,3,FALSE)),0,VLOOKUP(B2349,'MD Usage'!$A$1:$W$5000,3,FALSE))</f>
        <v>0</v>
      </c>
      <c r="E2350" s="416">
        <f>IF(ISERROR(VLOOKUP(B2349,'MD Usage'!$A$1:$W$5000,5,FALSE)),0,VLOOKUP(B2349,'MD Usage'!$A$1:$W$5000,5,FALSE))</f>
        <v>0</v>
      </c>
      <c r="F2350" s="416">
        <f>IF(ISERROR(VLOOKUP(B2349,'MD Usage'!$A$1:$W$5000,7,FALSE)),0,VLOOKUP(B2349,'MD Usage'!$A$1:$W$5000,7,FALSE))</f>
        <v>0</v>
      </c>
      <c r="G2350" s="416">
        <f>IF(ISERROR(VLOOKUP(B2349,'MD Usage'!$A$1:$W$5000,9,FALSE)),0,VLOOKUP(B2349,'MD Usage'!$A$1:$W$5000,9,FALSE))</f>
        <v>0</v>
      </c>
      <c r="H2350" s="416">
        <f>IF(ISERROR(VLOOKUP(B2349,'MD Usage'!$A$1:$W$5000,11,FALSE)),0,VLOOKUP(B2349,'MD Usage'!$A$1:$W$5000,11,FALSE))</f>
        <v>0</v>
      </c>
      <c r="I2350" s="416">
        <f>IF(ISERROR(VLOOKUP(B2349,'MD Usage'!A1:R2000,13,FALSE)),0,VLOOKUP(B2349,'MD Usage'!A1:R2000,13,FALSE))</f>
        <v>0</v>
      </c>
      <c r="J2350" s="416">
        <f>IF(ISERROR(VLOOKUP(B2349,'MD Usage'!A1:R2000,15,FALSE)),0,VLOOKUP(B2349,'MD Usage'!A1:R2000,15,FALSE))</f>
        <v>0</v>
      </c>
      <c r="K2350" s="418">
        <f>SUM(D2350:J2350)</f>
        <v>0</v>
      </c>
    </row>
    <row r="2351" spans="2:13" ht="15" customHeight="1" x14ac:dyDescent="0.25">
      <c r="B2351" s="391"/>
      <c r="C2351" s="430"/>
      <c r="D2351" s="421">
        <f>D2350*C2351</f>
        <v>0</v>
      </c>
      <c r="E2351" s="421">
        <f>E2350*C2351</f>
        <v>0</v>
      </c>
      <c r="F2351" s="421">
        <f>F2350*C2351</f>
        <v>0</v>
      </c>
      <c r="G2351" s="421">
        <f>G2350*C2351</f>
        <v>0</v>
      </c>
      <c r="H2351" s="421">
        <f>H2350*C2351</f>
        <v>0</v>
      </c>
      <c r="I2351" s="421">
        <f>I2350*C2351</f>
        <v>0</v>
      </c>
      <c r="J2351" s="421">
        <f>J2350*C2351</f>
        <v>0</v>
      </c>
      <c r="K2351" s="422">
        <f>SUM(D2351:J2351)</f>
        <v>0</v>
      </c>
    </row>
    <row r="2352" spans="2:13" ht="15" customHeight="1" x14ac:dyDescent="0.25">
      <c r="B2352" s="389"/>
      <c r="C2352" s="431"/>
      <c r="D2352" s="421">
        <f>D2350*C2352</f>
        <v>0</v>
      </c>
      <c r="E2352" s="421">
        <f>E2350*C2352</f>
        <v>0</v>
      </c>
      <c r="F2352" s="421">
        <f>F2350*C2352</f>
        <v>0</v>
      </c>
      <c r="G2352" s="421">
        <f>G2350*C2352</f>
        <v>0</v>
      </c>
      <c r="H2352" s="421">
        <f>H2350*C2352</f>
        <v>0</v>
      </c>
      <c r="I2352" s="421">
        <f>I2350*C2352</f>
        <v>0</v>
      </c>
      <c r="J2352" s="421">
        <f>J2350*C2352</f>
        <v>0</v>
      </c>
      <c r="K2352" s="424">
        <f>SUM(D2352:J2352)</f>
        <v>0</v>
      </c>
    </row>
    <row r="2353" spans="2:13" ht="15" customHeight="1" x14ac:dyDescent="0.25">
      <c r="B2353" s="389"/>
      <c r="C2353" s="423"/>
      <c r="D2353" s="421">
        <f>D2350*C2353</f>
        <v>0</v>
      </c>
      <c r="E2353" s="421">
        <f>E2350*C2353</f>
        <v>0</v>
      </c>
      <c r="F2353" s="421">
        <f>F2350*C2353</f>
        <v>0</v>
      </c>
      <c r="G2353" s="421">
        <f>G2350*C2353</f>
        <v>0</v>
      </c>
      <c r="H2353" s="421">
        <f>H2350*C2353</f>
        <v>0</v>
      </c>
      <c r="I2353" s="421">
        <f>I2350*C2353</f>
        <v>0</v>
      </c>
      <c r="J2353" s="421">
        <f>J2350*C2353</f>
        <v>0</v>
      </c>
      <c r="K2353" s="424">
        <f>SUM(D2353:J2353)</f>
        <v>0</v>
      </c>
    </row>
    <row r="2354" spans="2:13" ht="15" customHeight="1" x14ac:dyDescent="0.25">
      <c r="B2354" s="389"/>
      <c r="C2354" s="423"/>
      <c r="D2354" s="421">
        <f>D2350*C2354</f>
        <v>0</v>
      </c>
      <c r="E2354" s="421">
        <f>E2350*C2354</f>
        <v>0</v>
      </c>
      <c r="F2354" s="421">
        <f>F2350*C2354</f>
        <v>0</v>
      </c>
      <c r="G2354" s="421">
        <f>G2350*C2354</f>
        <v>0</v>
      </c>
      <c r="H2354" s="421">
        <f>H2350*C2354</f>
        <v>0</v>
      </c>
      <c r="I2354" s="421">
        <f>I2350*C2354</f>
        <v>0</v>
      </c>
      <c r="J2354" s="421">
        <f>J2350*C2354</f>
        <v>0</v>
      </c>
      <c r="K2354" s="424">
        <f>SUM(D2354:J2354)</f>
        <v>0</v>
      </c>
    </row>
    <row r="2356" spans="2:13" ht="15" customHeight="1" thickBot="1" x14ac:dyDescent="0.3"/>
    <row r="2357" spans="2:13" ht="15" customHeight="1" thickBot="1" x14ac:dyDescent="0.3">
      <c r="B2357" s="432"/>
      <c r="C2357" s="411"/>
      <c r="D2357" s="407" t="s">
        <v>548</v>
      </c>
      <c r="E2357" s="408" t="s">
        <v>549</v>
      </c>
      <c r="F2357" s="408" t="s">
        <v>550</v>
      </c>
      <c r="G2357" s="408" t="s">
        <v>551</v>
      </c>
      <c r="H2357" s="408" t="s">
        <v>552</v>
      </c>
      <c r="I2357" s="408" t="s">
        <v>553</v>
      </c>
      <c r="J2357" s="408" t="s">
        <v>554</v>
      </c>
      <c r="K2357" s="408" t="s">
        <v>555</v>
      </c>
      <c r="M2357" s="426"/>
    </row>
    <row r="2358" spans="2:13" ht="15" customHeight="1" thickBot="1" x14ac:dyDescent="0.3">
      <c r="B2358" s="414" t="s">
        <v>556</v>
      </c>
      <c r="C2358" s="415" t="s">
        <v>620</v>
      </c>
      <c r="D2358" s="416">
        <f>IF(ISERROR(VLOOKUP(B2357,'MD Usage'!$A$1:$W$5000,3,FALSE)),0,VLOOKUP(B2357,'MD Usage'!$A$1:$W$5000,3,FALSE))</f>
        <v>0</v>
      </c>
      <c r="E2358" s="416">
        <f>IF(ISERROR(VLOOKUP(B2357,'MD Usage'!$A$1:$W$5000,5,FALSE)),0,VLOOKUP(B2357,'MD Usage'!$A$1:$W$5000,5,FALSE))</f>
        <v>0</v>
      </c>
      <c r="F2358" s="416">
        <f>IF(ISERROR(VLOOKUP(B2357,'MD Usage'!$A$1:$W$5000,7,FALSE)),0,VLOOKUP(B2357,'MD Usage'!$A$1:$W$5000,7,FALSE))</f>
        <v>0</v>
      </c>
      <c r="G2358" s="416">
        <f>IF(ISERROR(VLOOKUP(B2357,'MD Usage'!$A$1:$W$5000,9,FALSE)),0,VLOOKUP(B2357,'MD Usage'!$A$1:$W$5000,9,FALSE))</f>
        <v>0</v>
      </c>
      <c r="H2358" s="416">
        <f>IF(ISERROR(VLOOKUP(B2357,'MD Usage'!$A$1:$W$5000,11,FALSE)),0,VLOOKUP(B2357,'MD Usage'!$A$1:$W$5000,11,FALSE))</f>
        <v>0</v>
      </c>
      <c r="I2358" s="416">
        <f>IF(ISERROR(VLOOKUP(B2357,'MD Usage'!A1:R2000,13,FALSE)),0,VLOOKUP(B2357,'MD Usage'!A1:R2000,13,FALSE))</f>
        <v>0</v>
      </c>
      <c r="J2358" s="416">
        <f>IF(ISERROR(VLOOKUP(B2357,'MD Usage'!A1:R2000,15,FALSE)),0,VLOOKUP(B2357,'MD Usage'!A1:R2000,15,FALSE))</f>
        <v>0</v>
      </c>
      <c r="K2358" s="418">
        <f>SUM(D2358:J2358)</f>
        <v>0</v>
      </c>
    </row>
    <row r="2359" spans="2:13" ht="15" customHeight="1" x14ac:dyDescent="0.25">
      <c r="B2359" s="419"/>
      <c r="C2359" s="420"/>
      <c r="D2359" s="421">
        <f>D2358*C2359</f>
        <v>0</v>
      </c>
      <c r="E2359" s="421">
        <f>E2358*C2359</f>
        <v>0</v>
      </c>
      <c r="F2359" s="421">
        <f>F2358*C2359</f>
        <v>0</v>
      </c>
      <c r="G2359" s="421">
        <f>G2358*C2359</f>
        <v>0</v>
      </c>
      <c r="H2359" s="421">
        <f>H2358*C2359</f>
        <v>0</v>
      </c>
      <c r="I2359" s="421">
        <f>I2358*C2359</f>
        <v>0</v>
      </c>
      <c r="J2359" s="421">
        <f>J2358*C2359</f>
        <v>0</v>
      </c>
      <c r="K2359" s="422">
        <f>SUM(D2359:J2359)</f>
        <v>0</v>
      </c>
    </row>
    <row r="2360" spans="2:13" ht="15" customHeight="1" x14ac:dyDescent="0.25">
      <c r="B2360" s="389"/>
      <c r="C2360" s="423"/>
      <c r="D2360" s="421">
        <f>D2358*C2360</f>
        <v>0</v>
      </c>
      <c r="E2360" s="421">
        <f>E2358*C2360</f>
        <v>0</v>
      </c>
      <c r="F2360" s="421">
        <f>F2358*C2360</f>
        <v>0</v>
      </c>
      <c r="G2360" s="421">
        <f>G2358*C2360</f>
        <v>0</v>
      </c>
      <c r="H2360" s="421">
        <f>H2358*C2360</f>
        <v>0</v>
      </c>
      <c r="I2360" s="421">
        <f>I2358*C2360</f>
        <v>0</v>
      </c>
      <c r="J2360" s="421">
        <f>J2358*C2360</f>
        <v>0</v>
      </c>
      <c r="K2360" s="424">
        <f>SUM(D2360:J2360)</f>
        <v>0</v>
      </c>
    </row>
    <row r="2361" spans="2:13" ht="15" customHeight="1" x14ac:dyDescent="0.25">
      <c r="B2361" s="389"/>
      <c r="C2361" s="423"/>
      <c r="D2361" s="421">
        <f>D2358*C2361</f>
        <v>0</v>
      </c>
      <c r="E2361" s="421">
        <f>E2358*C2361</f>
        <v>0</v>
      </c>
      <c r="F2361" s="421">
        <f>F2358*C2361</f>
        <v>0</v>
      </c>
      <c r="G2361" s="421">
        <f>G2358*C2361</f>
        <v>0</v>
      </c>
      <c r="H2361" s="421">
        <f>H2358*C2361</f>
        <v>0</v>
      </c>
      <c r="I2361" s="421">
        <f>I2358*C2361</f>
        <v>0</v>
      </c>
      <c r="J2361" s="421">
        <f>J2358*C2361</f>
        <v>0</v>
      </c>
      <c r="K2361" s="424">
        <f>SUM(D2361:J2361)</f>
        <v>0</v>
      </c>
    </row>
    <row r="2362" spans="2:13" ht="15" customHeight="1" x14ac:dyDescent="0.25">
      <c r="B2362" s="389"/>
      <c r="C2362" s="423"/>
      <c r="D2362" s="421">
        <f>D2358*C2362</f>
        <v>0</v>
      </c>
      <c r="E2362" s="421">
        <f>E2358*C2362</f>
        <v>0</v>
      </c>
      <c r="F2362" s="421">
        <f>F2358*C2362</f>
        <v>0</v>
      </c>
      <c r="G2362" s="421">
        <f>G2358*C2362</f>
        <v>0</v>
      </c>
      <c r="H2362" s="421">
        <f>H2358*C2362</f>
        <v>0</v>
      </c>
      <c r="I2362" s="421">
        <f>I2358*C2362</f>
        <v>0</v>
      </c>
      <c r="J2362" s="421">
        <f>J2358*C2362</f>
        <v>0</v>
      </c>
      <c r="K2362" s="424">
        <f>SUM(D2362:J2362)</f>
        <v>0</v>
      </c>
    </row>
    <row r="2363" spans="2:13" ht="15" customHeight="1" thickBot="1" x14ac:dyDescent="0.3"/>
    <row r="2364" spans="2:13" ht="15" customHeight="1" thickBot="1" x14ac:dyDescent="0.3">
      <c r="B2364" s="433"/>
      <c r="C2364" s="411"/>
      <c r="D2364" s="407" t="s">
        <v>548</v>
      </c>
      <c r="E2364" s="408" t="s">
        <v>549</v>
      </c>
      <c r="F2364" s="408" t="s">
        <v>550</v>
      </c>
      <c r="G2364" s="408" t="s">
        <v>551</v>
      </c>
      <c r="H2364" s="408" t="s">
        <v>552</v>
      </c>
      <c r="I2364" s="408" t="s">
        <v>553</v>
      </c>
      <c r="J2364" s="408" t="s">
        <v>554</v>
      </c>
      <c r="K2364" s="408" t="s">
        <v>555</v>
      </c>
      <c r="M2364" s="438"/>
    </row>
    <row r="2365" spans="2:13" ht="15" customHeight="1" thickBot="1" x14ac:dyDescent="0.3">
      <c r="B2365" s="429" t="s">
        <v>556</v>
      </c>
      <c r="C2365" s="415" t="s">
        <v>620</v>
      </c>
      <c r="D2365" s="416">
        <f>IF(ISERROR(VLOOKUP(B2364,'MD Usage'!$A$1:$W$5000,3,FALSE)),0,VLOOKUP(B2364,'MD Usage'!$A$1:$W$5000,3,FALSE))</f>
        <v>0</v>
      </c>
      <c r="E2365" s="416">
        <f>IF(ISERROR(VLOOKUP(B2364,'MD Usage'!$A$1:$W$5000,5,FALSE)),0,VLOOKUP(B2364,'MD Usage'!$A$1:$W$5000,5,FALSE))</f>
        <v>0</v>
      </c>
      <c r="F2365" s="416">
        <f>IF(ISERROR(VLOOKUP(B2364,'MD Usage'!$A$1:$W$5000,7,FALSE)),0,VLOOKUP(B2364,'MD Usage'!$A$1:$W$5000,7,FALSE))</f>
        <v>0</v>
      </c>
      <c r="G2365" s="416">
        <f>IF(ISERROR(VLOOKUP(B2364,'MD Usage'!$A$1:$W$5000,9,FALSE)),0,VLOOKUP(B2364,'MD Usage'!$A$1:$W$5000,9,FALSE))</f>
        <v>0</v>
      </c>
      <c r="H2365" s="416">
        <f>IF(ISERROR(VLOOKUP(B2364,'MD Usage'!$A$1:$W$5000,11,FALSE)),0,VLOOKUP(B2364,'MD Usage'!$A$1:$W$5000,11,FALSE))</f>
        <v>0</v>
      </c>
      <c r="I2365" s="416">
        <f>IF(ISERROR(VLOOKUP(B2364,'MD Usage'!A1:R2000,13,FALSE)),0,VLOOKUP(B2364,'MD Usage'!A1:R2000,13,FALSE))</f>
        <v>0</v>
      </c>
      <c r="J2365" s="416">
        <f>IF(ISERROR(VLOOKUP(B2364,'MD Usage'!A1:R2000,15,FALSE)),0,VLOOKUP(B2364,'MD Usage'!A1:R2000,15,FALSE))</f>
        <v>0</v>
      </c>
      <c r="K2365" s="418">
        <f>SUM(D2365:J2365)</f>
        <v>0</v>
      </c>
    </row>
    <row r="2366" spans="2:13" ht="15" customHeight="1" x14ac:dyDescent="0.25">
      <c r="B2366" s="391"/>
      <c r="C2366" s="430"/>
      <c r="D2366" s="421">
        <f>D2365*C2366</f>
        <v>0</v>
      </c>
      <c r="E2366" s="421">
        <f>E2365*C2366</f>
        <v>0</v>
      </c>
      <c r="F2366" s="421">
        <f>F2365*C2366</f>
        <v>0</v>
      </c>
      <c r="G2366" s="421">
        <f>G2365*C2366</f>
        <v>0</v>
      </c>
      <c r="H2366" s="421">
        <f>H2365*C2366</f>
        <v>0</v>
      </c>
      <c r="I2366" s="421">
        <f>I2365*C2366</f>
        <v>0</v>
      </c>
      <c r="J2366" s="421">
        <f>J2365*C2366</f>
        <v>0</v>
      </c>
      <c r="K2366" s="422">
        <f>SUM(D2366:J2366)</f>
        <v>0</v>
      </c>
    </row>
    <row r="2367" spans="2:13" ht="15" customHeight="1" x14ac:dyDescent="0.25">
      <c r="B2367" s="389"/>
      <c r="C2367" s="431"/>
      <c r="D2367" s="421">
        <f>D2365*C2367</f>
        <v>0</v>
      </c>
      <c r="E2367" s="421">
        <f>E2365*C2367</f>
        <v>0</v>
      </c>
      <c r="F2367" s="421">
        <f>F2365*C2367</f>
        <v>0</v>
      </c>
      <c r="G2367" s="421">
        <f>G2365*C2367</f>
        <v>0</v>
      </c>
      <c r="H2367" s="421">
        <f>H2365*C2367</f>
        <v>0</v>
      </c>
      <c r="I2367" s="421">
        <f>I2365*C2367</f>
        <v>0</v>
      </c>
      <c r="J2367" s="421">
        <f>J2365*C2367</f>
        <v>0</v>
      </c>
      <c r="K2367" s="424">
        <f>SUM(D2367:J2367)</f>
        <v>0</v>
      </c>
    </row>
    <row r="2368" spans="2:13" ht="15" customHeight="1" x14ac:dyDescent="0.25">
      <c r="B2368" s="389"/>
      <c r="C2368" s="423"/>
      <c r="D2368" s="421">
        <f>D2365*C2368</f>
        <v>0</v>
      </c>
      <c r="E2368" s="421">
        <f>E2365*C2368</f>
        <v>0</v>
      </c>
      <c r="F2368" s="421">
        <f>F2365*C2368</f>
        <v>0</v>
      </c>
      <c r="G2368" s="421">
        <f>G2365*C2368</f>
        <v>0</v>
      </c>
      <c r="H2368" s="421">
        <f>H2365*C2368</f>
        <v>0</v>
      </c>
      <c r="I2368" s="421">
        <f>I2365*C2368</f>
        <v>0</v>
      </c>
      <c r="J2368" s="421">
        <f>J2365*C2368</f>
        <v>0</v>
      </c>
      <c r="K2368" s="424">
        <f>SUM(D2368:J2368)</f>
        <v>0</v>
      </c>
    </row>
    <row r="2369" spans="2:13" ht="15" customHeight="1" x14ac:dyDescent="0.25">
      <c r="B2369" s="389"/>
      <c r="C2369" s="423"/>
      <c r="D2369" s="421">
        <f>D2365*C2369</f>
        <v>0</v>
      </c>
      <c r="E2369" s="421">
        <f>E2365*C2369</f>
        <v>0</v>
      </c>
      <c r="F2369" s="421">
        <f>F2365*C2369</f>
        <v>0</v>
      </c>
      <c r="G2369" s="421">
        <f>G2365*C2369</f>
        <v>0</v>
      </c>
      <c r="H2369" s="421">
        <f>H2365*C2369</f>
        <v>0</v>
      </c>
      <c r="I2369" s="421">
        <f>I2365*C2369</f>
        <v>0</v>
      </c>
      <c r="J2369" s="421">
        <f>J2365*C2369</f>
        <v>0</v>
      </c>
      <c r="K2369" s="424">
        <f>SUM(D2369:J2369)</f>
        <v>0</v>
      </c>
    </row>
    <row r="2370" spans="2:13" ht="15" customHeight="1" thickBot="1" x14ac:dyDescent="0.3"/>
    <row r="2371" spans="2:13" ht="15" customHeight="1" thickBot="1" x14ac:dyDescent="0.3">
      <c r="B2371" s="433"/>
      <c r="C2371" s="411"/>
      <c r="D2371" s="407" t="s">
        <v>548</v>
      </c>
      <c r="E2371" s="408" t="s">
        <v>549</v>
      </c>
      <c r="F2371" s="408" t="s">
        <v>550</v>
      </c>
      <c r="G2371" s="408" t="s">
        <v>551</v>
      </c>
      <c r="H2371" s="408" t="s">
        <v>552</v>
      </c>
      <c r="I2371" s="408" t="s">
        <v>553</v>
      </c>
      <c r="J2371" s="408" t="s">
        <v>554</v>
      </c>
      <c r="K2371" s="408" t="s">
        <v>555</v>
      </c>
      <c r="M2371" s="438"/>
    </row>
    <row r="2372" spans="2:13" ht="15" customHeight="1" thickBot="1" x14ac:dyDescent="0.3">
      <c r="B2372" s="414" t="s">
        <v>556</v>
      </c>
      <c r="C2372" s="415" t="s">
        <v>620</v>
      </c>
      <c r="D2372" s="416">
        <f>IF(ISERROR(VLOOKUP(B2371,'MD Usage'!$A$1:$W$5000,3,FALSE)),0,VLOOKUP(B2371,'MD Usage'!$A$1:$W$5000,3,FALSE))</f>
        <v>0</v>
      </c>
      <c r="E2372" s="416">
        <f>IF(ISERROR(VLOOKUP(B2371,'MD Usage'!$A$1:$W$5000,5,FALSE)),0,VLOOKUP(B2371,'MD Usage'!$A$1:$W$5000,5,FALSE))</f>
        <v>0</v>
      </c>
      <c r="F2372" s="416">
        <f>IF(ISERROR(VLOOKUP(B2371,'MD Usage'!$A$1:$W$5000,7,FALSE)),0,VLOOKUP(B2371,'MD Usage'!$A$1:$W$5000,7,FALSE))</f>
        <v>0</v>
      </c>
      <c r="G2372" s="416">
        <f>IF(ISERROR(VLOOKUP(B2371,'MD Usage'!$A$1:$W$5000,9,FALSE)),0,VLOOKUP(B2371,'MD Usage'!$A$1:$W$5000,9,FALSE))</f>
        <v>0</v>
      </c>
      <c r="H2372" s="416">
        <f>IF(ISERROR(VLOOKUP(B2371,'MD Usage'!$A$1:$W$5000,11,FALSE)),0,VLOOKUP(B2371,'MD Usage'!$A$1:$W$5000,11,FALSE))</f>
        <v>0</v>
      </c>
      <c r="I2372" s="416">
        <f>IF(ISERROR(VLOOKUP(B2371,'MD Usage'!A1:R2000,13,FALSE)),0,VLOOKUP(B2371,'MD Usage'!A1:R2000,13,FALSE))</f>
        <v>0</v>
      </c>
      <c r="J2372" s="416">
        <f>IF(ISERROR(VLOOKUP(B2371,'MD Usage'!A1:R2000,15,FALSE)),0,VLOOKUP(B2371,'MD Usage'!A1:R2000,15,FALSE))</f>
        <v>0</v>
      </c>
      <c r="K2372" s="418">
        <f>SUM(D2372:J2372)</f>
        <v>0</v>
      </c>
    </row>
    <row r="2373" spans="2:13" ht="15" customHeight="1" x14ac:dyDescent="0.25">
      <c r="B2373" s="419"/>
      <c r="C2373" s="420"/>
      <c r="D2373" s="421">
        <f>D2372*C2373</f>
        <v>0</v>
      </c>
      <c r="E2373" s="421">
        <f>E2372*C2373</f>
        <v>0</v>
      </c>
      <c r="F2373" s="421">
        <f>F2372*C2373</f>
        <v>0</v>
      </c>
      <c r="G2373" s="421">
        <f>G2372*C2373</f>
        <v>0</v>
      </c>
      <c r="H2373" s="421">
        <f>H2372*C2373</f>
        <v>0</v>
      </c>
      <c r="I2373" s="421">
        <f>I2372*C2373</f>
        <v>0</v>
      </c>
      <c r="J2373" s="421">
        <f>J2372*C2373</f>
        <v>0</v>
      </c>
      <c r="K2373" s="422">
        <f>SUM(D2373:J2373)</f>
        <v>0</v>
      </c>
    </row>
    <row r="2374" spans="2:13" ht="15" customHeight="1" x14ac:dyDescent="0.25">
      <c r="B2374" s="389"/>
      <c r="C2374" s="423"/>
      <c r="D2374" s="421">
        <f>D2372*C2374</f>
        <v>0</v>
      </c>
      <c r="E2374" s="421">
        <f>E2372*C2374</f>
        <v>0</v>
      </c>
      <c r="F2374" s="421">
        <f>F2372*C2374</f>
        <v>0</v>
      </c>
      <c r="G2374" s="421">
        <f>G2372*C2374</f>
        <v>0</v>
      </c>
      <c r="H2374" s="421">
        <f>H2372*C2374</f>
        <v>0</v>
      </c>
      <c r="I2374" s="421">
        <f>I2372*C2374</f>
        <v>0</v>
      </c>
      <c r="J2374" s="421">
        <f>J2372*C2374</f>
        <v>0</v>
      </c>
      <c r="K2374" s="424">
        <f>SUM(D2374:J2374)</f>
        <v>0</v>
      </c>
    </row>
    <row r="2375" spans="2:13" ht="15" customHeight="1" x14ac:dyDescent="0.25">
      <c r="B2375" s="389"/>
      <c r="C2375" s="423"/>
      <c r="D2375" s="421">
        <f>D2372*C2375</f>
        <v>0</v>
      </c>
      <c r="E2375" s="421">
        <f>E2372*C2375</f>
        <v>0</v>
      </c>
      <c r="F2375" s="421">
        <f>F2372*C2375</f>
        <v>0</v>
      </c>
      <c r="G2375" s="421">
        <f>G2372*C2375</f>
        <v>0</v>
      </c>
      <c r="H2375" s="421">
        <f>H2372*C2375</f>
        <v>0</v>
      </c>
      <c r="I2375" s="421">
        <f>I2372*C2375</f>
        <v>0</v>
      </c>
      <c r="J2375" s="421">
        <f>J2372*C2375</f>
        <v>0</v>
      </c>
      <c r="K2375" s="424">
        <f>SUM(D2375:J2375)</f>
        <v>0</v>
      </c>
    </row>
    <row r="2376" spans="2:13" ht="15" customHeight="1" x14ac:dyDescent="0.25">
      <c r="B2376" s="389"/>
      <c r="C2376" s="423"/>
      <c r="D2376" s="421">
        <f>D2372*C2376</f>
        <v>0</v>
      </c>
      <c r="E2376" s="421">
        <f>E2372*C2376</f>
        <v>0</v>
      </c>
      <c r="F2376" s="421">
        <f>F2372*C2376</f>
        <v>0</v>
      </c>
      <c r="G2376" s="421">
        <f>G2372*C2376</f>
        <v>0</v>
      </c>
      <c r="H2376" s="421">
        <f>H2372*C2376</f>
        <v>0</v>
      </c>
      <c r="I2376" s="421">
        <f>I2372*C2376</f>
        <v>0</v>
      </c>
      <c r="J2376" s="421">
        <f>J2372*C2376</f>
        <v>0</v>
      </c>
      <c r="K2376" s="424">
        <f>SUM(D2376:J2376)</f>
        <v>0</v>
      </c>
    </row>
    <row r="2377" spans="2:13" ht="15" customHeight="1" thickBot="1" x14ac:dyDescent="0.3"/>
    <row r="2378" spans="2:13" ht="15" customHeight="1" thickBot="1" x14ac:dyDescent="0.3">
      <c r="B2378" s="438"/>
      <c r="C2378" s="411"/>
      <c r="D2378" s="407" t="s">
        <v>548</v>
      </c>
      <c r="E2378" s="408" t="s">
        <v>549</v>
      </c>
      <c r="F2378" s="408" t="s">
        <v>550</v>
      </c>
      <c r="G2378" s="408" t="s">
        <v>551</v>
      </c>
      <c r="H2378" s="408" t="s">
        <v>552</v>
      </c>
      <c r="I2378" s="408" t="s">
        <v>553</v>
      </c>
      <c r="J2378" s="408" t="s">
        <v>554</v>
      </c>
      <c r="K2378" s="408" t="s">
        <v>555</v>
      </c>
    </row>
    <row r="2379" spans="2:13" ht="15" customHeight="1" thickBot="1" x14ac:dyDescent="0.3">
      <c r="B2379" s="414" t="s">
        <v>556</v>
      </c>
      <c r="C2379" s="415" t="s">
        <v>620</v>
      </c>
      <c r="D2379" s="416">
        <f>IF(ISERROR(VLOOKUP(B2378,'MD Usage'!$A$1:$W$5000,3,FALSE)),0,VLOOKUP(B2378,'MD Usage'!$A$1:$W$5000,3,FALSE))</f>
        <v>0</v>
      </c>
      <c r="E2379" s="416">
        <f>IF(ISERROR(VLOOKUP(B2378,'MD Usage'!$A$1:$W$5000,5,FALSE)),0,VLOOKUP(B2378,'MD Usage'!$A$1:$W$5000,5,FALSE))</f>
        <v>0</v>
      </c>
      <c r="F2379" s="416">
        <f>IF(ISERROR(VLOOKUP(B2378,'MD Usage'!$A$1:$W$5000,7,FALSE)),0,VLOOKUP(B2378,'MD Usage'!$A$1:$W$5000,7,FALSE))</f>
        <v>0</v>
      </c>
      <c r="G2379" s="416">
        <f>IF(ISERROR(VLOOKUP(B2378,'MD Usage'!$A$1:$W$5000,9,FALSE)),0,VLOOKUP(B2378,'MD Usage'!$A$1:$W$5000,9,FALSE))</f>
        <v>0</v>
      </c>
      <c r="H2379" s="416">
        <f>IF(ISERROR(VLOOKUP(B2378,'MD Usage'!$A$1:$W$5000,11,FALSE)),0,VLOOKUP(B2378,'MD Usage'!$A$1:$W$5000,11,FALSE))</f>
        <v>0</v>
      </c>
      <c r="I2379" s="416">
        <f>IF(ISERROR(VLOOKUP(B2378,'MD Usage'!A1:R2000,13,FALSE)),0,VLOOKUP(B2378,'MD Usage'!A1:R2000,13,FALSE))</f>
        <v>0</v>
      </c>
      <c r="J2379" s="416">
        <f>IF(ISERROR(VLOOKUP(B2378,'MD Usage'!A1:R2000,15,FALSE)),0,VLOOKUP(B2378,'MD Usage'!A1:R2000,15,FALSE))</f>
        <v>0</v>
      </c>
      <c r="K2379" s="418">
        <f>SUM(D2379:J2379)</f>
        <v>0</v>
      </c>
    </row>
    <row r="2380" spans="2:13" ht="15" customHeight="1" x14ac:dyDescent="0.25">
      <c r="B2380" s="419"/>
      <c r="C2380" s="420"/>
      <c r="D2380" s="421">
        <f>D2379*C2380</f>
        <v>0</v>
      </c>
      <c r="E2380" s="421">
        <f>E2379*C2380</f>
        <v>0</v>
      </c>
      <c r="F2380" s="421">
        <f>F2379*C2380</f>
        <v>0</v>
      </c>
      <c r="G2380" s="421">
        <f>G2379*C2380</f>
        <v>0</v>
      </c>
      <c r="H2380" s="421">
        <f>H2379*C2380</f>
        <v>0</v>
      </c>
      <c r="I2380" s="421">
        <f>I2379*C2380</f>
        <v>0</v>
      </c>
      <c r="J2380" s="421">
        <f>J2379*C2380</f>
        <v>0</v>
      </c>
      <c r="K2380" s="422">
        <f>SUM(D2380:J2380)</f>
        <v>0</v>
      </c>
    </row>
    <row r="2381" spans="2:13" ht="15" customHeight="1" x14ac:dyDescent="0.25">
      <c r="B2381" s="389"/>
      <c r="C2381" s="423"/>
      <c r="D2381" s="421">
        <f>D2379*C2381</f>
        <v>0</v>
      </c>
      <c r="E2381" s="421">
        <f>E2379*C2381</f>
        <v>0</v>
      </c>
      <c r="F2381" s="421">
        <f>F2379*C2381</f>
        <v>0</v>
      </c>
      <c r="G2381" s="421">
        <f>G2379*C2381</f>
        <v>0</v>
      </c>
      <c r="H2381" s="421">
        <f>H2379*C2381</f>
        <v>0</v>
      </c>
      <c r="I2381" s="421">
        <f>I2379*C2381</f>
        <v>0</v>
      </c>
      <c r="J2381" s="421">
        <f>J2379*C2381</f>
        <v>0</v>
      </c>
      <c r="K2381" s="424">
        <f>SUM(D2381:J2381)</f>
        <v>0</v>
      </c>
    </row>
    <row r="2382" spans="2:13" ht="15" customHeight="1" x14ac:dyDescent="0.25">
      <c r="B2382" s="389"/>
      <c r="C2382" s="423"/>
      <c r="D2382" s="421">
        <f>D2379*C2382</f>
        <v>0</v>
      </c>
      <c r="E2382" s="421">
        <f>E2379*C2382</f>
        <v>0</v>
      </c>
      <c r="F2382" s="421">
        <f>F2379*C2382</f>
        <v>0</v>
      </c>
      <c r="G2382" s="421">
        <f>G2379*C2382</f>
        <v>0</v>
      </c>
      <c r="H2382" s="421">
        <f>H2379*C2382</f>
        <v>0</v>
      </c>
      <c r="I2382" s="421">
        <f>I2379*C2382</f>
        <v>0</v>
      </c>
      <c r="J2382" s="421">
        <f>J2379*C2382</f>
        <v>0</v>
      </c>
      <c r="K2382" s="424">
        <f>SUM(D2382:J2382)</f>
        <v>0</v>
      </c>
    </row>
    <row r="2383" spans="2:13" ht="15" customHeight="1" x14ac:dyDescent="0.25">
      <c r="B2383" s="389"/>
      <c r="C2383" s="423"/>
      <c r="D2383" s="421">
        <f>D2379*C2383</f>
        <v>0</v>
      </c>
      <c r="E2383" s="421">
        <f>E2379*C2383</f>
        <v>0</v>
      </c>
      <c r="F2383" s="421">
        <f>F2379*C2383</f>
        <v>0</v>
      </c>
      <c r="G2383" s="421">
        <f>G2379*C2383</f>
        <v>0</v>
      </c>
      <c r="H2383" s="421">
        <f>H2379*C2383</f>
        <v>0</v>
      </c>
      <c r="I2383" s="421">
        <f>I2379*C2383</f>
        <v>0</v>
      </c>
      <c r="J2383" s="421">
        <f>J2379*C2383</f>
        <v>0</v>
      </c>
      <c r="K2383" s="424">
        <f>SUM(D2383:J2383)</f>
        <v>0</v>
      </c>
    </row>
    <row r="2384" spans="2:13" ht="15" customHeight="1" thickBot="1" x14ac:dyDescent="0.3"/>
    <row r="2385" spans="2:13" ht="15" customHeight="1" thickBot="1" x14ac:dyDescent="0.3">
      <c r="B2385" s="438"/>
      <c r="C2385" s="411"/>
      <c r="D2385" s="407" t="s">
        <v>548</v>
      </c>
      <c r="E2385" s="408" t="s">
        <v>549</v>
      </c>
      <c r="F2385" s="408" t="s">
        <v>550</v>
      </c>
      <c r="G2385" s="408" t="s">
        <v>551</v>
      </c>
      <c r="H2385" s="408" t="s">
        <v>552</v>
      </c>
      <c r="I2385" s="408" t="s">
        <v>553</v>
      </c>
      <c r="J2385" s="408" t="s">
        <v>554</v>
      </c>
      <c r="K2385" s="408" t="s">
        <v>555</v>
      </c>
    </row>
    <row r="2386" spans="2:13" ht="15" customHeight="1" thickBot="1" x14ac:dyDescent="0.3">
      <c r="B2386" s="414" t="s">
        <v>556</v>
      </c>
      <c r="C2386" s="415" t="s">
        <v>620</v>
      </c>
      <c r="D2386" s="416">
        <f>IF(ISERROR(VLOOKUP(B2385,'MD Usage'!$A$1:$W$5000,3,FALSE)),0,VLOOKUP(B2385,'MD Usage'!$A$1:$W$5000,3,FALSE))</f>
        <v>0</v>
      </c>
      <c r="E2386" s="416">
        <f>IF(ISERROR(VLOOKUP(B2385,'MD Usage'!$A$1:$W$5000,5,FALSE)),0,VLOOKUP(B2385,'MD Usage'!$A$1:$W$5000,5,FALSE))</f>
        <v>0</v>
      </c>
      <c r="F2386" s="416">
        <f>IF(ISERROR(VLOOKUP(B2385,'MD Usage'!$A$1:$W$5000,7,FALSE)),0,VLOOKUP(B2385,'MD Usage'!$A$1:$W$5000,7,FALSE))</f>
        <v>0</v>
      </c>
      <c r="G2386" s="416">
        <f>IF(ISERROR(VLOOKUP(B2385,'MD Usage'!$A$1:$W$5000,9,FALSE)),0,VLOOKUP(B2385,'MD Usage'!$A$1:$W$5000,9,FALSE))</f>
        <v>0</v>
      </c>
      <c r="H2386" s="416">
        <f>IF(ISERROR(VLOOKUP(B2385,'MD Usage'!$A$1:$W$5000,11,FALSE)),0,VLOOKUP(B2385,'MD Usage'!$A$1:$W$5000,11,FALSE))</f>
        <v>0</v>
      </c>
      <c r="I2386" s="416">
        <f>IF(ISERROR(VLOOKUP(B2385,'MD Usage'!A1:R2000,13,FALSE)),0,VLOOKUP(B2385,'MD Usage'!A1:R2000,13,FALSE))</f>
        <v>0</v>
      </c>
      <c r="J2386" s="416">
        <f>IF(ISERROR(VLOOKUP(B2385,'MD Usage'!A1:R2000,15,FALSE)),0,VLOOKUP(B2385,'MD Usage'!A1:R2000,15,FALSE))</f>
        <v>0</v>
      </c>
      <c r="K2386" s="418">
        <f>SUM(D2386:J2386)</f>
        <v>0</v>
      </c>
    </row>
    <row r="2387" spans="2:13" ht="15" customHeight="1" x14ac:dyDescent="0.25">
      <c r="B2387" s="419"/>
      <c r="C2387" s="420"/>
      <c r="D2387" s="421">
        <f>D2386*C2387</f>
        <v>0</v>
      </c>
      <c r="E2387" s="421">
        <f>E2386*C2387</f>
        <v>0</v>
      </c>
      <c r="F2387" s="421">
        <f>F2386*C2387</f>
        <v>0</v>
      </c>
      <c r="G2387" s="421">
        <f>G2386*C2387</f>
        <v>0</v>
      </c>
      <c r="H2387" s="421">
        <f>H2386*C2387</f>
        <v>0</v>
      </c>
      <c r="I2387" s="421">
        <f>I2386*C2387</f>
        <v>0</v>
      </c>
      <c r="J2387" s="421">
        <f>J2386*C2387</f>
        <v>0</v>
      </c>
      <c r="K2387" s="422">
        <f>SUM(D2387:J2387)</f>
        <v>0</v>
      </c>
    </row>
    <row r="2388" spans="2:13" ht="15" customHeight="1" x14ac:dyDescent="0.25">
      <c r="B2388" s="389"/>
      <c r="C2388" s="423"/>
      <c r="D2388" s="421">
        <f>D2386*C2388</f>
        <v>0</v>
      </c>
      <c r="E2388" s="421">
        <f>E2386*C2388</f>
        <v>0</v>
      </c>
      <c r="F2388" s="421">
        <f>F2386*C2388</f>
        <v>0</v>
      </c>
      <c r="G2388" s="421">
        <f>G2386*C2388</f>
        <v>0</v>
      </c>
      <c r="H2388" s="421">
        <f>H2386*C2388</f>
        <v>0</v>
      </c>
      <c r="I2388" s="421">
        <f>I2386*C2388</f>
        <v>0</v>
      </c>
      <c r="J2388" s="421">
        <f>J2386*C2388</f>
        <v>0</v>
      </c>
      <c r="K2388" s="424">
        <f>SUM(D2388:J2388)</f>
        <v>0</v>
      </c>
    </row>
    <row r="2389" spans="2:13" ht="15" customHeight="1" x14ac:dyDescent="0.25">
      <c r="B2389" s="389"/>
      <c r="C2389" s="423"/>
      <c r="D2389" s="421">
        <f>D2386*C2389</f>
        <v>0</v>
      </c>
      <c r="E2389" s="421">
        <f>E2386*C2389</f>
        <v>0</v>
      </c>
      <c r="F2389" s="421">
        <f>F2386*C2389</f>
        <v>0</v>
      </c>
      <c r="G2389" s="421">
        <f>G2386*C2389</f>
        <v>0</v>
      </c>
      <c r="H2389" s="421">
        <f>H2386*C2389</f>
        <v>0</v>
      </c>
      <c r="I2389" s="421">
        <f>I2386*C2389</f>
        <v>0</v>
      </c>
      <c r="J2389" s="421">
        <f>J2386*C2389</f>
        <v>0</v>
      </c>
      <c r="K2389" s="424">
        <f>SUM(D2389:J2389)</f>
        <v>0</v>
      </c>
    </row>
    <row r="2390" spans="2:13" ht="15" customHeight="1" x14ac:dyDescent="0.25">
      <c r="B2390" s="389"/>
      <c r="C2390" s="423"/>
      <c r="D2390" s="421">
        <f>D2386*C2390</f>
        <v>0</v>
      </c>
      <c r="E2390" s="421">
        <f>E2386*C2390</f>
        <v>0</v>
      </c>
      <c r="F2390" s="421">
        <f>F2386*C2390</f>
        <v>0</v>
      </c>
      <c r="G2390" s="421">
        <f>G2386*C2390</f>
        <v>0</v>
      </c>
      <c r="H2390" s="421">
        <f>H2386*C2390</f>
        <v>0</v>
      </c>
      <c r="I2390" s="421">
        <f>I2386*C2390</f>
        <v>0</v>
      </c>
      <c r="J2390" s="421">
        <f>J2386*C2390</f>
        <v>0</v>
      </c>
      <c r="K2390" s="424">
        <f>SUM(D2390:J2390)</f>
        <v>0</v>
      </c>
    </row>
    <row r="2392" spans="2:13" ht="15" customHeight="1" thickBot="1" x14ac:dyDescent="0.3"/>
    <row r="2393" spans="2:13" ht="15" customHeight="1" thickBot="1" x14ac:dyDescent="0.3">
      <c r="B2393" s="432"/>
      <c r="C2393" s="411"/>
      <c r="D2393" s="407" t="s">
        <v>548</v>
      </c>
      <c r="E2393" s="408" t="s">
        <v>549</v>
      </c>
      <c r="F2393" s="408" t="s">
        <v>550</v>
      </c>
      <c r="G2393" s="408" t="s">
        <v>551</v>
      </c>
      <c r="H2393" s="408" t="s">
        <v>552</v>
      </c>
      <c r="I2393" s="408" t="s">
        <v>553</v>
      </c>
      <c r="J2393" s="408" t="s">
        <v>554</v>
      </c>
      <c r="K2393" s="408" t="s">
        <v>555</v>
      </c>
      <c r="M2393" s="414"/>
    </row>
    <row r="2394" spans="2:13" ht="15" customHeight="1" thickBot="1" x14ac:dyDescent="0.3">
      <c r="B2394" s="414"/>
      <c r="C2394" s="415" t="s">
        <v>620</v>
      </c>
      <c r="D2394" s="416">
        <f>IF(ISERROR(VLOOKUP(B2393,'MD Usage'!$A$1:$W$5000,3,FALSE)),0,VLOOKUP(B2393,'MD Usage'!$A$1:$W$5000,3,FALSE))</f>
        <v>0</v>
      </c>
      <c r="E2394" s="416">
        <f>IF(ISERROR(VLOOKUP(B2393,'MD Usage'!$A$1:$W$5000,5,FALSE)),0,VLOOKUP(B2393,'MD Usage'!$A$1:$W$5000,5,FALSE))</f>
        <v>0</v>
      </c>
      <c r="F2394" s="416">
        <f>IF(ISERROR(VLOOKUP(B2393,'MD Usage'!$A$1:$W$5000,7,FALSE)),0,VLOOKUP(B2393,'MD Usage'!$A$1:$W$5000,7,FALSE))</f>
        <v>0</v>
      </c>
      <c r="G2394" s="416">
        <f>IF(ISERROR(VLOOKUP(B2393,'MD Usage'!$A$1:$W$5000,9,FALSE)),0,VLOOKUP(B2393,'MD Usage'!$A$1:$W$5000,9,FALSE))</f>
        <v>0</v>
      </c>
      <c r="H2394" s="416">
        <f>IF(ISERROR(VLOOKUP(B2393,'MD Usage'!$A$1:$W$5000,11,FALSE)),0,VLOOKUP(B2393,'MD Usage'!$A$1:$W$5000,11,FALSE))</f>
        <v>0</v>
      </c>
      <c r="I2394" s="416">
        <f>IF(ISERROR(VLOOKUP(B2393,'MD Usage'!A1:R2000,13,FALSE)),0,VLOOKUP(B2393,'MD Usage'!A1:R2000,13,FALSE))</f>
        <v>0</v>
      </c>
      <c r="J2394" s="416">
        <f>IF(ISERROR(VLOOKUP(B2393,'MD Usage'!A1:R2000,15,FALSE)),0,VLOOKUP(B2393,'MD Usage'!A1:R2000,15,FALSE))</f>
        <v>0</v>
      </c>
      <c r="K2394" s="418">
        <f>SUM(D2394:J2394)</f>
        <v>0</v>
      </c>
    </row>
    <row r="2395" spans="2:13" ht="15" customHeight="1" x14ac:dyDescent="0.25">
      <c r="B2395" s="419"/>
      <c r="C2395" s="420"/>
      <c r="D2395" s="421">
        <f>D2394*C2395</f>
        <v>0</v>
      </c>
      <c r="E2395" s="421">
        <f>E2394*C2395</f>
        <v>0</v>
      </c>
      <c r="F2395" s="421">
        <f>F2394*C2395</f>
        <v>0</v>
      </c>
      <c r="G2395" s="421">
        <f>G2394*C2395</f>
        <v>0</v>
      </c>
      <c r="H2395" s="421">
        <f>H2394*C2395</f>
        <v>0</v>
      </c>
      <c r="I2395" s="421">
        <f>I2394*C2395</f>
        <v>0</v>
      </c>
      <c r="J2395" s="421">
        <f>J2394*C2395</f>
        <v>0</v>
      </c>
      <c r="K2395" s="422">
        <f>SUM(D2395:J2395)</f>
        <v>0</v>
      </c>
    </row>
    <row r="2396" spans="2:13" ht="15" customHeight="1" x14ac:dyDescent="0.25">
      <c r="B2396" s="389"/>
      <c r="C2396" s="423"/>
      <c r="D2396" s="421">
        <f>D2394*C2396</f>
        <v>0</v>
      </c>
      <c r="E2396" s="421">
        <f>E2394*C2396</f>
        <v>0</v>
      </c>
      <c r="F2396" s="421">
        <f>F2394*C2396</f>
        <v>0</v>
      </c>
      <c r="G2396" s="421">
        <f>G2394*C2396</f>
        <v>0</v>
      </c>
      <c r="H2396" s="421">
        <f>H2394*C2396</f>
        <v>0</v>
      </c>
      <c r="I2396" s="421">
        <f>I2394*C2396</f>
        <v>0</v>
      </c>
      <c r="J2396" s="421">
        <f>J2394*C2396</f>
        <v>0</v>
      </c>
      <c r="K2396" s="424">
        <f>SUM(D2396:J2396)</f>
        <v>0</v>
      </c>
    </row>
    <row r="2397" spans="2:13" ht="15" customHeight="1" thickBot="1" x14ac:dyDescent="0.3"/>
    <row r="2398" spans="2:13" ht="15" customHeight="1" thickBot="1" x14ac:dyDescent="0.3">
      <c r="B2398" s="414"/>
      <c r="C2398" s="411"/>
      <c r="D2398" s="407" t="s">
        <v>548</v>
      </c>
      <c r="E2398" s="408" t="s">
        <v>549</v>
      </c>
      <c r="F2398" s="408" t="s">
        <v>550</v>
      </c>
      <c r="G2398" s="408" t="s">
        <v>551</v>
      </c>
      <c r="H2398" s="408" t="s">
        <v>552</v>
      </c>
      <c r="I2398" s="408" t="s">
        <v>553</v>
      </c>
      <c r="J2398" s="408" t="s">
        <v>554</v>
      </c>
      <c r="K2398" s="408" t="s">
        <v>555</v>
      </c>
    </row>
    <row r="2399" spans="2:13" ht="15" customHeight="1" thickBot="1" x14ac:dyDescent="0.3">
      <c r="B2399" s="414" t="s">
        <v>556</v>
      </c>
      <c r="C2399" s="415" t="s">
        <v>620</v>
      </c>
      <c r="D2399" s="416">
        <f>IF(ISERROR(VLOOKUP(B2398,'MD Usage'!$A$1:$W$5000,3,FALSE)),0,VLOOKUP(B2398,'MD Usage'!$A$1:$W$5000,3,FALSE))</f>
        <v>0</v>
      </c>
      <c r="E2399" s="416">
        <f>IF(ISERROR(VLOOKUP(B2398,'MD Usage'!$A$1:$W$5000,5,FALSE)),0,VLOOKUP(B2398,'MD Usage'!$A$1:$W$5000,5,FALSE))</f>
        <v>0</v>
      </c>
      <c r="F2399" s="416">
        <f>IF(ISERROR(VLOOKUP(B2398,'MD Usage'!$A$1:$W$5000,7,FALSE)),0,VLOOKUP(B2398,'MD Usage'!$A$1:$W$5000,7,FALSE))</f>
        <v>0</v>
      </c>
      <c r="G2399" s="416">
        <f>IF(ISERROR(VLOOKUP(B2398,'MD Usage'!$A$1:$W$5000,9,FALSE)),0,VLOOKUP(B2398,'MD Usage'!$A$1:$W$5000,9,FALSE))</f>
        <v>0</v>
      </c>
      <c r="H2399" s="416">
        <f>IF(ISERROR(VLOOKUP(B2398,'MD Usage'!$A$1:$W$5000,11,FALSE)),0,VLOOKUP(B2398,'MD Usage'!$A$1:$W$5000,11,FALSE))</f>
        <v>0</v>
      </c>
      <c r="I2399" s="416">
        <f>IF(ISERROR(VLOOKUP(B2398,'MD Usage'!A1:R2000,13,FALSE)),0,VLOOKUP(B2398,'MD Usage'!A1:R2000,13,FALSE))</f>
        <v>0</v>
      </c>
      <c r="J2399" s="416">
        <f>IF(ISERROR(VLOOKUP(B2398,'MD Usage'!A1:R2000,15,FALSE)),0,VLOOKUP(B2398,'MD Usage'!A1:R2000,15,FALSE))</f>
        <v>0</v>
      </c>
      <c r="K2399" s="418">
        <f>SUM(D2399:J2399)</f>
        <v>0</v>
      </c>
    </row>
    <row r="2400" spans="2:13" ht="15" customHeight="1" x14ac:dyDescent="0.25">
      <c r="B2400" s="419"/>
      <c r="C2400" s="420"/>
      <c r="D2400" s="421">
        <f>D2399*C2400</f>
        <v>0</v>
      </c>
      <c r="E2400" s="421">
        <f>E2399*C2400</f>
        <v>0</v>
      </c>
      <c r="F2400" s="421">
        <f>F2399*C2400</f>
        <v>0</v>
      </c>
      <c r="G2400" s="421">
        <f>G2399*C2400</f>
        <v>0</v>
      </c>
      <c r="H2400" s="421">
        <f>H2399*C2400</f>
        <v>0</v>
      </c>
      <c r="I2400" s="421">
        <f>I2399*C2400</f>
        <v>0</v>
      </c>
      <c r="J2400" s="421">
        <f>J2399*C2400</f>
        <v>0</v>
      </c>
      <c r="K2400" s="422">
        <f>SUM(D2400:J2400)</f>
        <v>0</v>
      </c>
    </row>
    <row r="2401" spans="2:13" ht="15" customHeight="1" x14ac:dyDescent="0.25">
      <c r="B2401" s="389"/>
      <c r="C2401" s="423"/>
      <c r="D2401" s="421">
        <f>D2399*C2401</f>
        <v>0</v>
      </c>
      <c r="E2401" s="421">
        <f>E2399*C2401</f>
        <v>0</v>
      </c>
      <c r="F2401" s="421">
        <f>F2399*C2401</f>
        <v>0</v>
      </c>
      <c r="G2401" s="421">
        <f>G2399*C2401</f>
        <v>0</v>
      </c>
      <c r="H2401" s="421">
        <f>H2399*C2401</f>
        <v>0</v>
      </c>
      <c r="I2401" s="421">
        <f>I2399*C2401</f>
        <v>0</v>
      </c>
      <c r="J2401" s="421">
        <f>J2399*C2401</f>
        <v>0</v>
      </c>
      <c r="K2401" s="424">
        <f>SUM(D2401:J2401)</f>
        <v>0</v>
      </c>
    </row>
    <row r="2402" spans="2:13" ht="15" customHeight="1" thickBot="1" x14ac:dyDescent="0.3"/>
    <row r="2403" spans="2:13" ht="15" customHeight="1" thickBot="1" x14ac:dyDescent="0.3">
      <c r="B2403" s="432"/>
      <c r="C2403" s="411"/>
      <c r="D2403" s="407" t="s">
        <v>548</v>
      </c>
      <c r="E2403" s="408" t="s">
        <v>549</v>
      </c>
      <c r="F2403" s="408" t="s">
        <v>550</v>
      </c>
      <c r="G2403" s="408" t="s">
        <v>551</v>
      </c>
      <c r="H2403" s="408" t="s">
        <v>552</v>
      </c>
      <c r="I2403" s="408" t="s">
        <v>553</v>
      </c>
      <c r="J2403" s="408" t="s">
        <v>554</v>
      </c>
      <c r="K2403" s="408" t="s">
        <v>555</v>
      </c>
      <c r="M2403" s="414"/>
    </row>
    <row r="2404" spans="2:13" ht="15" customHeight="1" thickBot="1" x14ac:dyDescent="0.3">
      <c r="B2404" s="414" t="s">
        <v>556</v>
      </c>
      <c r="C2404" s="415" t="s">
        <v>620</v>
      </c>
      <c r="D2404" s="416">
        <f>IF(ISERROR(VLOOKUP(B2403,'MD Usage'!$A$1:$W$5000,3,FALSE)),0,VLOOKUP(B2403,'MD Usage'!$A$1:$W$5000,3,FALSE))</f>
        <v>0</v>
      </c>
      <c r="E2404" s="416">
        <f>IF(ISERROR(VLOOKUP(B2403,'MD Usage'!$A$1:$W$5000,5,FALSE)),0,VLOOKUP(B2403,'MD Usage'!$A$1:$W$5000,5,FALSE))</f>
        <v>0</v>
      </c>
      <c r="F2404" s="416">
        <f>IF(ISERROR(VLOOKUP(B2403,'MD Usage'!$A$1:$W$5000,7,FALSE)),0,VLOOKUP(B2403,'MD Usage'!$A$1:$W$5000,7,FALSE))</f>
        <v>0</v>
      </c>
      <c r="G2404" s="416">
        <f>IF(ISERROR(VLOOKUP(B2403,'MD Usage'!$A$1:$W$5000,9,FALSE)),0,VLOOKUP(B2403,'MD Usage'!$A$1:$W$5000,9,FALSE))</f>
        <v>0</v>
      </c>
      <c r="H2404" s="416">
        <f>IF(ISERROR(VLOOKUP(B2403,'MD Usage'!$A$1:$W$5000,11,FALSE)),0,VLOOKUP(B2403,'MD Usage'!$A$1:$W$5000,11,FALSE))</f>
        <v>0</v>
      </c>
      <c r="I2404" s="416">
        <f>IF(ISERROR(VLOOKUP(B2403,'MD Usage'!A1:R2000,13,FALSE)),0,VLOOKUP(B2403,'MD Usage'!A1:R2000,13,FALSE))</f>
        <v>0</v>
      </c>
      <c r="J2404" s="416">
        <f>IF(ISERROR(VLOOKUP(B2403,'MD Usage'!A1:R2000,15,FALSE)),0,VLOOKUP(B2403,'MD Usage'!A1:R2000,15,FALSE))</f>
        <v>0</v>
      </c>
      <c r="K2404" s="418">
        <f>SUM(D2404:J2404)</f>
        <v>0</v>
      </c>
    </row>
    <row r="2405" spans="2:13" ht="15" customHeight="1" x14ac:dyDescent="0.25">
      <c r="B2405" s="419"/>
      <c r="C2405" s="420"/>
      <c r="D2405" s="421">
        <f>D2404*C2405</f>
        <v>0</v>
      </c>
      <c r="E2405" s="421">
        <f>E2404*C2405</f>
        <v>0</v>
      </c>
      <c r="F2405" s="421">
        <f>F2404*C2405</f>
        <v>0</v>
      </c>
      <c r="G2405" s="421">
        <f>G2404*C2405</f>
        <v>0</v>
      </c>
      <c r="H2405" s="421">
        <f>H2404*C2405</f>
        <v>0</v>
      </c>
      <c r="I2405" s="421">
        <f>I2404*C2405</f>
        <v>0</v>
      </c>
      <c r="J2405" s="421">
        <f>J2404*C2405</f>
        <v>0</v>
      </c>
      <c r="K2405" s="422">
        <f>SUM(D2405:J2405)</f>
        <v>0</v>
      </c>
    </row>
    <row r="2406" spans="2:13" ht="15" customHeight="1" x14ac:dyDescent="0.25">
      <c r="B2406" s="389"/>
      <c r="C2406" s="423"/>
      <c r="D2406" s="421">
        <f>D2404*C2406</f>
        <v>0</v>
      </c>
      <c r="E2406" s="421">
        <f>E2404*C2406</f>
        <v>0</v>
      </c>
      <c r="F2406" s="421">
        <f>F2404*C2406</f>
        <v>0</v>
      </c>
      <c r="G2406" s="421">
        <f>G2404*C2406</f>
        <v>0</v>
      </c>
      <c r="H2406" s="421">
        <f>H2404*C2406</f>
        <v>0</v>
      </c>
      <c r="I2406" s="421">
        <f>I2404*C2406</f>
        <v>0</v>
      </c>
      <c r="J2406" s="421">
        <f>J2404*C2406</f>
        <v>0</v>
      </c>
      <c r="K2406" s="424">
        <f>SUM(D2406:J2406)</f>
        <v>0</v>
      </c>
    </row>
    <row r="2407" spans="2:13" ht="15" customHeight="1" thickBot="1" x14ac:dyDescent="0.3"/>
    <row r="2408" spans="2:13" ht="15" customHeight="1" thickBot="1" x14ac:dyDescent="0.3">
      <c r="B2408" s="414"/>
      <c r="C2408" s="411"/>
      <c r="D2408" s="407" t="s">
        <v>548</v>
      </c>
      <c r="E2408" s="408" t="s">
        <v>549</v>
      </c>
      <c r="F2408" s="408" t="s">
        <v>550</v>
      </c>
      <c r="G2408" s="408" t="s">
        <v>551</v>
      </c>
      <c r="H2408" s="408" t="s">
        <v>552</v>
      </c>
      <c r="I2408" s="408" t="s">
        <v>553</v>
      </c>
      <c r="J2408" s="408" t="s">
        <v>554</v>
      </c>
      <c r="K2408" s="408" t="s">
        <v>555</v>
      </c>
    </row>
    <row r="2409" spans="2:13" ht="15" customHeight="1" thickBot="1" x14ac:dyDescent="0.3">
      <c r="B2409" s="414" t="s">
        <v>556</v>
      </c>
      <c r="C2409" s="415" t="s">
        <v>620</v>
      </c>
      <c r="D2409" s="416">
        <f>IF(ISERROR(VLOOKUP(B2408,'MD Usage'!$A$1:$W$5000,3,FALSE)),0,VLOOKUP(B2408,'MD Usage'!$A$1:$W$5000,3,FALSE))</f>
        <v>0</v>
      </c>
      <c r="E2409" s="416">
        <f>IF(ISERROR(VLOOKUP(B2408,'MD Usage'!$A$1:$W$5000,5,FALSE)),0,VLOOKUP(B2408,'MD Usage'!$A$1:$W$5000,5,FALSE))</f>
        <v>0</v>
      </c>
      <c r="F2409" s="416">
        <f>IF(ISERROR(VLOOKUP(B2408,'MD Usage'!$A$1:$W$5000,7,FALSE)),0,VLOOKUP(B2408,'MD Usage'!$A$1:$W$5000,7,FALSE))</f>
        <v>0</v>
      </c>
      <c r="G2409" s="416">
        <f>IF(ISERROR(VLOOKUP(B2408,'MD Usage'!$A$1:$W$5000,9,FALSE)),0,VLOOKUP(B2408,'MD Usage'!$A$1:$W$5000,9,FALSE))</f>
        <v>0</v>
      </c>
      <c r="H2409" s="416">
        <f>IF(ISERROR(VLOOKUP(B2408,'MD Usage'!$A$1:$W$5000,11,FALSE)),0,VLOOKUP(B2408,'MD Usage'!$A$1:$W$5000,11,FALSE))</f>
        <v>0</v>
      </c>
      <c r="I2409" s="416">
        <f>IF(ISERROR(VLOOKUP(B2408,'MD Usage'!A1:R2000,13,FALSE)),0,VLOOKUP(B2408,'MD Usage'!A1:R2000,13,FALSE))</f>
        <v>0</v>
      </c>
      <c r="J2409" s="416">
        <f>IF(ISERROR(VLOOKUP(B2408,'MD Usage'!A1:R2000,15,FALSE)),0,VLOOKUP(B2408,'MD Usage'!A1:R2000,15,FALSE))</f>
        <v>0</v>
      </c>
      <c r="K2409" s="418">
        <f>SUM(D2409:J2409)</f>
        <v>0</v>
      </c>
    </row>
    <row r="2410" spans="2:13" ht="15" customHeight="1" x14ac:dyDescent="0.25">
      <c r="B2410" s="419"/>
      <c r="C2410" s="420"/>
      <c r="D2410" s="421">
        <f>D2409*C2410</f>
        <v>0</v>
      </c>
      <c r="E2410" s="421">
        <f>E2409*C2410</f>
        <v>0</v>
      </c>
      <c r="F2410" s="421">
        <f>F2409*C2410</f>
        <v>0</v>
      </c>
      <c r="G2410" s="421">
        <f>G2409*C2410</f>
        <v>0</v>
      </c>
      <c r="H2410" s="421">
        <f>H2409*C2410</f>
        <v>0</v>
      </c>
      <c r="I2410" s="421">
        <f>I2409*C2410</f>
        <v>0</v>
      </c>
      <c r="J2410" s="421">
        <f>J2409*C2410</f>
        <v>0</v>
      </c>
      <c r="K2410" s="422">
        <f>SUM(D2410:J2410)</f>
        <v>0</v>
      </c>
    </row>
    <row r="2411" spans="2:13" ht="15" customHeight="1" x14ac:dyDescent="0.25">
      <c r="B2411" s="389"/>
      <c r="C2411" s="423"/>
      <c r="D2411" s="421">
        <f>D2409*C2411</f>
        <v>0</v>
      </c>
      <c r="E2411" s="421">
        <f>E2409*C2411</f>
        <v>0</v>
      </c>
      <c r="F2411" s="421">
        <f>F2409*C2411</f>
        <v>0</v>
      </c>
      <c r="G2411" s="421">
        <f>G2409*C2411</f>
        <v>0</v>
      </c>
      <c r="H2411" s="421">
        <f>H2409*C2411</f>
        <v>0</v>
      </c>
      <c r="I2411" s="421">
        <f>I2409*C2411</f>
        <v>0</v>
      </c>
      <c r="J2411" s="421">
        <f>J2409*C2411</f>
        <v>0</v>
      </c>
      <c r="K2411" s="424">
        <f>SUM(D2411:J2411)</f>
        <v>0</v>
      </c>
    </row>
    <row r="2412" spans="2:13" ht="15" customHeight="1" thickBot="1" x14ac:dyDescent="0.3"/>
    <row r="2413" spans="2:13" ht="15" customHeight="1" thickBot="1" x14ac:dyDescent="0.3">
      <c r="B2413" s="432"/>
      <c r="C2413" s="411"/>
      <c r="D2413" s="407" t="s">
        <v>548</v>
      </c>
      <c r="E2413" s="408" t="s">
        <v>549</v>
      </c>
      <c r="F2413" s="408" t="s">
        <v>550</v>
      </c>
      <c r="G2413" s="408" t="s">
        <v>551</v>
      </c>
      <c r="H2413" s="408" t="s">
        <v>552</v>
      </c>
      <c r="I2413" s="408" t="s">
        <v>553</v>
      </c>
      <c r="J2413" s="408" t="s">
        <v>554</v>
      </c>
      <c r="K2413" s="408" t="s">
        <v>555</v>
      </c>
      <c r="M2413" s="414"/>
    </row>
    <row r="2414" spans="2:13" ht="15" customHeight="1" thickBot="1" x14ac:dyDescent="0.3">
      <c r="B2414" s="414" t="s">
        <v>556</v>
      </c>
      <c r="C2414" s="415" t="s">
        <v>620</v>
      </c>
      <c r="D2414" s="416">
        <f>IF(ISERROR(VLOOKUP(B2413,'MD Usage'!$A$1:$W$5000,3,FALSE)),0,VLOOKUP(B2413,'MD Usage'!$A$1:$W$5000,3,FALSE))</f>
        <v>0</v>
      </c>
      <c r="E2414" s="416">
        <f>IF(ISERROR(VLOOKUP(B2413,'MD Usage'!$A$1:$W$5000,5,FALSE)),0,VLOOKUP(B2413,'MD Usage'!$A$1:$W$5000,5,FALSE))</f>
        <v>0</v>
      </c>
      <c r="F2414" s="416">
        <f>IF(ISERROR(VLOOKUP(B2413,'MD Usage'!$A$1:$W$5000,7,FALSE)),0,VLOOKUP(B2413,'MD Usage'!$A$1:$W$5000,7,FALSE))</f>
        <v>0</v>
      </c>
      <c r="G2414" s="416">
        <f>IF(ISERROR(VLOOKUP(B2413,'MD Usage'!$A$1:$W$5000,9,FALSE)),0,VLOOKUP(B2413,'MD Usage'!$A$1:$W$5000,9,FALSE))</f>
        <v>0</v>
      </c>
      <c r="H2414" s="416">
        <f>IF(ISERROR(VLOOKUP(B2413,'MD Usage'!$A$1:$W$5000,11,FALSE)),0,VLOOKUP(B2413,'MD Usage'!$A$1:$W$5000,11,FALSE))</f>
        <v>0</v>
      </c>
      <c r="I2414" s="416">
        <f>IF(ISERROR(VLOOKUP(B2413,'MD Usage'!A1:R2000,13,FALSE)),0,VLOOKUP(B2413,'MD Usage'!A1:R2000,13,FALSE))</f>
        <v>0</v>
      </c>
      <c r="J2414" s="416">
        <f>IF(ISERROR(VLOOKUP(B2413,'MD Usage'!A1:R2000,15,FALSE)),0,VLOOKUP(B2413,'MD Usage'!A1:R2000,15,FALSE))</f>
        <v>0</v>
      </c>
      <c r="K2414" s="418">
        <f>SUM(D2414:J2414)</f>
        <v>0</v>
      </c>
    </row>
    <row r="2415" spans="2:13" ht="15" customHeight="1" x14ac:dyDescent="0.25">
      <c r="B2415" s="419"/>
      <c r="C2415" s="420"/>
      <c r="D2415" s="421">
        <f>D2414*C2415</f>
        <v>0</v>
      </c>
      <c r="E2415" s="421">
        <f>E2414*C2415</f>
        <v>0</v>
      </c>
      <c r="F2415" s="421">
        <f>F2414*C2415</f>
        <v>0</v>
      </c>
      <c r="G2415" s="421">
        <f>G2414*C2415</f>
        <v>0</v>
      </c>
      <c r="H2415" s="421">
        <f>H2414*C2415</f>
        <v>0</v>
      </c>
      <c r="I2415" s="421">
        <f>I2414*C2415</f>
        <v>0</v>
      </c>
      <c r="J2415" s="421">
        <f>J2414*C2415</f>
        <v>0</v>
      </c>
      <c r="K2415" s="422">
        <f>SUM(D2415:J2415)</f>
        <v>0</v>
      </c>
    </row>
    <row r="2416" spans="2:13" ht="15" customHeight="1" x14ac:dyDescent="0.25">
      <c r="B2416" s="389"/>
      <c r="C2416" s="423"/>
      <c r="D2416" s="421">
        <f>D2414*C2416</f>
        <v>0</v>
      </c>
      <c r="E2416" s="421">
        <f>E2414*C2416</f>
        <v>0</v>
      </c>
      <c r="F2416" s="421">
        <f>F2414*C2416</f>
        <v>0</v>
      </c>
      <c r="G2416" s="421">
        <f>G2414*C2416</f>
        <v>0</v>
      </c>
      <c r="H2416" s="421">
        <f>H2414*C2416</f>
        <v>0</v>
      </c>
      <c r="I2416" s="421">
        <f>I2414*C2416</f>
        <v>0</v>
      </c>
      <c r="J2416" s="421">
        <f>J2414*C2416</f>
        <v>0</v>
      </c>
      <c r="K2416" s="424">
        <f>SUM(D2416:J2416)</f>
        <v>0</v>
      </c>
    </row>
    <row r="2417" spans="2:11" ht="15" customHeight="1" thickBot="1" x14ac:dyDescent="0.3"/>
    <row r="2418" spans="2:11" ht="15" customHeight="1" thickBot="1" x14ac:dyDescent="0.3">
      <c r="B2418" s="414"/>
      <c r="C2418" s="411"/>
      <c r="D2418" s="407" t="s">
        <v>548</v>
      </c>
      <c r="E2418" s="408" t="s">
        <v>549</v>
      </c>
      <c r="F2418" s="408" t="s">
        <v>550</v>
      </c>
      <c r="G2418" s="408" t="s">
        <v>551</v>
      </c>
      <c r="H2418" s="408" t="s">
        <v>552</v>
      </c>
      <c r="I2418" s="408" t="s">
        <v>553</v>
      </c>
      <c r="J2418" s="408" t="s">
        <v>554</v>
      </c>
      <c r="K2418" s="408" t="s">
        <v>555</v>
      </c>
    </row>
    <row r="2419" spans="2:11" ht="15" customHeight="1" thickBot="1" x14ac:dyDescent="0.3">
      <c r="B2419" s="414" t="s">
        <v>556</v>
      </c>
      <c r="C2419" s="415" t="s">
        <v>620</v>
      </c>
      <c r="D2419" s="416">
        <f>IF(ISERROR(VLOOKUP(B2418,'MD Usage'!$A$1:$W$5000,3,FALSE)),0,VLOOKUP(B2418,'MD Usage'!$A$1:$W$5000,3,FALSE))</f>
        <v>0</v>
      </c>
      <c r="E2419" s="416">
        <f>IF(ISERROR(VLOOKUP(B2418,'MD Usage'!$A$1:$W$5000,5,FALSE)),0,VLOOKUP(B2418,'MD Usage'!$A$1:$W$5000,5,FALSE))</f>
        <v>0</v>
      </c>
      <c r="F2419" s="416">
        <f>IF(ISERROR(VLOOKUP(B2418,'MD Usage'!$A$1:$W$5000,7,FALSE)),0,VLOOKUP(B2418,'MD Usage'!$A$1:$W$5000,7,FALSE))</f>
        <v>0</v>
      </c>
      <c r="G2419" s="416">
        <f>IF(ISERROR(VLOOKUP(B2418,'MD Usage'!$A$1:$W$5000,9,FALSE)),0,VLOOKUP(B2418,'MD Usage'!$A$1:$W$5000,9,FALSE))</f>
        <v>0</v>
      </c>
      <c r="H2419" s="416">
        <f>IF(ISERROR(VLOOKUP(B2418,'MD Usage'!$A$1:$W$5000,11,FALSE)),0,VLOOKUP(B2418,'MD Usage'!$A$1:$W$5000,11,FALSE))</f>
        <v>0</v>
      </c>
      <c r="I2419" s="416">
        <f>IF(ISERROR(VLOOKUP(B2418,'MD Usage'!A1:R2000,13,FALSE)),0,VLOOKUP(B2418,'MD Usage'!A1:R2000,13,FALSE))</f>
        <v>0</v>
      </c>
      <c r="J2419" s="416">
        <f>IF(ISERROR(VLOOKUP(B2418,'MD Usage'!A1:R2000,15,FALSE)),0,VLOOKUP(B2418,'MD Usage'!A1:R2000,15,FALSE))</f>
        <v>0</v>
      </c>
      <c r="K2419" s="418">
        <f>SUM(D2419:J2419)</f>
        <v>0</v>
      </c>
    </row>
    <row r="2420" spans="2:11" ht="15" customHeight="1" x14ac:dyDescent="0.25">
      <c r="B2420" s="419"/>
      <c r="C2420" s="420"/>
      <c r="D2420" s="421">
        <f>D2419*C2420</f>
        <v>0</v>
      </c>
      <c r="E2420" s="421">
        <f>E2419*C2420</f>
        <v>0</v>
      </c>
      <c r="F2420" s="421">
        <f>F2419*C2420</f>
        <v>0</v>
      </c>
      <c r="G2420" s="421">
        <f>G2419*C2420</f>
        <v>0</v>
      </c>
      <c r="H2420" s="421">
        <f>H2419*C2420</f>
        <v>0</v>
      </c>
      <c r="I2420" s="421">
        <f>I2419*C2420</f>
        <v>0</v>
      </c>
      <c r="J2420" s="421">
        <f>J2419*C2420</f>
        <v>0</v>
      </c>
      <c r="K2420" s="422">
        <f>SUM(D2420:J2420)</f>
        <v>0</v>
      </c>
    </row>
    <row r="2421" spans="2:11" ht="15" customHeight="1" x14ac:dyDescent="0.25">
      <c r="B2421" s="389"/>
      <c r="C2421" s="423"/>
      <c r="D2421" s="421">
        <f>D2419*C2421</f>
        <v>0</v>
      </c>
      <c r="E2421" s="421">
        <f>E2419*C2421</f>
        <v>0</v>
      </c>
      <c r="F2421" s="421">
        <f>F2419*C2421</f>
        <v>0</v>
      </c>
      <c r="G2421" s="421">
        <f>G2419*C2421</f>
        <v>0</v>
      </c>
      <c r="H2421" s="421">
        <f>H2419*C2421</f>
        <v>0</v>
      </c>
      <c r="I2421" s="421">
        <f>I2419*C2421</f>
        <v>0</v>
      </c>
      <c r="J2421" s="421">
        <f>J2419*C2421</f>
        <v>0</v>
      </c>
      <c r="K2421" s="424">
        <f>SUM(D2421:J2421)</f>
        <v>0</v>
      </c>
    </row>
    <row r="2422" spans="2:11" ht="15" customHeight="1" thickBot="1" x14ac:dyDescent="0.3"/>
    <row r="2423" spans="2:11" ht="15" customHeight="1" thickBot="1" x14ac:dyDescent="0.3">
      <c r="B2423" s="414"/>
      <c r="C2423" s="411"/>
      <c r="D2423" s="407" t="s">
        <v>548</v>
      </c>
      <c r="E2423" s="408" t="s">
        <v>549</v>
      </c>
      <c r="F2423" s="408" t="s">
        <v>550</v>
      </c>
      <c r="G2423" s="408" t="s">
        <v>551</v>
      </c>
      <c r="H2423" s="408" t="s">
        <v>552</v>
      </c>
      <c r="I2423" s="408" t="s">
        <v>553</v>
      </c>
      <c r="J2423" s="408" t="s">
        <v>554</v>
      </c>
      <c r="K2423" s="408" t="s">
        <v>555</v>
      </c>
    </row>
    <row r="2424" spans="2:11" ht="15" customHeight="1" thickBot="1" x14ac:dyDescent="0.3">
      <c r="B2424" s="414" t="s">
        <v>556</v>
      </c>
      <c r="C2424" s="415" t="s">
        <v>620</v>
      </c>
      <c r="D2424" s="416">
        <f>IF(ISERROR(VLOOKUP(B2423,'MD Usage'!$A$1:$W$5000,3,FALSE)),0,VLOOKUP(B2423,'MD Usage'!$A$1:$W$5000,3,FALSE))</f>
        <v>0</v>
      </c>
      <c r="E2424" s="416">
        <f>IF(ISERROR(VLOOKUP(B2423,'MD Usage'!$A$1:$W$5000,5,FALSE)),0,VLOOKUP(B2423,'MD Usage'!$A$1:$W$5000,5,FALSE))</f>
        <v>0</v>
      </c>
      <c r="F2424" s="416">
        <f>IF(ISERROR(VLOOKUP(B2423,'MD Usage'!$A$1:$W$5000,7,FALSE)),0,VLOOKUP(B2423,'MD Usage'!$A$1:$W$5000,7,FALSE))</f>
        <v>0</v>
      </c>
      <c r="G2424" s="416">
        <f>IF(ISERROR(VLOOKUP(B2423,'MD Usage'!$A$1:$W$5000,9,FALSE)),0,VLOOKUP(B2423,'MD Usage'!$A$1:$W$5000,9,FALSE))</f>
        <v>0</v>
      </c>
      <c r="H2424" s="416">
        <f>IF(ISERROR(VLOOKUP(B2423,'MD Usage'!$A$1:$W$5000,11,FALSE)),0,VLOOKUP(B2423,'MD Usage'!$A$1:$W$5000,11,FALSE))</f>
        <v>0</v>
      </c>
      <c r="I2424" s="416">
        <f>IF(ISERROR(VLOOKUP(B2423,'MD Usage'!A1:R2000,13,FALSE)),0,VLOOKUP(B2423,'MD Usage'!A1:R2000,13,FALSE))</f>
        <v>0</v>
      </c>
      <c r="J2424" s="416">
        <f>IF(ISERROR(VLOOKUP(B2423,'MD Usage'!A1:R2000,15,FALSE)),0,VLOOKUP(B2423,'MD Usage'!A1:R2000,15,FALSE))</f>
        <v>0</v>
      </c>
      <c r="K2424" s="418">
        <f>SUM(D2424:J2424)</f>
        <v>0</v>
      </c>
    </row>
    <row r="2425" spans="2:11" ht="15" customHeight="1" x14ac:dyDescent="0.25">
      <c r="B2425" s="419"/>
      <c r="C2425" s="420"/>
      <c r="D2425" s="421">
        <f>D2424*C2425</f>
        <v>0</v>
      </c>
      <c r="E2425" s="421">
        <f>E2424*C2425</f>
        <v>0</v>
      </c>
      <c r="F2425" s="421">
        <f>F2424*C2425</f>
        <v>0</v>
      </c>
      <c r="G2425" s="421">
        <f>G2424*C2425</f>
        <v>0</v>
      </c>
      <c r="H2425" s="421">
        <f>H2424*C2425</f>
        <v>0</v>
      </c>
      <c r="I2425" s="421">
        <f>I2424*C2425</f>
        <v>0</v>
      </c>
      <c r="J2425" s="421">
        <f>J2424*C2425</f>
        <v>0</v>
      </c>
      <c r="K2425" s="422">
        <f>SUM(D2425:J2425)</f>
        <v>0</v>
      </c>
    </row>
    <row r="2426" spans="2:11" ht="15" customHeight="1" x14ac:dyDescent="0.25">
      <c r="B2426" s="389"/>
      <c r="C2426" s="423"/>
      <c r="D2426" s="421">
        <f>D2424*C2426</f>
        <v>0</v>
      </c>
      <c r="E2426" s="421">
        <f>E2424*C2426</f>
        <v>0</v>
      </c>
      <c r="F2426" s="421">
        <f>F2424*C2426</f>
        <v>0</v>
      </c>
      <c r="G2426" s="421">
        <f>G2424*C2426</f>
        <v>0</v>
      </c>
      <c r="H2426" s="421">
        <f>H2424*C2426</f>
        <v>0</v>
      </c>
      <c r="I2426" s="421">
        <f>I2424*C2426</f>
        <v>0</v>
      </c>
      <c r="J2426" s="421">
        <f>J2424*C2426</f>
        <v>0</v>
      </c>
      <c r="K2426" s="424">
        <f>SUM(D2426:J2426)</f>
        <v>0</v>
      </c>
    </row>
    <row r="2427" spans="2:11" ht="15" customHeight="1" thickBot="1" x14ac:dyDescent="0.3"/>
    <row r="2428" spans="2:11" ht="15" customHeight="1" thickBot="1" x14ac:dyDescent="0.3">
      <c r="B2428" s="414"/>
      <c r="C2428" s="411"/>
      <c r="D2428" s="407" t="s">
        <v>548</v>
      </c>
      <c r="E2428" s="408" t="s">
        <v>549</v>
      </c>
      <c r="F2428" s="408" t="s">
        <v>550</v>
      </c>
      <c r="G2428" s="408" t="s">
        <v>551</v>
      </c>
      <c r="H2428" s="408" t="s">
        <v>552</v>
      </c>
      <c r="I2428" s="408" t="s">
        <v>553</v>
      </c>
      <c r="J2428" s="408" t="s">
        <v>554</v>
      </c>
      <c r="K2428" s="408" t="s">
        <v>555</v>
      </c>
    </row>
    <row r="2429" spans="2:11" ht="15" customHeight="1" thickBot="1" x14ac:dyDescent="0.3">
      <c r="B2429" s="414" t="s">
        <v>556</v>
      </c>
      <c r="C2429" s="415" t="s">
        <v>620</v>
      </c>
      <c r="D2429" s="416">
        <f>IF(ISERROR(VLOOKUP(B2428,'MD Usage'!$A$1:$W$5000,3,FALSE)),0,VLOOKUP(B2428,'MD Usage'!$A$1:$W$5000,3,FALSE))</f>
        <v>0</v>
      </c>
      <c r="E2429" s="416">
        <f>IF(ISERROR(VLOOKUP(B2428,'MD Usage'!$A$1:$W$5000,5,FALSE)),0,VLOOKUP(B2428,'MD Usage'!$A$1:$W$5000,5,FALSE))</f>
        <v>0</v>
      </c>
      <c r="F2429" s="416">
        <f>IF(ISERROR(VLOOKUP(B2428,'MD Usage'!$A$1:$W$5000,7,FALSE)),0,VLOOKUP(B2428,'MD Usage'!$A$1:$W$5000,7,FALSE))</f>
        <v>0</v>
      </c>
      <c r="G2429" s="416">
        <f>IF(ISERROR(VLOOKUP(B2428,'MD Usage'!$A$1:$W$5000,9,FALSE)),0,VLOOKUP(B2428,'MD Usage'!$A$1:$W$5000,9,FALSE))</f>
        <v>0</v>
      </c>
      <c r="H2429" s="416">
        <f>IF(ISERROR(VLOOKUP(B2428,'MD Usage'!$A$1:$W$5000,11,FALSE)),0,VLOOKUP(B2428,'MD Usage'!$A$1:$W$5000,11,FALSE))</f>
        <v>0</v>
      </c>
      <c r="I2429" s="416">
        <f>IF(ISERROR(VLOOKUP(B2428,'MD Usage'!A1:R2000,13,FALSE)),0,VLOOKUP(B2428,'MD Usage'!A1:R2000,13,FALSE))</f>
        <v>0</v>
      </c>
      <c r="J2429" s="416">
        <f>IF(ISERROR(VLOOKUP(B2428,'MD Usage'!A1:R2000,15,FALSE)),0,VLOOKUP(B2428,'MD Usage'!A1:R2000,15,FALSE))</f>
        <v>0</v>
      </c>
      <c r="K2429" s="418">
        <f>SUM(D2429:J2429)</f>
        <v>0</v>
      </c>
    </row>
    <row r="2430" spans="2:11" ht="15" customHeight="1" x14ac:dyDescent="0.25">
      <c r="B2430" s="419"/>
      <c r="C2430" s="420"/>
      <c r="D2430" s="421">
        <f>D2429*C2430</f>
        <v>0</v>
      </c>
      <c r="E2430" s="421">
        <f>E2429*C2430</f>
        <v>0</v>
      </c>
      <c r="F2430" s="421">
        <f>F2429*C2430</f>
        <v>0</v>
      </c>
      <c r="G2430" s="421">
        <f>G2429*C2430</f>
        <v>0</v>
      </c>
      <c r="H2430" s="421">
        <f>H2429*C2430</f>
        <v>0</v>
      </c>
      <c r="I2430" s="421">
        <f>I2429*C2430</f>
        <v>0</v>
      </c>
      <c r="J2430" s="421">
        <f>J2429*C2430</f>
        <v>0</v>
      </c>
      <c r="K2430" s="422">
        <f>SUM(D2430:J2430)</f>
        <v>0</v>
      </c>
    </row>
    <row r="2431" spans="2:11" ht="15" customHeight="1" x14ac:dyDescent="0.25">
      <c r="B2431" s="389"/>
      <c r="C2431" s="423"/>
      <c r="D2431" s="421">
        <f>D2429*C2431</f>
        <v>0</v>
      </c>
      <c r="E2431" s="421">
        <f>E2429*C2431</f>
        <v>0</v>
      </c>
      <c r="F2431" s="421">
        <f>F2429*C2431</f>
        <v>0</v>
      </c>
      <c r="G2431" s="421">
        <f>G2429*C2431</f>
        <v>0</v>
      </c>
      <c r="H2431" s="421">
        <f>H2429*C2431</f>
        <v>0</v>
      </c>
      <c r="I2431" s="421">
        <f>I2429*C2431</f>
        <v>0</v>
      </c>
      <c r="J2431" s="421">
        <f>J2429*C2431</f>
        <v>0</v>
      </c>
      <c r="K2431" s="424">
        <f>SUM(D2431:J2431)</f>
        <v>0</v>
      </c>
    </row>
    <row r="2432" spans="2:11" ht="15" customHeight="1" thickBot="1" x14ac:dyDescent="0.3"/>
    <row r="2433" spans="2:13" ht="15" customHeight="1" thickBot="1" x14ac:dyDescent="0.3">
      <c r="B2433" s="432"/>
      <c r="C2433" s="411"/>
      <c r="D2433" s="407" t="s">
        <v>548</v>
      </c>
      <c r="E2433" s="408" t="s">
        <v>549</v>
      </c>
      <c r="F2433" s="408" t="s">
        <v>550</v>
      </c>
      <c r="G2433" s="408" t="s">
        <v>551</v>
      </c>
      <c r="H2433" s="408" t="s">
        <v>552</v>
      </c>
      <c r="I2433" s="408" t="s">
        <v>553</v>
      </c>
      <c r="J2433" s="408" t="s">
        <v>554</v>
      </c>
      <c r="K2433" s="408" t="s">
        <v>555</v>
      </c>
      <c r="M2433" s="414"/>
    </row>
    <row r="2434" spans="2:13" ht="15" customHeight="1" thickBot="1" x14ac:dyDescent="0.3">
      <c r="B2434" s="414" t="s">
        <v>556</v>
      </c>
      <c r="C2434" s="415" t="s">
        <v>620</v>
      </c>
      <c r="D2434" s="416">
        <f>IF(ISERROR(VLOOKUP(B2433,'MD Usage'!$A$1:$W$5000,3,FALSE)),0,VLOOKUP(B2433,'MD Usage'!$A$1:$W$5000,3,FALSE))</f>
        <v>0</v>
      </c>
      <c r="E2434" s="416">
        <f>IF(ISERROR(VLOOKUP(B2433,'MD Usage'!$A$1:$W$5000,5,FALSE)),0,VLOOKUP(B2433,'MD Usage'!$A$1:$W$5000,5,FALSE))</f>
        <v>0</v>
      </c>
      <c r="F2434" s="416">
        <f>IF(ISERROR(VLOOKUP(B2433,'MD Usage'!$A$1:$W$5000,7,FALSE)),0,VLOOKUP(B2433,'MD Usage'!$A$1:$W$5000,7,FALSE))</f>
        <v>0</v>
      </c>
      <c r="G2434" s="416">
        <f>IF(ISERROR(VLOOKUP(B2433,'MD Usage'!$A$1:$W$5000,9,FALSE)),0,VLOOKUP(B2433,'MD Usage'!$A$1:$W$5000,9,FALSE))</f>
        <v>0</v>
      </c>
      <c r="H2434" s="416">
        <f>IF(ISERROR(VLOOKUP(B2433,'MD Usage'!$A$1:$W$5000,11,FALSE)),0,VLOOKUP(B2433,'MD Usage'!$A$1:$W$5000,11,FALSE))</f>
        <v>0</v>
      </c>
      <c r="I2434" s="416">
        <f>IF(ISERROR(VLOOKUP(B2433,'MD Usage'!A1:R2000,13,FALSE)),0,VLOOKUP(B2433,'MD Usage'!A1:R2000,13,FALSE))</f>
        <v>0</v>
      </c>
      <c r="J2434" s="416">
        <f>IF(ISERROR(VLOOKUP(B2433,'MD Usage'!A1:R2000,15,FALSE)),0,VLOOKUP(B2433,'MD Usage'!A1:R2000,15,FALSE))</f>
        <v>0</v>
      </c>
      <c r="K2434" s="418">
        <f>SUM(D2434:J2434)</f>
        <v>0</v>
      </c>
    </row>
    <row r="2435" spans="2:13" ht="15" customHeight="1" x14ac:dyDescent="0.25">
      <c r="B2435" s="389"/>
      <c r="C2435" s="423"/>
      <c r="D2435" s="421">
        <f>D2434*C2435</f>
        <v>0</v>
      </c>
      <c r="E2435" s="421">
        <f>E2434*C2435</f>
        <v>0</v>
      </c>
      <c r="F2435" s="421">
        <f>F2434*C2435</f>
        <v>0</v>
      </c>
      <c r="G2435" s="421">
        <f>G2434*C2435</f>
        <v>0</v>
      </c>
      <c r="H2435" s="421">
        <f>H2434*C2435</f>
        <v>0</v>
      </c>
      <c r="I2435" s="421">
        <f>I2434*C2435</f>
        <v>0</v>
      </c>
      <c r="J2435" s="421">
        <f>J2434*C2435</f>
        <v>0</v>
      </c>
      <c r="K2435" s="422">
        <f>SUM(D2435:J2435)</f>
        <v>0</v>
      </c>
    </row>
    <row r="2436" spans="2:13" ht="15" customHeight="1" x14ac:dyDescent="0.25">
      <c r="B2436" s="389"/>
      <c r="C2436" s="423"/>
      <c r="D2436" s="421">
        <f>D2434*C2436</f>
        <v>0</v>
      </c>
      <c r="E2436" s="421">
        <f>E2434*C2436</f>
        <v>0</v>
      </c>
      <c r="F2436" s="421">
        <f>F2434*C2436</f>
        <v>0</v>
      </c>
      <c r="G2436" s="421">
        <f>G2434*C2436</f>
        <v>0</v>
      </c>
      <c r="H2436" s="421">
        <f>H2434*C2436</f>
        <v>0</v>
      </c>
      <c r="I2436" s="421">
        <f>I2434*C2436</f>
        <v>0</v>
      </c>
      <c r="J2436" s="421">
        <f>J2434*C2436</f>
        <v>0</v>
      </c>
      <c r="K2436" s="424">
        <f>SUM(D2436:J2436)</f>
        <v>0</v>
      </c>
    </row>
    <row r="2437" spans="2:13" ht="15" customHeight="1" thickBot="1" x14ac:dyDescent="0.3"/>
    <row r="2438" spans="2:13" ht="15" customHeight="1" thickBot="1" x14ac:dyDescent="0.3">
      <c r="B2438" s="414"/>
      <c r="C2438" s="411"/>
      <c r="D2438" s="407" t="s">
        <v>548</v>
      </c>
      <c r="E2438" s="408" t="s">
        <v>549</v>
      </c>
      <c r="F2438" s="408" t="s">
        <v>550</v>
      </c>
      <c r="G2438" s="408" t="s">
        <v>551</v>
      </c>
      <c r="H2438" s="408" t="s">
        <v>552</v>
      </c>
      <c r="I2438" s="408" t="s">
        <v>553</v>
      </c>
      <c r="J2438" s="408" t="s">
        <v>554</v>
      </c>
      <c r="K2438" s="408" t="s">
        <v>555</v>
      </c>
    </row>
    <row r="2439" spans="2:13" ht="15" customHeight="1" thickBot="1" x14ac:dyDescent="0.3">
      <c r="B2439" s="414" t="s">
        <v>556</v>
      </c>
      <c r="C2439" s="415" t="s">
        <v>620</v>
      </c>
      <c r="D2439" s="416">
        <f>IF(ISERROR(VLOOKUP(B2438,'MD Usage'!$A$1:$W$5000,3,FALSE)),0,VLOOKUP(B2438,'MD Usage'!$A$1:$W$5000,3,FALSE))</f>
        <v>0</v>
      </c>
      <c r="E2439" s="416">
        <f>IF(ISERROR(VLOOKUP(B2438,'MD Usage'!$A$1:$W$5000,5,FALSE)),0,VLOOKUP(B2438,'MD Usage'!$A$1:$W$5000,5,FALSE))</f>
        <v>0</v>
      </c>
      <c r="F2439" s="416">
        <f>IF(ISERROR(VLOOKUP(B2438,'MD Usage'!$A$1:$W$5000,7,FALSE)),0,VLOOKUP(B2438,'MD Usage'!$A$1:$W$5000,7,FALSE))</f>
        <v>0</v>
      </c>
      <c r="G2439" s="416">
        <f>IF(ISERROR(VLOOKUP(B2438,'MD Usage'!$A$1:$W$5000,9,FALSE)),0,VLOOKUP(B2438,'MD Usage'!$A$1:$W$5000,9,FALSE))</f>
        <v>0</v>
      </c>
      <c r="H2439" s="416">
        <f>IF(ISERROR(VLOOKUP(B2438,'MD Usage'!$A$1:$W$5000,11,FALSE)),0,VLOOKUP(B2438,'MD Usage'!$A$1:$W$5000,11,FALSE))</f>
        <v>0</v>
      </c>
      <c r="I2439" s="416">
        <f>IF(ISERROR(VLOOKUP(B2438,'MD Usage'!A1:R2000,13,FALSE)),0,VLOOKUP(B2438,'MD Usage'!A1:R2000,13,FALSE))</f>
        <v>0</v>
      </c>
      <c r="J2439" s="416">
        <f>IF(ISERROR(VLOOKUP(B2438,'MD Usage'!A1:R2000,15,FALSE)),0,VLOOKUP(B2438,'MD Usage'!A1:R2000,15,FALSE))</f>
        <v>0</v>
      </c>
      <c r="K2439" s="418">
        <f>SUM(D2439:J2439)</f>
        <v>0</v>
      </c>
    </row>
    <row r="2440" spans="2:13" ht="15" customHeight="1" x14ac:dyDescent="0.25">
      <c r="B2440" s="389"/>
      <c r="C2440" s="423"/>
      <c r="D2440" s="421">
        <f>D2439*C2440</f>
        <v>0</v>
      </c>
      <c r="E2440" s="421">
        <f>E2439*C2440</f>
        <v>0</v>
      </c>
      <c r="F2440" s="421">
        <f>F2439*C2440</f>
        <v>0</v>
      </c>
      <c r="G2440" s="421">
        <f>G2439*C2440</f>
        <v>0</v>
      </c>
      <c r="H2440" s="421">
        <f>H2439*C2440</f>
        <v>0</v>
      </c>
      <c r="I2440" s="421">
        <f>I2439*C2440</f>
        <v>0</v>
      </c>
      <c r="J2440" s="421">
        <f>J2439*C2440</f>
        <v>0</v>
      </c>
      <c r="K2440" s="422">
        <f>SUM(D2440:J2440)</f>
        <v>0</v>
      </c>
    </row>
    <row r="2441" spans="2:13" ht="15" customHeight="1" x14ac:dyDescent="0.25">
      <c r="B2441" s="389"/>
      <c r="C2441" s="423"/>
      <c r="D2441" s="421">
        <f>D2439*C2441</f>
        <v>0</v>
      </c>
      <c r="E2441" s="421">
        <f>E2439*C2441</f>
        <v>0</v>
      </c>
      <c r="F2441" s="421">
        <f>F2439*C2441</f>
        <v>0</v>
      </c>
      <c r="G2441" s="421">
        <f>G2439*C2441</f>
        <v>0</v>
      </c>
      <c r="H2441" s="421">
        <f>H2439*C2441</f>
        <v>0</v>
      </c>
      <c r="I2441" s="421">
        <f>I2439*C2441</f>
        <v>0</v>
      </c>
      <c r="J2441" s="421">
        <f>J2439*C2441</f>
        <v>0</v>
      </c>
      <c r="K2441" s="424">
        <f>SUM(D2441:J2441)</f>
        <v>0</v>
      </c>
    </row>
    <row r="2442" spans="2:13" ht="15" customHeight="1" thickBot="1" x14ac:dyDescent="0.3"/>
    <row r="2443" spans="2:13" ht="15" customHeight="1" thickBot="1" x14ac:dyDescent="0.3">
      <c r="B2443" s="432"/>
      <c r="C2443" s="411"/>
      <c r="D2443" s="407" t="s">
        <v>548</v>
      </c>
      <c r="E2443" s="408" t="s">
        <v>549</v>
      </c>
      <c r="F2443" s="408" t="s">
        <v>550</v>
      </c>
      <c r="G2443" s="408" t="s">
        <v>551</v>
      </c>
      <c r="H2443" s="408" t="s">
        <v>552</v>
      </c>
      <c r="I2443" s="408" t="s">
        <v>553</v>
      </c>
      <c r="J2443" s="408" t="s">
        <v>554</v>
      </c>
      <c r="K2443" s="408" t="s">
        <v>555</v>
      </c>
      <c r="M2443" s="414"/>
    </row>
    <row r="2444" spans="2:13" ht="15" customHeight="1" thickBot="1" x14ac:dyDescent="0.3">
      <c r="B2444" s="414" t="s">
        <v>556</v>
      </c>
      <c r="C2444" s="415" t="s">
        <v>620</v>
      </c>
      <c r="D2444" s="416">
        <f>IF(ISERROR(VLOOKUP(B2443,'MD Usage'!$A$1:$W$5000,3,FALSE)),0,VLOOKUP(B2443,'MD Usage'!$A$1:$W$5000,3,FALSE))</f>
        <v>0</v>
      </c>
      <c r="E2444" s="416">
        <f>IF(ISERROR(VLOOKUP(B2443,'MD Usage'!$A$1:$W$5000,5,FALSE)),0,VLOOKUP(B2443,'MD Usage'!$A$1:$W$5000,5,FALSE))</f>
        <v>0</v>
      </c>
      <c r="F2444" s="416">
        <f>IF(ISERROR(VLOOKUP(B2443,'MD Usage'!$A$1:$W$5000,7,FALSE)),0,VLOOKUP(B2443,'MD Usage'!$A$1:$W$5000,7,FALSE))</f>
        <v>0</v>
      </c>
      <c r="G2444" s="416">
        <f>IF(ISERROR(VLOOKUP(B2443,'MD Usage'!$A$1:$W$5000,9,FALSE)),0,VLOOKUP(B2443,'MD Usage'!$A$1:$W$5000,9,FALSE))</f>
        <v>0</v>
      </c>
      <c r="H2444" s="416">
        <f>IF(ISERROR(VLOOKUP(B2443,'MD Usage'!$A$1:$W$5000,11,FALSE)),0,VLOOKUP(B2443,'MD Usage'!$A$1:$W$5000,11,FALSE))</f>
        <v>0</v>
      </c>
      <c r="I2444" s="416">
        <f>IF(ISERROR(VLOOKUP(B2443,'MD Usage'!A1:R2000,13,FALSE)),0,VLOOKUP(B2443,'MD Usage'!A1:R2000,13,FALSE))</f>
        <v>0</v>
      </c>
      <c r="J2444" s="416">
        <f>IF(ISERROR(VLOOKUP(B2443,'MD Usage'!A1:R2000,15,FALSE)),0,VLOOKUP(B2443,'MD Usage'!A1:R2000,15,FALSE))</f>
        <v>0</v>
      </c>
      <c r="K2444" s="418">
        <f>SUM(D2444:J2444)</f>
        <v>0</v>
      </c>
    </row>
    <row r="2445" spans="2:13" ht="15" customHeight="1" x14ac:dyDescent="0.25">
      <c r="B2445" s="389"/>
      <c r="C2445" s="423"/>
      <c r="D2445" s="421">
        <f>D2444*C2445</f>
        <v>0</v>
      </c>
      <c r="E2445" s="421">
        <f>E2444*C2445</f>
        <v>0</v>
      </c>
      <c r="F2445" s="421">
        <f>F2444*C2445</f>
        <v>0</v>
      </c>
      <c r="G2445" s="421">
        <f>G2444*C2445</f>
        <v>0</v>
      </c>
      <c r="H2445" s="421">
        <f>H2444*C2445</f>
        <v>0</v>
      </c>
      <c r="I2445" s="421">
        <f>I2444*C2445</f>
        <v>0</v>
      </c>
      <c r="J2445" s="421">
        <f>J2444*C2445</f>
        <v>0</v>
      </c>
      <c r="K2445" s="422">
        <f>SUM(D2445:J2445)</f>
        <v>0</v>
      </c>
    </row>
    <row r="2446" spans="2:13" ht="15" customHeight="1" x14ac:dyDescent="0.25">
      <c r="B2446" s="389"/>
      <c r="C2446" s="423"/>
      <c r="D2446" s="421">
        <f>D2444*C2446</f>
        <v>0</v>
      </c>
      <c r="E2446" s="421">
        <f>E2444*C2446</f>
        <v>0</v>
      </c>
      <c r="F2446" s="421">
        <f>F2444*C2446</f>
        <v>0</v>
      </c>
      <c r="G2446" s="421">
        <f>G2444*C2446</f>
        <v>0</v>
      </c>
      <c r="H2446" s="421">
        <f>H2444*C2446</f>
        <v>0</v>
      </c>
      <c r="I2446" s="421">
        <f>I2444*C2446</f>
        <v>0</v>
      </c>
      <c r="J2446" s="421">
        <f>J2444*C2446</f>
        <v>0</v>
      </c>
      <c r="K2446" s="424">
        <f>SUM(D2446:J2446)</f>
        <v>0</v>
      </c>
    </row>
    <row r="2447" spans="2:13" ht="15" customHeight="1" thickBot="1" x14ac:dyDescent="0.3"/>
    <row r="2448" spans="2:13" ht="15" customHeight="1" thickBot="1" x14ac:dyDescent="0.3">
      <c r="B2448" s="414"/>
      <c r="C2448" s="411"/>
      <c r="D2448" s="407" t="s">
        <v>548</v>
      </c>
      <c r="E2448" s="408" t="s">
        <v>549</v>
      </c>
      <c r="F2448" s="408" t="s">
        <v>550</v>
      </c>
      <c r="G2448" s="408" t="s">
        <v>551</v>
      </c>
      <c r="H2448" s="408" t="s">
        <v>552</v>
      </c>
      <c r="I2448" s="408" t="s">
        <v>553</v>
      </c>
      <c r="J2448" s="408" t="s">
        <v>554</v>
      </c>
      <c r="K2448" s="408" t="s">
        <v>555</v>
      </c>
    </row>
    <row r="2449" spans="2:13" ht="15" customHeight="1" thickBot="1" x14ac:dyDescent="0.3">
      <c r="B2449" s="414" t="s">
        <v>556</v>
      </c>
      <c r="C2449" s="415" t="s">
        <v>620</v>
      </c>
      <c r="D2449" s="416">
        <f>IF(ISERROR(VLOOKUP(B2448,'MD Usage'!$A$1:$W$5000,3,FALSE)),0,VLOOKUP(B2448,'MD Usage'!$A$1:$W$5000,3,FALSE))</f>
        <v>0</v>
      </c>
      <c r="E2449" s="416">
        <f>IF(ISERROR(VLOOKUP(B2448,'MD Usage'!$A$1:$W$5000,5,FALSE)),0,VLOOKUP(B2448,'MD Usage'!$A$1:$W$5000,5,FALSE))</f>
        <v>0</v>
      </c>
      <c r="F2449" s="416">
        <f>IF(ISERROR(VLOOKUP(B2448,'MD Usage'!$A$1:$W$5000,7,FALSE)),0,VLOOKUP(B2448,'MD Usage'!$A$1:$W$5000,7,FALSE))</f>
        <v>0</v>
      </c>
      <c r="G2449" s="416">
        <f>IF(ISERROR(VLOOKUP(B2448,'MD Usage'!$A$1:$W$5000,9,FALSE)),0,VLOOKUP(B2448,'MD Usage'!$A$1:$W$5000,9,FALSE))</f>
        <v>0</v>
      </c>
      <c r="H2449" s="416">
        <f>IF(ISERROR(VLOOKUP(B2448,'MD Usage'!$A$1:$W$5000,11,FALSE)),0,VLOOKUP(B2448,'MD Usage'!$A$1:$W$5000,11,FALSE))</f>
        <v>0</v>
      </c>
      <c r="I2449" s="416">
        <f>IF(ISERROR(VLOOKUP(B2448,'MD Usage'!A1:R2000,13,FALSE)),0,VLOOKUP(B2448,'MD Usage'!A1:R2000,13,FALSE))</f>
        <v>0</v>
      </c>
      <c r="J2449" s="416">
        <f>IF(ISERROR(VLOOKUP(B2448,'MD Usage'!A1:R2000,15,FALSE)),0,VLOOKUP(B2448,'MD Usage'!A1:R2000,15,FALSE))</f>
        <v>0</v>
      </c>
      <c r="K2449" s="418">
        <f>SUM(D2449:J2449)</f>
        <v>0</v>
      </c>
    </row>
    <row r="2450" spans="2:13" ht="15" customHeight="1" x14ac:dyDescent="0.25">
      <c r="B2450" s="389"/>
      <c r="C2450" s="423"/>
      <c r="D2450" s="421">
        <f>D2449*C2450</f>
        <v>0</v>
      </c>
      <c r="E2450" s="421">
        <f>E2449*C2450</f>
        <v>0</v>
      </c>
      <c r="F2450" s="421">
        <f>F2449*C2450</f>
        <v>0</v>
      </c>
      <c r="G2450" s="421">
        <f>G2449*C2450</f>
        <v>0</v>
      </c>
      <c r="H2450" s="421">
        <f>H2449*C2450</f>
        <v>0</v>
      </c>
      <c r="I2450" s="421">
        <f>I2449*C2450</f>
        <v>0</v>
      </c>
      <c r="J2450" s="421">
        <f>J2449*C2450</f>
        <v>0</v>
      </c>
      <c r="K2450" s="422">
        <f>SUM(D2450:J2450)</f>
        <v>0</v>
      </c>
    </row>
    <row r="2451" spans="2:13" ht="15" customHeight="1" x14ac:dyDescent="0.25">
      <c r="B2451" s="389"/>
      <c r="C2451" s="423"/>
      <c r="D2451" s="421">
        <f>D2449*C2451</f>
        <v>0</v>
      </c>
      <c r="E2451" s="421">
        <f>E2449*C2451</f>
        <v>0</v>
      </c>
      <c r="F2451" s="421">
        <f>F2449*C2451</f>
        <v>0</v>
      </c>
      <c r="G2451" s="421">
        <f>G2449*C2451</f>
        <v>0</v>
      </c>
      <c r="H2451" s="421">
        <f>H2449*C2451</f>
        <v>0</v>
      </c>
      <c r="I2451" s="421">
        <f>I2449*C2451</f>
        <v>0</v>
      </c>
      <c r="J2451" s="421">
        <f>J2449*C2451</f>
        <v>0</v>
      </c>
      <c r="K2451" s="424">
        <f>SUM(D2451:J2451)</f>
        <v>0</v>
      </c>
    </row>
    <row r="2452" spans="2:13" ht="15" customHeight="1" thickBot="1" x14ac:dyDescent="0.3"/>
    <row r="2453" spans="2:13" ht="15" customHeight="1" thickBot="1" x14ac:dyDescent="0.3">
      <c r="B2453" s="414"/>
      <c r="C2453" s="411"/>
      <c r="D2453" s="407" t="s">
        <v>548</v>
      </c>
      <c r="E2453" s="408" t="s">
        <v>549</v>
      </c>
      <c r="F2453" s="408" t="s">
        <v>550</v>
      </c>
      <c r="G2453" s="408" t="s">
        <v>551</v>
      </c>
      <c r="H2453" s="408" t="s">
        <v>552</v>
      </c>
      <c r="I2453" s="408" t="s">
        <v>553</v>
      </c>
      <c r="J2453" s="408" t="s">
        <v>554</v>
      </c>
      <c r="K2453" s="408" t="s">
        <v>555</v>
      </c>
    </row>
    <row r="2454" spans="2:13" ht="15" customHeight="1" thickBot="1" x14ac:dyDescent="0.3">
      <c r="B2454" s="414" t="s">
        <v>556</v>
      </c>
      <c r="C2454" s="415" t="s">
        <v>620</v>
      </c>
      <c r="D2454" s="416">
        <f>IF(ISERROR(VLOOKUP(B2453,'MD Usage'!$A$1:$W$5000,3,FALSE)),0,VLOOKUP(B2453,'MD Usage'!$A$1:$W$5000,3,FALSE))</f>
        <v>0</v>
      </c>
      <c r="E2454" s="416">
        <f>IF(ISERROR(VLOOKUP(B2453,'MD Usage'!$A$1:$W$5000,5,FALSE)),0,VLOOKUP(B2453,'MD Usage'!$A$1:$W$5000,5,FALSE))</f>
        <v>0</v>
      </c>
      <c r="F2454" s="416">
        <f>IF(ISERROR(VLOOKUP(B2453,'MD Usage'!$A$1:$W$5000,7,FALSE)),0,VLOOKUP(B2453,'MD Usage'!$A$1:$W$5000,7,FALSE))</f>
        <v>0</v>
      </c>
      <c r="G2454" s="416">
        <f>IF(ISERROR(VLOOKUP(B2453,'MD Usage'!$A$1:$W$5000,9,FALSE)),0,VLOOKUP(B2453,'MD Usage'!$A$1:$W$5000,9,FALSE))</f>
        <v>0</v>
      </c>
      <c r="H2454" s="416">
        <f>IF(ISERROR(VLOOKUP(B2453,'MD Usage'!$A$1:$W$5000,11,FALSE)),0,VLOOKUP(B2453,'MD Usage'!$A$1:$W$5000,11,FALSE))</f>
        <v>0</v>
      </c>
      <c r="I2454" s="416">
        <f>IF(ISERROR(VLOOKUP(B2453,'MD Usage'!A1:R2000,13,FALSE)),0,VLOOKUP(B2453,'MD Usage'!A1:R2000,13,FALSE))</f>
        <v>0</v>
      </c>
      <c r="J2454" s="416">
        <f>IF(ISERROR(VLOOKUP(B2453,'MD Usage'!A1:R2000,15,FALSE)),0,VLOOKUP(B2453,'MD Usage'!A1:R2000,15,FALSE))</f>
        <v>0</v>
      </c>
      <c r="K2454" s="418">
        <f>SUM(D2454:J2454)</f>
        <v>0</v>
      </c>
    </row>
    <row r="2455" spans="2:13" ht="15" customHeight="1" x14ac:dyDescent="0.25">
      <c r="B2455" s="389"/>
      <c r="C2455" s="423"/>
      <c r="D2455" s="421">
        <f>D2454*C2455</f>
        <v>0</v>
      </c>
      <c r="E2455" s="421">
        <f>E2454*C2455</f>
        <v>0</v>
      </c>
      <c r="F2455" s="421">
        <f>F2454*C2455</f>
        <v>0</v>
      </c>
      <c r="G2455" s="421">
        <f>G2454*C2455</f>
        <v>0</v>
      </c>
      <c r="H2455" s="421">
        <f>H2454*C2455</f>
        <v>0</v>
      </c>
      <c r="I2455" s="421">
        <f>I2454*C2455</f>
        <v>0</v>
      </c>
      <c r="J2455" s="421">
        <f>J2454*C2455</f>
        <v>0</v>
      </c>
      <c r="K2455" s="422">
        <f>SUM(D2455:J2455)</f>
        <v>0</v>
      </c>
    </row>
    <row r="2456" spans="2:13" ht="15" customHeight="1" x14ac:dyDescent="0.25">
      <c r="B2456" s="389"/>
      <c r="C2456" s="423"/>
      <c r="D2456" s="421">
        <f>D2454*C2456</f>
        <v>0</v>
      </c>
      <c r="E2456" s="421">
        <f>E2454*C2456</f>
        <v>0</v>
      </c>
      <c r="F2456" s="421">
        <f>F2454*C2456</f>
        <v>0</v>
      </c>
      <c r="G2456" s="421">
        <f>G2454*C2456</f>
        <v>0</v>
      </c>
      <c r="H2456" s="421">
        <f>H2454*C2456</f>
        <v>0</v>
      </c>
      <c r="I2456" s="421">
        <f>I2454*C2456</f>
        <v>0</v>
      </c>
      <c r="J2456" s="421">
        <f>J2454*C2456</f>
        <v>0</v>
      </c>
      <c r="K2456" s="424">
        <f>SUM(D2456:J2456)</f>
        <v>0</v>
      </c>
    </row>
    <row r="2457" spans="2:13" ht="15" customHeight="1" thickBot="1" x14ac:dyDescent="0.3"/>
    <row r="2458" spans="2:13" ht="15" customHeight="1" thickBot="1" x14ac:dyDescent="0.3">
      <c r="B2458" s="414"/>
      <c r="C2458" s="411"/>
      <c r="D2458" s="407" t="s">
        <v>548</v>
      </c>
      <c r="E2458" s="408" t="s">
        <v>549</v>
      </c>
      <c r="F2458" s="408" t="s">
        <v>550</v>
      </c>
      <c r="G2458" s="408" t="s">
        <v>551</v>
      </c>
      <c r="H2458" s="408" t="s">
        <v>552</v>
      </c>
      <c r="I2458" s="408" t="s">
        <v>553</v>
      </c>
      <c r="J2458" s="408" t="s">
        <v>554</v>
      </c>
      <c r="K2458" s="408" t="s">
        <v>555</v>
      </c>
    </row>
    <row r="2459" spans="2:13" ht="15" customHeight="1" thickBot="1" x14ac:dyDescent="0.3">
      <c r="B2459" s="414" t="s">
        <v>556</v>
      </c>
      <c r="C2459" s="415" t="s">
        <v>620</v>
      </c>
      <c r="D2459" s="416">
        <f>IF(ISERROR(VLOOKUP(B2458,'MD Usage'!$A$1:$W$5000,3,FALSE)),0,VLOOKUP(B2458,'MD Usage'!$A$1:$W$5000,3,FALSE))</f>
        <v>0</v>
      </c>
      <c r="E2459" s="416">
        <f>IF(ISERROR(VLOOKUP(B2458,'MD Usage'!$A$1:$W$5000,5,FALSE)),0,VLOOKUP(B2458,'MD Usage'!$A$1:$W$5000,5,FALSE))</f>
        <v>0</v>
      </c>
      <c r="F2459" s="416">
        <f>IF(ISERROR(VLOOKUP(B2458,'MD Usage'!$A$1:$W$5000,7,FALSE)),0,VLOOKUP(B2458,'MD Usage'!$A$1:$W$5000,7,FALSE))</f>
        <v>0</v>
      </c>
      <c r="G2459" s="416">
        <f>IF(ISERROR(VLOOKUP(B2458,'MD Usage'!$A$1:$W$5000,9,FALSE)),0,VLOOKUP(B2458,'MD Usage'!$A$1:$W$5000,9,FALSE))</f>
        <v>0</v>
      </c>
      <c r="H2459" s="416">
        <f>IF(ISERROR(VLOOKUP(B2458,'MD Usage'!$A$1:$W$5000,11,FALSE)),0,VLOOKUP(B2458,'MD Usage'!$A$1:$W$5000,11,FALSE))</f>
        <v>0</v>
      </c>
      <c r="I2459" s="416">
        <f>IF(ISERROR(VLOOKUP(B2458,'MD Usage'!A1:R2000,13,FALSE)),0,VLOOKUP(B2458,'MD Usage'!A1:R2000,13,FALSE))</f>
        <v>0</v>
      </c>
      <c r="J2459" s="416">
        <f>IF(ISERROR(VLOOKUP(B2458,'MD Usage'!A1:R2000,15,FALSE)),0,VLOOKUP(B2458,'MD Usage'!A1:R2000,15,FALSE))</f>
        <v>0</v>
      </c>
      <c r="K2459" s="418">
        <f>SUM(D2459:J2459)</f>
        <v>0</v>
      </c>
    </row>
    <row r="2460" spans="2:13" ht="15" customHeight="1" x14ac:dyDescent="0.25">
      <c r="B2460" s="389"/>
      <c r="C2460" s="423"/>
      <c r="D2460" s="421">
        <f>D2459*C2460</f>
        <v>0</v>
      </c>
      <c r="E2460" s="421">
        <f>E2459*C2460</f>
        <v>0</v>
      </c>
      <c r="F2460" s="421">
        <f>F2459*C2460</f>
        <v>0</v>
      </c>
      <c r="G2460" s="421">
        <f>G2459*C2460</f>
        <v>0</v>
      </c>
      <c r="H2460" s="421">
        <f>H2459*C2460</f>
        <v>0</v>
      </c>
      <c r="I2460" s="421">
        <f>I2459*C2460</f>
        <v>0</v>
      </c>
      <c r="J2460" s="421">
        <f>J2459*C2460</f>
        <v>0</v>
      </c>
      <c r="K2460" s="422">
        <f>SUM(D2460:J2460)</f>
        <v>0</v>
      </c>
    </row>
    <row r="2461" spans="2:13" ht="15" customHeight="1" x14ac:dyDescent="0.25">
      <c r="B2461" s="389"/>
      <c r="C2461" s="423"/>
      <c r="D2461" s="421">
        <f>D2459*C2461</f>
        <v>0</v>
      </c>
      <c r="E2461" s="421">
        <f>E2459*C2461</f>
        <v>0</v>
      </c>
      <c r="F2461" s="421">
        <f>F2459*C2461</f>
        <v>0</v>
      </c>
      <c r="G2461" s="421">
        <f>G2459*C2461</f>
        <v>0</v>
      </c>
      <c r="H2461" s="421">
        <f>H2459*C2461</f>
        <v>0</v>
      </c>
      <c r="I2461" s="421">
        <f>I2459*C2461</f>
        <v>0</v>
      </c>
      <c r="J2461" s="421">
        <f>J2459*C2461</f>
        <v>0</v>
      </c>
      <c r="K2461" s="424">
        <f>SUM(D2461:J2461)</f>
        <v>0</v>
      </c>
    </row>
    <row r="2462" spans="2:13" ht="15" customHeight="1" thickBot="1" x14ac:dyDescent="0.3"/>
    <row r="2463" spans="2:13" ht="15" customHeight="1" thickBot="1" x14ac:dyDescent="0.3">
      <c r="B2463" s="432"/>
      <c r="C2463" s="411"/>
      <c r="D2463" s="407" t="s">
        <v>548</v>
      </c>
      <c r="E2463" s="408" t="s">
        <v>549</v>
      </c>
      <c r="F2463" s="408" t="s">
        <v>550</v>
      </c>
      <c r="G2463" s="408" t="s">
        <v>551</v>
      </c>
      <c r="H2463" s="408" t="s">
        <v>552</v>
      </c>
      <c r="I2463" s="408" t="s">
        <v>553</v>
      </c>
      <c r="J2463" s="408" t="s">
        <v>554</v>
      </c>
      <c r="K2463" s="408" t="s">
        <v>555</v>
      </c>
      <c r="M2463" s="414"/>
    </row>
    <row r="2464" spans="2:13" ht="15" customHeight="1" thickBot="1" x14ac:dyDescent="0.3">
      <c r="B2464" s="414" t="s">
        <v>556</v>
      </c>
      <c r="C2464" s="415" t="s">
        <v>620</v>
      </c>
      <c r="D2464" s="416">
        <f>IF(ISERROR(VLOOKUP(B2463,'MD Usage'!$A$1:$W$5000,3,FALSE)),0,VLOOKUP(B2463,'MD Usage'!$A$1:$W$5000,3,FALSE))</f>
        <v>0</v>
      </c>
      <c r="E2464" s="416">
        <f>IF(ISERROR(VLOOKUP(B2463,'MD Usage'!$A$1:$W$5000,5,FALSE)),0,VLOOKUP(B2463,'MD Usage'!$A$1:$W$5000,5,FALSE))</f>
        <v>0</v>
      </c>
      <c r="F2464" s="416">
        <f>IF(ISERROR(VLOOKUP(B2463,'MD Usage'!$A$1:$W$5000,7,FALSE)),0,VLOOKUP(B2463,'MD Usage'!$A$1:$W$5000,7,FALSE))</f>
        <v>0</v>
      </c>
      <c r="G2464" s="416">
        <f>IF(ISERROR(VLOOKUP(B2463,'MD Usage'!$A$1:$W$5000,9,FALSE)),0,VLOOKUP(B2463,'MD Usage'!$A$1:$W$5000,9,FALSE))</f>
        <v>0</v>
      </c>
      <c r="H2464" s="416">
        <f>IF(ISERROR(VLOOKUP(B2463,'MD Usage'!$A$1:$W$5000,11,FALSE)),0,VLOOKUP(B2463,'MD Usage'!$A$1:$W$5000,11,FALSE))</f>
        <v>0</v>
      </c>
      <c r="I2464" s="416">
        <f>IF(ISERROR(VLOOKUP(B2463,'MD Usage'!A1:R2000,13,FALSE)),0,VLOOKUP(B2463,'MD Usage'!A1:R2000,13,FALSE))</f>
        <v>0</v>
      </c>
      <c r="J2464" s="416">
        <f>IF(ISERROR(VLOOKUP(B2463,'MD Usage'!A1:R2000,15,FALSE)),0,VLOOKUP(B2463,'MD Usage'!A1:R2000,15,FALSE))</f>
        <v>0</v>
      </c>
      <c r="K2464" s="418">
        <f>SUM(D2464:J2464)</f>
        <v>0</v>
      </c>
    </row>
    <row r="2465" spans="2:13" ht="15" customHeight="1" x14ac:dyDescent="0.25">
      <c r="B2465" s="419"/>
      <c r="C2465" s="420"/>
      <c r="D2465" s="421">
        <f>D2464*C2465</f>
        <v>0</v>
      </c>
      <c r="E2465" s="421">
        <f>E2464*C2465</f>
        <v>0</v>
      </c>
      <c r="F2465" s="421">
        <f>F2464*C2465</f>
        <v>0</v>
      </c>
      <c r="G2465" s="421">
        <f>G2464*C2465</f>
        <v>0</v>
      </c>
      <c r="H2465" s="421">
        <f>H2464*C2465</f>
        <v>0</v>
      </c>
      <c r="I2465" s="421">
        <f>I2464*C2465</f>
        <v>0</v>
      </c>
      <c r="J2465" s="421">
        <f>J2464*C2465</f>
        <v>0</v>
      </c>
      <c r="K2465" s="422">
        <f>SUM(D2465:J2465)</f>
        <v>0</v>
      </c>
    </row>
    <row r="2466" spans="2:13" ht="15" customHeight="1" x14ac:dyDescent="0.25">
      <c r="B2466" s="389"/>
      <c r="C2466" s="423"/>
      <c r="D2466" s="421">
        <f>D2464*C2466</f>
        <v>0</v>
      </c>
      <c r="E2466" s="421">
        <f>E2464*C2466</f>
        <v>0</v>
      </c>
      <c r="F2466" s="421">
        <f>F2464*C2466</f>
        <v>0</v>
      </c>
      <c r="G2466" s="421">
        <f>G2464*C2466</f>
        <v>0</v>
      </c>
      <c r="H2466" s="421">
        <f>H2464*C2466</f>
        <v>0</v>
      </c>
      <c r="I2466" s="421">
        <f>I2464*C2466</f>
        <v>0</v>
      </c>
      <c r="J2466" s="421">
        <f>J2464*C2466</f>
        <v>0</v>
      </c>
      <c r="K2466" s="424">
        <f>SUM(D2466:J2466)</f>
        <v>0</v>
      </c>
    </row>
    <row r="2467" spans="2:13" ht="15" customHeight="1" thickBot="1" x14ac:dyDescent="0.3"/>
    <row r="2468" spans="2:13" ht="15" customHeight="1" thickBot="1" x14ac:dyDescent="0.3">
      <c r="B2468" s="432"/>
      <c r="C2468" s="411"/>
      <c r="D2468" s="407" t="s">
        <v>548</v>
      </c>
      <c r="E2468" s="408" t="s">
        <v>549</v>
      </c>
      <c r="F2468" s="408" t="s">
        <v>550</v>
      </c>
      <c r="G2468" s="408" t="s">
        <v>551</v>
      </c>
      <c r="H2468" s="408" t="s">
        <v>552</v>
      </c>
      <c r="I2468" s="408" t="s">
        <v>553</v>
      </c>
      <c r="J2468" s="408" t="s">
        <v>554</v>
      </c>
      <c r="K2468" s="408" t="s">
        <v>555</v>
      </c>
      <c r="M2468" s="414"/>
    </row>
    <row r="2469" spans="2:13" ht="15" customHeight="1" thickBot="1" x14ac:dyDescent="0.3">
      <c r="B2469" s="414" t="s">
        <v>556</v>
      </c>
      <c r="C2469" s="415" t="s">
        <v>620</v>
      </c>
      <c r="D2469" s="416">
        <f>IF(ISERROR(VLOOKUP(B2468,'MD Usage'!$A$1:$W$5000,3,FALSE)),0,VLOOKUP(B2468,'MD Usage'!$A$1:$W$5000,3,FALSE))</f>
        <v>0</v>
      </c>
      <c r="E2469" s="416">
        <f>IF(ISERROR(VLOOKUP(B2468,'MD Usage'!$A$1:$W$5000,5,FALSE)),0,VLOOKUP(B2468,'MD Usage'!$A$1:$W$5000,5,FALSE))</f>
        <v>0</v>
      </c>
      <c r="F2469" s="416">
        <f>IF(ISERROR(VLOOKUP(B2468,'MD Usage'!$A$1:$W$5000,7,FALSE)),0,VLOOKUP(B2468,'MD Usage'!$A$1:$W$5000,7,FALSE))</f>
        <v>0</v>
      </c>
      <c r="G2469" s="416">
        <f>IF(ISERROR(VLOOKUP(B2468,'MD Usage'!$A$1:$W$5000,9,FALSE)),0,VLOOKUP(B2468,'MD Usage'!$A$1:$W$5000,9,FALSE))</f>
        <v>0</v>
      </c>
      <c r="H2469" s="416">
        <f>IF(ISERROR(VLOOKUP(B2468,'MD Usage'!$A$1:$W$5000,11,FALSE)),0,VLOOKUP(B2468,'MD Usage'!$A$1:$W$5000,11,FALSE))</f>
        <v>0</v>
      </c>
      <c r="I2469" s="416">
        <f>IF(ISERROR(VLOOKUP(B2468,'MD Usage'!A1:R2000,13,FALSE)),0,VLOOKUP(B2468,'MD Usage'!A1:R2000,13,FALSE))</f>
        <v>0</v>
      </c>
      <c r="J2469" s="416">
        <f>IF(ISERROR(VLOOKUP(B2468,'MD Usage'!A1:R2000,15,FALSE)),0,VLOOKUP(B2468,'MD Usage'!A1:R2000,15,FALSE))</f>
        <v>0</v>
      </c>
      <c r="K2469" s="418">
        <f>SUM(D2469:J2469)</f>
        <v>0</v>
      </c>
    </row>
    <row r="2470" spans="2:13" ht="15" customHeight="1" x14ac:dyDescent="0.25">
      <c r="B2470" s="419"/>
      <c r="C2470" s="420"/>
      <c r="D2470" s="421">
        <f>D2469*C2470</f>
        <v>0</v>
      </c>
      <c r="E2470" s="421">
        <f>E2469*C2470</f>
        <v>0</v>
      </c>
      <c r="F2470" s="421">
        <f>F2469*C2470</f>
        <v>0</v>
      </c>
      <c r="G2470" s="421">
        <f>G2469*C2470</f>
        <v>0</v>
      </c>
      <c r="H2470" s="421">
        <f>H2469*C2470</f>
        <v>0</v>
      </c>
      <c r="I2470" s="421">
        <f>I2469*C2470</f>
        <v>0</v>
      </c>
      <c r="J2470" s="421">
        <f>J2469*C2470</f>
        <v>0</v>
      </c>
      <c r="K2470" s="422">
        <f>SUM(D2470:J2470)</f>
        <v>0</v>
      </c>
    </row>
    <row r="2471" spans="2:13" ht="15" customHeight="1" x14ac:dyDescent="0.25">
      <c r="B2471" s="389"/>
      <c r="C2471" s="423"/>
      <c r="D2471" s="421">
        <f>D2469*C2471</f>
        <v>0</v>
      </c>
      <c r="E2471" s="421">
        <f>E2469*C2471</f>
        <v>0</v>
      </c>
      <c r="F2471" s="421">
        <f>F2469*C2471</f>
        <v>0</v>
      </c>
      <c r="G2471" s="421">
        <f>G2469*C2471</f>
        <v>0</v>
      </c>
      <c r="H2471" s="421">
        <f>H2469*C2471</f>
        <v>0</v>
      </c>
      <c r="I2471" s="421">
        <f>I2469*C2471</f>
        <v>0</v>
      </c>
      <c r="J2471" s="421">
        <f>J2469*C2471</f>
        <v>0</v>
      </c>
      <c r="K2471" s="424">
        <f>SUM(D2471:J2471)</f>
        <v>0</v>
      </c>
    </row>
    <row r="2472" spans="2:13" ht="15" customHeight="1" thickBot="1" x14ac:dyDescent="0.3"/>
    <row r="2473" spans="2:13" ht="15" customHeight="1" thickBot="1" x14ac:dyDescent="0.3">
      <c r="B2473" s="414"/>
      <c r="C2473" s="411"/>
      <c r="D2473" s="407" t="s">
        <v>548</v>
      </c>
      <c r="E2473" s="408" t="s">
        <v>549</v>
      </c>
      <c r="F2473" s="408" t="s">
        <v>550</v>
      </c>
      <c r="G2473" s="408" t="s">
        <v>551</v>
      </c>
      <c r="H2473" s="408" t="s">
        <v>552</v>
      </c>
      <c r="I2473" s="408" t="s">
        <v>553</v>
      </c>
      <c r="J2473" s="408" t="s">
        <v>554</v>
      </c>
      <c r="K2473" s="408" t="s">
        <v>555</v>
      </c>
    </row>
    <row r="2474" spans="2:13" ht="15" customHeight="1" thickBot="1" x14ac:dyDescent="0.3">
      <c r="B2474" s="414" t="s">
        <v>556</v>
      </c>
      <c r="C2474" s="415" t="s">
        <v>620</v>
      </c>
      <c r="D2474" s="416">
        <f>IF(ISERROR(VLOOKUP(B2473,'MD Usage'!$A$1:$W$5000,3,FALSE)),0,VLOOKUP(B2473,'MD Usage'!$A$1:$W$5000,3,FALSE))</f>
        <v>0</v>
      </c>
      <c r="E2474" s="416">
        <f>IF(ISERROR(VLOOKUP(B2473,'MD Usage'!$A$1:$W$5000,5,FALSE)),0,VLOOKUP(B2473,'MD Usage'!$A$1:$W$5000,5,FALSE))</f>
        <v>0</v>
      </c>
      <c r="F2474" s="416">
        <f>IF(ISERROR(VLOOKUP(B2473,'MD Usage'!$A$1:$W$5000,7,FALSE)),0,VLOOKUP(B2473,'MD Usage'!$A$1:$W$5000,7,FALSE))</f>
        <v>0</v>
      </c>
      <c r="G2474" s="416">
        <f>IF(ISERROR(VLOOKUP(B2473,'MD Usage'!$A$1:$W$5000,9,FALSE)),0,VLOOKUP(B2473,'MD Usage'!$A$1:$W$5000,9,FALSE))</f>
        <v>0</v>
      </c>
      <c r="H2474" s="416">
        <f>IF(ISERROR(VLOOKUP(B2473,'MD Usage'!$A$1:$W$5000,11,FALSE)),0,VLOOKUP(B2473,'MD Usage'!$A$1:$W$5000,11,FALSE))</f>
        <v>0</v>
      </c>
      <c r="I2474" s="416">
        <f>IF(ISERROR(VLOOKUP(B2473,'MD Usage'!A1:R2000,13,FALSE)),0,VLOOKUP(B2473,'MD Usage'!A1:R2000,13,FALSE))</f>
        <v>0</v>
      </c>
      <c r="J2474" s="416">
        <f>IF(ISERROR(VLOOKUP(B2473,'MD Usage'!A1:R2000,15,FALSE)),0,VLOOKUP(B2473,'MD Usage'!A1:R2000,15,FALSE))</f>
        <v>0</v>
      </c>
      <c r="K2474" s="418">
        <f>SUM(D2474:J2474)</f>
        <v>0</v>
      </c>
    </row>
    <row r="2475" spans="2:13" ht="15" customHeight="1" x14ac:dyDescent="0.25">
      <c r="B2475" s="419"/>
      <c r="C2475" s="420"/>
      <c r="D2475" s="421">
        <f>D2474*C2475</f>
        <v>0</v>
      </c>
      <c r="E2475" s="421">
        <f>E2474*C2475</f>
        <v>0</v>
      </c>
      <c r="F2475" s="421">
        <f>F2474*C2475</f>
        <v>0</v>
      </c>
      <c r="G2475" s="421">
        <f>G2474*C2475</f>
        <v>0</v>
      </c>
      <c r="H2475" s="421">
        <f>H2474*C2475</f>
        <v>0</v>
      </c>
      <c r="I2475" s="421">
        <f>I2474*C2475</f>
        <v>0</v>
      </c>
      <c r="J2475" s="421">
        <f>J2474*C2475</f>
        <v>0</v>
      </c>
      <c r="K2475" s="422">
        <f>SUM(D2475:J2475)</f>
        <v>0</v>
      </c>
    </row>
    <row r="2476" spans="2:13" ht="15" customHeight="1" x14ac:dyDescent="0.25">
      <c r="B2476" s="389"/>
      <c r="C2476" s="423"/>
      <c r="D2476" s="421">
        <f>D2474*C2476</f>
        <v>0</v>
      </c>
      <c r="E2476" s="421">
        <f>E2474*C2476</f>
        <v>0</v>
      </c>
      <c r="F2476" s="421">
        <f>F2474*C2476</f>
        <v>0</v>
      </c>
      <c r="G2476" s="421">
        <f>G2474*C2476</f>
        <v>0</v>
      </c>
      <c r="H2476" s="421">
        <f>H2474*C2476</f>
        <v>0</v>
      </c>
      <c r="I2476" s="421">
        <f>I2474*C2476</f>
        <v>0</v>
      </c>
      <c r="J2476" s="421">
        <f>J2474*C2476</f>
        <v>0</v>
      </c>
      <c r="K2476" s="424">
        <f>SUM(D2476:J2476)</f>
        <v>0</v>
      </c>
    </row>
    <row r="2477" spans="2:13" ht="15" customHeight="1" thickBot="1" x14ac:dyDescent="0.3"/>
    <row r="2478" spans="2:13" ht="15" customHeight="1" thickBot="1" x14ac:dyDescent="0.3">
      <c r="B2478" s="414"/>
      <c r="C2478" s="411"/>
      <c r="D2478" s="407" t="s">
        <v>548</v>
      </c>
      <c r="E2478" s="408" t="s">
        <v>549</v>
      </c>
      <c r="F2478" s="408" t="s">
        <v>550</v>
      </c>
      <c r="G2478" s="408" t="s">
        <v>551</v>
      </c>
      <c r="H2478" s="408" t="s">
        <v>552</v>
      </c>
      <c r="I2478" s="408" t="s">
        <v>553</v>
      </c>
      <c r="J2478" s="408" t="s">
        <v>554</v>
      </c>
      <c r="K2478" s="408" t="s">
        <v>555</v>
      </c>
    </row>
    <row r="2479" spans="2:13" ht="15" customHeight="1" thickBot="1" x14ac:dyDescent="0.3">
      <c r="B2479" s="414" t="s">
        <v>556</v>
      </c>
      <c r="C2479" s="415" t="s">
        <v>620</v>
      </c>
      <c r="D2479" s="416">
        <f>IF(ISERROR(VLOOKUP(B2478,'MD Usage'!$A$1:$W$5000,3,FALSE)),0,VLOOKUP(B2478,'MD Usage'!$A$1:$W$5000,3,FALSE))</f>
        <v>0</v>
      </c>
      <c r="E2479" s="416">
        <f>IF(ISERROR(VLOOKUP(B2478,'MD Usage'!$A$1:$W$5000,5,FALSE)),0,VLOOKUP(B2478,'MD Usage'!$A$1:$W$5000,5,FALSE))</f>
        <v>0</v>
      </c>
      <c r="F2479" s="416">
        <f>IF(ISERROR(VLOOKUP(B2478,'MD Usage'!$A$1:$W$5000,7,FALSE)),0,VLOOKUP(B2478,'MD Usage'!$A$1:$W$5000,7,FALSE))</f>
        <v>0</v>
      </c>
      <c r="G2479" s="416">
        <f>IF(ISERROR(VLOOKUP(B2478,'MD Usage'!$A$1:$W$5000,9,FALSE)),0,VLOOKUP(B2478,'MD Usage'!$A$1:$W$5000,9,FALSE))</f>
        <v>0</v>
      </c>
      <c r="H2479" s="416">
        <f>IF(ISERROR(VLOOKUP(B2478,'MD Usage'!$A$1:$W$5000,11,FALSE)),0,VLOOKUP(B2478,'MD Usage'!$A$1:$W$5000,11,FALSE))</f>
        <v>0</v>
      </c>
      <c r="I2479" s="416">
        <f>IF(ISERROR(VLOOKUP(B2478,'MD Usage'!A1:R2000,13,FALSE)),0,VLOOKUP(B2478,'MD Usage'!A1:R2000,13,FALSE))</f>
        <v>0</v>
      </c>
      <c r="J2479" s="416">
        <f>IF(ISERROR(VLOOKUP(B2478,'MD Usage'!A1:R2000,15,FALSE)),0,VLOOKUP(B2478,'MD Usage'!A1:R2000,15,FALSE))</f>
        <v>0</v>
      </c>
      <c r="K2479" s="418">
        <f>SUM(D2479:J2479)</f>
        <v>0</v>
      </c>
    </row>
    <row r="2480" spans="2:13" ht="15" customHeight="1" x14ac:dyDescent="0.25">
      <c r="B2480" s="419"/>
      <c r="C2480" s="420"/>
      <c r="D2480" s="421">
        <f>D2479*C2480</f>
        <v>0</v>
      </c>
      <c r="E2480" s="421">
        <f>E2479*C2480</f>
        <v>0</v>
      </c>
      <c r="F2480" s="421">
        <f>F2479*C2480</f>
        <v>0</v>
      </c>
      <c r="G2480" s="421">
        <f>G2479*C2480</f>
        <v>0</v>
      </c>
      <c r="H2480" s="421">
        <f>H2479*C2480</f>
        <v>0</v>
      </c>
      <c r="I2480" s="421">
        <f>I2479*C2480</f>
        <v>0</v>
      </c>
      <c r="J2480" s="421">
        <f>J2479*C2480</f>
        <v>0</v>
      </c>
      <c r="K2480" s="422">
        <f>SUM(D2480:J2480)</f>
        <v>0</v>
      </c>
    </row>
    <row r="2481" spans="2:13" ht="15" customHeight="1" x14ac:dyDescent="0.25">
      <c r="B2481" s="389"/>
      <c r="C2481" s="423"/>
      <c r="D2481" s="421">
        <f>D2479*C2481</f>
        <v>0</v>
      </c>
      <c r="E2481" s="421">
        <f>E2479*C2481</f>
        <v>0</v>
      </c>
      <c r="F2481" s="421">
        <f>F2479*C2481</f>
        <v>0</v>
      </c>
      <c r="G2481" s="421">
        <f>G2479*C2481</f>
        <v>0</v>
      </c>
      <c r="H2481" s="421">
        <f>H2479*C2481</f>
        <v>0</v>
      </c>
      <c r="I2481" s="421">
        <f>I2479*C2481</f>
        <v>0</v>
      </c>
      <c r="J2481" s="421">
        <f>J2479*C2481</f>
        <v>0</v>
      </c>
      <c r="K2481" s="424">
        <f>SUM(D2481:J2481)</f>
        <v>0</v>
      </c>
    </row>
    <row r="2482" spans="2:13" ht="15" customHeight="1" thickBot="1" x14ac:dyDescent="0.3"/>
    <row r="2483" spans="2:13" ht="15" customHeight="1" thickBot="1" x14ac:dyDescent="0.3">
      <c r="B2483" s="414"/>
      <c r="C2483" s="411"/>
      <c r="D2483" s="407" t="s">
        <v>548</v>
      </c>
      <c r="E2483" s="408" t="s">
        <v>549</v>
      </c>
      <c r="F2483" s="408" t="s">
        <v>550</v>
      </c>
      <c r="G2483" s="408" t="s">
        <v>551</v>
      </c>
      <c r="H2483" s="408" t="s">
        <v>552</v>
      </c>
      <c r="I2483" s="408" t="s">
        <v>553</v>
      </c>
      <c r="J2483" s="408" t="s">
        <v>554</v>
      </c>
      <c r="K2483" s="408" t="s">
        <v>555</v>
      </c>
    </row>
    <row r="2484" spans="2:13" ht="15" customHeight="1" thickBot="1" x14ac:dyDescent="0.3">
      <c r="B2484" s="414" t="s">
        <v>556</v>
      </c>
      <c r="C2484" s="415" t="s">
        <v>620</v>
      </c>
      <c r="D2484" s="416">
        <f>IF(ISERROR(VLOOKUP(B2483,'MD Usage'!$A$1:$W$5000,3,FALSE)),0,VLOOKUP(B2483,'MD Usage'!$A$1:$W$5000,3,FALSE))</f>
        <v>0</v>
      </c>
      <c r="E2484" s="416">
        <f>IF(ISERROR(VLOOKUP(B2483,'MD Usage'!$A$1:$W$5000,5,FALSE)),0,VLOOKUP(B2483,'MD Usage'!$A$1:$W$5000,5,FALSE))</f>
        <v>0</v>
      </c>
      <c r="F2484" s="416">
        <f>IF(ISERROR(VLOOKUP(B2483,'MD Usage'!$A$1:$W$5000,7,FALSE)),0,VLOOKUP(B2483,'MD Usage'!$A$1:$W$5000,7,FALSE))</f>
        <v>0</v>
      </c>
      <c r="G2484" s="416">
        <f>IF(ISERROR(VLOOKUP(B2483,'MD Usage'!$A$1:$W$5000,9,FALSE)),0,VLOOKUP(B2483,'MD Usage'!$A$1:$W$5000,9,FALSE))</f>
        <v>0</v>
      </c>
      <c r="H2484" s="416">
        <f>IF(ISERROR(VLOOKUP(B2483,'MD Usage'!$A$1:$W$5000,11,FALSE)),0,VLOOKUP(B2483,'MD Usage'!$A$1:$W$5000,11,FALSE))</f>
        <v>0</v>
      </c>
      <c r="I2484" s="416">
        <f>IF(ISERROR(VLOOKUP(B2483,'MD Usage'!A1:R2000,13,FALSE)),0,VLOOKUP(B2483,'MD Usage'!A1:R2000,13,FALSE))</f>
        <v>0</v>
      </c>
      <c r="J2484" s="416">
        <f>IF(ISERROR(VLOOKUP(B2483,'MD Usage'!A1:R2000,15,FALSE)),0,VLOOKUP(B2483,'MD Usage'!A1:R2000,15,FALSE))</f>
        <v>0</v>
      </c>
      <c r="K2484" s="418">
        <f>SUM(D2484:J2484)</f>
        <v>0</v>
      </c>
    </row>
    <row r="2485" spans="2:13" ht="15" customHeight="1" x14ac:dyDescent="0.25">
      <c r="B2485" s="419"/>
      <c r="C2485" s="420"/>
      <c r="D2485" s="421">
        <f>D2484*C2485</f>
        <v>0</v>
      </c>
      <c r="E2485" s="421">
        <f>E2484*C2485</f>
        <v>0</v>
      </c>
      <c r="F2485" s="421">
        <f>F2484*C2485</f>
        <v>0</v>
      </c>
      <c r="G2485" s="421">
        <f>G2484*C2485</f>
        <v>0</v>
      </c>
      <c r="H2485" s="421">
        <f>H2484*C2485</f>
        <v>0</v>
      </c>
      <c r="I2485" s="421">
        <f>I2484*C2485</f>
        <v>0</v>
      </c>
      <c r="J2485" s="421">
        <f>J2484*C2485</f>
        <v>0</v>
      </c>
      <c r="K2485" s="422">
        <f>SUM(D2485:J2485)</f>
        <v>0</v>
      </c>
    </row>
    <row r="2486" spans="2:13" ht="15" customHeight="1" x14ac:dyDescent="0.25">
      <c r="B2486" s="389"/>
      <c r="C2486" s="423"/>
      <c r="D2486" s="421">
        <f>D2484*C2486</f>
        <v>0</v>
      </c>
      <c r="E2486" s="421">
        <f>E2484*C2486</f>
        <v>0</v>
      </c>
      <c r="F2486" s="421">
        <f>F2484*C2486</f>
        <v>0</v>
      </c>
      <c r="G2486" s="421">
        <f>G2484*C2486</f>
        <v>0</v>
      </c>
      <c r="H2486" s="421">
        <f>H2484*C2486</f>
        <v>0</v>
      </c>
      <c r="I2486" s="421">
        <f>I2484*C2486</f>
        <v>0</v>
      </c>
      <c r="J2486" s="421">
        <f>J2484*C2486</f>
        <v>0</v>
      </c>
      <c r="K2486" s="424">
        <f>SUM(D2486:J2486)</f>
        <v>0</v>
      </c>
    </row>
    <row r="2487" spans="2:13" ht="15" customHeight="1" thickBot="1" x14ac:dyDescent="0.3"/>
    <row r="2488" spans="2:13" ht="15" customHeight="1" thickBot="1" x14ac:dyDescent="0.3">
      <c r="B2488" s="414"/>
      <c r="C2488" s="411"/>
      <c r="D2488" s="407" t="s">
        <v>548</v>
      </c>
      <c r="E2488" s="408" t="s">
        <v>549</v>
      </c>
      <c r="F2488" s="408" t="s">
        <v>550</v>
      </c>
      <c r="G2488" s="408" t="s">
        <v>551</v>
      </c>
      <c r="H2488" s="408" t="s">
        <v>552</v>
      </c>
      <c r="I2488" s="408" t="s">
        <v>553</v>
      </c>
      <c r="J2488" s="408" t="s">
        <v>554</v>
      </c>
      <c r="K2488" s="408" t="s">
        <v>555</v>
      </c>
    </row>
    <row r="2489" spans="2:13" ht="15" customHeight="1" thickBot="1" x14ac:dyDescent="0.3">
      <c r="B2489" s="414" t="s">
        <v>556</v>
      </c>
      <c r="C2489" s="415" t="s">
        <v>620</v>
      </c>
      <c r="D2489" s="416">
        <f>IF(ISERROR(VLOOKUP(B2488,'MD Usage'!$A$1:$W$5000,3,FALSE)),0,VLOOKUP(B2488,'MD Usage'!$A$1:$W$5000,3,FALSE))</f>
        <v>0</v>
      </c>
      <c r="E2489" s="416">
        <f>IF(ISERROR(VLOOKUP(B2488,'MD Usage'!$A$1:$W$5000,5,FALSE)),0,VLOOKUP(B2488,'MD Usage'!$A$1:$W$5000,5,FALSE))</f>
        <v>0</v>
      </c>
      <c r="F2489" s="416">
        <f>IF(ISERROR(VLOOKUP(B2488,'MD Usage'!$A$1:$W$5000,7,FALSE)),0,VLOOKUP(B2488,'MD Usage'!$A$1:$W$5000,7,FALSE))</f>
        <v>0</v>
      </c>
      <c r="G2489" s="416">
        <f>IF(ISERROR(VLOOKUP(B2488,'MD Usage'!$A$1:$W$5000,9,FALSE)),0,VLOOKUP(B2488,'MD Usage'!$A$1:$W$5000,9,FALSE))</f>
        <v>0</v>
      </c>
      <c r="H2489" s="416">
        <f>IF(ISERROR(VLOOKUP(B2488,'MD Usage'!$A$1:$W$5000,11,FALSE)),0,VLOOKUP(B2488,'MD Usage'!$A$1:$W$5000,11,FALSE))</f>
        <v>0</v>
      </c>
      <c r="I2489" s="416">
        <f>IF(ISERROR(VLOOKUP(B2488,'MD Usage'!A1:R2000,13,FALSE)),0,VLOOKUP(B2488,'MD Usage'!A1:R2000,13,FALSE))</f>
        <v>0</v>
      </c>
      <c r="J2489" s="416">
        <f>IF(ISERROR(VLOOKUP(B2488,'MD Usage'!A1:R2000,15,FALSE)),0,VLOOKUP(B2488,'MD Usage'!A1:R2000,15,FALSE))</f>
        <v>0</v>
      </c>
      <c r="K2489" s="418">
        <f>SUM(D2489:J2489)</f>
        <v>0</v>
      </c>
    </row>
    <row r="2490" spans="2:13" ht="15" customHeight="1" x14ac:dyDescent="0.25">
      <c r="B2490" s="419"/>
      <c r="C2490" s="420"/>
      <c r="D2490" s="421">
        <f>D2489*C2490</f>
        <v>0</v>
      </c>
      <c r="E2490" s="421">
        <f>E2489*C2490</f>
        <v>0</v>
      </c>
      <c r="F2490" s="421">
        <f>F2489*C2490</f>
        <v>0</v>
      </c>
      <c r="G2490" s="421">
        <f>G2489*C2490</f>
        <v>0</v>
      </c>
      <c r="H2490" s="421">
        <f>H2489*C2490</f>
        <v>0</v>
      </c>
      <c r="I2490" s="421">
        <f>I2489*C2490</f>
        <v>0</v>
      </c>
      <c r="J2490" s="421">
        <f>J2489*C2490</f>
        <v>0</v>
      </c>
      <c r="K2490" s="422">
        <f>SUM(D2490:J2490)</f>
        <v>0</v>
      </c>
    </row>
    <row r="2491" spans="2:13" ht="15" customHeight="1" x14ac:dyDescent="0.25">
      <c r="B2491" s="389"/>
      <c r="C2491" s="423"/>
      <c r="D2491" s="421">
        <f>D2489*C2491</f>
        <v>0</v>
      </c>
      <c r="E2491" s="421">
        <f>E2489*C2491</f>
        <v>0</v>
      </c>
      <c r="F2491" s="421">
        <f>F2489*C2491</f>
        <v>0</v>
      </c>
      <c r="G2491" s="421">
        <f>G2489*C2491</f>
        <v>0</v>
      </c>
      <c r="H2491" s="421">
        <f>H2489*C2491</f>
        <v>0</v>
      </c>
      <c r="I2491" s="421">
        <f>I2489*C2491</f>
        <v>0</v>
      </c>
      <c r="J2491" s="421">
        <f>J2489*C2491</f>
        <v>0</v>
      </c>
      <c r="K2491" s="424">
        <f>SUM(D2491:J2491)</f>
        <v>0</v>
      </c>
    </row>
    <row r="2492" spans="2:13" ht="15" customHeight="1" thickBot="1" x14ac:dyDescent="0.3"/>
    <row r="2493" spans="2:13" ht="15" customHeight="1" thickBot="1" x14ac:dyDescent="0.3">
      <c r="B2493" s="432"/>
      <c r="C2493" s="411"/>
      <c r="D2493" s="407" t="s">
        <v>548</v>
      </c>
      <c r="E2493" s="408" t="s">
        <v>549</v>
      </c>
      <c r="F2493" s="408" t="s">
        <v>550</v>
      </c>
      <c r="G2493" s="408" t="s">
        <v>551</v>
      </c>
      <c r="H2493" s="408" t="s">
        <v>552</v>
      </c>
      <c r="I2493" s="408" t="s">
        <v>553</v>
      </c>
      <c r="J2493" s="408" t="s">
        <v>554</v>
      </c>
      <c r="K2493" s="408" t="s">
        <v>555</v>
      </c>
      <c r="M2493" s="414"/>
    </row>
    <row r="2494" spans="2:13" ht="15" customHeight="1" thickBot="1" x14ac:dyDescent="0.3">
      <c r="B2494" s="414" t="s">
        <v>556</v>
      </c>
      <c r="C2494" s="415" t="s">
        <v>620</v>
      </c>
      <c r="D2494" s="416">
        <f>IF(ISERROR(VLOOKUP(B2493,'MD Usage'!$A$1:$W$5000,3,FALSE)),0,VLOOKUP(B2493,'MD Usage'!$A$1:$W$5000,3,FALSE))</f>
        <v>0</v>
      </c>
      <c r="E2494" s="416">
        <f>IF(ISERROR(VLOOKUP(B2493,'MD Usage'!$A$1:$W$5000,5,FALSE)),0,VLOOKUP(B2493,'MD Usage'!$A$1:$W$5000,5,FALSE))</f>
        <v>0</v>
      </c>
      <c r="F2494" s="416">
        <f>IF(ISERROR(VLOOKUP(B2493,'MD Usage'!$A$1:$W$5000,7,FALSE)),0,VLOOKUP(B2493,'MD Usage'!$A$1:$W$5000,7,FALSE))</f>
        <v>0</v>
      </c>
      <c r="G2494" s="416">
        <f>IF(ISERROR(VLOOKUP(B2493,'MD Usage'!$A$1:$W$5000,9,FALSE)),0,VLOOKUP(B2493,'MD Usage'!$A$1:$W$5000,9,FALSE))</f>
        <v>0</v>
      </c>
      <c r="H2494" s="416">
        <f>IF(ISERROR(VLOOKUP(B2493,'MD Usage'!$A$1:$W$5000,11,FALSE)),0,VLOOKUP(B2493,'MD Usage'!$A$1:$W$5000,11,FALSE))</f>
        <v>0</v>
      </c>
      <c r="I2494" s="416">
        <f>IF(ISERROR(VLOOKUP(B2493,'MD Usage'!A1:R2000,13,FALSE)),0,VLOOKUP(B2493,'MD Usage'!A1:R2000,13,FALSE))</f>
        <v>0</v>
      </c>
      <c r="J2494" s="416">
        <f>IF(ISERROR(VLOOKUP(B2493,'MD Usage'!A1:R2000,15,FALSE)),0,VLOOKUP(B2493,'MD Usage'!A1:R2000,15,FALSE))</f>
        <v>0</v>
      </c>
      <c r="K2494" s="418">
        <f>SUM(D2494:J2494)</f>
        <v>0</v>
      </c>
    </row>
    <row r="2495" spans="2:13" ht="15" customHeight="1" x14ac:dyDescent="0.25">
      <c r="B2495" s="419"/>
      <c r="C2495" s="420"/>
      <c r="D2495" s="421">
        <f>D2494*C2495</f>
        <v>0</v>
      </c>
      <c r="E2495" s="421">
        <f>E2494*C2495</f>
        <v>0</v>
      </c>
      <c r="F2495" s="421">
        <f>F2494*C2495</f>
        <v>0</v>
      </c>
      <c r="G2495" s="421">
        <f>G2494*C2495</f>
        <v>0</v>
      </c>
      <c r="H2495" s="421">
        <f>H2494*C2495</f>
        <v>0</v>
      </c>
      <c r="I2495" s="421">
        <f>I2494*C2495</f>
        <v>0</v>
      </c>
      <c r="J2495" s="421">
        <f>J2494*C2495</f>
        <v>0</v>
      </c>
      <c r="K2495" s="422">
        <f>SUM(D2495:J2495)</f>
        <v>0</v>
      </c>
    </row>
    <row r="2496" spans="2:13" ht="15" customHeight="1" x14ac:dyDescent="0.25">
      <c r="B2496" s="389"/>
      <c r="C2496" s="423"/>
      <c r="D2496" s="421">
        <f>D2494*C2496</f>
        <v>0</v>
      </c>
      <c r="E2496" s="421">
        <f>E2494*C2496</f>
        <v>0</v>
      </c>
      <c r="F2496" s="421">
        <f>F2494*C2496</f>
        <v>0</v>
      </c>
      <c r="G2496" s="421">
        <f>G2494*C2496</f>
        <v>0</v>
      </c>
      <c r="H2496" s="421">
        <f>H2494*C2496</f>
        <v>0</v>
      </c>
      <c r="I2496" s="421">
        <f>I2494*C2496</f>
        <v>0</v>
      </c>
      <c r="J2496" s="421">
        <f>J2494*C2496</f>
        <v>0</v>
      </c>
      <c r="K2496" s="424">
        <f>SUM(D2496:J2496)</f>
        <v>0</v>
      </c>
    </row>
    <row r="2497" spans="2:13" ht="15" customHeight="1" thickBot="1" x14ac:dyDescent="0.3"/>
    <row r="2498" spans="2:13" ht="15" customHeight="1" thickBot="1" x14ac:dyDescent="0.3">
      <c r="B2498" s="432"/>
      <c r="C2498" s="411"/>
      <c r="D2498" s="407" t="s">
        <v>548</v>
      </c>
      <c r="E2498" s="408" t="s">
        <v>549</v>
      </c>
      <c r="F2498" s="408" t="s">
        <v>550</v>
      </c>
      <c r="G2498" s="408" t="s">
        <v>551</v>
      </c>
      <c r="H2498" s="408" t="s">
        <v>552</v>
      </c>
      <c r="I2498" s="408" t="s">
        <v>553</v>
      </c>
      <c r="J2498" s="408" t="s">
        <v>554</v>
      </c>
      <c r="K2498" s="408" t="s">
        <v>555</v>
      </c>
      <c r="M2498" s="414"/>
    </row>
    <row r="2499" spans="2:13" ht="15" customHeight="1" thickBot="1" x14ac:dyDescent="0.3">
      <c r="B2499" s="414" t="s">
        <v>556</v>
      </c>
      <c r="C2499" s="415" t="s">
        <v>620</v>
      </c>
      <c r="D2499" s="416">
        <f>IF(ISERROR(VLOOKUP(B2498,'MD Usage'!$A$1:$W$5000,3,FALSE)),0,VLOOKUP(B2498,'MD Usage'!$A$1:$W$5000,3,FALSE))</f>
        <v>0</v>
      </c>
      <c r="E2499" s="416">
        <f>IF(ISERROR(VLOOKUP(B2498,'MD Usage'!$A$1:$W$5000,5,FALSE)),0,VLOOKUP(B2498,'MD Usage'!$A$1:$W$5000,5,FALSE))</f>
        <v>0</v>
      </c>
      <c r="F2499" s="416">
        <f>IF(ISERROR(VLOOKUP(B2498,'MD Usage'!$A$1:$W$5000,7,FALSE)),0,VLOOKUP(B2498,'MD Usage'!$A$1:$W$5000,7,FALSE))</f>
        <v>0</v>
      </c>
      <c r="G2499" s="416">
        <f>IF(ISERROR(VLOOKUP(B2498,'MD Usage'!$A$1:$W$5000,9,FALSE)),0,VLOOKUP(B2498,'MD Usage'!$A$1:$W$5000,9,FALSE))</f>
        <v>0</v>
      </c>
      <c r="H2499" s="416">
        <f>IF(ISERROR(VLOOKUP(B2498,'MD Usage'!$A$1:$W$5000,11,FALSE)),0,VLOOKUP(B2498,'MD Usage'!$A$1:$W$5000,11,FALSE))</f>
        <v>0</v>
      </c>
      <c r="I2499" s="416">
        <f>IF(ISERROR(VLOOKUP(B2498,'MD Usage'!A1:R2000,13,FALSE)),0,VLOOKUP(B2498,'MD Usage'!A1:R2000,13,FALSE))</f>
        <v>0</v>
      </c>
      <c r="J2499" s="416">
        <f>IF(ISERROR(VLOOKUP(B2498,'MD Usage'!A1:R2000,15,FALSE)),0,VLOOKUP(B2498,'MD Usage'!A1:R2000,15,FALSE))</f>
        <v>0</v>
      </c>
      <c r="K2499" s="418">
        <f>SUM(D2499:J2499)</f>
        <v>0</v>
      </c>
    </row>
    <row r="2500" spans="2:13" ht="15" customHeight="1" x14ac:dyDescent="0.25">
      <c r="B2500" s="419"/>
      <c r="C2500" s="420"/>
      <c r="D2500" s="421">
        <f>D2499*C2500</f>
        <v>0</v>
      </c>
      <c r="E2500" s="421">
        <f>E2499*C2500</f>
        <v>0</v>
      </c>
      <c r="F2500" s="421">
        <f>F2499*C2500</f>
        <v>0</v>
      </c>
      <c r="G2500" s="421">
        <f>G2499*C2500</f>
        <v>0</v>
      </c>
      <c r="H2500" s="421">
        <f>H2499*C2500</f>
        <v>0</v>
      </c>
      <c r="I2500" s="421">
        <f>I2499*C2500</f>
        <v>0</v>
      </c>
      <c r="J2500" s="421">
        <f>J2499*C2500</f>
        <v>0</v>
      </c>
      <c r="K2500" s="422">
        <f>SUM(D2500:J2500)</f>
        <v>0</v>
      </c>
    </row>
    <row r="2501" spans="2:13" ht="15" customHeight="1" x14ac:dyDescent="0.25">
      <c r="B2501" s="389"/>
      <c r="C2501" s="423"/>
      <c r="D2501" s="421">
        <f>D2499*C2501</f>
        <v>0</v>
      </c>
      <c r="E2501" s="421">
        <f>E2499*C2501</f>
        <v>0</v>
      </c>
      <c r="F2501" s="421">
        <f>F2499*C2501</f>
        <v>0</v>
      </c>
      <c r="G2501" s="421">
        <f>G2499*C2501</f>
        <v>0</v>
      </c>
      <c r="H2501" s="421">
        <f>H2499*C2501</f>
        <v>0</v>
      </c>
      <c r="I2501" s="421">
        <f>I2499*C2501</f>
        <v>0</v>
      </c>
      <c r="J2501" s="421">
        <f>J2499*C2501</f>
        <v>0</v>
      </c>
      <c r="K2501" s="424">
        <f>SUM(D2501:J2501)</f>
        <v>0</v>
      </c>
    </row>
    <row r="2502" spans="2:13" ht="15" customHeight="1" thickBot="1" x14ac:dyDescent="0.3"/>
    <row r="2503" spans="2:13" ht="15" customHeight="1" thickBot="1" x14ac:dyDescent="0.3">
      <c r="B2503" s="414"/>
      <c r="C2503" s="411"/>
      <c r="D2503" s="407" t="s">
        <v>548</v>
      </c>
      <c r="E2503" s="408" t="s">
        <v>549</v>
      </c>
      <c r="F2503" s="408" t="s">
        <v>550</v>
      </c>
      <c r="G2503" s="408" t="s">
        <v>551</v>
      </c>
      <c r="H2503" s="408" t="s">
        <v>552</v>
      </c>
      <c r="I2503" s="408" t="s">
        <v>553</v>
      </c>
      <c r="J2503" s="408" t="s">
        <v>554</v>
      </c>
      <c r="K2503" s="408" t="s">
        <v>555</v>
      </c>
    </row>
    <row r="2504" spans="2:13" ht="15" customHeight="1" thickBot="1" x14ac:dyDescent="0.3">
      <c r="B2504" s="414" t="s">
        <v>556</v>
      </c>
      <c r="C2504" s="415" t="s">
        <v>620</v>
      </c>
      <c r="D2504" s="416">
        <f>IF(ISERROR(VLOOKUP(B2503,'MD Usage'!$A$1:$W$5000,3,FALSE)),0,VLOOKUP(B2503,'MD Usage'!$A$1:$W$5000,3,FALSE))</f>
        <v>0</v>
      </c>
      <c r="E2504" s="416">
        <f>IF(ISERROR(VLOOKUP(B2503,'MD Usage'!$A$1:$W$5000,5,FALSE)),0,VLOOKUP(B2503,'MD Usage'!$A$1:$W$5000,5,FALSE))</f>
        <v>0</v>
      </c>
      <c r="F2504" s="416">
        <f>IF(ISERROR(VLOOKUP(B2503,'MD Usage'!$A$1:$W$5000,7,FALSE)),0,VLOOKUP(B2503,'MD Usage'!$A$1:$W$5000,7,FALSE))</f>
        <v>0</v>
      </c>
      <c r="G2504" s="416">
        <f>IF(ISERROR(VLOOKUP(B2503,'MD Usage'!$A$1:$W$5000,9,FALSE)),0,VLOOKUP(B2503,'MD Usage'!$A$1:$W$5000,9,FALSE))</f>
        <v>0</v>
      </c>
      <c r="H2504" s="416">
        <f>IF(ISERROR(VLOOKUP(B2503,'MD Usage'!$A$1:$W$5000,11,FALSE)),0,VLOOKUP(B2503,'MD Usage'!$A$1:$W$5000,11,FALSE))</f>
        <v>0</v>
      </c>
      <c r="I2504" s="416">
        <f>IF(ISERROR(VLOOKUP(B2503,'MD Usage'!A1:R2000,13,FALSE)),0,VLOOKUP(B2503,'MD Usage'!A1:R2000,13,FALSE))</f>
        <v>0</v>
      </c>
      <c r="J2504" s="416">
        <f>IF(ISERROR(VLOOKUP(B2503,'MD Usage'!A1:R2000,15,FALSE)),0,VLOOKUP(B2503,'MD Usage'!A1:R2000,15,FALSE))</f>
        <v>0</v>
      </c>
      <c r="K2504" s="418">
        <f>SUM(D2504:J2504)</f>
        <v>0</v>
      </c>
    </row>
    <row r="2505" spans="2:13" ht="15" customHeight="1" x14ac:dyDescent="0.25">
      <c r="B2505" s="419"/>
      <c r="C2505" s="420"/>
      <c r="D2505" s="421">
        <f>D2504*C2505</f>
        <v>0</v>
      </c>
      <c r="E2505" s="421">
        <f>E2504*C2505</f>
        <v>0</v>
      </c>
      <c r="F2505" s="421">
        <f>F2504*C2505</f>
        <v>0</v>
      </c>
      <c r="G2505" s="421">
        <f>G2504*C2505</f>
        <v>0</v>
      </c>
      <c r="H2505" s="421">
        <f>H2504*C2505</f>
        <v>0</v>
      </c>
      <c r="I2505" s="421">
        <f>I2504*C2505</f>
        <v>0</v>
      </c>
      <c r="J2505" s="421">
        <f>J2504*C2505</f>
        <v>0</v>
      </c>
      <c r="K2505" s="422">
        <f>SUM(D2505:J2505)</f>
        <v>0</v>
      </c>
    </row>
    <row r="2506" spans="2:13" ht="15" customHeight="1" x14ac:dyDescent="0.25">
      <c r="B2506" s="389"/>
      <c r="C2506" s="423"/>
      <c r="D2506" s="421">
        <f>D2504*C2506</f>
        <v>0</v>
      </c>
      <c r="E2506" s="421">
        <f>E2504*C2506</f>
        <v>0</v>
      </c>
      <c r="F2506" s="421">
        <f>F2504*C2506</f>
        <v>0</v>
      </c>
      <c r="G2506" s="421">
        <f>G2504*C2506</f>
        <v>0</v>
      </c>
      <c r="H2506" s="421">
        <f>H2504*C2506</f>
        <v>0</v>
      </c>
      <c r="I2506" s="421">
        <f>I2504*C2506</f>
        <v>0</v>
      </c>
      <c r="J2506" s="421">
        <f>J2504*C2506</f>
        <v>0</v>
      </c>
      <c r="K2506" s="424">
        <f>SUM(D2506:J2506)</f>
        <v>0</v>
      </c>
    </row>
    <row r="2507" spans="2:13" ht="15" customHeight="1" thickBot="1" x14ac:dyDescent="0.3"/>
    <row r="2508" spans="2:13" ht="15" customHeight="1" thickBot="1" x14ac:dyDescent="0.3">
      <c r="B2508" s="414"/>
      <c r="C2508" s="411"/>
      <c r="D2508" s="407" t="s">
        <v>548</v>
      </c>
      <c r="E2508" s="408" t="s">
        <v>549</v>
      </c>
      <c r="F2508" s="408" t="s">
        <v>550</v>
      </c>
      <c r="G2508" s="408" t="s">
        <v>551</v>
      </c>
      <c r="H2508" s="408" t="s">
        <v>552</v>
      </c>
      <c r="I2508" s="408" t="s">
        <v>553</v>
      </c>
      <c r="J2508" s="408" t="s">
        <v>554</v>
      </c>
      <c r="K2508" s="408" t="s">
        <v>555</v>
      </c>
    </row>
    <row r="2509" spans="2:13" ht="15" customHeight="1" thickBot="1" x14ac:dyDescent="0.3">
      <c r="B2509" s="414" t="s">
        <v>556</v>
      </c>
      <c r="C2509" s="415" t="s">
        <v>620</v>
      </c>
      <c r="D2509" s="416">
        <f>IF(ISERROR(VLOOKUP(B2508,'MD Usage'!$A$1:$W$5000,3,FALSE)),0,VLOOKUP(B2508,'MD Usage'!$A$1:$W$5000,3,FALSE))</f>
        <v>0</v>
      </c>
      <c r="E2509" s="416">
        <f>IF(ISERROR(VLOOKUP(B2508,'MD Usage'!$A$1:$W$5000,5,FALSE)),0,VLOOKUP(B2508,'MD Usage'!$A$1:$W$5000,5,FALSE))</f>
        <v>0</v>
      </c>
      <c r="F2509" s="416">
        <f>IF(ISERROR(VLOOKUP(B2508,'MD Usage'!$A$1:$W$5000,7,FALSE)),0,VLOOKUP(B2508,'MD Usage'!$A$1:$W$5000,7,FALSE))</f>
        <v>0</v>
      </c>
      <c r="G2509" s="416">
        <f>IF(ISERROR(VLOOKUP(B2508,'MD Usage'!$A$1:$W$5000,9,FALSE)),0,VLOOKUP(B2508,'MD Usage'!$A$1:$W$5000,9,FALSE))</f>
        <v>0</v>
      </c>
      <c r="H2509" s="416">
        <f>IF(ISERROR(VLOOKUP(B2508,'MD Usage'!$A$1:$W$5000,11,FALSE)),0,VLOOKUP(B2508,'MD Usage'!$A$1:$W$5000,11,FALSE))</f>
        <v>0</v>
      </c>
      <c r="I2509" s="416">
        <f>IF(ISERROR(VLOOKUP(B2508,'MD Usage'!A1:R2000,13,FALSE)),0,VLOOKUP(B2508,'MD Usage'!A1:R2000,13,FALSE))</f>
        <v>0</v>
      </c>
      <c r="J2509" s="416">
        <f>IF(ISERROR(VLOOKUP(B2508,'MD Usage'!A1:R2000,15,FALSE)),0,VLOOKUP(B2508,'MD Usage'!A1:R2000,15,FALSE))</f>
        <v>0</v>
      </c>
      <c r="K2509" s="418">
        <f>SUM(D2509:J2509)</f>
        <v>0</v>
      </c>
    </row>
    <row r="2510" spans="2:13" ht="15" customHeight="1" x14ac:dyDescent="0.25">
      <c r="B2510" s="419"/>
      <c r="C2510" s="420"/>
      <c r="D2510" s="421">
        <f>D2509*C2510</f>
        <v>0</v>
      </c>
      <c r="E2510" s="421">
        <f>E2509*C2510</f>
        <v>0</v>
      </c>
      <c r="F2510" s="421">
        <f>F2509*C2510</f>
        <v>0</v>
      </c>
      <c r="G2510" s="421">
        <f>G2509*C2510</f>
        <v>0</v>
      </c>
      <c r="H2510" s="421">
        <f>H2509*C2510</f>
        <v>0</v>
      </c>
      <c r="I2510" s="421">
        <f>I2509*C2510</f>
        <v>0</v>
      </c>
      <c r="J2510" s="421">
        <f>J2509*C2510</f>
        <v>0</v>
      </c>
      <c r="K2510" s="422">
        <f>SUM(D2510:J2510)</f>
        <v>0</v>
      </c>
    </row>
    <row r="2511" spans="2:13" ht="15" customHeight="1" x14ac:dyDescent="0.25">
      <c r="B2511" s="389"/>
      <c r="C2511" s="423"/>
      <c r="D2511" s="421">
        <f>D2509*C2511</f>
        <v>0</v>
      </c>
      <c r="E2511" s="421">
        <f>E2509*C2511</f>
        <v>0</v>
      </c>
      <c r="F2511" s="421">
        <f>F2509*C2511</f>
        <v>0</v>
      </c>
      <c r="G2511" s="421">
        <f>G2509*C2511</f>
        <v>0</v>
      </c>
      <c r="H2511" s="421">
        <f>H2509*C2511</f>
        <v>0</v>
      </c>
      <c r="I2511" s="421">
        <f>I2509*C2511</f>
        <v>0</v>
      </c>
      <c r="J2511" s="421">
        <f>J2509*C2511</f>
        <v>0</v>
      </c>
      <c r="K2511" s="424">
        <f>SUM(D2511:J2511)</f>
        <v>0</v>
      </c>
    </row>
    <row r="2512" spans="2:13" ht="15" customHeight="1" thickBot="1" x14ac:dyDescent="0.3"/>
    <row r="2513" spans="2:13" ht="15" customHeight="1" thickBot="1" x14ac:dyDescent="0.3">
      <c r="B2513" s="414"/>
      <c r="C2513" s="411"/>
      <c r="D2513" s="407" t="s">
        <v>548</v>
      </c>
      <c r="E2513" s="408" t="s">
        <v>549</v>
      </c>
      <c r="F2513" s="408" t="s">
        <v>550</v>
      </c>
      <c r="G2513" s="408" t="s">
        <v>551</v>
      </c>
      <c r="H2513" s="408" t="s">
        <v>552</v>
      </c>
      <c r="I2513" s="408" t="s">
        <v>553</v>
      </c>
      <c r="J2513" s="408" t="s">
        <v>554</v>
      </c>
      <c r="K2513" s="408" t="s">
        <v>555</v>
      </c>
    </row>
    <row r="2514" spans="2:13" ht="15" customHeight="1" thickBot="1" x14ac:dyDescent="0.3">
      <c r="B2514" s="414" t="s">
        <v>556</v>
      </c>
      <c r="C2514" s="415" t="s">
        <v>620</v>
      </c>
      <c r="D2514" s="416">
        <f>IF(ISERROR(VLOOKUP(B2513,'MD Usage'!$A$1:$W$5000,3,FALSE)),0,VLOOKUP(B2513,'MD Usage'!$A$1:$W$5000,3,FALSE))</f>
        <v>0</v>
      </c>
      <c r="E2514" s="416">
        <f>IF(ISERROR(VLOOKUP(B2513,'MD Usage'!$A$1:$W$5000,5,FALSE)),0,VLOOKUP(B2513,'MD Usage'!$A$1:$W$5000,5,FALSE))</f>
        <v>0</v>
      </c>
      <c r="F2514" s="416">
        <f>IF(ISERROR(VLOOKUP(B2513,'MD Usage'!$A$1:$W$5000,7,FALSE)),0,VLOOKUP(B2513,'MD Usage'!$A$1:$W$5000,7,FALSE))</f>
        <v>0</v>
      </c>
      <c r="G2514" s="416">
        <f>IF(ISERROR(VLOOKUP(B2513,'MD Usage'!$A$1:$W$5000,9,FALSE)),0,VLOOKUP(B2513,'MD Usage'!$A$1:$W$5000,9,FALSE))</f>
        <v>0</v>
      </c>
      <c r="H2514" s="416">
        <f>IF(ISERROR(VLOOKUP(B2513,'MD Usage'!$A$1:$W$5000,11,FALSE)),0,VLOOKUP(B2513,'MD Usage'!$A$1:$W$5000,11,FALSE))</f>
        <v>0</v>
      </c>
      <c r="I2514" s="416">
        <f>IF(ISERROR(VLOOKUP(B2513,'MD Usage'!A1:R2000,13,FALSE)),0,VLOOKUP(B2513,'MD Usage'!A1:R2000,13,FALSE))</f>
        <v>0</v>
      </c>
      <c r="J2514" s="416">
        <f>IF(ISERROR(VLOOKUP(B2513,'MD Usage'!A1:R2000,15,FALSE)),0,VLOOKUP(B2513,'MD Usage'!A1:R2000,15,FALSE))</f>
        <v>0</v>
      </c>
      <c r="K2514" s="418">
        <f>SUM(D2514:J2514)</f>
        <v>0</v>
      </c>
    </row>
    <row r="2515" spans="2:13" ht="15" customHeight="1" x14ac:dyDescent="0.25">
      <c r="B2515" s="419"/>
      <c r="C2515" s="420"/>
      <c r="D2515" s="421">
        <f>D2514*C2515</f>
        <v>0</v>
      </c>
      <c r="E2515" s="421">
        <f>E2514*C2515</f>
        <v>0</v>
      </c>
      <c r="F2515" s="421">
        <f>F2514*C2515</f>
        <v>0</v>
      </c>
      <c r="G2515" s="421">
        <f>G2514*C2515</f>
        <v>0</v>
      </c>
      <c r="H2515" s="421">
        <f>H2514*C2515</f>
        <v>0</v>
      </c>
      <c r="I2515" s="421">
        <f>I2514*C2515</f>
        <v>0</v>
      </c>
      <c r="J2515" s="421">
        <f>J2514*C2515</f>
        <v>0</v>
      </c>
      <c r="K2515" s="422">
        <f>SUM(D2515:J2515)</f>
        <v>0</v>
      </c>
    </row>
    <row r="2516" spans="2:13" ht="15" customHeight="1" x14ac:dyDescent="0.25">
      <c r="B2516" s="419"/>
      <c r="C2516" s="423"/>
      <c r="D2516" s="421">
        <f>D2514*C2516</f>
        <v>0</v>
      </c>
      <c r="E2516" s="421">
        <f>E2514*C2516</f>
        <v>0</v>
      </c>
      <c r="F2516" s="421">
        <f>F2514*C2516</f>
        <v>0</v>
      </c>
      <c r="G2516" s="421">
        <f>G2514*C2516</f>
        <v>0</v>
      </c>
      <c r="H2516" s="421">
        <f>H2514*C2516</f>
        <v>0</v>
      </c>
      <c r="I2516" s="421">
        <f>I2514*C2516</f>
        <v>0</v>
      </c>
      <c r="J2516" s="421">
        <f>J2514*C2516</f>
        <v>0</v>
      </c>
      <c r="K2516" s="424">
        <f>SUM(D2516:J2516)</f>
        <v>0</v>
      </c>
    </row>
    <row r="2517" spans="2:13" ht="15" customHeight="1" thickBot="1" x14ac:dyDescent="0.3"/>
    <row r="2518" spans="2:13" ht="15" customHeight="1" thickBot="1" x14ac:dyDescent="0.3">
      <c r="B2518" s="414"/>
      <c r="C2518" s="411"/>
      <c r="D2518" s="407" t="s">
        <v>548</v>
      </c>
      <c r="E2518" s="408" t="s">
        <v>549</v>
      </c>
      <c r="F2518" s="408" t="s">
        <v>550</v>
      </c>
      <c r="G2518" s="408" t="s">
        <v>551</v>
      </c>
      <c r="H2518" s="408" t="s">
        <v>552</v>
      </c>
      <c r="I2518" s="408" t="s">
        <v>553</v>
      </c>
      <c r="J2518" s="408" t="s">
        <v>554</v>
      </c>
      <c r="K2518" s="408" t="s">
        <v>555</v>
      </c>
    </row>
    <row r="2519" spans="2:13" ht="15" customHeight="1" thickBot="1" x14ac:dyDescent="0.3">
      <c r="B2519" s="414" t="s">
        <v>556</v>
      </c>
      <c r="C2519" s="415" t="s">
        <v>620</v>
      </c>
      <c r="D2519" s="416">
        <f>IF(ISERROR(VLOOKUP(B2518,'MD Usage'!$A$1:$W$5000,3,FALSE)),0,VLOOKUP(B2518,'MD Usage'!$A$1:$W$5000,3,FALSE))</f>
        <v>0</v>
      </c>
      <c r="E2519" s="416">
        <f>IF(ISERROR(VLOOKUP(B2518,'MD Usage'!$A$1:$W$5000,5,FALSE)),0,VLOOKUP(B2518,'MD Usage'!$A$1:$W$5000,5,FALSE))</f>
        <v>0</v>
      </c>
      <c r="F2519" s="416">
        <f>IF(ISERROR(VLOOKUP(B2518,'MD Usage'!$A$1:$W$5000,7,FALSE)),0,VLOOKUP(B2518,'MD Usage'!$A$1:$W$5000,7,FALSE))</f>
        <v>0</v>
      </c>
      <c r="G2519" s="416">
        <f>IF(ISERROR(VLOOKUP(B2518,'MD Usage'!$A$1:$W$5000,9,FALSE)),0,VLOOKUP(B2518,'MD Usage'!$A$1:$W$5000,9,FALSE))</f>
        <v>0</v>
      </c>
      <c r="H2519" s="416">
        <f>IF(ISERROR(VLOOKUP(B2518,'MD Usage'!$A$1:$W$5000,11,FALSE)),0,VLOOKUP(B2518,'MD Usage'!$A$1:$W$5000,11,FALSE))</f>
        <v>0</v>
      </c>
      <c r="I2519" s="416">
        <f>IF(ISERROR(VLOOKUP(B2518,'MD Usage'!A1:R2000,13,FALSE)),0,VLOOKUP(B2518,'MD Usage'!A1:R2000,13,FALSE))</f>
        <v>0</v>
      </c>
      <c r="J2519" s="416">
        <f>IF(ISERROR(VLOOKUP(B2518,'MD Usage'!A1:R2000,15,FALSE)),0,VLOOKUP(B2518,'MD Usage'!A1:R2000,15,FALSE))</f>
        <v>0</v>
      </c>
      <c r="K2519" s="418">
        <f>SUM(D2519:J2519)</f>
        <v>0</v>
      </c>
    </row>
    <row r="2520" spans="2:13" ht="15" customHeight="1" x14ac:dyDescent="0.25">
      <c r="B2520" s="419"/>
      <c r="C2520" s="420"/>
      <c r="D2520" s="421">
        <f>D2519*C2520</f>
        <v>0</v>
      </c>
      <c r="E2520" s="421">
        <f>E2519*C2520</f>
        <v>0</v>
      </c>
      <c r="F2520" s="421">
        <f>F2519*C2520</f>
        <v>0</v>
      </c>
      <c r="G2520" s="421">
        <f>G2519*C2520</f>
        <v>0</v>
      </c>
      <c r="H2520" s="421">
        <f>H2519*C2520</f>
        <v>0</v>
      </c>
      <c r="I2520" s="421">
        <f>I2519*C2520</f>
        <v>0</v>
      </c>
      <c r="J2520" s="421">
        <f>J2519*C2520</f>
        <v>0</v>
      </c>
      <c r="K2520" s="422">
        <f>SUM(D2520:J2520)</f>
        <v>0</v>
      </c>
    </row>
    <row r="2521" spans="2:13" ht="15" customHeight="1" x14ac:dyDescent="0.25">
      <c r="B2521" s="389"/>
      <c r="C2521" s="423"/>
      <c r="D2521" s="421">
        <f>D2519*C2521</f>
        <v>0</v>
      </c>
      <c r="E2521" s="421">
        <f>E2519*C2521</f>
        <v>0</v>
      </c>
      <c r="F2521" s="421">
        <f>F2519*C2521</f>
        <v>0</v>
      </c>
      <c r="G2521" s="421">
        <f>G2519*C2521</f>
        <v>0</v>
      </c>
      <c r="H2521" s="421">
        <f>H2519*C2521</f>
        <v>0</v>
      </c>
      <c r="I2521" s="421">
        <f>I2519*C2521</f>
        <v>0</v>
      </c>
      <c r="J2521" s="421">
        <f>J2519*C2521</f>
        <v>0</v>
      </c>
      <c r="K2521" s="424">
        <f>SUM(D2521:J2521)</f>
        <v>0</v>
      </c>
    </row>
    <row r="2522" spans="2:13" ht="15" customHeight="1" thickBot="1" x14ac:dyDescent="0.3"/>
    <row r="2523" spans="2:13" ht="15" customHeight="1" thickBot="1" x14ac:dyDescent="0.3">
      <c r="B2523" s="414"/>
      <c r="C2523" s="411"/>
      <c r="D2523" s="407" t="s">
        <v>548</v>
      </c>
      <c r="E2523" s="408" t="s">
        <v>549</v>
      </c>
      <c r="F2523" s="408" t="s">
        <v>550</v>
      </c>
      <c r="G2523" s="408" t="s">
        <v>551</v>
      </c>
      <c r="H2523" s="408" t="s">
        <v>552</v>
      </c>
      <c r="I2523" s="408" t="s">
        <v>553</v>
      </c>
      <c r="J2523" s="408" t="s">
        <v>554</v>
      </c>
      <c r="K2523" s="408" t="s">
        <v>555</v>
      </c>
    </row>
    <row r="2524" spans="2:13" ht="15" customHeight="1" thickBot="1" x14ac:dyDescent="0.3">
      <c r="B2524" s="414" t="s">
        <v>556</v>
      </c>
      <c r="C2524" s="415" t="s">
        <v>620</v>
      </c>
      <c r="D2524" s="416">
        <f>IF(ISERROR(VLOOKUP(B2523,'MD Usage'!$A$1:$W$5000,3,FALSE)),0,VLOOKUP(B2523,'MD Usage'!$A$1:$W$5000,3,FALSE))</f>
        <v>0</v>
      </c>
      <c r="E2524" s="416">
        <f>IF(ISERROR(VLOOKUP(B2523,'MD Usage'!$A$1:$W$5000,5,FALSE)),0,VLOOKUP(B2523,'MD Usage'!$A$1:$W$5000,5,FALSE))</f>
        <v>0</v>
      </c>
      <c r="F2524" s="416">
        <f>IF(ISERROR(VLOOKUP(B2523,'MD Usage'!$A$1:$W$5000,7,FALSE)),0,VLOOKUP(B2523,'MD Usage'!$A$1:$W$5000,7,FALSE))</f>
        <v>0</v>
      </c>
      <c r="G2524" s="416">
        <f>IF(ISERROR(VLOOKUP(B2523,'MD Usage'!$A$1:$W$5000,9,FALSE)),0,VLOOKUP(B2523,'MD Usage'!$A$1:$W$5000,9,FALSE))</f>
        <v>0</v>
      </c>
      <c r="H2524" s="416">
        <f>IF(ISERROR(VLOOKUP(B2523,'MD Usage'!$A$1:$W$5000,11,FALSE)),0,VLOOKUP(B2523,'MD Usage'!$A$1:$W$5000,11,FALSE))</f>
        <v>0</v>
      </c>
      <c r="I2524" s="416">
        <f>IF(ISERROR(VLOOKUP(B2523,'MD Usage'!A1:R2000,13,FALSE)),0,VLOOKUP(B2523,'MD Usage'!A1:R2000,13,FALSE))</f>
        <v>0</v>
      </c>
      <c r="J2524" s="416">
        <f>IF(ISERROR(VLOOKUP(B2523,'MD Usage'!A1:R2000,15,FALSE)),0,VLOOKUP(B2523,'MD Usage'!A1:R2000,15,FALSE))</f>
        <v>0</v>
      </c>
      <c r="K2524" s="418">
        <f>SUM(D2524:J2524)</f>
        <v>0</v>
      </c>
    </row>
    <row r="2525" spans="2:13" ht="15" customHeight="1" x14ac:dyDescent="0.25">
      <c r="B2525" s="419"/>
      <c r="C2525" s="420"/>
      <c r="D2525" s="421">
        <f>D2524*C2525</f>
        <v>0</v>
      </c>
      <c r="E2525" s="421">
        <f>E2524*C2525</f>
        <v>0</v>
      </c>
      <c r="F2525" s="421">
        <f>F2524*C2525</f>
        <v>0</v>
      </c>
      <c r="G2525" s="421">
        <f>G2524*C2525</f>
        <v>0</v>
      </c>
      <c r="H2525" s="421">
        <f>H2524*C2525</f>
        <v>0</v>
      </c>
      <c r="I2525" s="421">
        <f>I2524*C2525</f>
        <v>0</v>
      </c>
      <c r="J2525" s="421">
        <f>J2524*C2525</f>
        <v>0</v>
      </c>
      <c r="K2525" s="422">
        <f>SUM(D2525:J2525)</f>
        <v>0</v>
      </c>
    </row>
    <row r="2526" spans="2:13" ht="15" customHeight="1" x14ac:dyDescent="0.25">
      <c r="B2526" s="389"/>
      <c r="C2526" s="423"/>
      <c r="D2526" s="421">
        <f>D2524*C2526</f>
        <v>0</v>
      </c>
      <c r="E2526" s="421">
        <f>E2524*C2526</f>
        <v>0</v>
      </c>
      <c r="F2526" s="421">
        <f>F2524*C2526</f>
        <v>0</v>
      </c>
      <c r="G2526" s="421">
        <f>G2524*C2526</f>
        <v>0</v>
      </c>
      <c r="H2526" s="421">
        <f>H2524*C2526</f>
        <v>0</v>
      </c>
      <c r="I2526" s="421">
        <f>I2524*C2526</f>
        <v>0</v>
      </c>
      <c r="J2526" s="421">
        <f>J2524*C2526</f>
        <v>0</v>
      </c>
      <c r="K2526" s="424">
        <f>SUM(D2526:J2526)</f>
        <v>0</v>
      </c>
    </row>
    <row r="2527" spans="2:13" ht="15" customHeight="1" thickBot="1" x14ac:dyDescent="0.3"/>
    <row r="2528" spans="2:13" ht="15" customHeight="1" thickBot="1" x14ac:dyDescent="0.3">
      <c r="B2528" s="432"/>
      <c r="C2528" s="411" t="s">
        <v>787</v>
      </c>
      <c r="D2528" s="407" t="s">
        <v>548</v>
      </c>
      <c r="E2528" s="408" t="s">
        <v>549</v>
      </c>
      <c r="F2528" s="408" t="s">
        <v>550</v>
      </c>
      <c r="G2528" s="408" t="s">
        <v>551</v>
      </c>
      <c r="H2528" s="408" t="s">
        <v>552</v>
      </c>
      <c r="I2528" s="408" t="s">
        <v>553</v>
      </c>
      <c r="J2528" s="408" t="s">
        <v>554</v>
      </c>
      <c r="K2528" s="408" t="s">
        <v>555</v>
      </c>
      <c r="M2528" s="414"/>
    </row>
    <row r="2529" spans="2:11" ht="15" customHeight="1" thickBot="1" x14ac:dyDescent="0.3">
      <c r="B2529" s="414" t="s">
        <v>556</v>
      </c>
      <c r="C2529" s="415" t="s">
        <v>620</v>
      </c>
      <c r="D2529" s="416">
        <f>IF(ISERROR(VLOOKUP(B2528,'MD Usage'!$A$1:$W$5000,3,FALSE)),0,VLOOKUP(B2528,'MD Usage'!$A$1:$W$5000,3,FALSE))</f>
        <v>0</v>
      </c>
      <c r="E2529" s="416">
        <f>IF(ISERROR(VLOOKUP(B2528,'MD Usage'!$A$1:$W$5000,5,FALSE)),0,VLOOKUP(B2528,'MD Usage'!$A$1:$W$5000,5,FALSE))</f>
        <v>0</v>
      </c>
      <c r="F2529" s="416">
        <f>IF(ISERROR(VLOOKUP(B2528,'MD Usage'!$A$1:$W$5000,7,FALSE)),0,VLOOKUP(B2528,'MD Usage'!$A$1:$W$5000,7,FALSE))</f>
        <v>0</v>
      </c>
      <c r="G2529" s="416">
        <f>IF(ISERROR(VLOOKUP(B2528,'MD Usage'!$A$1:$W$5000,9,FALSE)),0,VLOOKUP(B2528,'MD Usage'!$A$1:$W$5000,9,FALSE))</f>
        <v>0</v>
      </c>
      <c r="H2529" s="416">
        <f>IF(ISERROR(VLOOKUP(B2528,'MD Usage'!$A$1:$W$5000,11,FALSE)),0,VLOOKUP(B2528,'MD Usage'!$A$1:$W$5000,11,FALSE))</f>
        <v>0</v>
      </c>
      <c r="I2529" s="416">
        <f>IF(ISERROR(VLOOKUP(B2528,'MD Usage'!A1:R2000,13,FALSE)),0,VLOOKUP(B2528,'MD Usage'!A1:R2000,13,FALSE))</f>
        <v>0</v>
      </c>
      <c r="J2529" s="416">
        <f>IF(ISERROR(VLOOKUP(B2528,'MD Usage'!A1:R2000,15,FALSE)),0,VLOOKUP(B2528,'MD Usage'!A1:R2000,15,FALSE))</f>
        <v>0</v>
      </c>
      <c r="K2529" s="418">
        <f>SUM(D2529:J2529)</f>
        <v>0</v>
      </c>
    </row>
    <row r="2530" spans="2:11" ht="15" customHeight="1" x14ac:dyDescent="0.25">
      <c r="B2530" s="419"/>
      <c r="C2530" s="420"/>
      <c r="D2530" s="421">
        <f>D2529*C2530</f>
        <v>0</v>
      </c>
      <c r="E2530" s="421">
        <f>E2529*C2530</f>
        <v>0</v>
      </c>
      <c r="F2530" s="421">
        <f>F2529*C2530</f>
        <v>0</v>
      </c>
      <c r="G2530" s="421">
        <f>G2529*C2530</f>
        <v>0</v>
      </c>
      <c r="H2530" s="421">
        <f>H2529*C2530</f>
        <v>0</v>
      </c>
      <c r="I2530" s="421">
        <f>I2529*C2530</f>
        <v>0</v>
      </c>
      <c r="J2530" s="421">
        <f>J2529*C2530</f>
        <v>0</v>
      </c>
      <c r="K2530" s="422">
        <f>SUM(D2530:J2530)</f>
        <v>0</v>
      </c>
    </row>
    <row r="2531" spans="2:11" ht="15" customHeight="1" x14ac:dyDescent="0.25">
      <c r="B2531" s="389"/>
      <c r="C2531" s="423"/>
      <c r="D2531" s="421">
        <f>D2529*C2531</f>
        <v>0</v>
      </c>
      <c r="E2531" s="421">
        <f>E2529*C2531</f>
        <v>0</v>
      </c>
      <c r="F2531" s="421">
        <f>F2529*C2531</f>
        <v>0</v>
      </c>
      <c r="G2531" s="421">
        <f>G2529*C2531</f>
        <v>0</v>
      </c>
      <c r="H2531" s="421">
        <f>H2529*C2531</f>
        <v>0</v>
      </c>
      <c r="I2531" s="421">
        <f>I2529*C2531</f>
        <v>0</v>
      </c>
      <c r="J2531" s="421">
        <f>J2529*C2531</f>
        <v>0</v>
      </c>
      <c r="K2531" s="424">
        <f>SUM(D2531:J2531)</f>
        <v>0</v>
      </c>
    </row>
    <row r="2532" spans="2:11" ht="15" customHeight="1" thickBot="1" x14ac:dyDescent="0.3"/>
    <row r="2533" spans="2:11" ht="15" customHeight="1" thickBot="1" x14ac:dyDescent="0.3">
      <c r="B2533" s="414"/>
      <c r="C2533" s="411"/>
      <c r="D2533" s="407" t="s">
        <v>548</v>
      </c>
      <c r="E2533" s="408" t="s">
        <v>549</v>
      </c>
      <c r="F2533" s="408" t="s">
        <v>550</v>
      </c>
      <c r="G2533" s="408" t="s">
        <v>551</v>
      </c>
      <c r="H2533" s="408" t="s">
        <v>552</v>
      </c>
      <c r="I2533" s="408" t="s">
        <v>553</v>
      </c>
      <c r="J2533" s="408" t="s">
        <v>554</v>
      </c>
      <c r="K2533" s="408" t="s">
        <v>555</v>
      </c>
    </row>
    <row r="2534" spans="2:11" ht="15" customHeight="1" thickBot="1" x14ac:dyDescent="0.3">
      <c r="B2534" s="414" t="s">
        <v>556</v>
      </c>
      <c r="C2534" s="415" t="s">
        <v>620</v>
      </c>
      <c r="D2534" s="416">
        <f>IF(ISERROR(VLOOKUP(B2533,'MD Usage'!$A$1:$W$5000,3,FALSE)),0,VLOOKUP(B2533,'MD Usage'!$A$1:$W$5000,3,FALSE))</f>
        <v>0</v>
      </c>
      <c r="E2534" s="416">
        <f>IF(ISERROR(VLOOKUP(B2533,'MD Usage'!$A$1:$W$5000,5,FALSE)),0,VLOOKUP(B2533,'MD Usage'!$A$1:$W$5000,5,FALSE))</f>
        <v>0</v>
      </c>
      <c r="F2534" s="416">
        <f>IF(ISERROR(VLOOKUP(B2533,'MD Usage'!$A$1:$W$5000,7,FALSE)),0,VLOOKUP(B2533,'MD Usage'!$A$1:$W$5000,7,FALSE))</f>
        <v>0</v>
      </c>
      <c r="G2534" s="416">
        <f>IF(ISERROR(VLOOKUP(B2533,'MD Usage'!$A$1:$W$5000,9,FALSE)),0,VLOOKUP(B2533,'MD Usage'!$A$1:$W$5000,9,FALSE))</f>
        <v>0</v>
      </c>
      <c r="H2534" s="416">
        <f>IF(ISERROR(VLOOKUP(B2533,'MD Usage'!$A$1:$W$5000,11,FALSE)),0,VLOOKUP(B2533,'MD Usage'!$A$1:$W$5000,11,FALSE))</f>
        <v>0</v>
      </c>
      <c r="I2534" s="416">
        <f>IF(ISERROR(VLOOKUP(B2533,'MD Usage'!A1:R2000,13,FALSE)),0,VLOOKUP(B2533,'MD Usage'!A1:R2000,13,FALSE))</f>
        <v>0</v>
      </c>
      <c r="J2534" s="416">
        <f>IF(ISERROR(VLOOKUP(B2533,'MD Usage'!A1:R2000,15,FALSE)),0,VLOOKUP(B2533,'MD Usage'!A1:R2000,15,FALSE))</f>
        <v>0</v>
      </c>
      <c r="K2534" s="418">
        <f>SUM(D2534:J2534)</f>
        <v>0</v>
      </c>
    </row>
    <row r="2535" spans="2:11" ht="15" customHeight="1" x14ac:dyDescent="0.25">
      <c r="B2535" s="419"/>
      <c r="C2535" s="420"/>
      <c r="D2535" s="421">
        <f>D2534*C2535</f>
        <v>0</v>
      </c>
      <c r="E2535" s="421">
        <f>E2534*C2535</f>
        <v>0</v>
      </c>
      <c r="F2535" s="421">
        <f>F2534*C2535</f>
        <v>0</v>
      </c>
      <c r="G2535" s="421">
        <f>G2534*C2535</f>
        <v>0</v>
      </c>
      <c r="H2535" s="421">
        <f>H2534*C2535</f>
        <v>0</v>
      </c>
      <c r="I2535" s="421">
        <f>I2534*C2535</f>
        <v>0</v>
      </c>
      <c r="J2535" s="421">
        <f>J2534*C2535</f>
        <v>0</v>
      </c>
      <c r="K2535" s="422">
        <f>SUM(D2535:J2535)</f>
        <v>0</v>
      </c>
    </row>
    <row r="2536" spans="2:11" ht="15" customHeight="1" x14ac:dyDescent="0.25">
      <c r="B2536" s="389"/>
      <c r="C2536" s="423"/>
      <c r="D2536" s="421">
        <f>D2534*C2536</f>
        <v>0</v>
      </c>
      <c r="E2536" s="421">
        <f>E2534*C2536</f>
        <v>0</v>
      </c>
      <c r="F2536" s="421">
        <f>F2534*C2536</f>
        <v>0</v>
      </c>
      <c r="G2536" s="421">
        <f>G2534*C2536</f>
        <v>0</v>
      </c>
      <c r="H2536" s="421">
        <f>H2534*C2536</f>
        <v>0</v>
      </c>
      <c r="I2536" s="421">
        <f>I2534*C2536</f>
        <v>0</v>
      </c>
      <c r="J2536" s="421">
        <f>J2534*C2536</f>
        <v>0</v>
      </c>
      <c r="K2536" s="424">
        <f>SUM(D2536:J2536)</f>
        <v>0</v>
      </c>
    </row>
    <row r="2537" spans="2:11" ht="15" customHeight="1" thickBot="1" x14ac:dyDescent="0.3"/>
    <row r="2538" spans="2:11" ht="15" customHeight="1" thickBot="1" x14ac:dyDescent="0.3">
      <c r="B2538" s="414"/>
      <c r="C2538" s="411"/>
      <c r="D2538" s="407" t="s">
        <v>548</v>
      </c>
      <c r="E2538" s="408" t="s">
        <v>549</v>
      </c>
      <c r="F2538" s="408" t="s">
        <v>550</v>
      </c>
      <c r="G2538" s="408" t="s">
        <v>551</v>
      </c>
      <c r="H2538" s="408" t="s">
        <v>552</v>
      </c>
      <c r="I2538" s="408" t="s">
        <v>553</v>
      </c>
      <c r="J2538" s="408" t="s">
        <v>554</v>
      </c>
      <c r="K2538" s="408" t="s">
        <v>555</v>
      </c>
    </row>
    <row r="2539" spans="2:11" ht="15" customHeight="1" thickBot="1" x14ac:dyDescent="0.3">
      <c r="B2539" s="414" t="s">
        <v>556</v>
      </c>
      <c r="C2539" s="415" t="s">
        <v>620</v>
      </c>
      <c r="D2539" s="416">
        <f>IF(ISERROR(VLOOKUP(B2538,'MD Usage'!$A$1:$W$5000,3,FALSE)),0,VLOOKUP(B2538,'MD Usage'!$A$1:$W$5000,3,FALSE))</f>
        <v>0</v>
      </c>
      <c r="E2539" s="416">
        <f>IF(ISERROR(VLOOKUP(B2538,'MD Usage'!$A$1:$W$5000,5,FALSE)),0,VLOOKUP(B2538,'MD Usage'!$A$1:$W$5000,5,FALSE))</f>
        <v>0</v>
      </c>
      <c r="F2539" s="416">
        <f>IF(ISERROR(VLOOKUP(B2538,'MD Usage'!$A$1:$W$5000,7,FALSE)),0,VLOOKUP(B2538,'MD Usage'!$A$1:$W$5000,7,FALSE))</f>
        <v>0</v>
      </c>
      <c r="G2539" s="416">
        <f>IF(ISERROR(VLOOKUP(B2538,'MD Usage'!$A$1:$W$5000,9,FALSE)),0,VLOOKUP(B2538,'MD Usage'!$A$1:$W$5000,9,FALSE))</f>
        <v>0</v>
      </c>
      <c r="H2539" s="416">
        <f>IF(ISERROR(VLOOKUP(B2538,'MD Usage'!$A$1:$W$5000,11,FALSE)),0,VLOOKUP(B2538,'MD Usage'!$A$1:$W$5000,11,FALSE))</f>
        <v>0</v>
      </c>
      <c r="I2539" s="416">
        <f>IF(ISERROR(VLOOKUP(B2538,'MD Usage'!A1:R2000,13,FALSE)),0,VLOOKUP(B2538,'MD Usage'!A1:R2000,13,FALSE))</f>
        <v>0</v>
      </c>
      <c r="J2539" s="416">
        <f>IF(ISERROR(VLOOKUP(B2538,'MD Usage'!A1:R2000,15,FALSE)),0,VLOOKUP(B2538,'MD Usage'!A1:R2000,15,FALSE))</f>
        <v>0</v>
      </c>
      <c r="K2539" s="418">
        <f>SUM(D2539:J2539)</f>
        <v>0</v>
      </c>
    </row>
    <row r="2540" spans="2:11" ht="15" customHeight="1" x14ac:dyDescent="0.25">
      <c r="B2540" s="419"/>
      <c r="C2540" s="420"/>
      <c r="D2540" s="421">
        <f>D2539*C2540</f>
        <v>0</v>
      </c>
      <c r="E2540" s="421">
        <f>E2539*C2540</f>
        <v>0</v>
      </c>
      <c r="F2540" s="421">
        <f>F2539*C2540</f>
        <v>0</v>
      </c>
      <c r="G2540" s="421">
        <f>G2539*C2540</f>
        <v>0</v>
      </c>
      <c r="H2540" s="421">
        <f>H2539*C2540</f>
        <v>0</v>
      </c>
      <c r="I2540" s="421">
        <f>I2539*C2540</f>
        <v>0</v>
      </c>
      <c r="J2540" s="421">
        <f>J2539*C2540</f>
        <v>0</v>
      </c>
      <c r="K2540" s="422">
        <f>SUM(D2540:J2540)</f>
        <v>0</v>
      </c>
    </row>
    <row r="2541" spans="2:11" ht="15" customHeight="1" x14ac:dyDescent="0.25">
      <c r="B2541" s="389"/>
      <c r="C2541" s="423"/>
      <c r="D2541" s="421">
        <f>D2539*C2541</f>
        <v>0</v>
      </c>
      <c r="E2541" s="421">
        <f>E2539*C2541</f>
        <v>0</v>
      </c>
      <c r="F2541" s="421">
        <f>F2539*C2541</f>
        <v>0</v>
      </c>
      <c r="G2541" s="421">
        <f>G2539*C2541</f>
        <v>0</v>
      </c>
      <c r="H2541" s="421">
        <f>H2539*C2541</f>
        <v>0</v>
      </c>
      <c r="I2541" s="421">
        <f>I2539*C2541</f>
        <v>0</v>
      </c>
      <c r="J2541" s="421">
        <f>J2539*C2541</f>
        <v>0</v>
      </c>
      <c r="K2541" s="424">
        <f>SUM(D2541:J2541)</f>
        <v>0</v>
      </c>
    </row>
    <row r="2542" spans="2:11" ht="15" customHeight="1" thickBot="1" x14ac:dyDescent="0.3"/>
    <row r="2543" spans="2:11" ht="15" customHeight="1" thickBot="1" x14ac:dyDescent="0.3">
      <c r="B2543" s="414"/>
      <c r="C2543" s="411"/>
      <c r="D2543" s="407" t="s">
        <v>548</v>
      </c>
      <c r="E2543" s="408" t="s">
        <v>549</v>
      </c>
      <c r="F2543" s="408" t="s">
        <v>550</v>
      </c>
      <c r="G2543" s="408" t="s">
        <v>551</v>
      </c>
      <c r="H2543" s="408" t="s">
        <v>552</v>
      </c>
      <c r="I2543" s="408" t="s">
        <v>553</v>
      </c>
      <c r="J2543" s="408" t="s">
        <v>554</v>
      </c>
      <c r="K2543" s="408" t="s">
        <v>555</v>
      </c>
    </row>
    <row r="2544" spans="2:11" ht="15" customHeight="1" thickBot="1" x14ac:dyDescent="0.3">
      <c r="B2544" s="414" t="s">
        <v>556</v>
      </c>
      <c r="C2544" s="415" t="s">
        <v>620</v>
      </c>
      <c r="D2544" s="416">
        <f>IF(ISERROR(VLOOKUP(B2543,'MD Usage'!$A$1:$W$5000,3,FALSE)),0,VLOOKUP(B2543,'MD Usage'!$A$1:$W$5000,3,FALSE))</f>
        <v>0</v>
      </c>
      <c r="E2544" s="416">
        <f>IF(ISERROR(VLOOKUP(B2543,'MD Usage'!$A$1:$W$5000,5,FALSE)),0,VLOOKUP(B2543,'MD Usage'!$A$1:$W$5000,5,FALSE))</f>
        <v>0</v>
      </c>
      <c r="F2544" s="416">
        <f>IF(ISERROR(VLOOKUP(B2543,'MD Usage'!$A$1:$W$5000,7,FALSE)),0,VLOOKUP(B2543,'MD Usage'!$A$1:$W$5000,7,FALSE))</f>
        <v>0</v>
      </c>
      <c r="G2544" s="416">
        <f>IF(ISERROR(VLOOKUP(B2543,'MD Usage'!$A$1:$W$5000,9,FALSE)),0,VLOOKUP(B2543,'MD Usage'!$A$1:$W$5000,9,FALSE))</f>
        <v>0</v>
      </c>
      <c r="H2544" s="416">
        <f>IF(ISERROR(VLOOKUP(B2543,'MD Usage'!$A$1:$W$5000,11,FALSE)),0,VLOOKUP(B2543,'MD Usage'!$A$1:$W$5000,11,FALSE))</f>
        <v>0</v>
      </c>
      <c r="I2544" s="416">
        <f>IF(ISERROR(VLOOKUP(B2543,'MD Usage'!A1:R2000,13,FALSE)),0,VLOOKUP(B2543,'MD Usage'!A1:R2000,13,FALSE))</f>
        <v>0</v>
      </c>
      <c r="J2544" s="416">
        <f>IF(ISERROR(VLOOKUP(B2543,'MD Usage'!A1:R2000,15,FALSE)),0,VLOOKUP(B2543,'MD Usage'!A1:R2000,15,FALSE))</f>
        <v>0</v>
      </c>
      <c r="K2544" s="418">
        <f>SUM(D2544:J2544)</f>
        <v>0</v>
      </c>
    </row>
    <row r="2545" spans="2:13" ht="15" customHeight="1" x14ac:dyDescent="0.25">
      <c r="B2545" s="419"/>
      <c r="C2545" s="420"/>
      <c r="D2545" s="421">
        <f>D2544*C2545</f>
        <v>0</v>
      </c>
      <c r="E2545" s="421">
        <f>E2544*C2545</f>
        <v>0</v>
      </c>
      <c r="F2545" s="421">
        <f>F2544*C2545</f>
        <v>0</v>
      </c>
      <c r="G2545" s="421">
        <f>G2544*C2545</f>
        <v>0</v>
      </c>
      <c r="H2545" s="421">
        <f>H2544*C2545</f>
        <v>0</v>
      </c>
      <c r="I2545" s="421">
        <f>I2544*C2545</f>
        <v>0</v>
      </c>
      <c r="J2545" s="421">
        <f>J2544*C2545</f>
        <v>0</v>
      </c>
      <c r="K2545" s="422">
        <f>SUM(D2545:J2545)</f>
        <v>0</v>
      </c>
    </row>
    <row r="2546" spans="2:13" ht="15" customHeight="1" x14ac:dyDescent="0.25">
      <c r="B2546" s="389"/>
      <c r="C2546" s="423"/>
      <c r="D2546" s="421">
        <f>D2544*C2546</f>
        <v>0</v>
      </c>
      <c r="E2546" s="421">
        <f>E2544*C2546</f>
        <v>0</v>
      </c>
      <c r="F2546" s="421">
        <f>F2544*C2546</f>
        <v>0</v>
      </c>
      <c r="G2546" s="421">
        <f>G2544*C2546</f>
        <v>0</v>
      </c>
      <c r="H2546" s="421">
        <f>H2544*C2546</f>
        <v>0</v>
      </c>
      <c r="I2546" s="421">
        <f>I2544*C2546</f>
        <v>0</v>
      </c>
      <c r="J2546" s="421">
        <f>J2544*C2546</f>
        <v>0</v>
      </c>
      <c r="K2546" s="424">
        <f>SUM(D2546:J2546)</f>
        <v>0</v>
      </c>
    </row>
    <row r="2547" spans="2:13" ht="15" customHeight="1" thickBot="1" x14ac:dyDescent="0.3"/>
    <row r="2548" spans="2:13" ht="15" customHeight="1" thickBot="1" x14ac:dyDescent="0.3">
      <c r="B2548" s="414"/>
      <c r="C2548" s="411"/>
      <c r="D2548" s="407" t="s">
        <v>548</v>
      </c>
      <c r="E2548" s="408" t="s">
        <v>549</v>
      </c>
      <c r="F2548" s="408" t="s">
        <v>550</v>
      </c>
      <c r="G2548" s="408" t="s">
        <v>551</v>
      </c>
      <c r="H2548" s="408" t="s">
        <v>552</v>
      </c>
      <c r="I2548" s="408" t="s">
        <v>553</v>
      </c>
      <c r="J2548" s="408" t="s">
        <v>554</v>
      </c>
      <c r="K2548" s="408" t="s">
        <v>555</v>
      </c>
    </row>
    <row r="2549" spans="2:13" ht="15" customHeight="1" thickBot="1" x14ac:dyDescent="0.3">
      <c r="B2549" s="414" t="s">
        <v>556</v>
      </c>
      <c r="C2549" s="415" t="s">
        <v>620</v>
      </c>
      <c r="D2549" s="416">
        <f>IF(ISERROR(VLOOKUP(B2548,'MD Usage'!$A$1:$W$5000,3,FALSE)),0,VLOOKUP(B2548,'MD Usage'!$A$1:$W$5000,3,FALSE))</f>
        <v>0</v>
      </c>
      <c r="E2549" s="416">
        <f>IF(ISERROR(VLOOKUP(B2548,'MD Usage'!$A$1:$W$5000,5,FALSE)),0,VLOOKUP(B2548,'MD Usage'!$A$1:$W$5000,5,FALSE))</f>
        <v>0</v>
      </c>
      <c r="F2549" s="416">
        <f>IF(ISERROR(VLOOKUP(B2548,'MD Usage'!$A$1:$W$5000,7,FALSE)),0,VLOOKUP(B2548,'MD Usage'!$A$1:$W$5000,7,FALSE))</f>
        <v>0</v>
      </c>
      <c r="G2549" s="416">
        <f>IF(ISERROR(VLOOKUP(B2548,'MD Usage'!$A$1:$W$5000,9,FALSE)),0,VLOOKUP(B2548,'MD Usage'!$A$1:$W$5000,9,FALSE))</f>
        <v>0</v>
      </c>
      <c r="H2549" s="416">
        <f>IF(ISERROR(VLOOKUP(B2548,'MD Usage'!$A$1:$W$5000,11,FALSE)),0,VLOOKUP(B2548,'MD Usage'!$A$1:$W$5000,11,FALSE))</f>
        <v>0</v>
      </c>
      <c r="I2549" s="416">
        <f>IF(ISERROR(VLOOKUP(B2548,'MD Usage'!A1:R2000,13,FALSE)),0,VLOOKUP(B2548,'MD Usage'!A1:R2000,13,FALSE))</f>
        <v>0</v>
      </c>
      <c r="J2549" s="416">
        <f>IF(ISERROR(VLOOKUP(B2548,'MD Usage'!A1:R2000,15,FALSE)),0,VLOOKUP(B2548,'MD Usage'!A1:R2000,15,FALSE))</f>
        <v>0</v>
      </c>
      <c r="K2549" s="418">
        <f>SUM(D2549:J2549)</f>
        <v>0</v>
      </c>
    </row>
    <row r="2550" spans="2:13" ht="15" customHeight="1" x14ac:dyDescent="0.25">
      <c r="B2550" s="419"/>
      <c r="C2550" s="420"/>
      <c r="D2550" s="421">
        <f>D2549*C2550</f>
        <v>0</v>
      </c>
      <c r="E2550" s="421">
        <f>E2549*C2550</f>
        <v>0</v>
      </c>
      <c r="F2550" s="421">
        <f>F2549*C2550</f>
        <v>0</v>
      </c>
      <c r="G2550" s="421">
        <f>G2549*C2550</f>
        <v>0</v>
      </c>
      <c r="H2550" s="421">
        <f>H2549*C2550</f>
        <v>0</v>
      </c>
      <c r="I2550" s="421">
        <f>I2549*C2550</f>
        <v>0</v>
      </c>
      <c r="J2550" s="421">
        <f>J2549*C2550</f>
        <v>0</v>
      </c>
      <c r="K2550" s="422">
        <f>SUM(D2550:J2550)</f>
        <v>0</v>
      </c>
    </row>
    <row r="2551" spans="2:13" ht="15" customHeight="1" x14ac:dyDescent="0.25">
      <c r="B2551" s="389"/>
      <c r="C2551" s="423"/>
      <c r="D2551" s="421">
        <f>D2549*C2551</f>
        <v>0</v>
      </c>
      <c r="E2551" s="421">
        <f>E2549*C2551</f>
        <v>0</v>
      </c>
      <c r="F2551" s="421">
        <f>F2549*C2551</f>
        <v>0</v>
      </c>
      <c r="G2551" s="421">
        <f>G2549*C2551</f>
        <v>0</v>
      </c>
      <c r="H2551" s="421">
        <f>H2549*C2551</f>
        <v>0</v>
      </c>
      <c r="I2551" s="421">
        <f>I2549*C2551</f>
        <v>0</v>
      </c>
      <c r="J2551" s="421">
        <f>J2549*C2551</f>
        <v>0</v>
      </c>
      <c r="K2551" s="424">
        <f>SUM(D2551:J2551)</f>
        <v>0</v>
      </c>
    </row>
    <row r="2552" spans="2:13" ht="15" customHeight="1" thickBot="1" x14ac:dyDescent="0.3"/>
    <row r="2553" spans="2:13" ht="15" customHeight="1" thickBot="1" x14ac:dyDescent="0.3">
      <c r="B2553" s="414"/>
      <c r="C2553" s="411"/>
      <c r="D2553" s="407" t="s">
        <v>548</v>
      </c>
      <c r="E2553" s="408" t="s">
        <v>549</v>
      </c>
      <c r="F2553" s="408" t="s">
        <v>550</v>
      </c>
      <c r="G2553" s="408" t="s">
        <v>551</v>
      </c>
      <c r="H2553" s="408" t="s">
        <v>552</v>
      </c>
      <c r="I2553" s="408" t="s">
        <v>553</v>
      </c>
      <c r="J2553" s="408" t="s">
        <v>554</v>
      </c>
      <c r="K2553" s="408" t="s">
        <v>555</v>
      </c>
    </row>
    <row r="2554" spans="2:13" ht="15" customHeight="1" thickBot="1" x14ac:dyDescent="0.3">
      <c r="B2554" s="414" t="s">
        <v>556</v>
      </c>
      <c r="C2554" s="415" t="s">
        <v>620</v>
      </c>
      <c r="D2554" s="416">
        <f>IF(ISERROR(VLOOKUP(B2553,'MD Usage'!$A$1:$W$5000,3,FALSE)),0,VLOOKUP(B2553,'MD Usage'!$A$1:$W$5000,3,FALSE))</f>
        <v>0</v>
      </c>
      <c r="E2554" s="416">
        <f>IF(ISERROR(VLOOKUP(B2553,'MD Usage'!$A$1:$W$5000,5,FALSE)),0,VLOOKUP(B2553,'MD Usage'!$A$1:$W$5000,5,FALSE))</f>
        <v>0</v>
      </c>
      <c r="F2554" s="416">
        <f>IF(ISERROR(VLOOKUP(B2553,'MD Usage'!$A$1:$W$5000,7,FALSE)),0,VLOOKUP(B2553,'MD Usage'!$A$1:$W$5000,7,FALSE))</f>
        <v>0</v>
      </c>
      <c r="G2554" s="416">
        <f>IF(ISERROR(VLOOKUP(B2553,'MD Usage'!$A$1:$W$5000,9,FALSE)),0,VLOOKUP(B2553,'MD Usage'!$A$1:$W$5000,9,FALSE))</f>
        <v>0</v>
      </c>
      <c r="H2554" s="416">
        <f>IF(ISERROR(VLOOKUP(B2553,'MD Usage'!$A$1:$W$5000,11,FALSE)),0,VLOOKUP(B2553,'MD Usage'!$A$1:$W$5000,11,FALSE))</f>
        <v>0</v>
      </c>
      <c r="I2554" s="416">
        <f>IF(ISERROR(VLOOKUP(B2553,'MD Usage'!A1:R2000,13,FALSE)),0,VLOOKUP(B2553,'MD Usage'!A1:R2000,13,FALSE))</f>
        <v>0</v>
      </c>
      <c r="J2554" s="416">
        <f>IF(ISERROR(VLOOKUP(B2553,'MD Usage'!A1:R2000,15,FALSE)),0,VLOOKUP(B2553,'MD Usage'!A1:R2000,15,FALSE))</f>
        <v>0</v>
      </c>
      <c r="K2554" s="418">
        <f>SUM(D2554:J2554)</f>
        <v>0</v>
      </c>
    </row>
    <row r="2555" spans="2:13" ht="15" customHeight="1" x14ac:dyDescent="0.25">
      <c r="B2555" s="419"/>
      <c r="C2555" s="420"/>
      <c r="D2555" s="421">
        <f>D2554*C2555</f>
        <v>0</v>
      </c>
      <c r="E2555" s="421">
        <f>E2554*C2555</f>
        <v>0</v>
      </c>
      <c r="F2555" s="421">
        <f>F2554*C2555</f>
        <v>0</v>
      </c>
      <c r="G2555" s="421">
        <f>G2554*C2555</f>
        <v>0</v>
      </c>
      <c r="H2555" s="421">
        <f>H2554*C2555</f>
        <v>0</v>
      </c>
      <c r="I2555" s="421">
        <f>I2554*C2555</f>
        <v>0</v>
      </c>
      <c r="J2555" s="421">
        <f>J2554*C2555</f>
        <v>0</v>
      </c>
      <c r="K2555" s="422">
        <f>SUM(D2555:J2555)</f>
        <v>0</v>
      </c>
    </row>
    <row r="2556" spans="2:13" ht="15" customHeight="1" x14ac:dyDescent="0.25">
      <c r="B2556" s="389"/>
      <c r="C2556" s="423"/>
      <c r="D2556" s="421">
        <f>D2554*C2556</f>
        <v>0</v>
      </c>
      <c r="E2556" s="421">
        <f>E2554*C2556</f>
        <v>0</v>
      </c>
      <c r="F2556" s="421">
        <f>F2554*C2556</f>
        <v>0</v>
      </c>
      <c r="G2556" s="421">
        <f>G2554*C2556</f>
        <v>0</v>
      </c>
      <c r="H2556" s="421">
        <f>H2554*C2556</f>
        <v>0</v>
      </c>
      <c r="I2556" s="421">
        <f>I2554*C2556</f>
        <v>0</v>
      </c>
      <c r="J2556" s="421">
        <f>J2554*C2556</f>
        <v>0</v>
      </c>
      <c r="K2556" s="424">
        <f>SUM(D2556:J2556)</f>
        <v>0</v>
      </c>
    </row>
    <row r="2557" spans="2:13" ht="15" customHeight="1" thickBot="1" x14ac:dyDescent="0.3"/>
    <row r="2558" spans="2:13" ht="15" customHeight="1" thickBot="1" x14ac:dyDescent="0.3">
      <c r="B2558" s="432"/>
      <c r="C2558" s="411"/>
      <c r="D2558" s="407" t="s">
        <v>548</v>
      </c>
      <c r="E2558" s="408" t="s">
        <v>549</v>
      </c>
      <c r="F2558" s="408" t="s">
        <v>550</v>
      </c>
      <c r="G2558" s="408" t="s">
        <v>551</v>
      </c>
      <c r="H2558" s="408" t="s">
        <v>552</v>
      </c>
      <c r="I2558" s="408" t="s">
        <v>553</v>
      </c>
      <c r="J2558" s="408" t="s">
        <v>554</v>
      </c>
      <c r="K2558" s="408" t="s">
        <v>555</v>
      </c>
      <c r="M2558" s="414"/>
    </row>
    <row r="2559" spans="2:13" ht="15" customHeight="1" thickBot="1" x14ac:dyDescent="0.3">
      <c r="B2559" s="414" t="s">
        <v>556</v>
      </c>
      <c r="C2559" s="415" t="s">
        <v>620</v>
      </c>
      <c r="D2559" s="416">
        <f>IF(ISERROR(VLOOKUP(B2558,'MD Usage'!$A$1:$W$5000,3,FALSE)),0,VLOOKUP(B2558,'MD Usage'!$A$1:$W$5000,3,FALSE))</f>
        <v>0</v>
      </c>
      <c r="E2559" s="416">
        <f>IF(ISERROR(VLOOKUP(B2558,'MD Usage'!$A$1:$W$5000,5,FALSE)),0,VLOOKUP(B2558,'MD Usage'!$A$1:$W$5000,5,FALSE))</f>
        <v>0</v>
      </c>
      <c r="F2559" s="416">
        <f>IF(ISERROR(VLOOKUP(B2558,'MD Usage'!$A$1:$W$5000,7,FALSE)),0,VLOOKUP(B2558,'MD Usage'!$A$1:$W$5000,7,FALSE))</f>
        <v>0</v>
      </c>
      <c r="G2559" s="416">
        <f>IF(ISERROR(VLOOKUP(B2558,'MD Usage'!$A$1:$W$5000,9,FALSE)),0,VLOOKUP(B2558,'MD Usage'!$A$1:$W$5000,9,FALSE))</f>
        <v>0</v>
      </c>
      <c r="H2559" s="416">
        <f>IF(ISERROR(VLOOKUP(B2558,'MD Usage'!$A$1:$W$5000,11,FALSE)),0,VLOOKUP(B2558,'MD Usage'!$A$1:$W$5000,11,FALSE))</f>
        <v>0</v>
      </c>
      <c r="I2559" s="416">
        <f>IF(ISERROR(VLOOKUP(B2558,'MD Usage'!A1:R2000,13,FALSE)),0,VLOOKUP(B2558,'MD Usage'!A1:R2000,13,FALSE))</f>
        <v>0</v>
      </c>
      <c r="J2559" s="416">
        <f>IF(ISERROR(VLOOKUP(B2558,'MD Usage'!A1:R2000,15,FALSE)),0,VLOOKUP(B2558,'MD Usage'!A1:R2000,15,FALSE))</f>
        <v>0</v>
      </c>
      <c r="K2559" s="418">
        <f>SUM(D2559:J2559)</f>
        <v>0</v>
      </c>
    </row>
    <row r="2560" spans="2:13" ht="15" customHeight="1" x14ac:dyDescent="0.25">
      <c r="B2560" s="419"/>
      <c r="C2560" s="420"/>
      <c r="D2560" s="421">
        <f>D2559*C2560</f>
        <v>0</v>
      </c>
      <c r="E2560" s="421">
        <f>E2559*C2560</f>
        <v>0</v>
      </c>
      <c r="F2560" s="421">
        <f>F2559*C2560</f>
        <v>0</v>
      </c>
      <c r="G2560" s="421">
        <f>G2559*C2560</f>
        <v>0</v>
      </c>
      <c r="H2560" s="421">
        <f>H2559*C2560</f>
        <v>0</v>
      </c>
      <c r="I2560" s="421">
        <f>I2559*C2560</f>
        <v>0</v>
      </c>
      <c r="J2560" s="421">
        <f>J2559*C2560</f>
        <v>0</v>
      </c>
      <c r="K2560" s="422">
        <f>SUM(D2560:J2560)</f>
        <v>0</v>
      </c>
    </row>
    <row r="2561" spans="2:11" ht="15" customHeight="1" x14ac:dyDescent="0.25">
      <c r="B2561" s="389"/>
      <c r="C2561" s="423"/>
      <c r="D2561" s="421">
        <f>D2559*C2561</f>
        <v>0</v>
      </c>
      <c r="E2561" s="421">
        <f>E2559*C2561</f>
        <v>0</v>
      </c>
      <c r="F2561" s="421">
        <f>F2559*C2561</f>
        <v>0</v>
      </c>
      <c r="G2561" s="421">
        <f>G2559*C2561</f>
        <v>0</v>
      </c>
      <c r="H2561" s="421">
        <f>H2559*C2561</f>
        <v>0</v>
      </c>
      <c r="I2561" s="421">
        <f>I2559*C2561</f>
        <v>0</v>
      </c>
      <c r="J2561" s="421">
        <f>J2559*C2561</f>
        <v>0</v>
      </c>
      <c r="K2561" s="424">
        <f>SUM(D2561:J2561)</f>
        <v>0</v>
      </c>
    </row>
    <row r="2562" spans="2:11" ht="15" customHeight="1" thickBot="1" x14ac:dyDescent="0.3"/>
    <row r="2563" spans="2:11" ht="15" customHeight="1" thickBot="1" x14ac:dyDescent="0.3">
      <c r="B2563" s="414"/>
      <c r="C2563" s="411"/>
      <c r="D2563" s="407" t="s">
        <v>548</v>
      </c>
      <c r="E2563" s="408" t="s">
        <v>549</v>
      </c>
      <c r="F2563" s="408" t="s">
        <v>550</v>
      </c>
      <c r="G2563" s="408" t="s">
        <v>551</v>
      </c>
      <c r="H2563" s="408" t="s">
        <v>552</v>
      </c>
      <c r="I2563" s="408" t="s">
        <v>553</v>
      </c>
      <c r="J2563" s="408" t="s">
        <v>554</v>
      </c>
      <c r="K2563" s="408" t="s">
        <v>555</v>
      </c>
    </row>
    <row r="2564" spans="2:11" ht="15" customHeight="1" thickBot="1" x14ac:dyDescent="0.3">
      <c r="B2564" s="414" t="s">
        <v>556</v>
      </c>
      <c r="C2564" s="415" t="s">
        <v>620</v>
      </c>
      <c r="D2564" s="416">
        <f>IF(ISERROR(VLOOKUP(B2563,'MD Usage'!$A$1:$W$5000,3,FALSE)),0,VLOOKUP(B2563,'MD Usage'!$A$1:$W$5000,3,FALSE))</f>
        <v>0</v>
      </c>
      <c r="E2564" s="416">
        <f>IF(ISERROR(VLOOKUP(B2563,'MD Usage'!$A$1:$W$5000,5,FALSE)),0,VLOOKUP(B2563,'MD Usage'!$A$1:$W$5000,5,FALSE))</f>
        <v>0</v>
      </c>
      <c r="F2564" s="416">
        <f>IF(ISERROR(VLOOKUP(B2563,'MD Usage'!$A$1:$W$5000,7,FALSE)),0,VLOOKUP(B2563,'MD Usage'!$A$1:$W$5000,7,FALSE))</f>
        <v>0</v>
      </c>
      <c r="G2564" s="416">
        <f>IF(ISERROR(VLOOKUP(B2563,'MD Usage'!$A$1:$W$5000,9,FALSE)),0,VLOOKUP(B2563,'MD Usage'!$A$1:$W$5000,9,FALSE))</f>
        <v>0</v>
      </c>
      <c r="H2564" s="416">
        <f>IF(ISERROR(VLOOKUP(B2563,'MD Usage'!$A$1:$W$5000,11,FALSE)),0,VLOOKUP(B2563,'MD Usage'!$A$1:$W$5000,11,FALSE))</f>
        <v>0</v>
      </c>
      <c r="I2564" s="416">
        <f>IF(ISERROR(VLOOKUP(B2563,'MD Usage'!A1:R2000,13,FALSE)),0,VLOOKUP(B2563,'MD Usage'!A1:R2000,13,FALSE))</f>
        <v>0</v>
      </c>
      <c r="J2564" s="416">
        <f>IF(ISERROR(VLOOKUP(B2563,'MD Usage'!A1:R2000,15,FALSE)),0,VLOOKUP(B2563,'MD Usage'!A1:R2000,15,FALSE))</f>
        <v>0</v>
      </c>
      <c r="K2564" s="418">
        <f>SUM(D2564:J2564)</f>
        <v>0</v>
      </c>
    </row>
    <row r="2565" spans="2:11" ht="15" customHeight="1" x14ac:dyDescent="0.25">
      <c r="B2565" s="419"/>
      <c r="C2565" s="420"/>
      <c r="D2565" s="421">
        <f>D2564*C2565</f>
        <v>0</v>
      </c>
      <c r="E2565" s="421">
        <f>E2564*C2565</f>
        <v>0</v>
      </c>
      <c r="F2565" s="421">
        <f>F2564*C2565</f>
        <v>0</v>
      </c>
      <c r="G2565" s="421">
        <f>G2564*C2565</f>
        <v>0</v>
      </c>
      <c r="H2565" s="421">
        <f>H2564*C2565</f>
        <v>0</v>
      </c>
      <c r="I2565" s="421">
        <f>I2564*C2565</f>
        <v>0</v>
      </c>
      <c r="J2565" s="421">
        <f>J2564*C2565</f>
        <v>0</v>
      </c>
      <c r="K2565" s="422">
        <f>SUM(D2565:J2565)</f>
        <v>0</v>
      </c>
    </row>
    <row r="2566" spans="2:11" ht="15" customHeight="1" x14ac:dyDescent="0.25">
      <c r="B2566" s="389"/>
      <c r="C2566" s="423"/>
      <c r="D2566" s="421">
        <f>D2564*C2566</f>
        <v>0</v>
      </c>
      <c r="E2566" s="421">
        <f>E2564*C2566</f>
        <v>0</v>
      </c>
      <c r="F2566" s="421">
        <f>F2564*C2566</f>
        <v>0</v>
      </c>
      <c r="G2566" s="421">
        <f>G2564*C2566</f>
        <v>0</v>
      </c>
      <c r="H2566" s="421">
        <f>H2564*C2566</f>
        <v>0</v>
      </c>
      <c r="I2566" s="421">
        <f>I2564*C2566</f>
        <v>0</v>
      </c>
      <c r="J2566" s="421">
        <f>J2564*C2566</f>
        <v>0</v>
      </c>
      <c r="K2566" s="424">
        <f>SUM(D2566:J2566)</f>
        <v>0</v>
      </c>
    </row>
    <row r="2567" spans="2:11" ht="15" customHeight="1" thickBot="1" x14ac:dyDescent="0.3"/>
    <row r="2568" spans="2:11" ht="15" customHeight="1" thickBot="1" x14ac:dyDescent="0.3">
      <c r="B2568" s="414"/>
      <c r="C2568" s="411"/>
      <c r="D2568" s="407" t="s">
        <v>548</v>
      </c>
      <c r="E2568" s="408" t="s">
        <v>549</v>
      </c>
      <c r="F2568" s="408" t="s">
        <v>550</v>
      </c>
      <c r="G2568" s="408" t="s">
        <v>551</v>
      </c>
      <c r="H2568" s="408" t="s">
        <v>552</v>
      </c>
      <c r="I2568" s="408" t="s">
        <v>553</v>
      </c>
      <c r="J2568" s="408" t="s">
        <v>554</v>
      </c>
      <c r="K2568" s="408" t="s">
        <v>555</v>
      </c>
    </row>
    <row r="2569" spans="2:11" ht="15" customHeight="1" thickBot="1" x14ac:dyDescent="0.3">
      <c r="B2569" s="414" t="s">
        <v>556</v>
      </c>
      <c r="C2569" s="415" t="s">
        <v>620</v>
      </c>
      <c r="D2569" s="416">
        <f>IF(ISERROR(VLOOKUP(B2568,'MD Usage'!$A$1:$W$5000,3,FALSE)),0,VLOOKUP(B2568,'MD Usage'!$A$1:$W$5000,3,FALSE))</f>
        <v>0</v>
      </c>
      <c r="E2569" s="416">
        <f>IF(ISERROR(VLOOKUP(B2568,'MD Usage'!$A$1:$W$5000,5,FALSE)),0,VLOOKUP(B2568,'MD Usage'!$A$1:$W$5000,5,FALSE))</f>
        <v>0</v>
      </c>
      <c r="F2569" s="416">
        <f>IF(ISERROR(VLOOKUP(B2568,'MD Usage'!$A$1:$W$5000,7,FALSE)),0,VLOOKUP(B2568,'MD Usage'!$A$1:$W$5000,7,FALSE))</f>
        <v>0</v>
      </c>
      <c r="G2569" s="416">
        <f>IF(ISERROR(VLOOKUP(B2568,'MD Usage'!$A$1:$W$5000,9,FALSE)),0,VLOOKUP(B2568,'MD Usage'!$A$1:$W$5000,9,FALSE))</f>
        <v>0</v>
      </c>
      <c r="H2569" s="416">
        <f>IF(ISERROR(VLOOKUP(B2568,'MD Usage'!$A$1:$W$5000,11,FALSE)),0,VLOOKUP(B2568,'MD Usage'!$A$1:$W$5000,11,FALSE))</f>
        <v>0</v>
      </c>
      <c r="I2569" s="416">
        <f>IF(ISERROR(VLOOKUP(B2568,'MD Usage'!A1:R2000,13,FALSE)),0,VLOOKUP(B2568,'MD Usage'!A1:R2000,13,FALSE))</f>
        <v>0</v>
      </c>
      <c r="J2569" s="416">
        <f>IF(ISERROR(VLOOKUP(B2568,'MD Usage'!A1:R2000,15,FALSE)),0,VLOOKUP(B2568,'MD Usage'!A1:R2000,15,FALSE))</f>
        <v>0</v>
      </c>
      <c r="K2569" s="418">
        <f t="shared" ref="K2569:K2575" si="105">SUM(D2569:J2569)</f>
        <v>0</v>
      </c>
    </row>
    <row r="2570" spans="2:11" ht="15" customHeight="1" x14ac:dyDescent="0.25">
      <c r="B2570" s="419"/>
      <c r="C2570" s="420"/>
      <c r="D2570" s="421">
        <f t="shared" ref="D2570:D2575" si="106">$D$2569*C2570</f>
        <v>0</v>
      </c>
      <c r="E2570" s="421">
        <f>$E$2569*$C$2570</f>
        <v>0</v>
      </c>
      <c r="F2570" s="421">
        <f t="shared" ref="F2570:F2575" si="107">C2570*$F$2569</f>
        <v>0</v>
      </c>
      <c r="G2570" s="421">
        <f t="shared" ref="G2570:G2575" si="108">C2570*$G$2569</f>
        <v>0</v>
      </c>
      <c r="H2570" s="421">
        <f t="shared" ref="H2570:H2575" si="109">$H$2569*C2570</f>
        <v>0</v>
      </c>
      <c r="I2570" s="421">
        <f t="shared" ref="I2570:I2575" si="110">$I$2569*C2570</f>
        <v>0</v>
      </c>
      <c r="J2570" s="421">
        <f t="shared" ref="J2570:J2575" si="111">$J$2569*C2570</f>
        <v>0</v>
      </c>
      <c r="K2570" s="422">
        <f t="shared" si="105"/>
        <v>0</v>
      </c>
    </row>
    <row r="2571" spans="2:11" ht="15" customHeight="1" x14ac:dyDescent="0.25">
      <c r="B2571" s="389"/>
      <c r="C2571" s="423"/>
      <c r="D2571" s="421">
        <f t="shared" si="106"/>
        <v>0</v>
      </c>
      <c r="E2571" s="421">
        <f>$E$2569*$C$2571</f>
        <v>0</v>
      </c>
      <c r="F2571" s="421">
        <f t="shared" si="107"/>
        <v>0</v>
      </c>
      <c r="G2571" s="421">
        <f t="shared" si="108"/>
        <v>0</v>
      </c>
      <c r="H2571" s="421">
        <f t="shared" si="109"/>
        <v>0</v>
      </c>
      <c r="I2571" s="421">
        <f t="shared" si="110"/>
        <v>0</v>
      </c>
      <c r="J2571" s="421">
        <f t="shared" si="111"/>
        <v>0</v>
      </c>
      <c r="K2571" s="424">
        <f t="shared" si="105"/>
        <v>0</v>
      </c>
    </row>
    <row r="2572" spans="2:11" ht="15" customHeight="1" x14ac:dyDescent="0.25">
      <c r="B2572" s="389"/>
      <c r="C2572" s="423"/>
      <c r="D2572" s="421">
        <f t="shared" si="106"/>
        <v>0</v>
      </c>
      <c r="E2572" s="421">
        <f>$E$2569*$C$2572</f>
        <v>0</v>
      </c>
      <c r="F2572" s="421">
        <f t="shared" si="107"/>
        <v>0</v>
      </c>
      <c r="G2572" s="421">
        <f t="shared" si="108"/>
        <v>0</v>
      </c>
      <c r="H2572" s="421">
        <f t="shared" si="109"/>
        <v>0</v>
      </c>
      <c r="I2572" s="421">
        <f t="shared" si="110"/>
        <v>0</v>
      </c>
      <c r="J2572" s="421">
        <f t="shared" si="111"/>
        <v>0</v>
      </c>
      <c r="K2572" s="422">
        <f t="shared" si="105"/>
        <v>0</v>
      </c>
    </row>
    <row r="2573" spans="2:11" ht="15" customHeight="1" x14ac:dyDescent="0.25">
      <c r="B2573" s="389"/>
      <c r="C2573" s="423"/>
      <c r="D2573" s="421">
        <f t="shared" si="106"/>
        <v>0</v>
      </c>
      <c r="E2573" s="421">
        <f>$E$2569*$C$2573</f>
        <v>0</v>
      </c>
      <c r="F2573" s="421">
        <f t="shared" si="107"/>
        <v>0</v>
      </c>
      <c r="G2573" s="421">
        <f t="shared" si="108"/>
        <v>0</v>
      </c>
      <c r="H2573" s="421">
        <f t="shared" si="109"/>
        <v>0</v>
      </c>
      <c r="I2573" s="421">
        <f t="shared" si="110"/>
        <v>0</v>
      </c>
      <c r="J2573" s="421">
        <f t="shared" si="111"/>
        <v>0</v>
      </c>
      <c r="K2573" s="424">
        <f t="shared" si="105"/>
        <v>0</v>
      </c>
    </row>
    <row r="2574" spans="2:11" ht="15" customHeight="1" x14ac:dyDescent="0.25">
      <c r="B2574" s="419"/>
      <c r="C2574" s="420"/>
      <c r="D2574" s="421">
        <f t="shared" si="106"/>
        <v>0</v>
      </c>
      <c r="E2574" s="421">
        <f>$E$2569*$C$2574</f>
        <v>0</v>
      </c>
      <c r="F2574" s="421">
        <f t="shared" si="107"/>
        <v>0</v>
      </c>
      <c r="G2574" s="421">
        <f t="shared" si="108"/>
        <v>0</v>
      </c>
      <c r="H2574" s="421">
        <f t="shared" si="109"/>
        <v>0</v>
      </c>
      <c r="I2574" s="421">
        <f t="shared" si="110"/>
        <v>0</v>
      </c>
      <c r="J2574" s="421">
        <f t="shared" si="111"/>
        <v>0</v>
      </c>
      <c r="K2574" s="422">
        <f t="shared" si="105"/>
        <v>0</v>
      </c>
    </row>
    <row r="2575" spans="2:11" ht="15" customHeight="1" x14ac:dyDescent="0.25">
      <c r="B2575" s="389"/>
      <c r="C2575" s="423"/>
      <c r="D2575" s="421">
        <f t="shared" si="106"/>
        <v>0</v>
      </c>
      <c r="E2575" s="421">
        <f>$E$2569*$C$2575</f>
        <v>0</v>
      </c>
      <c r="F2575" s="421">
        <f t="shared" si="107"/>
        <v>0</v>
      </c>
      <c r="G2575" s="421">
        <f t="shared" si="108"/>
        <v>0</v>
      </c>
      <c r="H2575" s="421">
        <f t="shared" si="109"/>
        <v>0</v>
      </c>
      <c r="I2575" s="421">
        <f t="shared" si="110"/>
        <v>0</v>
      </c>
      <c r="J2575" s="421">
        <f t="shared" si="111"/>
        <v>0</v>
      </c>
      <c r="K2575" s="424">
        <f t="shared" si="105"/>
        <v>0</v>
      </c>
    </row>
    <row r="2576" spans="2:11" ht="15" customHeight="1" thickBot="1" x14ac:dyDescent="0.3">
      <c r="B2576" s="383"/>
      <c r="C2576" s="443"/>
      <c r="D2576" s="444"/>
      <c r="E2576" s="445"/>
      <c r="F2576" s="445"/>
      <c r="G2576" s="445"/>
      <c r="H2576" s="445"/>
      <c r="I2576" s="445"/>
      <c r="J2576" s="445"/>
      <c r="K2576" s="446"/>
    </row>
    <row r="2577" spans="2:11" ht="15" customHeight="1" thickBot="1" x14ac:dyDescent="0.3">
      <c r="B2577" s="414"/>
      <c r="C2577" s="411"/>
      <c r="D2577" s="407" t="s">
        <v>548</v>
      </c>
      <c r="E2577" s="408" t="s">
        <v>549</v>
      </c>
      <c r="F2577" s="408" t="s">
        <v>550</v>
      </c>
      <c r="G2577" s="408" t="s">
        <v>551</v>
      </c>
      <c r="H2577" s="408" t="s">
        <v>552</v>
      </c>
      <c r="I2577" s="408" t="s">
        <v>553</v>
      </c>
      <c r="J2577" s="408" t="s">
        <v>554</v>
      </c>
      <c r="K2577" s="408" t="s">
        <v>555</v>
      </c>
    </row>
    <row r="2578" spans="2:11" ht="15" customHeight="1" thickBot="1" x14ac:dyDescent="0.3">
      <c r="B2578" s="414" t="s">
        <v>556</v>
      </c>
      <c r="C2578" s="415" t="s">
        <v>620</v>
      </c>
      <c r="D2578" s="416">
        <f>IF(ISERROR(VLOOKUP(B2577,'MD Usage'!$A$1:$W$5000,3,FALSE)),0,VLOOKUP(B2577,'MD Usage'!$A$1:$W$5000,3,FALSE))</f>
        <v>0</v>
      </c>
      <c r="E2578" s="416">
        <f>IF(ISERROR(VLOOKUP(B2577,'MD Usage'!$A$1:$W$5000,5,FALSE)),0,VLOOKUP(B2577,'MD Usage'!$A$1:$W$5000,5,FALSE))</f>
        <v>0</v>
      </c>
      <c r="F2578" s="416">
        <f>IF(ISERROR(VLOOKUP(B2577,'MD Usage'!$A$1:$W$5000,7,FALSE)),0,VLOOKUP(B2577,'MD Usage'!$A$1:$W$5000,7,FALSE))</f>
        <v>0</v>
      </c>
      <c r="G2578" s="416">
        <f>IF(ISERROR(VLOOKUP(B2577,'MD Usage'!$A$1:$W$5000,9,FALSE)),0,VLOOKUP(B2577,'MD Usage'!$A$1:$W$5000,9,FALSE))</f>
        <v>0</v>
      </c>
      <c r="H2578" s="416">
        <f>IF(ISERROR(VLOOKUP(B2577,'MD Usage'!$A$1:$W$5000,11,FALSE)),0,VLOOKUP(B2577,'MD Usage'!$A$1:$W$5000,11,FALSE))</f>
        <v>0</v>
      </c>
      <c r="I2578" s="416">
        <f>IF(ISERROR(VLOOKUP(B2577,'MD Usage'!A1:R2000,13,FALSE)),0,VLOOKUP(B2577,'MD Usage'!A1:R2000,13,FALSE))</f>
        <v>0</v>
      </c>
      <c r="J2578" s="416">
        <f>IF(ISERROR(VLOOKUP(B2577,'MD Usage'!A1:R2000,15,FALSE)),0,VLOOKUP(B2577,'MD Usage'!A1:R2000,15,FALSE))</f>
        <v>0</v>
      </c>
      <c r="K2578" s="418">
        <f t="shared" ref="K2578:K2584" si="112">SUM(D2578:J2578)</f>
        <v>0</v>
      </c>
    </row>
    <row r="2579" spans="2:11" ht="15" customHeight="1" x14ac:dyDescent="0.25">
      <c r="B2579" s="419"/>
      <c r="C2579" s="420"/>
      <c r="D2579" s="421">
        <f t="shared" ref="D2579:D2584" si="113">$D$2578*C2579</f>
        <v>0</v>
      </c>
      <c r="E2579" s="421">
        <f t="shared" ref="E2579:E2584" si="114">$E$2578*C2579</f>
        <v>0</v>
      </c>
      <c r="F2579" s="421">
        <f t="shared" ref="F2579:F2584" si="115">$F$2578*C2579</f>
        <v>0</v>
      </c>
      <c r="G2579" s="421">
        <f t="shared" ref="G2579:G2584" si="116">$G$2578*C2579</f>
        <v>0</v>
      </c>
      <c r="H2579" s="421">
        <f t="shared" ref="H2579:H2584" si="117">$H$2578*C2579</f>
        <v>0</v>
      </c>
      <c r="I2579" s="421">
        <f t="shared" ref="I2579:I2584" si="118">$I$2578*C2579</f>
        <v>0</v>
      </c>
      <c r="J2579" s="421">
        <f t="shared" ref="J2579:J2584" si="119">$J$2578*C2579</f>
        <v>0</v>
      </c>
      <c r="K2579" s="422">
        <f t="shared" si="112"/>
        <v>0</v>
      </c>
    </row>
    <row r="2580" spans="2:11" ht="15" customHeight="1" x14ac:dyDescent="0.25">
      <c r="B2580" s="389"/>
      <c r="C2580" s="423"/>
      <c r="D2580" s="421">
        <f t="shared" si="113"/>
        <v>0</v>
      </c>
      <c r="E2580" s="421">
        <f t="shared" si="114"/>
        <v>0</v>
      </c>
      <c r="F2580" s="421">
        <f t="shared" si="115"/>
        <v>0</v>
      </c>
      <c r="G2580" s="421">
        <f t="shared" si="116"/>
        <v>0</v>
      </c>
      <c r="H2580" s="421">
        <f t="shared" si="117"/>
        <v>0</v>
      </c>
      <c r="I2580" s="421">
        <f t="shared" si="118"/>
        <v>0</v>
      </c>
      <c r="J2580" s="421">
        <f t="shared" si="119"/>
        <v>0</v>
      </c>
      <c r="K2580" s="424">
        <f t="shared" si="112"/>
        <v>0</v>
      </c>
    </row>
    <row r="2581" spans="2:11" ht="15" customHeight="1" x14ac:dyDescent="0.25">
      <c r="B2581" s="389"/>
      <c r="C2581" s="423"/>
      <c r="D2581" s="421">
        <f t="shared" si="113"/>
        <v>0</v>
      </c>
      <c r="E2581" s="421">
        <f t="shared" si="114"/>
        <v>0</v>
      </c>
      <c r="F2581" s="421">
        <f t="shared" si="115"/>
        <v>0</v>
      </c>
      <c r="G2581" s="421">
        <f t="shared" si="116"/>
        <v>0</v>
      </c>
      <c r="H2581" s="421">
        <f t="shared" si="117"/>
        <v>0</v>
      </c>
      <c r="I2581" s="421">
        <f t="shared" si="118"/>
        <v>0</v>
      </c>
      <c r="J2581" s="421">
        <f t="shared" si="119"/>
        <v>0</v>
      </c>
      <c r="K2581" s="422">
        <f t="shared" si="112"/>
        <v>0</v>
      </c>
    </row>
    <row r="2582" spans="2:11" ht="15" customHeight="1" x14ac:dyDescent="0.25">
      <c r="B2582" s="389"/>
      <c r="C2582" s="423"/>
      <c r="D2582" s="421">
        <f t="shared" si="113"/>
        <v>0</v>
      </c>
      <c r="E2582" s="421">
        <f t="shared" si="114"/>
        <v>0</v>
      </c>
      <c r="F2582" s="421">
        <f t="shared" si="115"/>
        <v>0</v>
      </c>
      <c r="G2582" s="421">
        <f t="shared" si="116"/>
        <v>0</v>
      </c>
      <c r="H2582" s="421">
        <f t="shared" si="117"/>
        <v>0</v>
      </c>
      <c r="I2582" s="421">
        <f t="shared" si="118"/>
        <v>0</v>
      </c>
      <c r="J2582" s="421">
        <f t="shared" si="119"/>
        <v>0</v>
      </c>
      <c r="K2582" s="424">
        <f t="shared" si="112"/>
        <v>0</v>
      </c>
    </row>
    <row r="2583" spans="2:11" ht="15" customHeight="1" x14ac:dyDescent="0.25">
      <c r="B2583" s="419"/>
      <c r="C2583" s="420"/>
      <c r="D2583" s="421">
        <f t="shared" si="113"/>
        <v>0</v>
      </c>
      <c r="E2583" s="421">
        <f t="shared" si="114"/>
        <v>0</v>
      </c>
      <c r="F2583" s="421">
        <f t="shared" si="115"/>
        <v>0</v>
      </c>
      <c r="G2583" s="421">
        <f t="shared" si="116"/>
        <v>0</v>
      </c>
      <c r="H2583" s="421">
        <f t="shared" si="117"/>
        <v>0</v>
      </c>
      <c r="I2583" s="421">
        <f t="shared" si="118"/>
        <v>0</v>
      </c>
      <c r="J2583" s="421">
        <f t="shared" si="119"/>
        <v>0</v>
      </c>
      <c r="K2583" s="422">
        <f t="shared" si="112"/>
        <v>0</v>
      </c>
    </row>
    <row r="2584" spans="2:11" ht="15" customHeight="1" x14ac:dyDescent="0.25">
      <c r="B2584" s="389"/>
      <c r="C2584" s="423"/>
      <c r="D2584" s="421">
        <f t="shared" si="113"/>
        <v>0</v>
      </c>
      <c r="E2584" s="421">
        <f t="shared" si="114"/>
        <v>0</v>
      </c>
      <c r="F2584" s="421">
        <f t="shared" si="115"/>
        <v>0</v>
      </c>
      <c r="G2584" s="421">
        <f t="shared" si="116"/>
        <v>0</v>
      </c>
      <c r="H2584" s="421">
        <f t="shared" si="117"/>
        <v>0</v>
      </c>
      <c r="I2584" s="421">
        <f t="shared" si="118"/>
        <v>0</v>
      </c>
      <c r="J2584" s="421">
        <f t="shared" si="119"/>
        <v>0</v>
      </c>
      <c r="K2584" s="424">
        <f t="shared" si="112"/>
        <v>0</v>
      </c>
    </row>
    <row r="2585" spans="2:11" ht="15" customHeight="1" thickBot="1" x14ac:dyDescent="0.3"/>
    <row r="2586" spans="2:11" ht="15" customHeight="1" thickBot="1" x14ac:dyDescent="0.3">
      <c r="B2586" s="414"/>
      <c r="C2586" s="411"/>
      <c r="D2586" s="407" t="s">
        <v>548</v>
      </c>
      <c r="E2586" s="408" t="s">
        <v>549</v>
      </c>
      <c r="F2586" s="408" t="s">
        <v>550</v>
      </c>
      <c r="G2586" s="408" t="s">
        <v>551</v>
      </c>
      <c r="H2586" s="408" t="s">
        <v>552</v>
      </c>
      <c r="I2586" s="408" t="s">
        <v>553</v>
      </c>
      <c r="J2586" s="408" t="s">
        <v>554</v>
      </c>
      <c r="K2586" s="408" t="s">
        <v>555</v>
      </c>
    </row>
    <row r="2587" spans="2:11" ht="15" customHeight="1" thickBot="1" x14ac:dyDescent="0.3">
      <c r="B2587" s="414" t="s">
        <v>556</v>
      </c>
      <c r="C2587" s="415" t="s">
        <v>620</v>
      </c>
      <c r="D2587" s="416">
        <f>IF(ISERROR(VLOOKUP(B2586,'MD Usage'!$A$1:$W$5000,3,FALSE)),0,VLOOKUP(B2586,'MD Usage'!$A$1:$W$5000,3,FALSE))</f>
        <v>0</v>
      </c>
      <c r="E2587" s="416">
        <f>IF(ISERROR(VLOOKUP(B2586,'MD Usage'!$A$1:$W$5000,5,FALSE)),0,VLOOKUP(B2586,'MD Usage'!$A$1:$W$5000,5,FALSE))</f>
        <v>0</v>
      </c>
      <c r="F2587" s="416">
        <f>IF(ISERROR(VLOOKUP(B2586,'MD Usage'!$A$1:$W$5000,7,FALSE)),0,VLOOKUP(B2586,'MD Usage'!$A$1:$W$5000,7,FALSE))</f>
        <v>0</v>
      </c>
      <c r="G2587" s="416">
        <f>IF(ISERROR(VLOOKUP(B2586,'MD Usage'!$A$1:$W$5000,9,FALSE)),0,VLOOKUP(B2586,'MD Usage'!$A$1:$W$5000,9,FALSE))</f>
        <v>0</v>
      </c>
      <c r="H2587" s="416">
        <f>IF(ISERROR(VLOOKUP(B2586,'MD Usage'!$A$1:$W$5000,11,FALSE)),0,VLOOKUP(B2586,'MD Usage'!$A$1:$W$5000,11,FALSE))</f>
        <v>0</v>
      </c>
      <c r="I2587" s="416">
        <f>IF(ISERROR(VLOOKUP(B2586,'MD Usage'!A1:R2000,13,FALSE)),0,VLOOKUP(B2586,'MD Usage'!A1:R2000,13,FALSE))</f>
        <v>0</v>
      </c>
      <c r="J2587" s="416">
        <f>IF(ISERROR(VLOOKUP(B2586,'MD Usage'!A1:R2000,15,FALSE)),0,VLOOKUP(B2586,'MD Usage'!A1:R2000,15,FALSE))</f>
        <v>0</v>
      </c>
      <c r="K2587" s="418">
        <f t="shared" ref="K2587:K2593" si="120">SUM(D2587:J2587)</f>
        <v>0</v>
      </c>
    </row>
    <row r="2588" spans="2:11" ht="15" customHeight="1" x14ac:dyDescent="0.25">
      <c r="B2588" s="419"/>
      <c r="C2588" s="420"/>
      <c r="D2588" s="421">
        <f t="shared" ref="D2588:D2593" si="121">$D$2587*C2588</f>
        <v>0</v>
      </c>
      <c r="E2588" s="421">
        <f t="shared" ref="E2588:E2593" si="122">$E$2587*C2588</f>
        <v>0</v>
      </c>
      <c r="F2588" s="421">
        <f t="shared" ref="F2588:F2593" si="123">$F$2587*C2588</f>
        <v>0</v>
      </c>
      <c r="G2588" s="421">
        <f t="shared" ref="G2588:G2593" si="124">$G$2587*C2588</f>
        <v>0</v>
      </c>
      <c r="H2588" s="421">
        <f t="shared" ref="H2588:H2593" si="125">$H$2587*C2588</f>
        <v>0</v>
      </c>
      <c r="I2588" s="421">
        <f t="shared" ref="I2588:I2593" si="126">$I$2587*C2588</f>
        <v>0</v>
      </c>
      <c r="J2588" s="421">
        <f t="shared" ref="J2588:J2593" si="127">$J$2587*C2588</f>
        <v>0</v>
      </c>
      <c r="K2588" s="422">
        <f t="shared" si="120"/>
        <v>0</v>
      </c>
    </row>
    <row r="2589" spans="2:11" ht="15" customHeight="1" x14ac:dyDescent="0.25">
      <c r="B2589" s="389"/>
      <c r="C2589" s="423"/>
      <c r="D2589" s="421">
        <f t="shared" si="121"/>
        <v>0</v>
      </c>
      <c r="E2589" s="421">
        <f t="shared" si="122"/>
        <v>0</v>
      </c>
      <c r="F2589" s="421">
        <f t="shared" si="123"/>
        <v>0</v>
      </c>
      <c r="G2589" s="421">
        <f t="shared" si="124"/>
        <v>0</v>
      </c>
      <c r="H2589" s="421">
        <f t="shared" si="125"/>
        <v>0</v>
      </c>
      <c r="I2589" s="421">
        <f t="shared" si="126"/>
        <v>0</v>
      </c>
      <c r="J2589" s="421">
        <f t="shared" si="127"/>
        <v>0</v>
      </c>
      <c r="K2589" s="424">
        <f t="shared" si="120"/>
        <v>0</v>
      </c>
    </row>
    <row r="2590" spans="2:11" ht="15" customHeight="1" x14ac:dyDescent="0.25">
      <c r="B2590" s="389"/>
      <c r="C2590" s="423"/>
      <c r="D2590" s="421">
        <f t="shared" si="121"/>
        <v>0</v>
      </c>
      <c r="E2590" s="421">
        <f t="shared" si="122"/>
        <v>0</v>
      </c>
      <c r="F2590" s="421">
        <f t="shared" si="123"/>
        <v>0</v>
      </c>
      <c r="G2590" s="421">
        <f t="shared" si="124"/>
        <v>0</v>
      </c>
      <c r="H2590" s="421">
        <f t="shared" si="125"/>
        <v>0</v>
      </c>
      <c r="I2590" s="421">
        <f t="shared" si="126"/>
        <v>0</v>
      </c>
      <c r="J2590" s="421">
        <f t="shared" si="127"/>
        <v>0</v>
      </c>
      <c r="K2590" s="422">
        <f t="shared" si="120"/>
        <v>0</v>
      </c>
    </row>
    <row r="2591" spans="2:11" ht="15" customHeight="1" x14ac:dyDescent="0.25">
      <c r="B2591" s="389"/>
      <c r="C2591" s="423"/>
      <c r="D2591" s="421">
        <f t="shared" si="121"/>
        <v>0</v>
      </c>
      <c r="E2591" s="421">
        <f t="shared" si="122"/>
        <v>0</v>
      </c>
      <c r="F2591" s="421">
        <f t="shared" si="123"/>
        <v>0</v>
      </c>
      <c r="G2591" s="421">
        <f t="shared" si="124"/>
        <v>0</v>
      </c>
      <c r="H2591" s="421">
        <f t="shared" si="125"/>
        <v>0</v>
      </c>
      <c r="I2591" s="421">
        <f t="shared" si="126"/>
        <v>0</v>
      </c>
      <c r="J2591" s="421">
        <f t="shared" si="127"/>
        <v>0</v>
      </c>
      <c r="K2591" s="424">
        <f t="shared" si="120"/>
        <v>0</v>
      </c>
    </row>
    <row r="2592" spans="2:11" ht="15" customHeight="1" x14ac:dyDescent="0.25">
      <c r="B2592" s="389"/>
      <c r="C2592" s="423"/>
      <c r="D2592" s="421">
        <f t="shared" si="121"/>
        <v>0</v>
      </c>
      <c r="E2592" s="421">
        <f t="shared" si="122"/>
        <v>0</v>
      </c>
      <c r="F2592" s="421">
        <f t="shared" si="123"/>
        <v>0</v>
      </c>
      <c r="G2592" s="421">
        <f t="shared" si="124"/>
        <v>0</v>
      </c>
      <c r="H2592" s="421">
        <f t="shared" si="125"/>
        <v>0</v>
      </c>
      <c r="I2592" s="421">
        <f t="shared" si="126"/>
        <v>0</v>
      </c>
      <c r="J2592" s="421">
        <f t="shared" si="127"/>
        <v>0</v>
      </c>
      <c r="K2592" s="422">
        <f t="shared" si="120"/>
        <v>0</v>
      </c>
    </row>
    <row r="2593" spans="2:11" ht="15" customHeight="1" x14ac:dyDescent="0.25">
      <c r="B2593" s="389"/>
      <c r="C2593" s="423"/>
      <c r="D2593" s="421">
        <f t="shared" si="121"/>
        <v>0</v>
      </c>
      <c r="E2593" s="421">
        <f t="shared" si="122"/>
        <v>0</v>
      </c>
      <c r="F2593" s="421">
        <f t="shared" si="123"/>
        <v>0</v>
      </c>
      <c r="G2593" s="421">
        <f t="shared" si="124"/>
        <v>0</v>
      </c>
      <c r="H2593" s="421">
        <f t="shared" si="125"/>
        <v>0</v>
      </c>
      <c r="I2593" s="421">
        <f t="shared" si="126"/>
        <v>0</v>
      </c>
      <c r="J2593" s="421">
        <f t="shared" si="127"/>
        <v>0</v>
      </c>
      <c r="K2593" s="424">
        <f t="shared" si="120"/>
        <v>0</v>
      </c>
    </row>
    <row r="2594" spans="2:11" ht="15" customHeight="1" thickBot="1" x14ac:dyDescent="0.3"/>
    <row r="2595" spans="2:11" ht="15" customHeight="1" thickBot="1" x14ac:dyDescent="0.3">
      <c r="B2595" s="414"/>
      <c r="C2595" s="411"/>
      <c r="D2595" s="407" t="s">
        <v>548</v>
      </c>
      <c r="E2595" s="408" t="s">
        <v>549</v>
      </c>
      <c r="F2595" s="408" t="s">
        <v>550</v>
      </c>
      <c r="G2595" s="408" t="s">
        <v>551</v>
      </c>
      <c r="H2595" s="408" t="s">
        <v>552</v>
      </c>
      <c r="I2595" s="408" t="s">
        <v>553</v>
      </c>
      <c r="J2595" s="408" t="s">
        <v>554</v>
      </c>
      <c r="K2595" s="408" t="s">
        <v>555</v>
      </c>
    </row>
    <row r="2596" spans="2:11" ht="15" customHeight="1" thickBot="1" x14ac:dyDescent="0.3">
      <c r="B2596" s="414" t="s">
        <v>556</v>
      </c>
      <c r="C2596" s="415" t="s">
        <v>620</v>
      </c>
      <c r="D2596" s="416">
        <f>IF(ISERROR(VLOOKUP(B2595,'MD Usage'!$A$1:$W$5000,3,FALSE)),0,VLOOKUP(B2595,'MD Usage'!$A$1:$W$5000,3,FALSE))</f>
        <v>0</v>
      </c>
      <c r="E2596" s="416">
        <f>IF(ISERROR(VLOOKUP(B2595,'MD Usage'!$A$1:$W$5000,5,FALSE)),0,VLOOKUP(B2595,'MD Usage'!$A$1:$W$5000,5,FALSE))</f>
        <v>0</v>
      </c>
      <c r="F2596" s="416">
        <f>IF(ISERROR(VLOOKUP(B2595,'MD Usage'!$A$1:$W$5000,7,FALSE)),0,VLOOKUP(B2595,'MD Usage'!$A$1:$W$5000,7,FALSE))</f>
        <v>0</v>
      </c>
      <c r="G2596" s="416">
        <f>IF(ISERROR(VLOOKUP(B2595,'MD Usage'!$A$1:$W$5000,9,FALSE)),0,VLOOKUP(B2595,'MD Usage'!$A$1:$W$5000,9,FALSE))</f>
        <v>0</v>
      </c>
      <c r="H2596" s="416">
        <f>IF(ISERROR(VLOOKUP(B2595,'MD Usage'!$A$1:$W$5000,11,FALSE)),0,VLOOKUP(B2595,'MD Usage'!$A$1:$W$5000,11,FALSE))</f>
        <v>0</v>
      </c>
      <c r="I2596" s="416">
        <f>IF(ISERROR(VLOOKUP(B2595,'MD Usage'!A1:R2000,13,FALSE)),0,VLOOKUP(B2595,'MD Usage'!A1:R2000,13,FALSE))</f>
        <v>0</v>
      </c>
      <c r="J2596" s="416">
        <f>IF(ISERROR(VLOOKUP(B2595,'MD Usage'!A1:R2000,15,FALSE)),0,VLOOKUP(B2595,'MD Usage'!A1:R2000,15,FALSE))</f>
        <v>0</v>
      </c>
      <c r="K2596" s="418">
        <f t="shared" ref="K2596:K2602" si="128">SUM(D2596:J2596)</f>
        <v>0</v>
      </c>
    </row>
    <row r="2597" spans="2:11" ht="15" customHeight="1" x14ac:dyDescent="0.25">
      <c r="B2597" s="419"/>
      <c r="C2597" s="420"/>
      <c r="D2597" s="421">
        <f t="shared" ref="D2597:D2602" si="129">$D$2596*C2597</f>
        <v>0</v>
      </c>
      <c r="E2597" s="421">
        <f t="shared" ref="E2597:E2602" si="130">$E$2596*C2597</f>
        <v>0</v>
      </c>
      <c r="F2597" s="421">
        <f t="shared" ref="F2597:F2602" si="131">$F$2596*C2597</f>
        <v>0</v>
      </c>
      <c r="G2597" s="421">
        <f t="shared" ref="G2597:G2602" si="132">$G$2596*C2597</f>
        <v>0</v>
      </c>
      <c r="H2597" s="421">
        <f t="shared" ref="H2597:H2602" si="133">$H$2596*C2597</f>
        <v>0</v>
      </c>
      <c r="I2597" s="421">
        <f t="shared" ref="I2597:I2602" si="134">$I$2596*C2597</f>
        <v>0</v>
      </c>
      <c r="J2597" s="421">
        <f t="shared" ref="J2597:J2602" si="135">$J$2596*C2597</f>
        <v>0</v>
      </c>
      <c r="K2597" s="422">
        <f t="shared" si="128"/>
        <v>0</v>
      </c>
    </row>
    <row r="2598" spans="2:11" ht="15" customHeight="1" x14ac:dyDescent="0.25">
      <c r="B2598" s="389"/>
      <c r="C2598" s="423"/>
      <c r="D2598" s="421">
        <f t="shared" si="129"/>
        <v>0</v>
      </c>
      <c r="E2598" s="421">
        <f t="shared" si="130"/>
        <v>0</v>
      </c>
      <c r="F2598" s="421">
        <f t="shared" si="131"/>
        <v>0</v>
      </c>
      <c r="G2598" s="421">
        <f t="shared" si="132"/>
        <v>0</v>
      </c>
      <c r="H2598" s="421">
        <f t="shared" si="133"/>
        <v>0</v>
      </c>
      <c r="I2598" s="421">
        <f t="shared" si="134"/>
        <v>0</v>
      </c>
      <c r="J2598" s="421">
        <f t="shared" si="135"/>
        <v>0</v>
      </c>
      <c r="K2598" s="424">
        <f t="shared" si="128"/>
        <v>0</v>
      </c>
    </row>
    <row r="2599" spans="2:11" ht="15" customHeight="1" x14ac:dyDescent="0.25">
      <c r="B2599" s="389"/>
      <c r="C2599" s="423"/>
      <c r="D2599" s="421">
        <f t="shared" si="129"/>
        <v>0</v>
      </c>
      <c r="E2599" s="421">
        <f t="shared" si="130"/>
        <v>0</v>
      </c>
      <c r="F2599" s="421">
        <f t="shared" si="131"/>
        <v>0</v>
      </c>
      <c r="G2599" s="421">
        <f t="shared" si="132"/>
        <v>0</v>
      </c>
      <c r="H2599" s="421">
        <f t="shared" si="133"/>
        <v>0</v>
      </c>
      <c r="I2599" s="421">
        <f t="shared" si="134"/>
        <v>0</v>
      </c>
      <c r="J2599" s="421">
        <f t="shared" si="135"/>
        <v>0</v>
      </c>
      <c r="K2599" s="422">
        <f t="shared" si="128"/>
        <v>0</v>
      </c>
    </row>
    <row r="2600" spans="2:11" ht="15" customHeight="1" x14ac:dyDescent="0.25">
      <c r="B2600" s="389"/>
      <c r="C2600" s="423"/>
      <c r="D2600" s="421">
        <f t="shared" si="129"/>
        <v>0</v>
      </c>
      <c r="E2600" s="421">
        <f t="shared" si="130"/>
        <v>0</v>
      </c>
      <c r="F2600" s="421">
        <f t="shared" si="131"/>
        <v>0</v>
      </c>
      <c r="G2600" s="421">
        <f t="shared" si="132"/>
        <v>0</v>
      </c>
      <c r="H2600" s="421">
        <f t="shared" si="133"/>
        <v>0</v>
      </c>
      <c r="I2600" s="421">
        <f t="shared" si="134"/>
        <v>0</v>
      </c>
      <c r="J2600" s="421">
        <f t="shared" si="135"/>
        <v>0</v>
      </c>
      <c r="K2600" s="424">
        <f t="shared" si="128"/>
        <v>0</v>
      </c>
    </row>
    <row r="2601" spans="2:11" ht="15" customHeight="1" x14ac:dyDescent="0.25">
      <c r="B2601" s="389"/>
      <c r="C2601" s="423"/>
      <c r="D2601" s="421">
        <f t="shared" si="129"/>
        <v>0</v>
      </c>
      <c r="E2601" s="421">
        <f t="shared" si="130"/>
        <v>0</v>
      </c>
      <c r="F2601" s="421">
        <f t="shared" si="131"/>
        <v>0</v>
      </c>
      <c r="G2601" s="421">
        <f t="shared" si="132"/>
        <v>0</v>
      </c>
      <c r="H2601" s="421">
        <f t="shared" si="133"/>
        <v>0</v>
      </c>
      <c r="I2601" s="421">
        <f t="shared" si="134"/>
        <v>0</v>
      </c>
      <c r="J2601" s="421">
        <f t="shared" si="135"/>
        <v>0</v>
      </c>
      <c r="K2601" s="422">
        <f t="shared" si="128"/>
        <v>0</v>
      </c>
    </row>
    <row r="2602" spans="2:11" ht="15" customHeight="1" x14ac:dyDescent="0.25">
      <c r="B2602" s="389"/>
      <c r="C2602" s="423"/>
      <c r="D2602" s="421">
        <f t="shared" si="129"/>
        <v>0</v>
      </c>
      <c r="E2602" s="421">
        <f t="shared" si="130"/>
        <v>0</v>
      </c>
      <c r="F2602" s="421">
        <f t="shared" si="131"/>
        <v>0</v>
      </c>
      <c r="G2602" s="421">
        <f t="shared" si="132"/>
        <v>0</v>
      </c>
      <c r="H2602" s="421">
        <f t="shared" si="133"/>
        <v>0</v>
      </c>
      <c r="I2602" s="421">
        <f t="shared" si="134"/>
        <v>0</v>
      </c>
      <c r="J2602" s="421">
        <f t="shared" si="135"/>
        <v>0</v>
      </c>
      <c r="K2602" s="424">
        <f t="shared" si="128"/>
        <v>0</v>
      </c>
    </row>
    <row r="2603" spans="2:11" ht="15" customHeight="1" thickBot="1" x14ac:dyDescent="0.3"/>
    <row r="2604" spans="2:11" ht="15" customHeight="1" thickBot="1" x14ac:dyDescent="0.3">
      <c r="B2604" s="414"/>
      <c r="C2604" s="411"/>
      <c r="D2604" s="407" t="s">
        <v>548</v>
      </c>
      <c r="E2604" s="408" t="s">
        <v>549</v>
      </c>
      <c r="F2604" s="408" t="s">
        <v>550</v>
      </c>
      <c r="G2604" s="408" t="s">
        <v>551</v>
      </c>
      <c r="H2604" s="408" t="s">
        <v>552</v>
      </c>
      <c r="I2604" s="408" t="s">
        <v>553</v>
      </c>
      <c r="J2604" s="408" t="s">
        <v>554</v>
      </c>
      <c r="K2604" s="408" t="s">
        <v>555</v>
      </c>
    </row>
    <row r="2605" spans="2:11" ht="15" customHeight="1" thickBot="1" x14ac:dyDescent="0.3">
      <c r="B2605" s="429" t="s">
        <v>556</v>
      </c>
      <c r="C2605" s="451" t="s">
        <v>620</v>
      </c>
      <c r="D2605" s="416">
        <f>IF(ISERROR(VLOOKUP(B2604,'MD Usage'!$A$1:$W$5000,3,FALSE)),0,VLOOKUP(B2604,'MD Usage'!$A$1:$W$5000,3,FALSE))</f>
        <v>0</v>
      </c>
      <c r="E2605" s="416">
        <f>IF(ISERROR(VLOOKUP(B2604,'MD Usage'!$A$1:$W$5000,5,FALSE)),0,VLOOKUP(B2604,'MD Usage'!$A$1:$W$5000,5,FALSE))</f>
        <v>0</v>
      </c>
      <c r="F2605" s="416">
        <f>IF(ISERROR(VLOOKUP(B2604,'MD Usage'!$A$1:$W$5000,7,FALSE)),0,VLOOKUP(B2604,'MD Usage'!$A$1:$W$5000,7,FALSE))</f>
        <v>0</v>
      </c>
      <c r="G2605" s="416">
        <f>IF(ISERROR(VLOOKUP(B2604,'MD Usage'!$A$1:$W$5000,9,FALSE)),0,VLOOKUP(B2604,'MD Usage'!$A$1:$W$5000,9,FALSE))</f>
        <v>0</v>
      </c>
      <c r="H2605" s="416">
        <f>IF(ISERROR(VLOOKUP(B2604,'MD Usage'!$A$1:$W$5000,11,FALSE)),0,VLOOKUP(B2604,'MD Usage'!$A$1:$W$5000,11,FALSE))</f>
        <v>0</v>
      </c>
      <c r="I2605" s="416">
        <f>IF(ISERROR(VLOOKUP(B2604,'MD Usage'!A1:R2000,13,FALSE)),0,VLOOKUP(B2604,'MD Usage'!A1:R2000,13,FALSE))</f>
        <v>0</v>
      </c>
      <c r="J2605" s="416">
        <f>IF(ISERROR(VLOOKUP(B2604,'MD Usage'!A1:R2000,15,FALSE)),0,VLOOKUP(B2604,'MD Usage'!A1:R2000,15,FALSE))</f>
        <v>0</v>
      </c>
      <c r="K2605" s="418">
        <f t="shared" ref="K2605:K2611" si="136">SUM(D2605:J2605)</f>
        <v>0</v>
      </c>
    </row>
    <row r="2606" spans="2:11" ht="15" customHeight="1" x14ac:dyDescent="0.25">
      <c r="B2606" s="391"/>
      <c r="C2606" s="440"/>
      <c r="D2606" s="452">
        <f t="shared" ref="D2606:D2611" si="137">$D$2605*C2606</f>
        <v>0</v>
      </c>
      <c r="E2606" s="421">
        <f t="shared" ref="E2606:E2611" si="138">$E$2605*C2606</f>
        <v>0</v>
      </c>
      <c r="F2606" s="421">
        <f t="shared" ref="F2606:F2611" si="139">$F$2605*C2606</f>
        <v>0</v>
      </c>
      <c r="G2606" s="421">
        <f t="shared" ref="G2606:G2611" si="140">$G$2605*C2606</f>
        <v>0</v>
      </c>
      <c r="H2606" s="421">
        <f t="shared" ref="H2606:H2611" si="141">$H$2605*C2606</f>
        <v>0</v>
      </c>
      <c r="I2606" s="421">
        <f t="shared" ref="I2606:I2611" si="142">$I$2605*C2606</f>
        <v>0</v>
      </c>
      <c r="J2606" s="421">
        <f t="shared" ref="J2606:J2611" si="143">$J$2605*C2606</f>
        <v>0</v>
      </c>
      <c r="K2606" s="422">
        <f t="shared" si="136"/>
        <v>0</v>
      </c>
    </row>
    <row r="2607" spans="2:11" ht="15" customHeight="1" x14ac:dyDescent="0.25">
      <c r="B2607" s="442"/>
      <c r="C2607" s="440"/>
      <c r="D2607" s="452">
        <f t="shared" si="137"/>
        <v>0</v>
      </c>
      <c r="E2607" s="421">
        <f t="shared" si="138"/>
        <v>0</v>
      </c>
      <c r="F2607" s="421">
        <f t="shared" si="139"/>
        <v>0</v>
      </c>
      <c r="G2607" s="421">
        <f t="shared" si="140"/>
        <v>0</v>
      </c>
      <c r="H2607" s="421">
        <f t="shared" si="141"/>
        <v>0</v>
      </c>
      <c r="I2607" s="421">
        <f t="shared" si="142"/>
        <v>0</v>
      </c>
      <c r="J2607" s="421">
        <f t="shared" si="143"/>
        <v>0</v>
      </c>
      <c r="K2607" s="424">
        <f t="shared" si="136"/>
        <v>0</v>
      </c>
    </row>
    <row r="2608" spans="2:11" ht="15" customHeight="1" x14ac:dyDescent="0.25">
      <c r="B2608" s="442"/>
      <c r="C2608" s="440"/>
      <c r="D2608" s="452">
        <f t="shared" si="137"/>
        <v>0</v>
      </c>
      <c r="E2608" s="421">
        <f t="shared" si="138"/>
        <v>0</v>
      </c>
      <c r="F2608" s="421">
        <f t="shared" si="139"/>
        <v>0</v>
      </c>
      <c r="G2608" s="421">
        <f t="shared" si="140"/>
        <v>0</v>
      </c>
      <c r="H2608" s="421">
        <f t="shared" si="141"/>
        <v>0</v>
      </c>
      <c r="I2608" s="421">
        <f t="shared" si="142"/>
        <v>0</v>
      </c>
      <c r="J2608" s="421">
        <f t="shared" si="143"/>
        <v>0</v>
      </c>
      <c r="K2608" s="422">
        <f t="shared" si="136"/>
        <v>0</v>
      </c>
    </row>
    <row r="2609" spans="2:11" ht="15" customHeight="1" x14ac:dyDescent="0.25">
      <c r="B2609" s="442"/>
      <c r="C2609" s="440"/>
      <c r="D2609" s="452">
        <f t="shared" si="137"/>
        <v>0</v>
      </c>
      <c r="E2609" s="421">
        <f t="shared" si="138"/>
        <v>0</v>
      </c>
      <c r="F2609" s="421">
        <f t="shared" si="139"/>
        <v>0</v>
      </c>
      <c r="G2609" s="421">
        <f t="shared" si="140"/>
        <v>0</v>
      </c>
      <c r="H2609" s="421">
        <f t="shared" si="141"/>
        <v>0</v>
      </c>
      <c r="I2609" s="421">
        <f t="shared" si="142"/>
        <v>0</v>
      </c>
      <c r="J2609" s="421">
        <f t="shared" si="143"/>
        <v>0</v>
      </c>
      <c r="K2609" s="424">
        <f t="shared" si="136"/>
        <v>0</v>
      </c>
    </row>
    <row r="2610" spans="2:11" ht="15" customHeight="1" x14ac:dyDescent="0.25">
      <c r="B2610" s="391"/>
      <c r="C2610" s="440"/>
      <c r="D2610" s="452">
        <f t="shared" si="137"/>
        <v>0</v>
      </c>
      <c r="E2610" s="421">
        <f t="shared" si="138"/>
        <v>0</v>
      </c>
      <c r="F2610" s="421">
        <f t="shared" si="139"/>
        <v>0</v>
      </c>
      <c r="G2610" s="421">
        <f t="shared" si="140"/>
        <v>0</v>
      </c>
      <c r="H2610" s="421">
        <f t="shared" si="141"/>
        <v>0</v>
      </c>
      <c r="I2610" s="421">
        <f t="shared" si="142"/>
        <v>0</v>
      </c>
      <c r="J2610" s="421">
        <f t="shared" si="143"/>
        <v>0</v>
      </c>
      <c r="K2610" s="422">
        <f t="shared" si="136"/>
        <v>0</v>
      </c>
    </row>
    <row r="2611" spans="2:11" ht="15" customHeight="1" x14ac:dyDescent="0.25">
      <c r="B2611" s="389"/>
      <c r="C2611" s="423"/>
      <c r="D2611" s="421">
        <f t="shared" si="137"/>
        <v>0</v>
      </c>
      <c r="E2611" s="421">
        <f t="shared" si="138"/>
        <v>0</v>
      </c>
      <c r="F2611" s="421">
        <f t="shared" si="139"/>
        <v>0</v>
      </c>
      <c r="G2611" s="421">
        <f t="shared" si="140"/>
        <v>0</v>
      </c>
      <c r="H2611" s="421">
        <f t="shared" si="141"/>
        <v>0</v>
      </c>
      <c r="I2611" s="421">
        <f t="shared" si="142"/>
        <v>0</v>
      </c>
      <c r="J2611" s="421">
        <f t="shared" si="143"/>
        <v>0</v>
      </c>
      <c r="K2611" s="424">
        <f t="shared" si="136"/>
        <v>0</v>
      </c>
    </row>
    <row r="2613" spans="2:11" ht="15" customHeight="1" thickBot="1" x14ac:dyDescent="0.3"/>
    <row r="2614" spans="2:11" ht="15" customHeight="1" thickBot="1" x14ac:dyDescent="0.3">
      <c r="B2614" s="414"/>
      <c r="C2614" s="411"/>
      <c r="D2614" s="407" t="s">
        <v>548</v>
      </c>
      <c r="E2614" s="408" t="s">
        <v>549</v>
      </c>
      <c r="F2614" s="408" t="s">
        <v>550</v>
      </c>
      <c r="G2614" s="408" t="s">
        <v>551</v>
      </c>
      <c r="H2614" s="408" t="s">
        <v>552</v>
      </c>
      <c r="I2614" s="408" t="s">
        <v>553</v>
      </c>
      <c r="J2614" s="408" t="s">
        <v>554</v>
      </c>
      <c r="K2614" s="408" t="s">
        <v>555</v>
      </c>
    </row>
    <row r="2615" spans="2:11" ht="15" customHeight="1" thickBot="1" x14ac:dyDescent="0.3">
      <c r="B2615" s="414" t="s">
        <v>556</v>
      </c>
      <c r="C2615" s="415" t="s">
        <v>620</v>
      </c>
      <c r="D2615" s="416">
        <f>IF(ISERROR(VLOOKUP(B2614,'MD Usage'!$A$1:$W$5000,3,FALSE)),0,VLOOKUP(B2614,'MD Usage'!$A$1:$W$5000,3,FALSE))</f>
        <v>0</v>
      </c>
      <c r="E2615" s="416">
        <f>IF(ISERROR(VLOOKUP(B2614,'MD Usage'!$A$1:$W$5000,5,FALSE)),0,VLOOKUP(B2614,'MD Usage'!$A$1:$W$5000,5,FALSE))</f>
        <v>0</v>
      </c>
      <c r="F2615" s="416">
        <f>IF(ISERROR(VLOOKUP(B2614,'MD Usage'!$A$1:$W$5000,7,FALSE)),0,VLOOKUP(B2614,'MD Usage'!$A$1:$W$5000,7,FALSE))</f>
        <v>0</v>
      </c>
      <c r="G2615" s="416">
        <f>IF(ISERROR(VLOOKUP(B2614,'MD Usage'!$A$1:$W$5000,9,FALSE)),0,VLOOKUP(B2614,'MD Usage'!$A$1:$W$5000,9,FALSE))</f>
        <v>0</v>
      </c>
      <c r="H2615" s="416">
        <f>IF(ISERROR(VLOOKUP(B2614,'MD Usage'!$A$1:$W$5000,11,FALSE)),0,VLOOKUP(B2614,'MD Usage'!$A$1:$W$5000,11,FALSE))</f>
        <v>0</v>
      </c>
      <c r="I2615" s="416">
        <f>IF(ISERROR(VLOOKUP(B2614,'MD Usage'!A1:R2000,13,FALSE)),0,VLOOKUP(B2614,'MD Usage'!A1:R2000,13,FALSE))</f>
        <v>0</v>
      </c>
      <c r="J2615" s="416">
        <f>IF(ISERROR(VLOOKUP(B2614,'MD Usage'!A1:R2000,15,FALSE)),0,VLOOKUP(B2614,'MD Usage'!A1:R2000,15,FALSE))</f>
        <v>0</v>
      </c>
      <c r="K2615" s="418">
        <f t="shared" ref="K2615:K2621" si="144">SUM(D2615:J2615)</f>
        <v>0</v>
      </c>
    </row>
    <row r="2616" spans="2:11" ht="15" customHeight="1" x14ac:dyDescent="0.25">
      <c r="B2616" s="419"/>
      <c r="C2616" s="420"/>
      <c r="D2616" s="421">
        <f t="shared" ref="D2616:D2621" si="145">$D$2615*C2616</f>
        <v>0</v>
      </c>
      <c r="E2616" s="421">
        <f t="shared" ref="E2616:E2621" si="146">$E$2615*C2616</f>
        <v>0</v>
      </c>
      <c r="F2616" s="421">
        <f t="shared" ref="F2616:F2621" si="147">$F$2615*C2616</f>
        <v>0</v>
      </c>
      <c r="G2616" s="421">
        <f t="shared" ref="G2616:G2621" si="148">$G$2615*C2616</f>
        <v>0</v>
      </c>
      <c r="H2616" s="421">
        <f t="shared" ref="H2616:H2621" si="149">$H$2615*C2616</f>
        <v>0</v>
      </c>
      <c r="I2616" s="421">
        <f t="shared" ref="I2616:I2621" si="150">$I$2615*C2616</f>
        <v>0</v>
      </c>
      <c r="J2616" s="421">
        <f t="shared" ref="J2616:J2621" si="151">$J$2615*C2616</f>
        <v>0</v>
      </c>
      <c r="K2616" s="422">
        <f t="shared" si="144"/>
        <v>0</v>
      </c>
    </row>
    <row r="2617" spans="2:11" ht="15" customHeight="1" x14ac:dyDescent="0.25">
      <c r="B2617" s="389"/>
      <c r="C2617" s="423"/>
      <c r="D2617" s="421">
        <f t="shared" si="145"/>
        <v>0</v>
      </c>
      <c r="E2617" s="421">
        <f t="shared" si="146"/>
        <v>0</v>
      </c>
      <c r="F2617" s="421">
        <f t="shared" si="147"/>
        <v>0</v>
      </c>
      <c r="G2617" s="421">
        <f t="shared" si="148"/>
        <v>0</v>
      </c>
      <c r="H2617" s="421">
        <f t="shared" si="149"/>
        <v>0</v>
      </c>
      <c r="I2617" s="421">
        <f t="shared" si="150"/>
        <v>0</v>
      </c>
      <c r="J2617" s="421">
        <f t="shared" si="151"/>
        <v>0</v>
      </c>
      <c r="K2617" s="424">
        <f t="shared" si="144"/>
        <v>0</v>
      </c>
    </row>
    <row r="2618" spans="2:11" ht="15" customHeight="1" x14ac:dyDescent="0.25">
      <c r="B2618" s="389"/>
      <c r="C2618" s="423"/>
      <c r="D2618" s="421">
        <f t="shared" si="145"/>
        <v>0</v>
      </c>
      <c r="E2618" s="421">
        <f t="shared" si="146"/>
        <v>0</v>
      </c>
      <c r="F2618" s="421">
        <f t="shared" si="147"/>
        <v>0</v>
      </c>
      <c r="G2618" s="421">
        <f t="shared" si="148"/>
        <v>0</v>
      </c>
      <c r="H2618" s="421">
        <f t="shared" si="149"/>
        <v>0</v>
      </c>
      <c r="I2618" s="421">
        <f t="shared" si="150"/>
        <v>0</v>
      </c>
      <c r="J2618" s="421">
        <f t="shared" si="151"/>
        <v>0</v>
      </c>
      <c r="K2618" s="422">
        <f t="shared" si="144"/>
        <v>0</v>
      </c>
    </row>
    <row r="2619" spans="2:11" ht="15" customHeight="1" x14ac:dyDescent="0.25">
      <c r="B2619" s="389"/>
      <c r="C2619" s="423"/>
      <c r="D2619" s="421">
        <f t="shared" si="145"/>
        <v>0</v>
      </c>
      <c r="E2619" s="421">
        <f t="shared" si="146"/>
        <v>0</v>
      </c>
      <c r="F2619" s="421">
        <f t="shared" si="147"/>
        <v>0</v>
      </c>
      <c r="G2619" s="421">
        <f t="shared" si="148"/>
        <v>0</v>
      </c>
      <c r="H2619" s="421">
        <f t="shared" si="149"/>
        <v>0</v>
      </c>
      <c r="I2619" s="421">
        <f t="shared" si="150"/>
        <v>0</v>
      </c>
      <c r="J2619" s="421">
        <f t="shared" si="151"/>
        <v>0</v>
      </c>
      <c r="K2619" s="424">
        <f t="shared" si="144"/>
        <v>0</v>
      </c>
    </row>
    <row r="2620" spans="2:11" ht="15" customHeight="1" x14ac:dyDescent="0.25">
      <c r="B2620" s="419"/>
      <c r="C2620" s="420"/>
      <c r="D2620" s="421">
        <f t="shared" si="145"/>
        <v>0</v>
      </c>
      <c r="E2620" s="421">
        <f t="shared" si="146"/>
        <v>0</v>
      </c>
      <c r="F2620" s="421">
        <f t="shared" si="147"/>
        <v>0</v>
      </c>
      <c r="G2620" s="421">
        <f t="shared" si="148"/>
        <v>0</v>
      </c>
      <c r="H2620" s="421">
        <f t="shared" si="149"/>
        <v>0</v>
      </c>
      <c r="I2620" s="421">
        <f t="shared" si="150"/>
        <v>0</v>
      </c>
      <c r="J2620" s="421">
        <f t="shared" si="151"/>
        <v>0</v>
      </c>
      <c r="K2620" s="422">
        <f t="shared" si="144"/>
        <v>0</v>
      </c>
    </row>
    <row r="2621" spans="2:11" ht="15" customHeight="1" x14ac:dyDescent="0.25">
      <c r="B2621" s="389"/>
      <c r="C2621" s="423"/>
      <c r="D2621" s="421">
        <f t="shared" si="145"/>
        <v>0</v>
      </c>
      <c r="E2621" s="421">
        <f t="shared" si="146"/>
        <v>0</v>
      </c>
      <c r="F2621" s="421">
        <f t="shared" si="147"/>
        <v>0</v>
      </c>
      <c r="G2621" s="421">
        <f t="shared" si="148"/>
        <v>0</v>
      </c>
      <c r="H2621" s="421">
        <f t="shared" si="149"/>
        <v>0</v>
      </c>
      <c r="I2621" s="421">
        <f t="shared" si="150"/>
        <v>0</v>
      </c>
      <c r="J2621" s="421">
        <f t="shared" si="151"/>
        <v>0</v>
      </c>
      <c r="K2621" s="424">
        <f t="shared" si="144"/>
        <v>0</v>
      </c>
    </row>
    <row r="2622" spans="2:11" ht="15" customHeight="1" thickBot="1" x14ac:dyDescent="0.3"/>
    <row r="2623" spans="2:11" ht="15" customHeight="1" thickBot="1" x14ac:dyDescent="0.3">
      <c r="B2623" s="414"/>
      <c r="C2623" s="411"/>
      <c r="D2623" s="407" t="s">
        <v>548</v>
      </c>
      <c r="E2623" s="408" t="s">
        <v>549</v>
      </c>
      <c r="F2623" s="408" t="s">
        <v>550</v>
      </c>
      <c r="G2623" s="408" t="s">
        <v>551</v>
      </c>
      <c r="H2623" s="408" t="s">
        <v>552</v>
      </c>
      <c r="I2623" s="408" t="s">
        <v>553</v>
      </c>
      <c r="J2623" s="408" t="s">
        <v>554</v>
      </c>
      <c r="K2623" s="408" t="s">
        <v>555</v>
      </c>
    </row>
    <row r="2624" spans="2:11" ht="15" customHeight="1" thickBot="1" x14ac:dyDescent="0.3">
      <c r="B2624" s="414" t="s">
        <v>556</v>
      </c>
      <c r="C2624" s="415" t="s">
        <v>620</v>
      </c>
      <c r="D2624" s="416">
        <f>IF(ISERROR(VLOOKUP(B2623,'MD Usage'!$A$1:$W$5000,3,FALSE)),0,VLOOKUP(B2623,'MD Usage'!$A$1:$W$5000,3,FALSE))</f>
        <v>0</v>
      </c>
      <c r="E2624" s="416">
        <f>IF(ISERROR(VLOOKUP(B2623,'MD Usage'!$A$1:$W$5000,5,FALSE)),0,VLOOKUP(B2623,'MD Usage'!$A$1:$W$5000,5,FALSE))</f>
        <v>0</v>
      </c>
      <c r="F2624" s="416">
        <f>IF(ISERROR(VLOOKUP(B2623,'MD Usage'!$A$1:$W$5000,7,FALSE)),0,VLOOKUP(B2623,'MD Usage'!$A$1:$W$5000,7,FALSE))</f>
        <v>0</v>
      </c>
      <c r="G2624" s="416">
        <f>IF(ISERROR(VLOOKUP(B2623,'MD Usage'!$A$1:$W$5000,9,FALSE)),0,VLOOKUP(B2623,'MD Usage'!$A$1:$W$5000,9,FALSE))</f>
        <v>0</v>
      </c>
      <c r="H2624" s="416">
        <f>IF(ISERROR(VLOOKUP(B2623,'MD Usage'!$A$1:$W$5000,11,FALSE)),0,VLOOKUP(B2623,'MD Usage'!$A$1:$W$5000,11,FALSE))</f>
        <v>0</v>
      </c>
      <c r="I2624" s="416">
        <f>IF(ISERROR(VLOOKUP(B2623,'MD Usage'!A1:R2000,13,FALSE)),0,VLOOKUP(B2623,'MD Usage'!A1:R2000,13,FALSE))</f>
        <v>0</v>
      </c>
      <c r="J2624" s="416">
        <f>IF(ISERROR(VLOOKUP(B2623,'MD Usage'!A1:R2000,15,FALSE)),0,VLOOKUP(B2623,'MD Usage'!A1:R2000,15,FALSE))</f>
        <v>0</v>
      </c>
      <c r="K2624" s="418">
        <f t="shared" ref="K2624:K2630" si="152">SUM(D2624:J2624)</f>
        <v>0</v>
      </c>
    </row>
    <row r="2625" spans="2:13" ht="15" customHeight="1" x14ac:dyDescent="0.25">
      <c r="B2625" s="419"/>
      <c r="C2625" s="420"/>
      <c r="D2625" s="421">
        <f t="shared" ref="D2625:D2630" si="153">$D$2624*C2625</f>
        <v>0</v>
      </c>
      <c r="E2625" s="421">
        <f t="shared" ref="E2625:E2630" si="154">$E$2624*C2625</f>
        <v>0</v>
      </c>
      <c r="F2625" s="421">
        <f t="shared" ref="F2625:F2630" si="155">$F$2624*C2625</f>
        <v>0</v>
      </c>
      <c r="G2625" s="421">
        <f t="shared" ref="G2625:G2630" si="156">$G$2624*C2625</f>
        <v>0</v>
      </c>
      <c r="H2625" s="421">
        <f t="shared" ref="H2625:H2630" si="157">$H$2624*C2625</f>
        <v>0</v>
      </c>
      <c r="I2625" s="421">
        <f t="shared" ref="I2625:I2630" si="158">$I$2624*C2625</f>
        <v>0</v>
      </c>
      <c r="J2625" s="421">
        <f t="shared" ref="J2625:J2630" si="159">$J$2624*C2625</f>
        <v>0</v>
      </c>
      <c r="K2625" s="422">
        <f t="shared" si="152"/>
        <v>0</v>
      </c>
    </row>
    <row r="2626" spans="2:13" ht="15" customHeight="1" x14ac:dyDescent="0.25">
      <c r="B2626" s="389"/>
      <c r="C2626" s="423"/>
      <c r="D2626" s="421">
        <f t="shared" si="153"/>
        <v>0</v>
      </c>
      <c r="E2626" s="421">
        <f t="shared" si="154"/>
        <v>0</v>
      </c>
      <c r="F2626" s="421">
        <f t="shared" si="155"/>
        <v>0</v>
      </c>
      <c r="G2626" s="421">
        <f t="shared" si="156"/>
        <v>0</v>
      </c>
      <c r="H2626" s="421">
        <f t="shared" si="157"/>
        <v>0</v>
      </c>
      <c r="I2626" s="421">
        <f t="shared" si="158"/>
        <v>0</v>
      </c>
      <c r="J2626" s="421">
        <f t="shared" si="159"/>
        <v>0</v>
      </c>
      <c r="K2626" s="424">
        <f t="shared" si="152"/>
        <v>0</v>
      </c>
    </row>
    <row r="2627" spans="2:13" ht="15" customHeight="1" x14ac:dyDescent="0.25">
      <c r="B2627" s="389"/>
      <c r="C2627" s="423"/>
      <c r="D2627" s="421">
        <f t="shared" si="153"/>
        <v>0</v>
      </c>
      <c r="E2627" s="421">
        <f t="shared" si="154"/>
        <v>0</v>
      </c>
      <c r="F2627" s="421">
        <f t="shared" si="155"/>
        <v>0</v>
      </c>
      <c r="G2627" s="421">
        <f t="shared" si="156"/>
        <v>0</v>
      </c>
      <c r="H2627" s="421">
        <f t="shared" si="157"/>
        <v>0</v>
      </c>
      <c r="I2627" s="421">
        <f t="shared" si="158"/>
        <v>0</v>
      </c>
      <c r="J2627" s="421">
        <f t="shared" si="159"/>
        <v>0</v>
      </c>
      <c r="K2627" s="422">
        <f t="shared" si="152"/>
        <v>0</v>
      </c>
    </row>
    <row r="2628" spans="2:13" ht="15" customHeight="1" x14ac:dyDescent="0.25">
      <c r="B2628" s="389"/>
      <c r="C2628" s="423"/>
      <c r="D2628" s="421">
        <f t="shared" si="153"/>
        <v>0</v>
      </c>
      <c r="E2628" s="421">
        <f t="shared" si="154"/>
        <v>0</v>
      </c>
      <c r="F2628" s="421">
        <f t="shared" si="155"/>
        <v>0</v>
      </c>
      <c r="G2628" s="421">
        <f t="shared" si="156"/>
        <v>0</v>
      </c>
      <c r="H2628" s="421">
        <f t="shared" si="157"/>
        <v>0</v>
      </c>
      <c r="I2628" s="421">
        <f t="shared" si="158"/>
        <v>0</v>
      </c>
      <c r="J2628" s="421">
        <f t="shared" si="159"/>
        <v>0</v>
      </c>
      <c r="K2628" s="424">
        <f t="shared" si="152"/>
        <v>0</v>
      </c>
    </row>
    <row r="2629" spans="2:13" ht="15" customHeight="1" x14ac:dyDescent="0.25">
      <c r="B2629" s="419"/>
      <c r="C2629" s="420"/>
      <c r="D2629" s="421">
        <f t="shared" si="153"/>
        <v>0</v>
      </c>
      <c r="E2629" s="421">
        <f t="shared" si="154"/>
        <v>0</v>
      </c>
      <c r="F2629" s="421">
        <f t="shared" si="155"/>
        <v>0</v>
      </c>
      <c r="G2629" s="421">
        <f t="shared" si="156"/>
        <v>0</v>
      </c>
      <c r="H2629" s="421">
        <f t="shared" si="157"/>
        <v>0</v>
      </c>
      <c r="I2629" s="421">
        <f t="shared" si="158"/>
        <v>0</v>
      </c>
      <c r="J2629" s="421">
        <f t="shared" si="159"/>
        <v>0</v>
      </c>
      <c r="K2629" s="422">
        <f t="shared" si="152"/>
        <v>0</v>
      </c>
    </row>
    <row r="2630" spans="2:13" ht="15" customHeight="1" x14ac:dyDescent="0.25">
      <c r="B2630" s="389"/>
      <c r="C2630" s="423"/>
      <c r="D2630" s="421">
        <f t="shared" si="153"/>
        <v>0</v>
      </c>
      <c r="E2630" s="421">
        <f t="shared" si="154"/>
        <v>0</v>
      </c>
      <c r="F2630" s="421">
        <f t="shared" si="155"/>
        <v>0</v>
      </c>
      <c r="G2630" s="421">
        <f t="shared" si="156"/>
        <v>0</v>
      </c>
      <c r="H2630" s="421">
        <f t="shared" si="157"/>
        <v>0</v>
      </c>
      <c r="I2630" s="421">
        <f t="shared" si="158"/>
        <v>0</v>
      </c>
      <c r="J2630" s="421">
        <f t="shared" si="159"/>
        <v>0</v>
      </c>
      <c r="K2630" s="424">
        <f t="shared" si="152"/>
        <v>0</v>
      </c>
    </row>
    <row r="2631" spans="2:13" ht="15" customHeight="1" thickBot="1" x14ac:dyDescent="0.3"/>
    <row r="2632" spans="2:13" ht="15" customHeight="1" thickBot="1" x14ac:dyDescent="0.3">
      <c r="B2632" s="432"/>
      <c r="C2632" s="411"/>
      <c r="D2632" s="407" t="s">
        <v>548</v>
      </c>
      <c r="E2632" s="408" t="s">
        <v>549</v>
      </c>
      <c r="F2632" s="408" t="s">
        <v>550</v>
      </c>
      <c r="G2632" s="408" t="s">
        <v>551</v>
      </c>
      <c r="H2632" s="408" t="s">
        <v>552</v>
      </c>
      <c r="I2632" s="408" t="s">
        <v>553</v>
      </c>
      <c r="J2632" s="408" t="s">
        <v>554</v>
      </c>
      <c r="K2632" s="408" t="s">
        <v>555</v>
      </c>
      <c r="M2632" s="426"/>
    </row>
    <row r="2633" spans="2:13" ht="15" customHeight="1" thickBot="1" x14ac:dyDescent="0.3">
      <c r="B2633" s="414" t="s">
        <v>556</v>
      </c>
      <c r="C2633" s="415" t="s">
        <v>620</v>
      </c>
      <c r="D2633" s="416">
        <f>IF(ISERROR(VLOOKUP(B2632,'MD Usage'!$A$1:$W$5000,3,FALSE)),0,VLOOKUP(B2632,'MD Usage'!$A$1:$W$5000,3,FALSE))</f>
        <v>0</v>
      </c>
      <c r="E2633" s="416">
        <f>IF(ISERROR(VLOOKUP(B2632,'MD Usage'!$A$1:$W$5000,5,FALSE)),0,VLOOKUP(B2632,'MD Usage'!$A$1:$W$5000,5,FALSE))</f>
        <v>0</v>
      </c>
      <c r="F2633" s="416">
        <f>IF(ISERROR(VLOOKUP(B2632,'MD Usage'!$A$1:$W$5000,7,FALSE)),0,VLOOKUP(B2632,'MD Usage'!$A$1:$W$5000,7,FALSE))</f>
        <v>0</v>
      </c>
      <c r="G2633" s="416">
        <f>IF(ISERROR(VLOOKUP(B2632,'MD Usage'!$A$1:$W$5000,9,FALSE)),0,VLOOKUP(B2632,'MD Usage'!$A$1:$W$5000,9,FALSE))</f>
        <v>0</v>
      </c>
      <c r="H2633" s="416">
        <f>IF(ISERROR(VLOOKUP(B2632,'MD Usage'!$A$1:$W$5000,11,FALSE)),0,VLOOKUP(B2632,'MD Usage'!$A$1:$W$5000,11,FALSE))</f>
        <v>0</v>
      </c>
      <c r="I2633" s="416">
        <f>IF(ISERROR(VLOOKUP(B2632,'MD Usage'!A1:R2000,13,FALSE)),0,VLOOKUP(B2632,'MD Usage'!A1:R2000,13,FALSE))</f>
        <v>0</v>
      </c>
      <c r="J2633" s="416">
        <f>IF(ISERROR(VLOOKUP(B2632,'MD Usage'!A1:R2000,15,FALSE)),0,VLOOKUP(B2632,'MD Usage'!A1:R2000,15,FALSE))</f>
        <v>0</v>
      </c>
      <c r="K2633" s="418">
        <f t="shared" ref="K2633:K2639" si="160">SUM(D2633:J2633)</f>
        <v>0</v>
      </c>
    </row>
    <row r="2634" spans="2:13" ht="15" customHeight="1" x14ac:dyDescent="0.25">
      <c r="B2634" s="383"/>
      <c r="C2634" s="420"/>
      <c r="D2634" s="421">
        <f t="shared" ref="D2634:D2639" si="161">$D$2633*C2634</f>
        <v>0</v>
      </c>
      <c r="E2634" s="421">
        <f t="shared" ref="E2634:E2639" si="162">$E$2633*C2634</f>
        <v>0</v>
      </c>
      <c r="F2634" s="421">
        <f t="shared" ref="F2634:F2639" si="163">$F$2633*C2634</f>
        <v>0</v>
      </c>
      <c r="G2634" s="421">
        <f t="shared" ref="G2634:G2639" si="164">$G$2633*C2634</f>
        <v>0</v>
      </c>
      <c r="H2634" s="421">
        <f t="shared" ref="H2634:H2639" si="165">$H$2633*C2634</f>
        <v>0</v>
      </c>
      <c r="I2634" s="421">
        <f t="shared" ref="I2634:I2639" si="166">$I$2633*C2634</f>
        <v>0</v>
      </c>
      <c r="J2634" s="421">
        <f t="shared" ref="J2634:J2639" si="167">$J$2633*C2634</f>
        <v>0</v>
      </c>
      <c r="K2634" s="422">
        <f t="shared" si="160"/>
        <v>0</v>
      </c>
    </row>
    <row r="2635" spans="2:13" ht="15" customHeight="1" x14ac:dyDescent="0.25">
      <c r="B2635" s="389"/>
      <c r="C2635" s="423"/>
      <c r="D2635" s="421">
        <f t="shared" si="161"/>
        <v>0</v>
      </c>
      <c r="E2635" s="421">
        <f t="shared" si="162"/>
        <v>0</v>
      </c>
      <c r="F2635" s="421">
        <f t="shared" si="163"/>
        <v>0</v>
      </c>
      <c r="G2635" s="421">
        <f t="shared" si="164"/>
        <v>0</v>
      </c>
      <c r="H2635" s="421">
        <f t="shared" si="165"/>
        <v>0</v>
      </c>
      <c r="I2635" s="421">
        <f t="shared" si="166"/>
        <v>0</v>
      </c>
      <c r="J2635" s="421">
        <f t="shared" si="167"/>
        <v>0</v>
      </c>
      <c r="K2635" s="424">
        <f t="shared" si="160"/>
        <v>0</v>
      </c>
    </row>
    <row r="2636" spans="2:13" ht="15" customHeight="1" x14ac:dyDescent="0.25">
      <c r="B2636" s="389"/>
      <c r="C2636" s="423"/>
      <c r="D2636" s="421">
        <f t="shared" si="161"/>
        <v>0</v>
      </c>
      <c r="E2636" s="421">
        <f t="shared" si="162"/>
        <v>0</v>
      </c>
      <c r="F2636" s="421">
        <f t="shared" si="163"/>
        <v>0</v>
      </c>
      <c r="G2636" s="421">
        <f t="shared" si="164"/>
        <v>0</v>
      </c>
      <c r="H2636" s="421">
        <f t="shared" si="165"/>
        <v>0</v>
      </c>
      <c r="I2636" s="421">
        <f t="shared" si="166"/>
        <v>0</v>
      </c>
      <c r="J2636" s="421">
        <f t="shared" si="167"/>
        <v>0</v>
      </c>
      <c r="K2636" s="422">
        <f t="shared" si="160"/>
        <v>0</v>
      </c>
    </row>
    <row r="2637" spans="2:13" ht="15" customHeight="1" x14ac:dyDescent="0.25">
      <c r="B2637" s="389"/>
      <c r="C2637" s="423"/>
      <c r="D2637" s="421">
        <f t="shared" si="161"/>
        <v>0</v>
      </c>
      <c r="E2637" s="421">
        <f t="shared" si="162"/>
        <v>0</v>
      </c>
      <c r="F2637" s="421">
        <f t="shared" si="163"/>
        <v>0</v>
      </c>
      <c r="G2637" s="421">
        <f t="shared" si="164"/>
        <v>0</v>
      </c>
      <c r="H2637" s="421">
        <f t="shared" si="165"/>
        <v>0</v>
      </c>
      <c r="I2637" s="421">
        <f t="shared" si="166"/>
        <v>0</v>
      </c>
      <c r="J2637" s="421">
        <f t="shared" si="167"/>
        <v>0</v>
      </c>
      <c r="K2637" s="424">
        <f t="shared" si="160"/>
        <v>0</v>
      </c>
    </row>
    <row r="2638" spans="2:13" ht="15" customHeight="1" x14ac:dyDescent="0.25">
      <c r="B2638" s="419"/>
      <c r="C2638" s="420"/>
      <c r="D2638" s="421">
        <f t="shared" si="161"/>
        <v>0</v>
      </c>
      <c r="E2638" s="421">
        <f t="shared" si="162"/>
        <v>0</v>
      </c>
      <c r="F2638" s="421">
        <f t="shared" si="163"/>
        <v>0</v>
      </c>
      <c r="G2638" s="421">
        <f t="shared" si="164"/>
        <v>0</v>
      </c>
      <c r="H2638" s="421">
        <f t="shared" si="165"/>
        <v>0</v>
      </c>
      <c r="I2638" s="421">
        <f t="shared" si="166"/>
        <v>0</v>
      </c>
      <c r="J2638" s="421">
        <f t="shared" si="167"/>
        <v>0</v>
      </c>
      <c r="K2638" s="422">
        <f t="shared" si="160"/>
        <v>0</v>
      </c>
    </row>
    <row r="2639" spans="2:13" ht="15" customHeight="1" x14ac:dyDescent="0.25">
      <c r="B2639" s="389"/>
      <c r="C2639" s="423"/>
      <c r="D2639" s="421">
        <f t="shared" si="161"/>
        <v>0</v>
      </c>
      <c r="E2639" s="421">
        <f t="shared" si="162"/>
        <v>0</v>
      </c>
      <c r="F2639" s="421">
        <f t="shared" si="163"/>
        <v>0</v>
      </c>
      <c r="G2639" s="421">
        <f t="shared" si="164"/>
        <v>0</v>
      </c>
      <c r="H2639" s="421">
        <f t="shared" si="165"/>
        <v>0</v>
      </c>
      <c r="I2639" s="421">
        <f t="shared" si="166"/>
        <v>0</v>
      </c>
      <c r="J2639" s="421">
        <f t="shared" si="167"/>
        <v>0</v>
      </c>
      <c r="K2639" s="424">
        <f t="shared" si="160"/>
        <v>0</v>
      </c>
    </row>
    <row r="2640" spans="2:13" ht="15" customHeight="1" thickBot="1" x14ac:dyDescent="0.3"/>
    <row r="2641" spans="2:13" ht="15" customHeight="1" thickBot="1" x14ac:dyDescent="0.3">
      <c r="B2641" s="414"/>
      <c r="C2641" s="411"/>
      <c r="D2641" s="407" t="s">
        <v>548</v>
      </c>
      <c r="E2641" s="408" t="s">
        <v>549</v>
      </c>
      <c r="F2641" s="408" t="s">
        <v>550</v>
      </c>
      <c r="G2641" s="408" t="s">
        <v>551</v>
      </c>
      <c r="H2641" s="408" t="s">
        <v>552</v>
      </c>
      <c r="I2641" s="408" t="s">
        <v>553</v>
      </c>
      <c r="J2641" s="408" t="s">
        <v>554</v>
      </c>
      <c r="K2641" s="408" t="s">
        <v>555</v>
      </c>
    </row>
    <row r="2642" spans="2:13" ht="15" customHeight="1" thickBot="1" x14ac:dyDescent="0.3">
      <c r="B2642" s="414" t="s">
        <v>556</v>
      </c>
      <c r="C2642" s="415" t="s">
        <v>620</v>
      </c>
      <c r="D2642" s="416">
        <f>IF(ISERROR(VLOOKUP(B2641,'MD Usage'!$A$1:$W$5000,3,FALSE)),0,VLOOKUP(B2641,'MD Usage'!$A$1:$W$5000,3,FALSE))</f>
        <v>0</v>
      </c>
      <c r="E2642" s="416">
        <f>IF(ISERROR(VLOOKUP(B2641,'MD Usage'!$A$1:$W$5000,5,FALSE)),0,VLOOKUP(B2641,'MD Usage'!$A$1:$W$5000,5,FALSE))</f>
        <v>0</v>
      </c>
      <c r="F2642" s="416">
        <f>IF(ISERROR(VLOOKUP(B2641,'MD Usage'!$A$1:$W$5000,7,FALSE)),0,VLOOKUP(B2641,'MD Usage'!$A$1:$W$5000,7,FALSE))</f>
        <v>0</v>
      </c>
      <c r="G2642" s="416">
        <f>IF(ISERROR(VLOOKUP(B2641,'MD Usage'!$A$1:$W$5000,9,FALSE)),0,VLOOKUP(B2641,'MD Usage'!$A$1:$W$5000,9,FALSE))</f>
        <v>0</v>
      </c>
      <c r="H2642" s="416">
        <f>IF(ISERROR(VLOOKUP(B2641,'MD Usage'!$A$1:$W$5000,11,FALSE)),0,VLOOKUP(B2641,'MD Usage'!$A$1:$W$5000,11,FALSE))</f>
        <v>0</v>
      </c>
      <c r="I2642" s="416">
        <f>IF(ISERROR(VLOOKUP(B2641,'MD Usage'!A1:R2000,13,FALSE)),0,VLOOKUP(B2641,'MD Usage'!A1:R2000,13,FALSE))</f>
        <v>0</v>
      </c>
      <c r="J2642" s="416">
        <f>IF(ISERROR(VLOOKUP(B2641,'MD Usage'!A1:R2000,15,FALSE)),0,VLOOKUP(B2641,'MD Usage'!A1:R2000,15,FALSE))</f>
        <v>0</v>
      </c>
      <c r="K2642" s="418">
        <f t="shared" ref="K2642:K2648" si="168">SUM(D2642:J2642)</f>
        <v>0</v>
      </c>
    </row>
    <row r="2643" spans="2:13" ht="15" customHeight="1" x14ac:dyDescent="0.25">
      <c r="B2643" s="419"/>
      <c r="C2643" s="420"/>
      <c r="D2643" s="421">
        <f t="shared" ref="D2643:D2648" si="169">$D$2642*C2643</f>
        <v>0</v>
      </c>
      <c r="E2643" s="421">
        <f t="shared" ref="E2643:E2648" si="170">$E$2642*C2643</f>
        <v>0</v>
      </c>
      <c r="F2643" s="421">
        <f t="shared" ref="F2643:F2648" si="171">$F$2642*C2643</f>
        <v>0</v>
      </c>
      <c r="G2643" s="421">
        <f t="shared" ref="G2643:G2648" si="172">$G$2642*C2643</f>
        <v>0</v>
      </c>
      <c r="H2643" s="421">
        <f t="shared" ref="H2643:H2648" si="173">$H$2642*C2643</f>
        <v>0</v>
      </c>
      <c r="I2643" s="421">
        <f t="shared" ref="I2643:I2648" si="174">$I$2642*C2643</f>
        <v>0</v>
      </c>
      <c r="J2643" s="421">
        <f t="shared" ref="J2643:J2648" si="175">$J$2642*C2643</f>
        <v>0</v>
      </c>
      <c r="K2643" s="422">
        <f t="shared" si="168"/>
        <v>0</v>
      </c>
    </row>
    <row r="2644" spans="2:13" ht="15" customHeight="1" x14ac:dyDescent="0.25">
      <c r="B2644" s="453"/>
      <c r="C2644" s="420"/>
      <c r="D2644" s="421">
        <f t="shared" si="169"/>
        <v>0</v>
      </c>
      <c r="E2644" s="421">
        <f t="shared" si="170"/>
        <v>0</v>
      </c>
      <c r="F2644" s="421">
        <f t="shared" si="171"/>
        <v>0</v>
      </c>
      <c r="G2644" s="421">
        <f t="shared" si="172"/>
        <v>0</v>
      </c>
      <c r="H2644" s="421">
        <f t="shared" si="173"/>
        <v>0</v>
      </c>
      <c r="I2644" s="421">
        <f t="shared" si="174"/>
        <v>0</v>
      </c>
      <c r="J2644" s="421">
        <f t="shared" si="175"/>
        <v>0</v>
      </c>
      <c r="K2644" s="424">
        <f t="shared" si="168"/>
        <v>0</v>
      </c>
    </row>
    <row r="2645" spans="2:13" ht="15" customHeight="1" x14ac:dyDescent="0.25">
      <c r="B2645" s="389"/>
      <c r="C2645" s="423"/>
      <c r="D2645" s="421">
        <f t="shared" si="169"/>
        <v>0</v>
      </c>
      <c r="E2645" s="421">
        <f t="shared" si="170"/>
        <v>0</v>
      </c>
      <c r="F2645" s="421">
        <f t="shared" si="171"/>
        <v>0</v>
      </c>
      <c r="G2645" s="421">
        <f t="shared" si="172"/>
        <v>0</v>
      </c>
      <c r="H2645" s="421">
        <f t="shared" si="173"/>
        <v>0</v>
      </c>
      <c r="I2645" s="421">
        <f t="shared" si="174"/>
        <v>0</v>
      </c>
      <c r="J2645" s="421">
        <f t="shared" si="175"/>
        <v>0</v>
      </c>
      <c r="K2645" s="422">
        <f t="shared" si="168"/>
        <v>0</v>
      </c>
    </row>
    <row r="2646" spans="2:13" ht="15" customHeight="1" x14ac:dyDescent="0.25">
      <c r="B2646" s="389"/>
      <c r="C2646" s="423"/>
      <c r="D2646" s="421">
        <f t="shared" si="169"/>
        <v>0</v>
      </c>
      <c r="E2646" s="421">
        <f t="shared" si="170"/>
        <v>0</v>
      </c>
      <c r="F2646" s="421">
        <f t="shared" si="171"/>
        <v>0</v>
      </c>
      <c r="G2646" s="421">
        <f t="shared" si="172"/>
        <v>0</v>
      </c>
      <c r="H2646" s="421">
        <f t="shared" si="173"/>
        <v>0</v>
      </c>
      <c r="I2646" s="421">
        <f t="shared" si="174"/>
        <v>0</v>
      </c>
      <c r="J2646" s="421">
        <f t="shared" si="175"/>
        <v>0</v>
      </c>
      <c r="K2646" s="424">
        <f t="shared" si="168"/>
        <v>0</v>
      </c>
    </row>
    <row r="2647" spans="2:13" ht="15" customHeight="1" x14ac:dyDescent="0.25">
      <c r="B2647" s="389"/>
      <c r="C2647" s="423"/>
      <c r="D2647" s="421">
        <f t="shared" si="169"/>
        <v>0</v>
      </c>
      <c r="E2647" s="421">
        <f t="shared" si="170"/>
        <v>0</v>
      </c>
      <c r="F2647" s="421">
        <f t="shared" si="171"/>
        <v>0</v>
      </c>
      <c r="G2647" s="421">
        <f t="shared" si="172"/>
        <v>0</v>
      </c>
      <c r="H2647" s="421">
        <f t="shared" si="173"/>
        <v>0</v>
      </c>
      <c r="I2647" s="421">
        <f t="shared" si="174"/>
        <v>0</v>
      </c>
      <c r="J2647" s="421">
        <f t="shared" si="175"/>
        <v>0</v>
      </c>
      <c r="K2647" s="422">
        <f t="shared" si="168"/>
        <v>0</v>
      </c>
    </row>
    <row r="2648" spans="2:13" ht="15" customHeight="1" x14ac:dyDescent="0.25">
      <c r="B2648" s="389"/>
      <c r="C2648" s="423"/>
      <c r="D2648" s="421">
        <f t="shared" si="169"/>
        <v>0</v>
      </c>
      <c r="E2648" s="421">
        <f t="shared" si="170"/>
        <v>0</v>
      </c>
      <c r="F2648" s="421">
        <f t="shared" si="171"/>
        <v>0</v>
      </c>
      <c r="G2648" s="421">
        <f t="shared" si="172"/>
        <v>0</v>
      </c>
      <c r="H2648" s="421">
        <f t="shared" si="173"/>
        <v>0</v>
      </c>
      <c r="I2648" s="421">
        <f t="shared" si="174"/>
        <v>0</v>
      </c>
      <c r="J2648" s="421">
        <f t="shared" si="175"/>
        <v>0</v>
      </c>
      <c r="K2648" s="424">
        <f t="shared" si="168"/>
        <v>0</v>
      </c>
    </row>
    <row r="2649" spans="2:13" ht="15" customHeight="1" thickBot="1" x14ac:dyDescent="0.3"/>
    <row r="2650" spans="2:13" ht="15" customHeight="1" thickBot="1" x14ac:dyDescent="0.3">
      <c r="B2650" s="432"/>
      <c r="C2650" s="411"/>
      <c r="D2650" s="407" t="s">
        <v>548</v>
      </c>
      <c r="E2650" s="408" t="s">
        <v>549</v>
      </c>
      <c r="F2650" s="408" t="s">
        <v>550</v>
      </c>
      <c r="G2650" s="408" t="s">
        <v>551</v>
      </c>
      <c r="H2650" s="408" t="s">
        <v>552</v>
      </c>
      <c r="I2650" s="408" t="s">
        <v>553</v>
      </c>
      <c r="J2650" s="408" t="s">
        <v>554</v>
      </c>
      <c r="K2650" s="408" t="s">
        <v>555</v>
      </c>
      <c r="M2650" s="414"/>
    </row>
    <row r="2651" spans="2:13" ht="15" customHeight="1" thickBot="1" x14ac:dyDescent="0.3">
      <c r="B2651" s="414" t="s">
        <v>556</v>
      </c>
      <c r="C2651" s="415" t="s">
        <v>620</v>
      </c>
      <c r="D2651" s="416">
        <f>IF(ISERROR(VLOOKUP(B2650,'MD Usage'!$A$1:$W$5000,3,FALSE)),0,VLOOKUP(B2650,'MD Usage'!$A$1:$W$5000,3,FALSE))</f>
        <v>0</v>
      </c>
      <c r="E2651" s="416">
        <f>IF(ISERROR(VLOOKUP(B2650,'MD Usage'!$A$1:$W$5000,5,FALSE)),0,VLOOKUP(B2650,'MD Usage'!$A$1:$W$5000,5,FALSE))</f>
        <v>0</v>
      </c>
      <c r="F2651" s="416">
        <f>IF(ISERROR(VLOOKUP(B2650,'MD Usage'!$A$1:$W$5000,7,FALSE)),0,VLOOKUP(B2650,'MD Usage'!$A$1:$W$5000,7,FALSE))</f>
        <v>0</v>
      </c>
      <c r="G2651" s="416">
        <f>IF(ISERROR(VLOOKUP(B2650,'MD Usage'!$A$1:$W$5000,9,FALSE)),0,VLOOKUP(B2650,'MD Usage'!$A$1:$W$5000,9,FALSE))</f>
        <v>0</v>
      </c>
      <c r="H2651" s="416">
        <f>IF(ISERROR(VLOOKUP(B2650,'MD Usage'!$A$1:$W$5000,11,FALSE)),0,VLOOKUP(B2650,'MD Usage'!$A$1:$W$5000,11,FALSE))</f>
        <v>0</v>
      </c>
      <c r="I2651" s="416">
        <f>IF(ISERROR(VLOOKUP(B2650,'MD Usage'!A1:R2000,13,FALSE)),0,VLOOKUP(B2650,'MD Usage'!A1:R2000,13,FALSE))</f>
        <v>0</v>
      </c>
      <c r="J2651" s="416">
        <f>IF(ISERROR(VLOOKUP(B2650,'MD Usage'!A1:R2000,15,FALSE)),0,VLOOKUP(B2650,'MD Usage'!A1:R2000,15,FALSE))</f>
        <v>0</v>
      </c>
      <c r="K2651" s="418">
        <f>SUM(D2651:J2651)</f>
        <v>0</v>
      </c>
    </row>
    <row r="2652" spans="2:13" ht="15" customHeight="1" x14ac:dyDescent="0.25">
      <c r="B2652" s="391"/>
      <c r="C2652" s="420"/>
      <c r="D2652" s="421">
        <f>D2651*C2652</f>
        <v>0</v>
      </c>
      <c r="E2652" s="421">
        <f>E2651*C2652</f>
        <v>0</v>
      </c>
      <c r="F2652" s="421">
        <f>F2651*C2652</f>
        <v>0</v>
      </c>
      <c r="G2652" s="421">
        <f>G2651*C2652</f>
        <v>0</v>
      </c>
      <c r="H2652" s="421">
        <f>H2651*C2652</f>
        <v>0</v>
      </c>
      <c r="I2652" s="421">
        <f>I2651*C2652</f>
        <v>0</v>
      </c>
      <c r="J2652" s="421">
        <f>J2651*C2652</f>
        <v>0</v>
      </c>
      <c r="K2652" s="422">
        <f>SUM(D2652:J2652)</f>
        <v>0</v>
      </c>
    </row>
    <row r="2653" spans="2:13" ht="15" customHeight="1" x14ac:dyDescent="0.25">
      <c r="B2653" s="389"/>
      <c r="C2653" s="423"/>
      <c r="D2653" s="421">
        <f>D2651*C2653</f>
        <v>0</v>
      </c>
      <c r="E2653" s="421">
        <f>E2651*C2653</f>
        <v>0</v>
      </c>
      <c r="F2653" s="421">
        <f>F2651*C2653</f>
        <v>0</v>
      </c>
      <c r="G2653" s="421">
        <f>G2651*C2653</f>
        <v>0</v>
      </c>
      <c r="H2653" s="421">
        <f>H2651*C2653</f>
        <v>0</v>
      </c>
      <c r="I2653" s="421">
        <f>I2651*C2653</f>
        <v>0</v>
      </c>
      <c r="J2653" s="421">
        <f>J2651*C2653</f>
        <v>0</v>
      </c>
      <c r="K2653" s="424">
        <f>SUM(D2653:J2653)</f>
        <v>0</v>
      </c>
    </row>
    <row r="2654" spans="2:13" ht="15" customHeight="1" x14ac:dyDescent="0.25">
      <c r="B2654" s="389"/>
      <c r="C2654" s="423"/>
      <c r="D2654" s="421">
        <f>D2651*C2654</f>
        <v>0</v>
      </c>
      <c r="E2654" s="421">
        <f>E2651*C2654</f>
        <v>0</v>
      </c>
      <c r="F2654" s="421">
        <f>F2651*C2654</f>
        <v>0</v>
      </c>
      <c r="G2654" s="421">
        <f>G2651*C2654</f>
        <v>0</v>
      </c>
      <c r="H2654" s="421">
        <f>H2651*C2654</f>
        <v>0</v>
      </c>
      <c r="I2654" s="421">
        <f>I2651*C2654</f>
        <v>0</v>
      </c>
      <c r="J2654" s="421">
        <f>J2651*C2654</f>
        <v>0</v>
      </c>
      <c r="K2654" s="424">
        <f>SUM(D2654:J2654)</f>
        <v>0</v>
      </c>
    </row>
    <row r="2655" spans="2:13" ht="15" customHeight="1" x14ac:dyDescent="0.25">
      <c r="B2655" s="389"/>
      <c r="C2655" s="423"/>
      <c r="D2655" s="421">
        <f>D2651*C2655</f>
        <v>0</v>
      </c>
      <c r="E2655" s="421">
        <f>E2651*C2655</f>
        <v>0</v>
      </c>
      <c r="F2655" s="421">
        <f>F2651*C2655</f>
        <v>0</v>
      </c>
      <c r="G2655" s="421">
        <f>G2651*C2655</f>
        <v>0</v>
      </c>
      <c r="H2655" s="421">
        <f>H2651*C2655</f>
        <v>0</v>
      </c>
      <c r="I2655" s="421">
        <f>I2651*C2655</f>
        <v>0</v>
      </c>
      <c r="J2655" s="421">
        <f>J2651*C2655</f>
        <v>0</v>
      </c>
      <c r="K2655" s="424">
        <f>SUM(D2655:J2655)</f>
        <v>0</v>
      </c>
    </row>
    <row r="2656" spans="2:13" ht="15" customHeight="1" thickBot="1" x14ac:dyDescent="0.3"/>
    <row r="2657" spans="2:13" ht="15" customHeight="1" thickBot="1" x14ac:dyDescent="0.3">
      <c r="B2657" s="414"/>
      <c r="C2657" s="411"/>
      <c r="D2657" s="407" t="s">
        <v>548</v>
      </c>
      <c r="E2657" s="408" t="s">
        <v>549</v>
      </c>
      <c r="F2657" s="408" t="s">
        <v>550</v>
      </c>
      <c r="G2657" s="408" t="s">
        <v>551</v>
      </c>
      <c r="H2657" s="408" t="s">
        <v>552</v>
      </c>
      <c r="I2657" s="408" t="s">
        <v>553</v>
      </c>
      <c r="J2657" s="408" t="s">
        <v>554</v>
      </c>
      <c r="K2657" s="408" t="s">
        <v>555</v>
      </c>
    </row>
    <row r="2658" spans="2:13" ht="15" customHeight="1" thickBot="1" x14ac:dyDescent="0.3">
      <c r="B2658" s="414" t="s">
        <v>556</v>
      </c>
      <c r="C2658" s="415" t="s">
        <v>620</v>
      </c>
      <c r="D2658" s="416">
        <f>IF(ISERROR(VLOOKUP(B2657,'MD Usage'!$A$1:$W$5000,3,FALSE)),0,VLOOKUP(B2657,'MD Usage'!$A$1:$W$5000,3,FALSE))</f>
        <v>0</v>
      </c>
      <c r="E2658" s="416">
        <f>IF(ISERROR(VLOOKUP(B2657,'MD Usage'!$A$1:$W$5000,5,FALSE)),0,VLOOKUP(B2657,'MD Usage'!$A$1:$W$5000,5,FALSE))</f>
        <v>0</v>
      </c>
      <c r="F2658" s="416">
        <f>IF(ISERROR(VLOOKUP(B2657,'MD Usage'!$A$1:$W$5000,7,FALSE)),0,VLOOKUP(B2657,'MD Usage'!$A$1:$W$5000,7,FALSE))</f>
        <v>0</v>
      </c>
      <c r="G2658" s="416">
        <f>IF(ISERROR(VLOOKUP(B2657,'MD Usage'!$A$1:$W$5000,9,FALSE)),0,VLOOKUP(B2657,'MD Usage'!$A$1:$W$5000,9,FALSE))</f>
        <v>0</v>
      </c>
      <c r="H2658" s="416">
        <f>IF(ISERROR(VLOOKUP(B2657,'MD Usage'!$A$1:$W$5000,11,FALSE)),0,VLOOKUP(B2657,'MD Usage'!$A$1:$W$5000,11,FALSE))</f>
        <v>0</v>
      </c>
      <c r="I2658" s="416">
        <f>IF(ISERROR(VLOOKUP(B2657,'MD Usage'!A1:R2000,13,FALSE)),0,VLOOKUP(B2657,'MD Usage'!A1:R2000,13,FALSE))</f>
        <v>0</v>
      </c>
      <c r="J2658" s="416">
        <f>IF(ISERROR(VLOOKUP(B2657,'MD Usage'!A1:R2000,15,FALSE)),0,VLOOKUP(B2657,'MD Usage'!A1:R2000,15,FALSE))</f>
        <v>0</v>
      </c>
      <c r="K2658" s="418">
        <f>SUM(D2658:J2658)</f>
        <v>0</v>
      </c>
    </row>
    <row r="2659" spans="2:13" ht="15" customHeight="1" x14ac:dyDescent="0.25">
      <c r="B2659" s="419"/>
      <c r="C2659" s="420"/>
      <c r="D2659" s="421">
        <f>D2658*C2659</f>
        <v>0</v>
      </c>
      <c r="E2659" s="421">
        <f>E2658*C2659</f>
        <v>0</v>
      </c>
      <c r="F2659" s="421">
        <f>F2658*C2659</f>
        <v>0</v>
      </c>
      <c r="G2659" s="421">
        <f>G2658*C2659</f>
        <v>0</v>
      </c>
      <c r="H2659" s="421">
        <f>H2658*C2659</f>
        <v>0</v>
      </c>
      <c r="I2659" s="421">
        <f>I2658*C2659</f>
        <v>0</v>
      </c>
      <c r="J2659" s="421">
        <f>J2658*C2659</f>
        <v>0</v>
      </c>
      <c r="K2659" s="422">
        <f>SUM(D2659:J2659)</f>
        <v>0</v>
      </c>
    </row>
    <row r="2660" spans="2:13" ht="15" customHeight="1" x14ac:dyDescent="0.25">
      <c r="B2660" s="389"/>
      <c r="C2660" s="423"/>
      <c r="D2660" s="421">
        <f>D2658*C2660</f>
        <v>0</v>
      </c>
      <c r="E2660" s="421">
        <f>E2658*C2660</f>
        <v>0</v>
      </c>
      <c r="F2660" s="421">
        <f>F2658*C2660</f>
        <v>0</v>
      </c>
      <c r="G2660" s="421">
        <f>G2658*C2660</f>
        <v>0</v>
      </c>
      <c r="H2660" s="421">
        <f>H2658*C2660</f>
        <v>0</v>
      </c>
      <c r="I2660" s="421">
        <f>I2658*C2660</f>
        <v>0</v>
      </c>
      <c r="J2660" s="421">
        <f>J2658*C2660</f>
        <v>0</v>
      </c>
      <c r="K2660" s="424">
        <f>SUM(D2660:J2660)</f>
        <v>0</v>
      </c>
    </row>
    <row r="2661" spans="2:13" ht="15" customHeight="1" x14ac:dyDescent="0.25">
      <c r="B2661" s="389"/>
      <c r="C2661" s="423"/>
      <c r="D2661" s="421">
        <f>D2658*C2661</f>
        <v>0</v>
      </c>
      <c r="E2661" s="421">
        <f>E2658*C2661</f>
        <v>0</v>
      </c>
      <c r="F2661" s="421">
        <f>F2658*C2661</f>
        <v>0</v>
      </c>
      <c r="G2661" s="421">
        <f>G2658*C2661</f>
        <v>0</v>
      </c>
      <c r="H2661" s="421">
        <f>H2658*C2661</f>
        <v>0</v>
      </c>
      <c r="I2661" s="421">
        <f>I2658*C2661</f>
        <v>0</v>
      </c>
      <c r="J2661" s="421">
        <f>J2658*C2661</f>
        <v>0</v>
      </c>
      <c r="K2661" s="424">
        <f>SUM(D2661:J2661)</f>
        <v>0</v>
      </c>
    </row>
    <row r="2662" spans="2:13" ht="15" customHeight="1" x14ac:dyDescent="0.25">
      <c r="B2662" s="389"/>
      <c r="C2662" s="423"/>
      <c r="D2662" s="421">
        <f>D2658*C2662</f>
        <v>0</v>
      </c>
      <c r="E2662" s="421">
        <f>E2658*C2662</f>
        <v>0</v>
      </c>
      <c r="F2662" s="421">
        <f>F2658*C2662</f>
        <v>0</v>
      </c>
      <c r="G2662" s="421">
        <f>G2658*C2662</f>
        <v>0</v>
      </c>
      <c r="H2662" s="421">
        <f>H2658*C2662</f>
        <v>0</v>
      </c>
      <c r="I2662" s="421">
        <f>I2658*C2662</f>
        <v>0</v>
      </c>
      <c r="J2662" s="421">
        <f>J2658*C2662</f>
        <v>0</v>
      </c>
      <c r="K2662" s="424">
        <f>SUM(D2662:J2662)</f>
        <v>0</v>
      </c>
    </row>
    <row r="2663" spans="2:13" ht="15" customHeight="1" thickBot="1" x14ac:dyDescent="0.3"/>
    <row r="2664" spans="2:13" ht="15" customHeight="1" thickBot="1" x14ac:dyDescent="0.3">
      <c r="B2664" s="432"/>
      <c r="C2664" s="411"/>
      <c r="D2664" s="407" t="s">
        <v>548</v>
      </c>
      <c r="E2664" s="408" t="s">
        <v>549</v>
      </c>
      <c r="F2664" s="408" t="s">
        <v>550</v>
      </c>
      <c r="G2664" s="408" t="s">
        <v>551</v>
      </c>
      <c r="H2664" s="408" t="s">
        <v>552</v>
      </c>
      <c r="I2664" s="408" t="s">
        <v>553</v>
      </c>
      <c r="J2664" s="408" t="s">
        <v>554</v>
      </c>
      <c r="K2664" s="408" t="s">
        <v>555</v>
      </c>
      <c r="M2664" s="414"/>
    </row>
    <row r="2665" spans="2:13" ht="15" customHeight="1" thickBot="1" x14ac:dyDescent="0.3">
      <c r="B2665" s="414" t="s">
        <v>556</v>
      </c>
      <c r="C2665" s="415" t="s">
        <v>620</v>
      </c>
      <c r="D2665" s="416">
        <f>IF(ISERROR(VLOOKUP(B2664,'MD Usage'!$A$1:$W$5000,3,FALSE)),0,VLOOKUP(B2664,'MD Usage'!$A$1:$W$5000,3,FALSE))</f>
        <v>0</v>
      </c>
      <c r="E2665" s="416">
        <f>IF(ISERROR(VLOOKUP(B2664,'MD Usage'!$A$1:$W$5000,5,FALSE)),0,VLOOKUP(B2664,'MD Usage'!$A$1:$W$5000,5,FALSE))</f>
        <v>0</v>
      </c>
      <c r="F2665" s="416">
        <f>IF(ISERROR(VLOOKUP(B2664,'MD Usage'!$A$1:$W$5000,7,FALSE)),0,VLOOKUP(B2664,'MD Usage'!$A$1:$W$5000,7,FALSE))</f>
        <v>0</v>
      </c>
      <c r="G2665" s="416">
        <f>IF(ISERROR(VLOOKUP(B2664,'MD Usage'!$A$1:$W$5000,9,FALSE)),0,VLOOKUP(B2664,'MD Usage'!$A$1:$W$5000,9,FALSE))</f>
        <v>0</v>
      </c>
      <c r="H2665" s="416">
        <f>IF(ISERROR(VLOOKUP(B2664,'MD Usage'!$A$1:$W$5000,11,FALSE)),0,VLOOKUP(B2664,'MD Usage'!$A$1:$W$5000,11,FALSE))</f>
        <v>0</v>
      </c>
      <c r="I2665" s="416">
        <f>IF(ISERROR(VLOOKUP(B2664,'MD Usage'!A1:R2000,13,FALSE)),0,VLOOKUP(B2664,'MD Usage'!A1:R2000,13,FALSE))</f>
        <v>0</v>
      </c>
      <c r="J2665" s="416">
        <f>IF(ISERROR(VLOOKUP(B2664,'MD Usage'!A1:R2000,15,FALSE)),0,VLOOKUP(B2664,'MD Usage'!A1:R2000,15,FALSE))</f>
        <v>0</v>
      </c>
      <c r="K2665" s="418">
        <f>SUM(D2665:J2665)</f>
        <v>0</v>
      </c>
    </row>
    <row r="2666" spans="2:13" ht="15" customHeight="1" x14ac:dyDescent="0.25">
      <c r="B2666" s="419"/>
      <c r="C2666" s="420"/>
      <c r="D2666" s="421">
        <f>D2665*C2666</f>
        <v>0</v>
      </c>
      <c r="E2666" s="421">
        <f>E2665*C2666</f>
        <v>0</v>
      </c>
      <c r="F2666" s="421">
        <f>F2665*C2666</f>
        <v>0</v>
      </c>
      <c r="G2666" s="421">
        <f>G2665*C2666</f>
        <v>0</v>
      </c>
      <c r="H2666" s="421">
        <f>H2665*C2666</f>
        <v>0</v>
      </c>
      <c r="I2666" s="421">
        <f>I2665*C2666</f>
        <v>0</v>
      </c>
      <c r="J2666" s="421">
        <f>J2665*C2666</f>
        <v>0</v>
      </c>
      <c r="K2666" s="422">
        <f>SUM(D2666:J2666)</f>
        <v>0</v>
      </c>
    </row>
    <row r="2667" spans="2:13" ht="15" customHeight="1" x14ac:dyDescent="0.25">
      <c r="B2667" s="389"/>
      <c r="C2667" s="423"/>
      <c r="D2667" s="421">
        <f>D2665*C2667</f>
        <v>0</v>
      </c>
      <c r="E2667" s="421">
        <f>E2665*C2667</f>
        <v>0</v>
      </c>
      <c r="F2667" s="421">
        <f>F2665*C2667</f>
        <v>0</v>
      </c>
      <c r="G2667" s="421">
        <f>G2665*C2667</f>
        <v>0</v>
      </c>
      <c r="H2667" s="421">
        <f>H2665*C2667</f>
        <v>0</v>
      </c>
      <c r="I2667" s="421">
        <f>I2665*C2667</f>
        <v>0</v>
      </c>
      <c r="J2667" s="421">
        <f>J2665*C2667</f>
        <v>0</v>
      </c>
      <c r="K2667" s="424">
        <f>SUM(D2667:J2667)</f>
        <v>0</v>
      </c>
    </row>
    <row r="2668" spans="2:13" ht="15" customHeight="1" x14ac:dyDescent="0.25">
      <c r="B2668" s="389"/>
      <c r="C2668" s="423"/>
      <c r="D2668" s="421">
        <f>D2665*C2668</f>
        <v>0</v>
      </c>
      <c r="E2668" s="421">
        <f>E2665*C2668</f>
        <v>0</v>
      </c>
      <c r="F2668" s="421">
        <f>F2665*C2668</f>
        <v>0</v>
      </c>
      <c r="G2668" s="421">
        <f>G2665*C2668</f>
        <v>0</v>
      </c>
      <c r="H2668" s="421">
        <f>H2665*C2668</f>
        <v>0</v>
      </c>
      <c r="I2668" s="421">
        <f>I2665*C2668</f>
        <v>0</v>
      </c>
      <c r="J2668" s="421">
        <f>J2665*C2668</f>
        <v>0</v>
      </c>
      <c r="K2668" s="424">
        <f>SUM(D2668:J2668)</f>
        <v>0</v>
      </c>
    </row>
    <row r="2669" spans="2:13" ht="15" customHeight="1" x14ac:dyDescent="0.25">
      <c r="B2669" s="389"/>
      <c r="C2669" s="423"/>
      <c r="D2669" s="421">
        <f>D2665*C2669</f>
        <v>0</v>
      </c>
      <c r="E2669" s="421">
        <f>E2665*C2669</f>
        <v>0</v>
      </c>
      <c r="F2669" s="421">
        <f>F2665*C2669</f>
        <v>0</v>
      </c>
      <c r="G2669" s="421">
        <f>G2665*C2669</f>
        <v>0</v>
      </c>
      <c r="H2669" s="421">
        <f>H2665*C2669</f>
        <v>0</v>
      </c>
      <c r="I2669" s="421">
        <f>I2665*C2669</f>
        <v>0</v>
      </c>
      <c r="J2669" s="421">
        <f>J2665*C2669</f>
        <v>0</v>
      </c>
      <c r="K2669" s="424">
        <f>SUM(D2669:J2669)</f>
        <v>0</v>
      </c>
    </row>
    <row r="2670" spans="2:13" ht="15" customHeight="1" thickBot="1" x14ac:dyDescent="0.3"/>
    <row r="2671" spans="2:13" ht="15" customHeight="1" thickBot="1" x14ac:dyDescent="0.3">
      <c r="B2671" s="414"/>
      <c r="C2671" s="411"/>
      <c r="D2671" s="407" t="s">
        <v>548</v>
      </c>
      <c r="E2671" s="408" t="s">
        <v>549</v>
      </c>
      <c r="F2671" s="408" t="s">
        <v>550</v>
      </c>
      <c r="G2671" s="408" t="s">
        <v>551</v>
      </c>
      <c r="H2671" s="408" t="s">
        <v>552</v>
      </c>
      <c r="I2671" s="408" t="s">
        <v>553</v>
      </c>
      <c r="J2671" s="408" t="s">
        <v>554</v>
      </c>
      <c r="K2671" s="408" t="s">
        <v>555</v>
      </c>
    </row>
    <row r="2672" spans="2:13" ht="15" customHeight="1" thickBot="1" x14ac:dyDescent="0.3">
      <c r="B2672" s="414" t="s">
        <v>556</v>
      </c>
      <c r="C2672" s="415" t="s">
        <v>620</v>
      </c>
      <c r="D2672" s="416">
        <f>IF(ISERROR(VLOOKUP(B2671,'MD Usage'!$A$1:$W$5000,3,FALSE)),0,VLOOKUP(B2671,'MD Usage'!$A$1:$W$5000,3,FALSE))</f>
        <v>0</v>
      </c>
      <c r="E2672" s="416">
        <f>IF(ISERROR(VLOOKUP(B2671,'MD Usage'!$A$1:$W$5000,5,FALSE)),0,VLOOKUP(B2671,'MD Usage'!$A$1:$W$5000,5,FALSE))</f>
        <v>0</v>
      </c>
      <c r="F2672" s="416">
        <f>IF(ISERROR(VLOOKUP(B2671,'MD Usage'!$A$1:$W$5000,7,FALSE)),0,VLOOKUP(B2671,'MD Usage'!$A$1:$W$5000,7,FALSE))</f>
        <v>0</v>
      </c>
      <c r="G2672" s="416">
        <f>IF(ISERROR(VLOOKUP(B2671,'MD Usage'!$A$1:$W$5000,9,FALSE)),0,VLOOKUP(B2671,'MD Usage'!$A$1:$W$5000,9,FALSE))</f>
        <v>0</v>
      </c>
      <c r="H2672" s="416">
        <f>IF(ISERROR(VLOOKUP(B2671,'MD Usage'!$A$1:$W$5000,11,FALSE)),0,VLOOKUP(B2671,'MD Usage'!$A$1:$W$5000,11,FALSE))</f>
        <v>0</v>
      </c>
      <c r="I2672" s="416">
        <f>IF(ISERROR(VLOOKUP(B2671,'MD Usage'!A1:R2000,13,FALSE)),0,VLOOKUP(B2671,'MD Usage'!A1:R2000,13,FALSE))</f>
        <v>0</v>
      </c>
      <c r="J2672" s="416">
        <f>IF(ISERROR(VLOOKUP(B2671,'MD Usage'!A1:R2000,15,FALSE)),0,VLOOKUP(B2671,'MD Usage'!A1:R2000,15,FALSE))</f>
        <v>0</v>
      </c>
      <c r="K2672" s="418">
        <f>SUM(D2672:J2672)</f>
        <v>0</v>
      </c>
    </row>
    <row r="2673" spans="2:13" ht="15" customHeight="1" x14ac:dyDescent="0.25">
      <c r="B2673" s="419"/>
      <c r="C2673" s="420"/>
      <c r="D2673" s="421">
        <f>D2672*C2673</f>
        <v>0</v>
      </c>
      <c r="E2673" s="421">
        <f>E2672*C2673</f>
        <v>0</v>
      </c>
      <c r="F2673" s="421">
        <f>F2672*C2673</f>
        <v>0</v>
      </c>
      <c r="G2673" s="421">
        <f>G2672*C2673</f>
        <v>0</v>
      </c>
      <c r="H2673" s="421">
        <f>H2672*C2673</f>
        <v>0</v>
      </c>
      <c r="I2673" s="421">
        <f>I2672*C2673</f>
        <v>0</v>
      </c>
      <c r="J2673" s="421">
        <f>J2672*C2673</f>
        <v>0</v>
      </c>
      <c r="K2673" s="422">
        <f>SUM(D2673:J2673)</f>
        <v>0</v>
      </c>
    </row>
    <row r="2674" spans="2:13" ht="15" customHeight="1" x14ac:dyDescent="0.25">
      <c r="B2674" s="389"/>
      <c r="C2674" s="423"/>
      <c r="D2674" s="421">
        <f>D2672*C2674</f>
        <v>0</v>
      </c>
      <c r="E2674" s="421">
        <f>E2672*C2674</f>
        <v>0</v>
      </c>
      <c r="F2674" s="421">
        <f>F2672*C2674</f>
        <v>0</v>
      </c>
      <c r="G2674" s="421">
        <f>G2672*C2674</f>
        <v>0</v>
      </c>
      <c r="H2674" s="421">
        <f>H2672*C2674</f>
        <v>0</v>
      </c>
      <c r="I2674" s="421">
        <f>I2672*C2674</f>
        <v>0</v>
      </c>
      <c r="J2674" s="421">
        <f>J2672*C2674</f>
        <v>0</v>
      </c>
      <c r="K2674" s="424">
        <f>SUM(D2674:J2674)</f>
        <v>0</v>
      </c>
    </row>
    <row r="2675" spans="2:13" ht="15" customHeight="1" x14ac:dyDescent="0.25">
      <c r="B2675" s="389"/>
      <c r="C2675" s="423"/>
      <c r="D2675" s="421">
        <f>D2672*C2675</f>
        <v>0</v>
      </c>
      <c r="E2675" s="421">
        <f>E2672*C2675</f>
        <v>0</v>
      </c>
      <c r="F2675" s="421">
        <f>F2672*C2675</f>
        <v>0</v>
      </c>
      <c r="G2675" s="421">
        <f>G2672*C2675</f>
        <v>0</v>
      </c>
      <c r="H2675" s="421">
        <f>H2672*C2675</f>
        <v>0</v>
      </c>
      <c r="I2675" s="421">
        <f>I2672*C2675</f>
        <v>0</v>
      </c>
      <c r="J2675" s="421">
        <f>J2672*C2675</f>
        <v>0</v>
      </c>
      <c r="K2675" s="424">
        <f>SUM(D2675:J2675)</f>
        <v>0</v>
      </c>
    </row>
    <row r="2676" spans="2:13" ht="15" customHeight="1" x14ac:dyDescent="0.25">
      <c r="B2676" s="389"/>
      <c r="C2676" s="423"/>
      <c r="D2676" s="421">
        <f>D2672*C2676</f>
        <v>0</v>
      </c>
      <c r="E2676" s="421">
        <f>E2672*C2676</f>
        <v>0</v>
      </c>
      <c r="F2676" s="421">
        <f>F2672*C2676</f>
        <v>0</v>
      </c>
      <c r="G2676" s="421">
        <f>G2672*C2676</f>
        <v>0</v>
      </c>
      <c r="H2676" s="421">
        <f>H2672*C2676</f>
        <v>0</v>
      </c>
      <c r="I2676" s="421">
        <f>I2672*C2676</f>
        <v>0</v>
      </c>
      <c r="J2676" s="421">
        <f>J2672*C2676</f>
        <v>0</v>
      </c>
      <c r="K2676" s="424">
        <f>SUM(D2676:J2676)</f>
        <v>0</v>
      </c>
    </row>
    <row r="2677" spans="2:13" ht="15" customHeight="1" thickBot="1" x14ac:dyDescent="0.3"/>
    <row r="2678" spans="2:13" ht="15" customHeight="1" thickBot="1" x14ac:dyDescent="0.3">
      <c r="B2678" s="414"/>
      <c r="C2678" s="411"/>
      <c r="D2678" s="407" t="s">
        <v>548</v>
      </c>
      <c r="E2678" s="408" t="s">
        <v>549</v>
      </c>
      <c r="F2678" s="408" t="s">
        <v>550</v>
      </c>
      <c r="G2678" s="408" t="s">
        <v>551</v>
      </c>
      <c r="H2678" s="408" t="s">
        <v>552</v>
      </c>
      <c r="I2678" s="408" t="s">
        <v>553</v>
      </c>
      <c r="J2678" s="408" t="s">
        <v>554</v>
      </c>
      <c r="K2678" s="408" t="s">
        <v>555</v>
      </c>
    </row>
    <row r="2679" spans="2:13" ht="15" customHeight="1" thickBot="1" x14ac:dyDescent="0.3">
      <c r="B2679" s="414" t="s">
        <v>556</v>
      </c>
      <c r="C2679" s="415" t="s">
        <v>620</v>
      </c>
      <c r="D2679" s="416">
        <f>IF(ISERROR(VLOOKUP(B2678,'MD Usage'!$A$1:$W$5000,3,FALSE)),0,VLOOKUP(B2678,'MD Usage'!$A$1:$W$5000,3,FALSE))</f>
        <v>0</v>
      </c>
      <c r="E2679" s="416">
        <f>IF(ISERROR(VLOOKUP(B2678,'MD Usage'!$A$1:$W$5000,5,FALSE)),0,VLOOKUP(B2678,'MD Usage'!$A$1:$W$5000,5,FALSE))</f>
        <v>0</v>
      </c>
      <c r="F2679" s="416">
        <f>IF(ISERROR(VLOOKUP(B2678,'MD Usage'!$A$1:$W$5000,7,FALSE)),0,VLOOKUP(B2678,'MD Usage'!$A$1:$W$5000,7,FALSE))</f>
        <v>0</v>
      </c>
      <c r="G2679" s="416">
        <f>IF(ISERROR(VLOOKUP(B2678,'MD Usage'!$A$1:$W$5000,9,FALSE)),0,VLOOKUP(B2678,'MD Usage'!$A$1:$W$5000,9,FALSE))</f>
        <v>0</v>
      </c>
      <c r="H2679" s="416">
        <f>IF(ISERROR(VLOOKUP(B2678,'MD Usage'!$A$1:$W$5000,11,FALSE)),0,VLOOKUP(B2678,'MD Usage'!$A$1:$W$5000,11,FALSE))</f>
        <v>0</v>
      </c>
      <c r="I2679" s="416">
        <f>IF(ISERROR(VLOOKUP(B2678,'MD Usage'!A1:R2000,13,FALSE)),0,VLOOKUP(B2678,'MD Usage'!A1:R2000,13,FALSE))</f>
        <v>0</v>
      </c>
      <c r="J2679" s="416">
        <f>IF(ISERROR(VLOOKUP(B2678,'MD Usage'!A1:R2000,15,FALSE)),0,VLOOKUP(B2678,'MD Usage'!A1:R2000,15,FALSE))</f>
        <v>0</v>
      </c>
      <c r="K2679" s="418">
        <f>SUM(D2679:J2679)</f>
        <v>0</v>
      </c>
    </row>
    <row r="2680" spans="2:13" ht="15" customHeight="1" x14ac:dyDescent="0.25">
      <c r="B2680" s="419"/>
      <c r="C2680" s="420"/>
      <c r="D2680" s="421">
        <f>D2679*C2680</f>
        <v>0</v>
      </c>
      <c r="E2680" s="421">
        <f>E2679*C2680</f>
        <v>0</v>
      </c>
      <c r="F2680" s="421">
        <f>F2679*C2680</f>
        <v>0</v>
      </c>
      <c r="G2680" s="421">
        <f>G2679*C2680</f>
        <v>0</v>
      </c>
      <c r="H2680" s="421">
        <f>H2679*C2680</f>
        <v>0</v>
      </c>
      <c r="I2680" s="421">
        <f>I2679*C2680</f>
        <v>0</v>
      </c>
      <c r="J2680" s="421">
        <f>J2679*C2680</f>
        <v>0</v>
      </c>
      <c r="K2680" s="422">
        <f>SUM(D2680:J2680)</f>
        <v>0</v>
      </c>
    </row>
    <row r="2681" spans="2:13" ht="15" customHeight="1" x14ac:dyDescent="0.25">
      <c r="B2681" s="389"/>
      <c r="C2681" s="423"/>
      <c r="D2681" s="421">
        <f>D2679*C2681</f>
        <v>0</v>
      </c>
      <c r="E2681" s="421">
        <f>E2679*C2681</f>
        <v>0</v>
      </c>
      <c r="F2681" s="421">
        <f>F2679*C2681</f>
        <v>0</v>
      </c>
      <c r="G2681" s="421">
        <f>G2679*C2681</f>
        <v>0</v>
      </c>
      <c r="H2681" s="421">
        <f>H2679*C2681</f>
        <v>0</v>
      </c>
      <c r="I2681" s="421">
        <f>I2679*C2681</f>
        <v>0</v>
      </c>
      <c r="J2681" s="421">
        <f>J2679*C2681</f>
        <v>0</v>
      </c>
      <c r="K2681" s="424">
        <f>SUM(D2681:J2681)</f>
        <v>0</v>
      </c>
    </row>
    <row r="2682" spans="2:13" ht="15" customHeight="1" x14ac:dyDescent="0.25">
      <c r="B2682" s="389"/>
      <c r="C2682" s="423"/>
      <c r="D2682" s="421">
        <f>D2679*C2682</f>
        <v>0</v>
      </c>
      <c r="E2682" s="421">
        <f>E2679*C2682</f>
        <v>0</v>
      </c>
      <c r="F2682" s="421">
        <f>F2679*C2682</f>
        <v>0</v>
      </c>
      <c r="G2682" s="421">
        <f>G2679*C2682</f>
        <v>0</v>
      </c>
      <c r="H2682" s="421">
        <f>H2679*C2682</f>
        <v>0</v>
      </c>
      <c r="I2682" s="421">
        <f>I2679*C2682</f>
        <v>0</v>
      </c>
      <c r="J2682" s="421">
        <f>J2679*C2682</f>
        <v>0</v>
      </c>
      <c r="K2682" s="424">
        <f>SUM(D2682:J2682)</f>
        <v>0</v>
      </c>
    </row>
    <row r="2683" spans="2:13" ht="15" customHeight="1" x14ac:dyDescent="0.25">
      <c r="B2683" s="389"/>
      <c r="C2683" s="423"/>
      <c r="D2683" s="421">
        <f>D2679*C2683</f>
        <v>0</v>
      </c>
      <c r="E2683" s="421">
        <f>E2679*C2683</f>
        <v>0</v>
      </c>
      <c r="F2683" s="421">
        <f>F2679*C2683</f>
        <v>0</v>
      </c>
      <c r="G2683" s="421">
        <f>G2679*C2683</f>
        <v>0</v>
      </c>
      <c r="H2683" s="421">
        <f>H2679*C2683</f>
        <v>0</v>
      </c>
      <c r="I2683" s="421">
        <f>I2679*C2683</f>
        <v>0</v>
      </c>
      <c r="J2683" s="421">
        <f>J2679*C2683</f>
        <v>0</v>
      </c>
      <c r="K2683" s="424">
        <f>SUM(D2683:J2683)</f>
        <v>0</v>
      </c>
    </row>
    <row r="2684" spans="2:13" ht="15" customHeight="1" thickBot="1" x14ac:dyDescent="0.3"/>
    <row r="2685" spans="2:13" ht="15" customHeight="1" thickBot="1" x14ac:dyDescent="0.3">
      <c r="B2685" s="432"/>
      <c r="C2685" s="411"/>
      <c r="D2685" s="407" t="s">
        <v>548</v>
      </c>
      <c r="E2685" s="408" t="s">
        <v>549</v>
      </c>
      <c r="F2685" s="408" t="s">
        <v>550</v>
      </c>
      <c r="G2685" s="408" t="s">
        <v>551</v>
      </c>
      <c r="H2685" s="408" t="s">
        <v>552</v>
      </c>
      <c r="I2685" s="408" t="s">
        <v>553</v>
      </c>
      <c r="J2685" s="408" t="s">
        <v>554</v>
      </c>
      <c r="K2685" s="408" t="s">
        <v>555</v>
      </c>
      <c r="M2685" s="414"/>
    </row>
    <row r="2686" spans="2:13" ht="15" customHeight="1" thickBot="1" x14ac:dyDescent="0.3">
      <c r="B2686" s="414" t="s">
        <v>556</v>
      </c>
      <c r="C2686" s="415" t="s">
        <v>620</v>
      </c>
      <c r="D2686" s="416">
        <f>IF(ISERROR(VLOOKUP(B2685,'MD Usage'!$A$1:$W$5000,3,FALSE)),0,VLOOKUP(B2685,'MD Usage'!$A$1:$W$5000,3,FALSE))</f>
        <v>0</v>
      </c>
      <c r="E2686" s="416">
        <f>IF(ISERROR(VLOOKUP(B2685,'MD Usage'!$A$1:$W$5000,5,FALSE)),0,VLOOKUP(B2685,'MD Usage'!$A$1:$W$5000,5,FALSE))</f>
        <v>0</v>
      </c>
      <c r="F2686" s="416">
        <f>IF(ISERROR(VLOOKUP(B2685,'MD Usage'!$A$1:$W$5000,7,FALSE)),0,VLOOKUP(B2685,'MD Usage'!$A$1:$W$5000,7,FALSE))</f>
        <v>0</v>
      </c>
      <c r="G2686" s="416">
        <f>IF(ISERROR(VLOOKUP(B2685,'MD Usage'!$A$1:$W$5000,9,FALSE)),0,VLOOKUP(B2685,'MD Usage'!$A$1:$W$5000,9,FALSE))</f>
        <v>0</v>
      </c>
      <c r="H2686" s="416">
        <f>IF(ISERROR(VLOOKUP(B2685,'MD Usage'!$A$1:$W$5000,11,FALSE)),0,VLOOKUP(B2685,'MD Usage'!$A$1:$W$5000,11,FALSE))</f>
        <v>0</v>
      </c>
      <c r="I2686" s="416">
        <f>IF(ISERROR(VLOOKUP(B2685,'MD Usage'!A1:R2000,13,FALSE)),0,VLOOKUP(B2685,'MD Usage'!A1:R2000,13,FALSE))</f>
        <v>0</v>
      </c>
      <c r="J2686" s="416">
        <f>IF(ISERROR(VLOOKUP(B2685,'MD Usage'!A1:R2000,15,FALSE)),0,VLOOKUP(B2685,'MD Usage'!A1:R2000,15,FALSE))</f>
        <v>0</v>
      </c>
      <c r="K2686" s="418">
        <f>SUM(D2686:J2686)</f>
        <v>0</v>
      </c>
    </row>
    <row r="2687" spans="2:13" ht="15" customHeight="1" x14ac:dyDescent="0.25">
      <c r="B2687" s="419"/>
      <c r="C2687" s="420"/>
      <c r="D2687" s="421">
        <f>D2686*C2687</f>
        <v>0</v>
      </c>
      <c r="E2687" s="421">
        <f>E2686*C2687</f>
        <v>0</v>
      </c>
      <c r="F2687" s="421">
        <f>F2686*C2687</f>
        <v>0</v>
      </c>
      <c r="G2687" s="421">
        <f>G2686*C2687</f>
        <v>0</v>
      </c>
      <c r="H2687" s="421">
        <f>H2686*C2687</f>
        <v>0</v>
      </c>
      <c r="I2687" s="421">
        <f>I2686*C2687</f>
        <v>0</v>
      </c>
      <c r="J2687" s="421">
        <f>J2686*C2687</f>
        <v>0</v>
      </c>
      <c r="K2687" s="422">
        <f>SUM(D2687:J2687)</f>
        <v>0</v>
      </c>
    </row>
    <row r="2688" spans="2:13" ht="15" customHeight="1" x14ac:dyDescent="0.25">
      <c r="B2688" s="389"/>
      <c r="C2688" s="423"/>
      <c r="D2688" s="421">
        <f>D2686*C2688</f>
        <v>0</v>
      </c>
      <c r="E2688" s="421">
        <f>E2686*C2688</f>
        <v>0</v>
      </c>
      <c r="F2688" s="421">
        <f>F2686*C2688</f>
        <v>0</v>
      </c>
      <c r="G2688" s="421">
        <f>G2686*C2688</f>
        <v>0</v>
      </c>
      <c r="H2688" s="421">
        <f>H2686*C2688</f>
        <v>0</v>
      </c>
      <c r="I2688" s="421">
        <f>I2686*C2688</f>
        <v>0</v>
      </c>
      <c r="J2688" s="421">
        <f>J2686*C2688</f>
        <v>0</v>
      </c>
      <c r="K2688" s="424">
        <f>SUM(D2688:J2688)</f>
        <v>0</v>
      </c>
    </row>
    <row r="2689" spans="2:13" ht="15" customHeight="1" x14ac:dyDescent="0.25">
      <c r="B2689" s="389"/>
      <c r="C2689" s="423"/>
      <c r="D2689" s="421">
        <f>D2686*C2689</f>
        <v>0</v>
      </c>
      <c r="E2689" s="421">
        <f>E2686*C2689</f>
        <v>0</v>
      </c>
      <c r="F2689" s="421">
        <f>F2686*C2689</f>
        <v>0</v>
      </c>
      <c r="G2689" s="421">
        <f>G2686*C2689</f>
        <v>0</v>
      </c>
      <c r="H2689" s="421">
        <f>H2686*C2689</f>
        <v>0</v>
      </c>
      <c r="I2689" s="421">
        <f>I2686*C2689</f>
        <v>0</v>
      </c>
      <c r="J2689" s="421">
        <f>J2686*C2689</f>
        <v>0</v>
      </c>
      <c r="K2689" s="424">
        <f>SUM(D2689:J2689)</f>
        <v>0</v>
      </c>
    </row>
    <row r="2690" spans="2:13" ht="15" customHeight="1" x14ac:dyDescent="0.25">
      <c r="B2690" s="389"/>
      <c r="C2690" s="423"/>
      <c r="D2690" s="421">
        <f>D2686*C2690</f>
        <v>0</v>
      </c>
      <c r="E2690" s="421">
        <f>E2686*C2690</f>
        <v>0</v>
      </c>
      <c r="F2690" s="421">
        <f>F2686*C2690</f>
        <v>0</v>
      </c>
      <c r="G2690" s="421">
        <f>G2686*C2690</f>
        <v>0</v>
      </c>
      <c r="H2690" s="421">
        <f>H2686*C2690</f>
        <v>0</v>
      </c>
      <c r="I2690" s="421">
        <f>I2686*C2690</f>
        <v>0</v>
      </c>
      <c r="J2690" s="421">
        <f>J2686*C2690</f>
        <v>0</v>
      </c>
      <c r="K2690" s="424">
        <f>SUM(D2690:J2690)</f>
        <v>0</v>
      </c>
    </row>
    <row r="2691" spans="2:13" ht="15" customHeight="1" thickBot="1" x14ac:dyDescent="0.3"/>
    <row r="2692" spans="2:13" ht="15" customHeight="1" thickBot="1" x14ac:dyDescent="0.3">
      <c r="B2692" s="432"/>
      <c r="C2692" s="411"/>
      <c r="D2692" s="407" t="s">
        <v>548</v>
      </c>
      <c r="E2692" s="408" t="s">
        <v>549</v>
      </c>
      <c r="F2692" s="408" t="s">
        <v>550</v>
      </c>
      <c r="G2692" s="408" t="s">
        <v>551</v>
      </c>
      <c r="H2692" s="408" t="s">
        <v>552</v>
      </c>
      <c r="I2692" s="408" t="s">
        <v>553</v>
      </c>
      <c r="J2692" s="408" t="s">
        <v>554</v>
      </c>
      <c r="K2692" s="408" t="s">
        <v>555</v>
      </c>
      <c r="M2692" s="414"/>
    </row>
    <row r="2693" spans="2:13" ht="15" customHeight="1" thickBot="1" x14ac:dyDescent="0.3">
      <c r="B2693" s="414" t="s">
        <v>556</v>
      </c>
      <c r="C2693" s="415" t="s">
        <v>620</v>
      </c>
      <c r="D2693" s="416">
        <f>IF(ISERROR(VLOOKUP(B2692,'MD Usage'!$A$1:$W$5000,3,FALSE)),0,VLOOKUP(B2692,'MD Usage'!$A$1:$W$5000,3,FALSE))</f>
        <v>0</v>
      </c>
      <c r="E2693" s="416">
        <f>IF(ISERROR(VLOOKUP(B2692,'MD Usage'!$A$1:$W$5000,5,FALSE)),0,VLOOKUP(B2692,'MD Usage'!$A$1:$W$5000,5,FALSE))</f>
        <v>0</v>
      </c>
      <c r="F2693" s="416">
        <f>IF(ISERROR(VLOOKUP(B2692,'MD Usage'!$A$1:$W$5000,7,FALSE)),0,VLOOKUP(B2692,'MD Usage'!$A$1:$W$5000,7,FALSE))</f>
        <v>0</v>
      </c>
      <c r="G2693" s="416">
        <f>IF(ISERROR(VLOOKUP(B2692,'MD Usage'!$A$1:$W$5000,9,FALSE)),0,VLOOKUP(B2692,'MD Usage'!$A$1:$W$5000,9,FALSE))</f>
        <v>0</v>
      </c>
      <c r="H2693" s="416">
        <f>IF(ISERROR(VLOOKUP(B2692,'MD Usage'!$A$1:$W$5000,11,FALSE)),0,VLOOKUP(B2692,'MD Usage'!$A$1:$W$5000,11,FALSE))</f>
        <v>0</v>
      </c>
      <c r="I2693" s="416">
        <f>IF(ISERROR(VLOOKUP(B2692,'MD Usage'!A1:R2000,13,FALSE)),0,VLOOKUP(B2692,'MD Usage'!A1:R2000,13,FALSE))</f>
        <v>0</v>
      </c>
      <c r="J2693" s="416">
        <f>IF(ISERROR(VLOOKUP(B2692,'MD Usage'!A1:R2000,15,FALSE)),0,VLOOKUP(B2692,'MD Usage'!A1:R2000,15,FALSE))</f>
        <v>0</v>
      </c>
      <c r="K2693" s="418">
        <f>SUM(D2693:J2693)</f>
        <v>0</v>
      </c>
    </row>
    <row r="2694" spans="2:13" ht="15" customHeight="1" x14ac:dyDescent="0.25">
      <c r="B2694" s="419"/>
      <c r="C2694" s="420"/>
      <c r="D2694" s="421">
        <f>D2693*C2694</f>
        <v>0</v>
      </c>
      <c r="E2694" s="421">
        <f>E2693*C2694</f>
        <v>0</v>
      </c>
      <c r="F2694" s="421">
        <f>F2693*C2694</f>
        <v>0</v>
      </c>
      <c r="G2694" s="421">
        <f>G2693*C2694</f>
        <v>0</v>
      </c>
      <c r="H2694" s="421">
        <f>H2693*C2694</f>
        <v>0</v>
      </c>
      <c r="I2694" s="421">
        <f>I2693*C2694</f>
        <v>0</v>
      </c>
      <c r="J2694" s="421">
        <f>J2693*C2694</f>
        <v>0</v>
      </c>
      <c r="K2694" s="422">
        <f>SUM(D2694:J2694)</f>
        <v>0</v>
      </c>
    </row>
    <row r="2695" spans="2:13" ht="15" customHeight="1" x14ac:dyDescent="0.25">
      <c r="B2695" s="389"/>
      <c r="C2695" s="423"/>
      <c r="D2695" s="421">
        <f>D2693*C2695</f>
        <v>0</v>
      </c>
      <c r="E2695" s="421">
        <f>E2693*C2695</f>
        <v>0</v>
      </c>
      <c r="F2695" s="421">
        <f>F2693*C2695</f>
        <v>0</v>
      </c>
      <c r="G2695" s="421">
        <f>G2693*C2695</f>
        <v>0</v>
      </c>
      <c r="H2695" s="421">
        <f>H2693*C2695</f>
        <v>0</v>
      </c>
      <c r="I2695" s="421">
        <f>I2693*C2695</f>
        <v>0</v>
      </c>
      <c r="J2695" s="421">
        <f>J2693*C2695</f>
        <v>0</v>
      </c>
      <c r="K2695" s="424">
        <f>SUM(D2695:J2695)</f>
        <v>0</v>
      </c>
    </row>
    <row r="2696" spans="2:13" ht="15" customHeight="1" x14ac:dyDescent="0.25">
      <c r="B2696" s="389"/>
      <c r="C2696" s="423"/>
      <c r="D2696" s="421">
        <f>D2693*C2696</f>
        <v>0</v>
      </c>
      <c r="E2696" s="421">
        <f>E2693*C2696</f>
        <v>0</v>
      </c>
      <c r="F2696" s="421">
        <f>F2693*C2696</f>
        <v>0</v>
      </c>
      <c r="G2696" s="421">
        <f>G2693*C2696</f>
        <v>0</v>
      </c>
      <c r="H2696" s="421">
        <f>H2693*C2696</f>
        <v>0</v>
      </c>
      <c r="I2696" s="421">
        <f>I2693*C2696</f>
        <v>0</v>
      </c>
      <c r="J2696" s="421">
        <f>J2693*C2696</f>
        <v>0</v>
      </c>
      <c r="K2696" s="424">
        <f>SUM(D2696:J2696)</f>
        <v>0</v>
      </c>
    </row>
    <row r="2697" spans="2:13" ht="15" customHeight="1" x14ac:dyDescent="0.25">
      <c r="B2697" s="389"/>
      <c r="C2697" s="423"/>
      <c r="D2697" s="421">
        <f>D2693*C2697</f>
        <v>0</v>
      </c>
      <c r="E2697" s="421">
        <f>E2693*C2697</f>
        <v>0</v>
      </c>
      <c r="F2697" s="421">
        <f>F2693*C2697</f>
        <v>0</v>
      </c>
      <c r="G2697" s="421">
        <f>G2693*C2697</f>
        <v>0</v>
      </c>
      <c r="H2697" s="421">
        <f>H2693*C2697</f>
        <v>0</v>
      </c>
      <c r="I2697" s="421">
        <f>I2693*C2697</f>
        <v>0</v>
      </c>
      <c r="J2697" s="421">
        <f>J2693*C2697</f>
        <v>0</v>
      </c>
      <c r="K2697" s="424">
        <f>SUM(D2697:J2697)</f>
        <v>0</v>
      </c>
    </row>
    <row r="2698" spans="2:13" ht="15" customHeight="1" thickBot="1" x14ac:dyDescent="0.3"/>
    <row r="2699" spans="2:13" ht="15" customHeight="1" thickBot="1" x14ac:dyDescent="0.3">
      <c r="B2699" s="432"/>
      <c r="C2699" s="411"/>
      <c r="D2699" s="407" t="s">
        <v>548</v>
      </c>
      <c r="E2699" s="408" t="s">
        <v>549</v>
      </c>
      <c r="F2699" s="408" t="s">
        <v>550</v>
      </c>
      <c r="G2699" s="408" t="s">
        <v>551</v>
      </c>
      <c r="H2699" s="408" t="s">
        <v>552</v>
      </c>
      <c r="I2699" s="408" t="s">
        <v>553</v>
      </c>
      <c r="J2699" s="408" t="s">
        <v>554</v>
      </c>
      <c r="K2699" s="408" t="s">
        <v>555</v>
      </c>
      <c r="M2699" s="414"/>
    </row>
    <row r="2700" spans="2:13" ht="15" customHeight="1" thickBot="1" x14ac:dyDescent="0.3">
      <c r="B2700" s="414" t="s">
        <v>556</v>
      </c>
      <c r="C2700" s="415" t="s">
        <v>620</v>
      </c>
      <c r="D2700" s="416">
        <f>IF(ISERROR(VLOOKUP(B2699,'MD Usage'!$A$1:$W$5000,3,FALSE)),0,VLOOKUP(B2699,'MD Usage'!$A$1:$W$5000,3,FALSE))</f>
        <v>0</v>
      </c>
      <c r="E2700" s="416">
        <f>IF(ISERROR(VLOOKUP(B2699,'MD Usage'!$A$1:$W$5000,5,FALSE)),0,VLOOKUP(B2699,'MD Usage'!$A$1:$W$5000,5,FALSE))</f>
        <v>0</v>
      </c>
      <c r="F2700" s="416">
        <f>IF(ISERROR(VLOOKUP(B2699,'MD Usage'!$A$1:$W$5000,7,FALSE)),0,VLOOKUP(B2699,'MD Usage'!$A$1:$W$5000,7,FALSE))</f>
        <v>0</v>
      </c>
      <c r="G2700" s="416">
        <f>IF(ISERROR(VLOOKUP(B2699,'MD Usage'!$A$1:$W$5000,9,FALSE)),0,VLOOKUP(B2699,'MD Usage'!$A$1:$W$5000,9,FALSE))</f>
        <v>0</v>
      </c>
      <c r="H2700" s="416">
        <f>IF(ISERROR(VLOOKUP(B2699,'MD Usage'!$A$1:$W$5000,11,FALSE)),0,VLOOKUP(B2699,'MD Usage'!$A$1:$W$5000,11,FALSE))</f>
        <v>0</v>
      </c>
      <c r="I2700" s="416">
        <f>IF(ISERROR(VLOOKUP(B2699,'MD Usage'!A1:R2000,13,FALSE)),0,VLOOKUP(B2699,'MD Usage'!A1:R2000,13,FALSE))</f>
        <v>0</v>
      </c>
      <c r="J2700" s="416">
        <f>IF(ISERROR(VLOOKUP(B2699,'MD Usage'!A1:R2000,15,FALSE)),0,VLOOKUP(B2699,'MD Usage'!A1:R2000,15,FALSE))</f>
        <v>0</v>
      </c>
      <c r="K2700" s="418">
        <f>SUM(D2700:J2700)</f>
        <v>0</v>
      </c>
    </row>
    <row r="2701" spans="2:13" ht="15" customHeight="1" x14ac:dyDescent="0.25">
      <c r="B2701" s="419"/>
      <c r="C2701" s="420"/>
      <c r="D2701" s="421">
        <f>D2700*C2701</f>
        <v>0</v>
      </c>
      <c r="E2701" s="421">
        <f>E2700*C2701</f>
        <v>0</v>
      </c>
      <c r="F2701" s="421">
        <f>F2700*C2701</f>
        <v>0</v>
      </c>
      <c r="G2701" s="421">
        <f>G2700*C2701</f>
        <v>0</v>
      </c>
      <c r="H2701" s="421">
        <f>H2700*C2701</f>
        <v>0</v>
      </c>
      <c r="I2701" s="421">
        <f>I2700*C2701</f>
        <v>0</v>
      </c>
      <c r="J2701" s="421">
        <f>J2700*C2701</f>
        <v>0</v>
      </c>
      <c r="K2701" s="422">
        <f>SUM(D2701:J2701)</f>
        <v>0</v>
      </c>
    </row>
    <row r="2702" spans="2:13" ht="15" customHeight="1" x14ac:dyDescent="0.25">
      <c r="B2702" s="389"/>
      <c r="C2702" s="423"/>
      <c r="D2702" s="421">
        <f>D2700*C2702</f>
        <v>0</v>
      </c>
      <c r="E2702" s="421">
        <f>E2700*C2702</f>
        <v>0</v>
      </c>
      <c r="F2702" s="421">
        <f>F2700*C2702</f>
        <v>0</v>
      </c>
      <c r="G2702" s="421">
        <f>G2700*C2702</f>
        <v>0</v>
      </c>
      <c r="H2702" s="421">
        <f>H2700*C2702</f>
        <v>0</v>
      </c>
      <c r="I2702" s="421">
        <f>I2700*C2702</f>
        <v>0</v>
      </c>
      <c r="J2702" s="421">
        <f>J2700*C2702</f>
        <v>0</v>
      </c>
      <c r="K2702" s="424">
        <f>SUM(D2702:J2702)</f>
        <v>0</v>
      </c>
    </row>
    <row r="2703" spans="2:13" ht="15" customHeight="1" x14ac:dyDescent="0.25">
      <c r="B2703" s="389"/>
      <c r="C2703" s="423"/>
      <c r="D2703" s="421">
        <f>D2700*C2703</f>
        <v>0</v>
      </c>
      <c r="E2703" s="421">
        <f>E2700*C2703</f>
        <v>0</v>
      </c>
      <c r="F2703" s="421">
        <f>F2700*C2703</f>
        <v>0</v>
      </c>
      <c r="G2703" s="421">
        <f>G2700*C2703</f>
        <v>0</v>
      </c>
      <c r="H2703" s="421">
        <f>H2700*C2703</f>
        <v>0</v>
      </c>
      <c r="I2703" s="421">
        <f>I2700*C2703</f>
        <v>0</v>
      </c>
      <c r="J2703" s="421">
        <f>J2700*C2703</f>
        <v>0</v>
      </c>
      <c r="K2703" s="424">
        <f>SUM(D2703:J2703)</f>
        <v>0</v>
      </c>
    </row>
    <row r="2704" spans="2:13" ht="15" customHeight="1" x14ac:dyDescent="0.25">
      <c r="B2704" s="389"/>
      <c r="C2704" s="423"/>
      <c r="D2704" s="421">
        <f>D2700*C2704</f>
        <v>0</v>
      </c>
      <c r="E2704" s="421">
        <f>E2700*C2704</f>
        <v>0</v>
      </c>
      <c r="F2704" s="421">
        <f>F2700*C2704</f>
        <v>0</v>
      </c>
      <c r="G2704" s="421">
        <f>G2700*C2704</f>
        <v>0</v>
      </c>
      <c r="H2704" s="421">
        <f>H2700*C2704</f>
        <v>0</v>
      </c>
      <c r="I2704" s="421">
        <f>I2700*C2704</f>
        <v>0</v>
      </c>
      <c r="J2704" s="421">
        <f>J2700*C2704</f>
        <v>0</v>
      </c>
      <c r="K2704" s="424">
        <f>SUM(D2704:J2704)</f>
        <v>0</v>
      </c>
    </row>
    <row r="2705" spans="2:13" ht="15" customHeight="1" thickBot="1" x14ac:dyDescent="0.3"/>
    <row r="2706" spans="2:13" ht="15" customHeight="1" thickBot="1" x14ac:dyDescent="0.3">
      <c r="B2706" s="432"/>
      <c r="C2706" s="411"/>
      <c r="D2706" s="407" t="s">
        <v>548</v>
      </c>
      <c r="E2706" s="408" t="s">
        <v>549</v>
      </c>
      <c r="F2706" s="408" t="s">
        <v>550</v>
      </c>
      <c r="G2706" s="408" t="s">
        <v>551</v>
      </c>
      <c r="H2706" s="408" t="s">
        <v>552</v>
      </c>
      <c r="I2706" s="408" t="s">
        <v>553</v>
      </c>
      <c r="J2706" s="408" t="s">
        <v>554</v>
      </c>
      <c r="K2706" s="408" t="s">
        <v>555</v>
      </c>
      <c r="M2706" s="414"/>
    </row>
    <row r="2707" spans="2:13" ht="15" customHeight="1" thickBot="1" x14ac:dyDescent="0.3">
      <c r="B2707" s="414" t="s">
        <v>556</v>
      </c>
      <c r="C2707" s="415" t="s">
        <v>620</v>
      </c>
      <c r="D2707" s="416">
        <f>IF(ISERROR(VLOOKUP(B2706,'MD Usage'!$A$1:$W$5000,3,FALSE)),0,VLOOKUP(B2706,'MD Usage'!$A$1:$W$5000,3,FALSE))</f>
        <v>0</v>
      </c>
      <c r="E2707" s="416">
        <f>IF(ISERROR(VLOOKUP(B2706,'MD Usage'!$A$1:$W$5000,5,FALSE)),0,VLOOKUP(B2706,'MD Usage'!$A$1:$W$5000,5,FALSE))</f>
        <v>0</v>
      </c>
      <c r="F2707" s="416">
        <f>IF(ISERROR(VLOOKUP(B2706,'MD Usage'!$A$1:$W$5000,7,FALSE)),0,VLOOKUP(B2706,'MD Usage'!$A$1:$W$5000,7,FALSE))</f>
        <v>0</v>
      </c>
      <c r="G2707" s="416">
        <f>IF(ISERROR(VLOOKUP(B2706,'MD Usage'!$A$1:$W$5000,9,FALSE)),0,VLOOKUP(B2706,'MD Usage'!$A$1:$W$5000,9,FALSE))</f>
        <v>0</v>
      </c>
      <c r="H2707" s="416">
        <f>IF(ISERROR(VLOOKUP(B2706,'MD Usage'!$A$1:$W$5000,11,FALSE)),0,VLOOKUP(B2706,'MD Usage'!$A$1:$W$5000,11,FALSE))</f>
        <v>0</v>
      </c>
      <c r="I2707" s="416">
        <f>IF(ISERROR(VLOOKUP(B2706,'MD Usage'!A1:R2000,13,FALSE)),0,VLOOKUP(B2706,'MD Usage'!A1:R2000,13,FALSE))</f>
        <v>0</v>
      </c>
      <c r="J2707" s="416">
        <f>IF(ISERROR(VLOOKUP(B2706,'MD Usage'!A1:R2000,15,FALSE)),0,VLOOKUP(B2706,'MD Usage'!A1:R2000,15,FALSE))</f>
        <v>0</v>
      </c>
      <c r="K2707" s="418">
        <f>SUM(D2707:J2707)</f>
        <v>0</v>
      </c>
    </row>
    <row r="2708" spans="2:13" ht="15" customHeight="1" x14ac:dyDescent="0.25">
      <c r="B2708" s="419"/>
      <c r="C2708" s="420"/>
      <c r="D2708" s="421">
        <f>D2707*C2708</f>
        <v>0</v>
      </c>
      <c r="E2708" s="421">
        <f>E2707*C2708</f>
        <v>0</v>
      </c>
      <c r="F2708" s="421">
        <f>F2707*C2708</f>
        <v>0</v>
      </c>
      <c r="G2708" s="421">
        <f>G2707*C2708</f>
        <v>0</v>
      </c>
      <c r="H2708" s="421">
        <f>H2707*C2708</f>
        <v>0</v>
      </c>
      <c r="I2708" s="421">
        <f>I2707*C2708</f>
        <v>0</v>
      </c>
      <c r="J2708" s="421">
        <f>J2707*C2708</f>
        <v>0</v>
      </c>
      <c r="K2708" s="422">
        <f>SUM(D2708:J2708)</f>
        <v>0</v>
      </c>
    </row>
    <row r="2709" spans="2:13" ht="15" customHeight="1" x14ac:dyDescent="0.25">
      <c r="B2709" s="389"/>
      <c r="C2709" s="423"/>
      <c r="D2709" s="421">
        <f>D2707*C2709</f>
        <v>0</v>
      </c>
      <c r="E2709" s="421">
        <f>E2707*C2709</f>
        <v>0</v>
      </c>
      <c r="F2709" s="421">
        <f>F2707*C2709</f>
        <v>0</v>
      </c>
      <c r="G2709" s="421">
        <f>G2707*C2709</f>
        <v>0</v>
      </c>
      <c r="H2709" s="421">
        <f>H2707*C2709</f>
        <v>0</v>
      </c>
      <c r="I2709" s="421">
        <f>I2707*C2709</f>
        <v>0</v>
      </c>
      <c r="J2709" s="421">
        <f>J2707*C2709</f>
        <v>0</v>
      </c>
      <c r="K2709" s="424">
        <f>SUM(D2709:J2709)</f>
        <v>0</v>
      </c>
    </row>
    <row r="2710" spans="2:13" ht="15" customHeight="1" x14ac:dyDescent="0.25">
      <c r="B2710" s="389"/>
      <c r="C2710" s="423"/>
      <c r="D2710" s="421">
        <f>D2707*C2710</f>
        <v>0</v>
      </c>
      <c r="E2710" s="421">
        <f>E2707*C2710</f>
        <v>0</v>
      </c>
      <c r="F2710" s="421">
        <f>F2707*C2710</f>
        <v>0</v>
      </c>
      <c r="G2710" s="421">
        <f>G2707*C2710</f>
        <v>0</v>
      </c>
      <c r="H2710" s="421">
        <f>H2707*C2710</f>
        <v>0</v>
      </c>
      <c r="I2710" s="421">
        <f>I2707*C2710</f>
        <v>0</v>
      </c>
      <c r="J2710" s="421">
        <f>J2707*C2710</f>
        <v>0</v>
      </c>
      <c r="K2710" s="424">
        <f>SUM(D2710:J2710)</f>
        <v>0</v>
      </c>
    </row>
    <row r="2711" spans="2:13" ht="15" customHeight="1" x14ac:dyDescent="0.25">
      <c r="B2711" s="389"/>
      <c r="C2711" s="423"/>
      <c r="D2711" s="421">
        <f>D2707*C2711</f>
        <v>0</v>
      </c>
      <c r="E2711" s="421">
        <f>E2707*C2711</f>
        <v>0</v>
      </c>
      <c r="F2711" s="421">
        <f>F2707*C2711</f>
        <v>0</v>
      </c>
      <c r="G2711" s="421">
        <f>G2707*C2711</f>
        <v>0</v>
      </c>
      <c r="H2711" s="421">
        <f>H2707*C2711</f>
        <v>0</v>
      </c>
      <c r="I2711" s="421">
        <f>I2707*C2711</f>
        <v>0</v>
      </c>
      <c r="J2711" s="421">
        <f>J2707*C2711</f>
        <v>0</v>
      </c>
      <c r="K2711" s="424">
        <f>SUM(D2711:J2711)</f>
        <v>0</v>
      </c>
    </row>
    <row r="2712" spans="2:13" ht="15" customHeight="1" thickBot="1" x14ac:dyDescent="0.3"/>
    <row r="2713" spans="2:13" ht="15" customHeight="1" thickBot="1" x14ac:dyDescent="0.3">
      <c r="B2713" s="432"/>
      <c r="C2713" s="411"/>
      <c r="D2713" s="407" t="s">
        <v>548</v>
      </c>
      <c r="E2713" s="408" t="s">
        <v>549</v>
      </c>
      <c r="F2713" s="408" t="s">
        <v>550</v>
      </c>
      <c r="G2713" s="408" t="s">
        <v>551</v>
      </c>
      <c r="H2713" s="408" t="s">
        <v>552</v>
      </c>
      <c r="I2713" s="408" t="s">
        <v>553</v>
      </c>
      <c r="J2713" s="408" t="s">
        <v>554</v>
      </c>
      <c r="K2713" s="408" t="s">
        <v>555</v>
      </c>
      <c r="M2713" s="414"/>
    </row>
    <row r="2714" spans="2:13" ht="15" customHeight="1" thickBot="1" x14ac:dyDescent="0.3">
      <c r="B2714" s="414" t="s">
        <v>556</v>
      </c>
      <c r="C2714" s="415" t="s">
        <v>620</v>
      </c>
      <c r="D2714" s="416">
        <f>IF(ISERROR(VLOOKUP(B2713,'MD Usage'!$A$1:$W$5000,3,FALSE)),0,VLOOKUP(B2713,'MD Usage'!$A$1:$W$5000,3,FALSE))</f>
        <v>0</v>
      </c>
      <c r="E2714" s="416">
        <f>IF(ISERROR(VLOOKUP(B2713,'MD Usage'!$A$1:$W$5000,5,FALSE)),0,VLOOKUP(B2713,'MD Usage'!$A$1:$W$5000,5,FALSE))</f>
        <v>0</v>
      </c>
      <c r="F2714" s="416">
        <f>IF(ISERROR(VLOOKUP(B2713,'MD Usage'!$A$1:$W$5000,7,FALSE)),0,VLOOKUP(B2713,'MD Usage'!$A$1:$W$5000,7,FALSE))</f>
        <v>0</v>
      </c>
      <c r="G2714" s="416">
        <f>IF(ISERROR(VLOOKUP(B2713,'MD Usage'!$A$1:$W$5000,9,FALSE)),0,VLOOKUP(B2713,'MD Usage'!$A$1:$W$5000,9,FALSE))</f>
        <v>0</v>
      </c>
      <c r="H2714" s="416">
        <f>IF(ISERROR(VLOOKUP(B2713,'MD Usage'!$A$1:$W$5000,11,FALSE)),0,VLOOKUP(B2713,'MD Usage'!$A$1:$W$5000,11,FALSE))</f>
        <v>0</v>
      </c>
      <c r="I2714" s="416">
        <f>IF(ISERROR(VLOOKUP(B2713,'MD Usage'!A1:R2000,13,FALSE)),0,VLOOKUP(B2713,'MD Usage'!A1:R2000,13,FALSE))</f>
        <v>0</v>
      </c>
      <c r="J2714" s="416">
        <f>IF(ISERROR(VLOOKUP(B2713,'MD Usage'!A1:R2000,15,FALSE)),0,VLOOKUP(B2713,'MD Usage'!A1:R2000,15,FALSE))</f>
        <v>0</v>
      </c>
      <c r="K2714" s="418">
        <f>SUM(D2714:J2714)</f>
        <v>0</v>
      </c>
    </row>
    <row r="2715" spans="2:13" ht="15" customHeight="1" x14ac:dyDescent="0.25">
      <c r="B2715" s="419"/>
      <c r="C2715" s="420"/>
      <c r="D2715" s="421">
        <f>D2714*C2715</f>
        <v>0</v>
      </c>
      <c r="E2715" s="421">
        <f>E2714*C2715</f>
        <v>0</v>
      </c>
      <c r="F2715" s="421">
        <f>F2714*C2715</f>
        <v>0</v>
      </c>
      <c r="G2715" s="421">
        <f>G2714*C2715</f>
        <v>0</v>
      </c>
      <c r="H2715" s="421">
        <f>H2714*C2715</f>
        <v>0</v>
      </c>
      <c r="I2715" s="421">
        <f>I2714*C2715</f>
        <v>0</v>
      </c>
      <c r="J2715" s="421">
        <f>J2714*C2715</f>
        <v>0</v>
      </c>
      <c r="K2715" s="422">
        <f>SUM(D2715:J2715)</f>
        <v>0</v>
      </c>
    </row>
    <row r="2716" spans="2:13" ht="15" customHeight="1" x14ac:dyDescent="0.25">
      <c r="B2716" s="389"/>
      <c r="C2716" s="423"/>
      <c r="D2716" s="421">
        <f>D2714*C2716</f>
        <v>0</v>
      </c>
      <c r="E2716" s="421">
        <f>E2714*C2716</f>
        <v>0</v>
      </c>
      <c r="F2716" s="421">
        <f>F2714*C2716</f>
        <v>0</v>
      </c>
      <c r="G2716" s="421">
        <f>G2714*C2716</f>
        <v>0</v>
      </c>
      <c r="H2716" s="421">
        <f>H2714*C2716</f>
        <v>0</v>
      </c>
      <c r="I2716" s="421">
        <f>I2714*C2716</f>
        <v>0</v>
      </c>
      <c r="J2716" s="421">
        <f>J2714*C2716</f>
        <v>0</v>
      </c>
      <c r="K2716" s="424">
        <f>SUM(D2716:J2716)</f>
        <v>0</v>
      </c>
    </row>
    <row r="2717" spans="2:13" ht="15" customHeight="1" x14ac:dyDescent="0.25">
      <c r="B2717" s="389"/>
      <c r="C2717" s="423"/>
      <c r="D2717" s="421">
        <f>D2714*C2717</f>
        <v>0</v>
      </c>
      <c r="E2717" s="421">
        <f>E2714*C2717</f>
        <v>0</v>
      </c>
      <c r="F2717" s="421">
        <f>F2714*C2717</f>
        <v>0</v>
      </c>
      <c r="G2717" s="421">
        <f>G2714*C2717</f>
        <v>0</v>
      </c>
      <c r="H2717" s="421">
        <f>H2714*C2717</f>
        <v>0</v>
      </c>
      <c r="I2717" s="421">
        <f>I2714*C2717</f>
        <v>0</v>
      </c>
      <c r="J2717" s="421">
        <f>J2714*C2717</f>
        <v>0</v>
      </c>
      <c r="K2717" s="424">
        <f>SUM(D2717:J2717)</f>
        <v>0</v>
      </c>
    </row>
    <row r="2718" spans="2:13" ht="15" customHeight="1" x14ac:dyDescent="0.25">
      <c r="B2718" s="389"/>
      <c r="C2718" s="423"/>
      <c r="D2718" s="421">
        <f>D2714*C2718</f>
        <v>0</v>
      </c>
      <c r="E2718" s="421">
        <f>E2714*C2718</f>
        <v>0</v>
      </c>
      <c r="F2718" s="421">
        <f>F2714*C2718</f>
        <v>0</v>
      </c>
      <c r="G2718" s="421">
        <f>G2714*C2718</f>
        <v>0</v>
      </c>
      <c r="H2718" s="421">
        <f>H2714*C2718</f>
        <v>0</v>
      </c>
      <c r="I2718" s="421">
        <f>I2714*C2718</f>
        <v>0</v>
      </c>
      <c r="J2718" s="421">
        <f>J2714*C2718</f>
        <v>0</v>
      </c>
      <c r="K2718" s="424">
        <f>SUM(D2718:J2718)</f>
        <v>0</v>
      </c>
    </row>
    <row r="2719" spans="2:13" ht="15" customHeight="1" thickBot="1" x14ac:dyDescent="0.3"/>
    <row r="2720" spans="2:13" ht="15" customHeight="1" thickBot="1" x14ac:dyDescent="0.3">
      <c r="B2720" s="432"/>
      <c r="C2720" s="411"/>
      <c r="D2720" s="407" t="s">
        <v>548</v>
      </c>
      <c r="E2720" s="408" t="s">
        <v>549</v>
      </c>
      <c r="F2720" s="408" t="s">
        <v>550</v>
      </c>
      <c r="G2720" s="408" t="s">
        <v>551</v>
      </c>
      <c r="H2720" s="408" t="s">
        <v>552</v>
      </c>
      <c r="I2720" s="408" t="s">
        <v>553</v>
      </c>
      <c r="J2720" s="408" t="s">
        <v>554</v>
      </c>
      <c r="K2720" s="408" t="s">
        <v>555</v>
      </c>
      <c r="M2720" s="414"/>
    </row>
    <row r="2721" spans="2:13" ht="15" customHeight="1" thickBot="1" x14ac:dyDescent="0.3">
      <c r="B2721" s="414" t="s">
        <v>556</v>
      </c>
      <c r="C2721" s="415" t="s">
        <v>620</v>
      </c>
      <c r="D2721" s="416">
        <f>IF(ISERROR(VLOOKUP(B2720,'MD Usage'!$A$1:$W$5000,3,FALSE)),0,VLOOKUP(B2720,'MD Usage'!$A$1:$W$5000,3,FALSE))</f>
        <v>0</v>
      </c>
      <c r="E2721" s="416">
        <f>IF(ISERROR(VLOOKUP(B2720,'MD Usage'!$A$1:$W$5000,5,FALSE)),0,VLOOKUP(B2720,'MD Usage'!$A$1:$W$5000,5,FALSE))</f>
        <v>0</v>
      </c>
      <c r="F2721" s="416">
        <f>IF(ISERROR(VLOOKUP(B2720,'MD Usage'!$A$1:$W$5000,7,FALSE)),0,VLOOKUP(B2720,'MD Usage'!$A$1:$W$5000,7,FALSE))</f>
        <v>0</v>
      </c>
      <c r="G2721" s="416">
        <f>IF(ISERROR(VLOOKUP(B2720,'MD Usage'!$A$1:$W$5000,9,FALSE)),0,VLOOKUP(B2720,'MD Usage'!$A$1:$W$5000,9,FALSE))</f>
        <v>0</v>
      </c>
      <c r="H2721" s="416">
        <f>IF(ISERROR(VLOOKUP(B2720,'MD Usage'!$A$1:$W$5000,11,FALSE)),0,VLOOKUP(B2720,'MD Usage'!$A$1:$W$5000,11,FALSE))</f>
        <v>0</v>
      </c>
      <c r="I2721" s="416">
        <f>IF(ISERROR(VLOOKUP(B2720,'MD Usage'!A1:R2000,13,FALSE)),0,VLOOKUP(B2720,'MD Usage'!A1:R2000,13,FALSE))</f>
        <v>0</v>
      </c>
      <c r="J2721" s="416">
        <f>IF(ISERROR(VLOOKUP(B2720,'MD Usage'!A1:R2000,15,FALSE)),0,VLOOKUP(B2720,'MD Usage'!A1:R2000,15,FALSE))</f>
        <v>0</v>
      </c>
      <c r="K2721" s="418">
        <f>SUM(D2721:J2721)</f>
        <v>0</v>
      </c>
    </row>
    <row r="2722" spans="2:13" ht="15" customHeight="1" x14ac:dyDescent="0.25">
      <c r="B2722" s="419"/>
      <c r="C2722" s="420"/>
      <c r="D2722" s="421">
        <f>D2721*C2722</f>
        <v>0</v>
      </c>
      <c r="E2722" s="421">
        <f>E2721*C2722</f>
        <v>0</v>
      </c>
      <c r="F2722" s="421">
        <f>F2721*C2722</f>
        <v>0</v>
      </c>
      <c r="G2722" s="421">
        <f>G2721*C2722</f>
        <v>0</v>
      </c>
      <c r="H2722" s="421">
        <f>H2721*C2722</f>
        <v>0</v>
      </c>
      <c r="I2722" s="421">
        <f>I2721*C2722</f>
        <v>0</v>
      </c>
      <c r="J2722" s="421">
        <f>J2721*C2722</f>
        <v>0</v>
      </c>
      <c r="K2722" s="422">
        <f>SUM(D2722:J2722)</f>
        <v>0</v>
      </c>
    </row>
    <row r="2723" spans="2:13" ht="15" customHeight="1" x14ac:dyDescent="0.25">
      <c r="B2723" s="389"/>
      <c r="C2723" s="423"/>
      <c r="D2723" s="421">
        <f>D2721*C2723</f>
        <v>0</v>
      </c>
      <c r="E2723" s="421">
        <f>E2721*C2723</f>
        <v>0</v>
      </c>
      <c r="F2723" s="421">
        <f>F2721*C2723</f>
        <v>0</v>
      </c>
      <c r="G2723" s="421">
        <f>G2721*C2723</f>
        <v>0</v>
      </c>
      <c r="H2723" s="421">
        <f>H2721*C2723</f>
        <v>0</v>
      </c>
      <c r="I2723" s="421">
        <f>I2721*C2723</f>
        <v>0</v>
      </c>
      <c r="J2723" s="421">
        <f>J2721*C2723</f>
        <v>0</v>
      </c>
      <c r="K2723" s="424">
        <f>SUM(D2723:J2723)</f>
        <v>0</v>
      </c>
    </row>
    <row r="2724" spans="2:13" ht="15" customHeight="1" x14ac:dyDescent="0.25">
      <c r="B2724" s="389"/>
      <c r="C2724" s="423"/>
      <c r="D2724" s="421">
        <f>D2721*C2724</f>
        <v>0</v>
      </c>
      <c r="E2724" s="421">
        <f>E2721*C2724</f>
        <v>0</v>
      </c>
      <c r="F2724" s="421">
        <f>F2721*C2724</f>
        <v>0</v>
      </c>
      <c r="G2724" s="421">
        <f>G2721*C2724</f>
        <v>0</v>
      </c>
      <c r="H2724" s="421">
        <f>H2721*C2724</f>
        <v>0</v>
      </c>
      <c r="I2724" s="421">
        <f>I2721*C2724</f>
        <v>0</v>
      </c>
      <c r="J2724" s="421">
        <f>J2721*C2724</f>
        <v>0</v>
      </c>
      <c r="K2724" s="424">
        <f>SUM(D2724:J2724)</f>
        <v>0</v>
      </c>
    </row>
    <row r="2725" spans="2:13" ht="15" customHeight="1" x14ac:dyDescent="0.25">
      <c r="B2725" s="389"/>
      <c r="C2725" s="423"/>
      <c r="D2725" s="421">
        <f>D2721*C2725</f>
        <v>0</v>
      </c>
      <c r="E2725" s="421">
        <f>E2721*C2725</f>
        <v>0</v>
      </c>
      <c r="F2725" s="421">
        <f>F2721*C2725</f>
        <v>0</v>
      </c>
      <c r="G2725" s="421">
        <f>G2721*C2725</f>
        <v>0</v>
      </c>
      <c r="H2725" s="421">
        <f>H2721*C2725</f>
        <v>0</v>
      </c>
      <c r="I2725" s="421">
        <f>I2721*C2725</f>
        <v>0</v>
      </c>
      <c r="J2725" s="421">
        <f>J2721*C2725</f>
        <v>0</v>
      </c>
      <c r="K2725" s="424">
        <f>SUM(D2725:J2725)</f>
        <v>0</v>
      </c>
    </row>
    <row r="2726" spans="2:13" ht="15" customHeight="1" thickBot="1" x14ac:dyDescent="0.3"/>
    <row r="2727" spans="2:13" ht="15" customHeight="1" thickBot="1" x14ac:dyDescent="0.3">
      <c r="B2727" s="432"/>
      <c r="C2727" s="411"/>
      <c r="D2727" s="407" t="s">
        <v>548</v>
      </c>
      <c r="E2727" s="408" t="s">
        <v>549</v>
      </c>
      <c r="F2727" s="408" t="s">
        <v>550</v>
      </c>
      <c r="G2727" s="408" t="s">
        <v>551</v>
      </c>
      <c r="H2727" s="408" t="s">
        <v>552</v>
      </c>
      <c r="I2727" s="408" t="s">
        <v>553</v>
      </c>
      <c r="J2727" s="408" t="s">
        <v>554</v>
      </c>
      <c r="K2727" s="408" t="s">
        <v>555</v>
      </c>
      <c r="M2727" s="414"/>
    </row>
    <row r="2728" spans="2:13" ht="15" customHeight="1" thickBot="1" x14ac:dyDescent="0.3">
      <c r="B2728" s="414" t="s">
        <v>556</v>
      </c>
      <c r="C2728" s="415" t="s">
        <v>620</v>
      </c>
      <c r="D2728" s="416">
        <f>IF(ISERROR(VLOOKUP(B2727,'MD Usage'!$A$1:$W$5000,3,FALSE)),0,VLOOKUP(B2727,'MD Usage'!$A$1:$W$5000,3,FALSE))</f>
        <v>0</v>
      </c>
      <c r="E2728" s="416">
        <f>IF(ISERROR(VLOOKUP(B2727,'MD Usage'!$A$1:$W$5000,5,FALSE)),0,VLOOKUP(B2727,'MD Usage'!$A$1:$W$5000,5,FALSE))</f>
        <v>0</v>
      </c>
      <c r="F2728" s="416">
        <f>IF(ISERROR(VLOOKUP(B2727,'MD Usage'!$A$1:$W$5000,7,FALSE)),0,VLOOKUP(B2727,'MD Usage'!$A$1:$W$5000,7,FALSE))</f>
        <v>0</v>
      </c>
      <c r="G2728" s="416">
        <f>IF(ISERROR(VLOOKUP(B2727,'MD Usage'!$A$1:$W$5000,9,FALSE)),0,VLOOKUP(B2727,'MD Usage'!$A$1:$W$5000,9,FALSE))</f>
        <v>0</v>
      </c>
      <c r="H2728" s="416">
        <f>IF(ISERROR(VLOOKUP(B2727,'MD Usage'!$A$1:$W$5000,11,FALSE)),0,VLOOKUP(B2727,'MD Usage'!$A$1:$W$5000,11,FALSE))</f>
        <v>0</v>
      </c>
      <c r="I2728" s="416">
        <f>IF(ISERROR(VLOOKUP(B2727,'MD Usage'!A1:R2000,13,FALSE)),0,VLOOKUP(B2727,'MD Usage'!A1:R2000,13,FALSE))</f>
        <v>0</v>
      </c>
      <c r="J2728" s="416">
        <f>IF(ISERROR(VLOOKUP(B2727,'MD Usage'!A1:R2000,15,FALSE)),0,VLOOKUP(B2727,'MD Usage'!A1:R2000,15,FALSE))</f>
        <v>0</v>
      </c>
      <c r="K2728" s="418">
        <f>SUM(D2728:J2728)</f>
        <v>0</v>
      </c>
    </row>
    <row r="2729" spans="2:13" ht="15" customHeight="1" x14ac:dyDescent="0.25">
      <c r="B2729" s="419"/>
      <c r="C2729" s="420"/>
      <c r="D2729" s="421">
        <f>D2728*C2729</f>
        <v>0</v>
      </c>
      <c r="E2729" s="421">
        <f>E2728*C2729</f>
        <v>0</v>
      </c>
      <c r="F2729" s="421">
        <f>F2728*C2729</f>
        <v>0</v>
      </c>
      <c r="G2729" s="421">
        <f>G2728*C2729</f>
        <v>0</v>
      </c>
      <c r="H2729" s="421">
        <f>H2728*C2729</f>
        <v>0</v>
      </c>
      <c r="I2729" s="421">
        <f>I2728*C2729</f>
        <v>0</v>
      </c>
      <c r="J2729" s="421">
        <f>J2728*C2729</f>
        <v>0</v>
      </c>
      <c r="K2729" s="422">
        <f>SUM(D2729:J2729)</f>
        <v>0</v>
      </c>
    </row>
    <row r="2730" spans="2:13" ht="15" customHeight="1" x14ac:dyDescent="0.25">
      <c r="B2730" s="389"/>
      <c r="C2730" s="423"/>
      <c r="D2730" s="421">
        <f>D2728*C2730</f>
        <v>0</v>
      </c>
      <c r="E2730" s="421">
        <f>E2728*C2730</f>
        <v>0</v>
      </c>
      <c r="F2730" s="421">
        <f>F2728*C2730</f>
        <v>0</v>
      </c>
      <c r="G2730" s="421">
        <f>G2728*C2730</f>
        <v>0</v>
      </c>
      <c r="H2730" s="421">
        <f>H2728*C2730</f>
        <v>0</v>
      </c>
      <c r="I2730" s="421">
        <f>I2728*C2730</f>
        <v>0</v>
      </c>
      <c r="J2730" s="421">
        <f>J2728*C2730</f>
        <v>0</v>
      </c>
      <c r="K2730" s="424">
        <f>SUM(D2730:J2730)</f>
        <v>0</v>
      </c>
    </row>
    <row r="2731" spans="2:13" ht="15" customHeight="1" x14ac:dyDescent="0.25">
      <c r="B2731" s="389"/>
      <c r="C2731" s="423"/>
      <c r="D2731" s="421">
        <f>D2728*C2731</f>
        <v>0</v>
      </c>
      <c r="E2731" s="421">
        <f>E2728*C2731</f>
        <v>0</v>
      </c>
      <c r="F2731" s="421">
        <f>F2728*C2731</f>
        <v>0</v>
      </c>
      <c r="G2731" s="421">
        <f>G2728*C2731</f>
        <v>0</v>
      </c>
      <c r="H2731" s="421">
        <f>H2728*C2731</f>
        <v>0</v>
      </c>
      <c r="I2731" s="421">
        <f>I2728*C2731</f>
        <v>0</v>
      </c>
      <c r="J2731" s="421">
        <f>J2728*C2731</f>
        <v>0</v>
      </c>
      <c r="K2731" s="424">
        <f>SUM(D2731:J2731)</f>
        <v>0</v>
      </c>
    </row>
    <row r="2732" spans="2:13" ht="15" customHeight="1" x14ac:dyDescent="0.25">
      <c r="B2732" s="389"/>
      <c r="C2732" s="423"/>
      <c r="D2732" s="421">
        <f>D2728*C2732</f>
        <v>0</v>
      </c>
      <c r="E2732" s="421">
        <f>E2728*C2732</f>
        <v>0</v>
      </c>
      <c r="F2732" s="421">
        <f>F2728*C2732</f>
        <v>0</v>
      </c>
      <c r="G2732" s="421">
        <f>G2728*C2732</f>
        <v>0</v>
      </c>
      <c r="H2732" s="421">
        <f>H2728*C2732</f>
        <v>0</v>
      </c>
      <c r="I2732" s="421">
        <f>I2728*C2732</f>
        <v>0</v>
      </c>
      <c r="J2732" s="421">
        <f>J2728*C2732</f>
        <v>0</v>
      </c>
      <c r="K2732" s="424">
        <f>SUM(D2732:J2732)</f>
        <v>0</v>
      </c>
    </row>
    <row r="2733" spans="2:13" ht="15" customHeight="1" thickBot="1" x14ac:dyDescent="0.3"/>
    <row r="2734" spans="2:13" ht="15" customHeight="1" thickBot="1" x14ac:dyDescent="0.3">
      <c r="B2734" s="432"/>
      <c r="C2734" s="411"/>
      <c r="D2734" s="407" t="s">
        <v>548</v>
      </c>
      <c r="E2734" s="408" t="s">
        <v>549</v>
      </c>
      <c r="F2734" s="408" t="s">
        <v>550</v>
      </c>
      <c r="G2734" s="408" t="s">
        <v>551</v>
      </c>
      <c r="H2734" s="408" t="s">
        <v>552</v>
      </c>
      <c r="I2734" s="408" t="s">
        <v>553</v>
      </c>
      <c r="J2734" s="408" t="s">
        <v>554</v>
      </c>
      <c r="K2734" s="408" t="s">
        <v>555</v>
      </c>
      <c r="M2734" s="414"/>
    </row>
    <row r="2735" spans="2:13" ht="15" customHeight="1" thickBot="1" x14ac:dyDescent="0.3">
      <c r="B2735" s="414" t="s">
        <v>556</v>
      </c>
      <c r="C2735" s="415" t="s">
        <v>620</v>
      </c>
      <c r="D2735" s="416">
        <f>IF(ISERROR(VLOOKUP(B2734,'MD Usage'!$A$1:$W$5000,3,FALSE)),0,VLOOKUP(B2734,'MD Usage'!$A$1:$W$5000,3,FALSE))</f>
        <v>0</v>
      </c>
      <c r="E2735" s="416">
        <f>IF(ISERROR(VLOOKUP(B2734,'MD Usage'!$A$1:$W$5000,5,FALSE)),0,VLOOKUP(B2734,'MD Usage'!$A$1:$W$5000,5,FALSE))</f>
        <v>0</v>
      </c>
      <c r="F2735" s="416">
        <f>IF(ISERROR(VLOOKUP(B2734,'MD Usage'!$A$1:$W$5000,7,FALSE)),0,VLOOKUP(B2734,'MD Usage'!$A$1:$W$5000,7,FALSE))</f>
        <v>0</v>
      </c>
      <c r="G2735" s="416">
        <f>IF(ISERROR(VLOOKUP(B2734,'MD Usage'!$A$1:$W$5000,9,FALSE)),0,VLOOKUP(B2734,'MD Usage'!$A$1:$W$5000,9,FALSE))</f>
        <v>0</v>
      </c>
      <c r="H2735" s="416">
        <f>IF(ISERROR(VLOOKUP(B2734,'MD Usage'!$A$1:$W$5000,11,FALSE)),0,VLOOKUP(B2734,'MD Usage'!$A$1:$W$5000,11,FALSE))</f>
        <v>0</v>
      </c>
      <c r="I2735" s="416">
        <f>IF(ISERROR(VLOOKUP(B2734,'MD Usage'!A1:R2000,13,FALSE)),0,VLOOKUP(B2734,'MD Usage'!A1:R2000,13,FALSE))</f>
        <v>0</v>
      </c>
      <c r="J2735" s="416">
        <f>IF(ISERROR(VLOOKUP(B2734,'MD Usage'!A1:R2000,15,FALSE)),0,VLOOKUP(B2734,'MD Usage'!A1:R2000,15,FALSE))</f>
        <v>0</v>
      </c>
      <c r="K2735" s="418">
        <f>SUM(D2735:J2735)</f>
        <v>0</v>
      </c>
    </row>
    <row r="2736" spans="2:13" ht="15" customHeight="1" x14ac:dyDescent="0.25">
      <c r="B2736" s="419"/>
      <c r="C2736" s="420"/>
      <c r="D2736" s="421">
        <f>D2735*C2736</f>
        <v>0</v>
      </c>
      <c r="E2736" s="421">
        <f>E2735*C2736</f>
        <v>0</v>
      </c>
      <c r="F2736" s="421">
        <f>F2735*C2736</f>
        <v>0</v>
      </c>
      <c r="G2736" s="421">
        <f>G2735*C2736</f>
        <v>0</v>
      </c>
      <c r="H2736" s="421">
        <f>H2735*C2736</f>
        <v>0</v>
      </c>
      <c r="I2736" s="421">
        <f>I2735*C2736</f>
        <v>0</v>
      </c>
      <c r="J2736" s="421">
        <f>J2735*C2736</f>
        <v>0</v>
      </c>
      <c r="K2736" s="422">
        <f>SUM(D2736:J2736)</f>
        <v>0</v>
      </c>
    </row>
    <row r="2737" spans="2:13" ht="15" customHeight="1" x14ac:dyDescent="0.25">
      <c r="B2737" s="389"/>
      <c r="C2737" s="423"/>
      <c r="D2737" s="421">
        <f>D2735*C2737</f>
        <v>0</v>
      </c>
      <c r="E2737" s="421">
        <f>E2735*C2737</f>
        <v>0</v>
      </c>
      <c r="F2737" s="421">
        <f>F2735*C2737</f>
        <v>0</v>
      </c>
      <c r="G2737" s="421">
        <f>G2735*C2737</f>
        <v>0</v>
      </c>
      <c r="H2737" s="421">
        <f>H2735*C2737</f>
        <v>0</v>
      </c>
      <c r="I2737" s="421">
        <f>I2735*C2737</f>
        <v>0</v>
      </c>
      <c r="J2737" s="421">
        <f>J2735*C2737</f>
        <v>0</v>
      </c>
      <c r="K2737" s="424">
        <f>SUM(D2737:J2737)</f>
        <v>0</v>
      </c>
    </row>
    <row r="2738" spans="2:13" ht="15" customHeight="1" x14ac:dyDescent="0.25">
      <c r="B2738" s="389"/>
      <c r="C2738" s="423"/>
      <c r="D2738" s="421">
        <f>D2735*C2738</f>
        <v>0</v>
      </c>
      <c r="E2738" s="421">
        <f>E2735*C2738</f>
        <v>0</v>
      </c>
      <c r="F2738" s="421">
        <f>F2735*C2738</f>
        <v>0</v>
      </c>
      <c r="G2738" s="421">
        <f>G2735*C2738</f>
        <v>0</v>
      </c>
      <c r="H2738" s="421">
        <f>H2735*C2738</f>
        <v>0</v>
      </c>
      <c r="I2738" s="421">
        <f>I2735*C2738</f>
        <v>0</v>
      </c>
      <c r="J2738" s="421">
        <f>J2735*C2738</f>
        <v>0</v>
      </c>
      <c r="K2738" s="424">
        <f>SUM(D2738:J2738)</f>
        <v>0</v>
      </c>
    </row>
    <row r="2739" spans="2:13" ht="15" customHeight="1" x14ac:dyDescent="0.25">
      <c r="B2739" s="389"/>
      <c r="C2739" s="423"/>
      <c r="D2739" s="421">
        <f>D2735*C2739</f>
        <v>0</v>
      </c>
      <c r="E2739" s="421">
        <f>E2735*C2739</f>
        <v>0</v>
      </c>
      <c r="F2739" s="421">
        <f>F2735*C2739</f>
        <v>0</v>
      </c>
      <c r="G2739" s="421">
        <f>G2735*C2739</f>
        <v>0</v>
      </c>
      <c r="H2739" s="421">
        <f>H2735*C2739</f>
        <v>0</v>
      </c>
      <c r="I2739" s="421">
        <f>I2735*C2739</f>
        <v>0</v>
      </c>
      <c r="J2739" s="421">
        <f>J2735*C2739</f>
        <v>0</v>
      </c>
      <c r="K2739" s="424">
        <f>SUM(D2739:J2739)</f>
        <v>0</v>
      </c>
    </row>
    <row r="2740" spans="2:13" ht="15" customHeight="1" thickBot="1" x14ac:dyDescent="0.3"/>
    <row r="2741" spans="2:13" ht="15" customHeight="1" thickBot="1" x14ac:dyDescent="0.3">
      <c r="B2741" s="432"/>
      <c r="C2741" s="411"/>
      <c r="D2741" s="407" t="s">
        <v>548</v>
      </c>
      <c r="E2741" s="408" t="s">
        <v>549</v>
      </c>
      <c r="F2741" s="408" t="s">
        <v>550</v>
      </c>
      <c r="G2741" s="408" t="s">
        <v>551</v>
      </c>
      <c r="H2741" s="408" t="s">
        <v>552</v>
      </c>
      <c r="I2741" s="408" t="s">
        <v>553</v>
      </c>
      <c r="J2741" s="408" t="s">
        <v>554</v>
      </c>
      <c r="K2741" s="408" t="s">
        <v>555</v>
      </c>
      <c r="M2741" s="414"/>
    </row>
    <row r="2742" spans="2:13" ht="15" customHeight="1" thickBot="1" x14ac:dyDescent="0.3">
      <c r="B2742" s="414" t="s">
        <v>556</v>
      </c>
      <c r="C2742" s="415" t="s">
        <v>620</v>
      </c>
      <c r="D2742" s="416">
        <f>IF(ISERROR(VLOOKUP(B2741,'MD Usage'!$A$1:$W$5000,3,FALSE)),0,VLOOKUP(B2741,'MD Usage'!$A$1:$W$5000,3,FALSE))</f>
        <v>0</v>
      </c>
      <c r="E2742" s="416">
        <f>IF(ISERROR(VLOOKUP(B2741,'MD Usage'!$A$1:$W$5000,5,FALSE)),0,VLOOKUP(B2741,'MD Usage'!$A$1:$W$5000,5,FALSE))</f>
        <v>0</v>
      </c>
      <c r="F2742" s="416">
        <f>IF(ISERROR(VLOOKUP(B2741,'MD Usage'!$A$1:$W$5000,7,FALSE)),0,VLOOKUP(B2741,'MD Usage'!$A$1:$W$5000,7,FALSE))</f>
        <v>0</v>
      </c>
      <c r="G2742" s="416">
        <f>IF(ISERROR(VLOOKUP(B2741,'MD Usage'!$A$1:$W$5000,9,FALSE)),0,VLOOKUP(B2741,'MD Usage'!$A$1:$W$5000,9,FALSE))</f>
        <v>0</v>
      </c>
      <c r="H2742" s="416">
        <f>IF(ISERROR(VLOOKUP(B2741,'MD Usage'!$A$1:$W$5000,11,FALSE)),0,VLOOKUP(B2741,'MD Usage'!$A$1:$W$5000,11,FALSE))</f>
        <v>0</v>
      </c>
      <c r="I2742" s="416">
        <f>IF(ISERROR(VLOOKUP(B2741,'MD Usage'!A1:R2000,13,FALSE)),0,VLOOKUP(B2741,'MD Usage'!A1:R2000,13,FALSE))</f>
        <v>0</v>
      </c>
      <c r="J2742" s="416">
        <f>IF(ISERROR(VLOOKUP(B2741,'MD Usage'!A1:R2000,15,FALSE)),0,VLOOKUP(B2741,'MD Usage'!A1:R2000,15,FALSE))</f>
        <v>0</v>
      </c>
      <c r="K2742" s="418">
        <f>SUM(D2742:J2742)</f>
        <v>0</v>
      </c>
    </row>
    <row r="2743" spans="2:13" ht="15" customHeight="1" x14ac:dyDescent="0.25">
      <c r="B2743" s="419"/>
      <c r="C2743" s="420"/>
      <c r="D2743" s="421">
        <f>D2742*C2743</f>
        <v>0</v>
      </c>
      <c r="E2743" s="421">
        <f>E2742*C2743</f>
        <v>0</v>
      </c>
      <c r="F2743" s="421">
        <f>F2742*C2743</f>
        <v>0</v>
      </c>
      <c r="G2743" s="421">
        <f>G2742*C2743</f>
        <v>0</v>
      </c>
      <c r="H2743" s="421">
        <f>H2742*C2743</f>
        <v>0</v>
      </c>
      <c r="I2743" s="421">
        <f>I2742*C2743</f>
        <v>0</v>
      </c>
      <c r="J2743" s="421">
        <f>J2742*C2743</f>
        <v>0</v>
      </c>
      <c r="K2743" s="422">
        <f>SUM(D2743:J2743)</f>
        <v>0</v>
      </c>
    </row>
    <row r="2744" spans="2:13" ht="15" customHeight="1" x14ac:dyDescent="0.25">
      <c r="B2744" s="389"/>
      <c r="C2744" s="423"/>
      <c r="D2744" s="421">
        <f>D2742*C2744</f>
        <v>0</v>
      </c>
      <c r="E2744" s="421">
        <f>E2742*C2744</f>
        <v>0</v>
      </c>
      <c r="F2744" s="421">
        <f>F2742*C2744</f>
        <v>0</v>
      </c>
      <c r="G2744" s="421">
        <f>G2742*C2744</f>
        <v>0</v>
      </c>
      <c r="H2744" s="421">
        <f>H2742*C2744</f>
        <v>0</v>
      </c>
      <c r="I2744" s="421">
        <f>I2742*C2744</f>
        <v>0</v>
      </c>
      <c r="J2744" s="421">
        <f>J2742*C2744</f>
        <v>0</v>
      </c>
      <c r="K2744" s="424">
        <f>SUM(D2744:J2744)</f>
        <v>0</v>
      </c>
    </row>
    <row r="2745" spans="2:13" ht="15" customHeight="1" x14ac:dyDescent="0.25">
      <c r="B2745" s="389"/>
      <c r="C2745" s="423"/>
      <c r="D2745" s="421">
        <f>D2742*C2745</f>
        <v>0</v>
      </c>
      <c r="E2745" s="421">
        <f>E2742*C2745</f>
        <v>0</v>
      </c>
      <c r="F2745" s="421">
        <f>F2742*C2745</f>
        <v>0</v>
      </c>
      <c r="G2745" s="421">
        <f>G2742*C2745</f>
        <v>0</v>
      </c>
      <c r="H2745" s="421">
        <f>H2742*C2745</f>
        <v>0</v>
      </c>
      <c r="I2745" s="421">
        <f>I2742*C2745</f>
        <v>0</v>
      </c>
      <c r="J2745" s="421">
        <f>J2742*C2745</f>
        <v>0</v>
      </c>
      <c r="K2745" s="424">
        <f>SUM(D2745:J2745)</f>
        <v>0</v>
      </c>
    </row>
    <row r="2746" spans="2:13" ht="15" customHeight="1" x14ac:dyDescent="0.25">
      <c r="B2746" s="389"/>
      <c r="C2746" s="423"/>
      <c r="D2746" s="421">
        <f>D2742*C2746</f>
        <v>0</v>
      </c>
      <c r="E2746" s="421">
        <f>E2742*C2746</f>
        <v>0</v>
      </c>
      <c r="F2746" s="421">
        <f>F2742*C2746</f>
        <v>0</v>
      </c>
      <c r="G2746" s="421">
        <f>G2742*C2746</f>
        <v>0</v>
      </c>
      <c r="H2746" s="421">
        <f>H2742*C2746</f>
        <v>0</v>
      </c>
      <c r="I2746" s="421">
        <f>I2742*C2746</f>
        <v>0</v>
      </c>
      <c r="J2746" s="421">
        <f>J2742*C2746</f>
        <v>0</v>
      </c>
      <c r="K2746" s="424">
        <f>SUM(D2746:J2746)</f>
        <v>0</v>
      </c>
    </row>
    <row r="2747" spans="2:13" ht="15" customHeight="1" thickBot="1" x14ac:dyDescent="0.3"/>
    <row r="2748" spans="2:13" ht="15" customHeight="1" thickBot="1" x14ac:dyDescent="0.3">
      <c r="B2748" s="432"/>
      <c r="C2748" s="411"/>
      <c r="D2748" s="407" t="s">
        <v>548</v>
      </c>
      <c r="E2748" s="408" t="s">
        <v>549</v>
      </c>
      <c r="F2748" s="408" t="s">
        <v>550</v>
      </c>
      <c r="G2748" s="408" t="s">
        <v>551</v>
      </c>
      <c r="H2748" s="408" t="s">
        <v>552</v>
      </c>
      <c r="I2748" s="408" t="s">
        <v>553</v>
      </c>
      <c r="J2748" s="408" t="s">
        <v>554</v>
      </c>
      <c r="K2748" s="408" t="s">
        <v>555</v>
      </c>
    </row>
    <row r="2749" spans="2:13" ht="15" customHeight="1" thickBot="1" x14ac:dyDescent="0.3">
      <c r="B2749" s="414" t="s">
        <v>556</v>
      </c>
      <c r="C2749" s="415" t="s">
        <v>620</v>
      </c>
      <c r="D2749" s="416">
        <f>IF(ISERROR(VLOOKUP(B2748,'MD Usage'!$A$1:$W$5000,3,FALSE)),0,VLOOKUP(B2748,'MD Usage'!$A$1:$W$5000,3,FALSE))</f>
        <v>0</v>
      </c>
      <c r="E2749" s="416">
        <f>IF(ISERROR(VLOOKUP(B2748,'MD Usage'!$A$1:$W$5000,5,FALSE)),0,VLOOKUP(B2748,'MD Usage'!$A$1:$W$5000,5,FALSE))</f>
        <v>0</v>
      </c>
      <c r="F2749" s="416">
        <f>IF(ISERROR(VLOOKUP(B2748,'MD Usage'!$A$1:$W$5000,7,FALSE)),0,VLOOKUP(B2748,'MD Usage'!$A$1:$W$5000,7,FALSE))</f>
        <v>0</v>
      </c>
      <c r="G2749" s="416">
        <f>IF(ISERROR(VLOOKUP(B2748,'MD Usage'!$A$1:$W$5000,9,FALSE)),0,VLOOKUP(B2748,'MD Usage'!$A$1:$W$5000,9,FALSE))</f>
        <v>0</v>
      </c>
      <c r="H2749" s="416">
        <f>IF(ISERROR(VLOOKUP(B2748,'MD Usage'!$A$1:$W$5000,11,FALSE)),0,VLOOKUP(B2748,'MD Usage'!$A$1:$W$5000,11,FALSE))</f>
        <v>0</v>
      </c>
      <c r="I2749" s="416">
        <f>IF(ISERROR(VLOOKUP(B2748,'MD Usage'!A1:R2000,13,FALSE)),0,VLOOKUP(B2748,'MD Usage'!A1:R2000,13,FALSE))</f>
        <v>0</v>
      </c>
      <c r="J2749" s="416">
        <f>IF(ISERROR(VLOOKUP(B2748,'MD Usage'!A1:R2000,15,FALSE)),0,VLOOKUP(B2748,'MD Usage'!A1:R2000,15,FALSE))</f>
        <v>0</v>
      </c>
      <c r="K2749" s="418">
        <f>SUM(D2749:J2749)</f>
        <v>0</v>
      </c>
    </row>
    <row r="2750" spans="2:13" ht="15" customHeight="1" x14ac:dyDescent="0.25">
      <c r="B2750" s="419"/>
      <c r="C2750" s="420"/>
      <c r="D2750" s="421">
        <f>D2749*C2750</f>
        <v>0</v>
      </c>
      <c r="E2750" s="421">
        <f>E2749*C2750</f>
        <v>0</v>
      </c>
      <c r="F2750" s="421">
        <f>F2749*C2750</f>
        <v>0</v>
      </c>
      <c r="G2750" s="421">
        <f>G2749*C2750</f>
        <v>0</v>
      </c>
      <c r="H2750" s="421">
        <f>H2749*C2750</f>
        <v>0</v>
      </c>
      <c r="I2750" s="421">
        <f>I2749*C2750</f>
        <v>0</v>
      </c>
      <c r="J2750" s="421">
        <f>J2749*C2750</f>
        <v>0</v>
      </c>
      <c r="K2750" s="422">
        <f>SUM(D2750:J2750)</f>
        <v>0</v>
      </c>
    </row>
    <row r="2751" spans="2:13" ht="15" customHeight="1" x14ac:dyDescent="0.25">
      <c r="B2751" s="389"/>
      <c r="C2751" s="423"/>
      <c r="D2751" s="421">
        <f>D2749*C2751</f>
        <v>0</v>
      </c>
      <c r="E2751" s="421">
        <f>E2749*C2751</f>
        <v>0</v>
      </c>
      <c r="F2751" s="421">
        <f>F2749*C2751</f>
        <v>0</v>
      </c>
      <c r="G2751" s="421">
        <f>G2749*C2751</f>
        <v>0</v>
      </c>
      <c r="H2751" s="421">
        <f>H2749*C2751</f>
        <v>0</v>
      </c>
      <c r="I2751" s="421">
        <f>I2749*C2751</f>
        <v>0</v>
      </c>
      <c r="J2751" s="421">
        <f>J2749*C2751</f>
        <v>0</v>
      </c>
      <c r="K2751" s="424">
        <f>SUM(D2751:J2751)</f>
        <v>0</v>
      </c>
    </row>
    <row r="2752" spans="2:13" ht="15" customHeight="1" x14ac:dyDescent="0.25">
      <c r="B2752" s="389"/>
      <c r="C2752" s="423"/>
      <c r="D2752" s="421">
        <f>D2749*C2752</f>
        <v>0</v>
      </c>
      <c r="E2752" s="421">
        <f>E2749*C2752</f>
        <v>0</v>
      </c>
      <c r="F2752" s="421">
        <f>F2749*C2752</f>
        <v>0</v>
      </c>
      <c r="G2752" s="421">
        <f>G2749*C2752</f>
        <v>0</v>
      </c>
      <c r="H2752" s="421">
        <f>H2749*C2752</f>
        <v>0</v>
      </c>
      <c r="I2752" s="421">
        <f>I2749*C2752</f>
        <v>0</v>
      </c>
      <c r="J2752" s="421">
        <f>J2749*C2752</f>
        <v>0</v>
      </c>
      <c r="K2752" s="424">
        <f>SUM(D2752:J2752)</f>
        <v>0</v>
      </c>
    </row>
    <row r="2753" spans="2:13" ht="15" customHeight="1" x14ac:dyDescent="0.25">
      <c r="B2753" s="389"/>
      <c r="C2753" s="423"/>
      <c r="D2753" s="421">
        <f>D2749*C2753</f>
        <v>0</v>
      </c>
      <c r="E2753" s="421">
        <f>E2749*C2753</f>
        <v>0</v>
      </c>
      <c r="F2753" s="421">
        <f>F2749*C2753</f>
        <v>0</v>
      </c>
      <c r="G2753" s="421">
        <f>G2749*C2753</f>
        <v>0</v>
      </c>
      <c r="H2753" s="421">
        <f>H2749*C2753</f>
        <v>0</v>
      </c>
      <c r="I2753" s="421">
        <f>I2749*C2753</f>
        <v>0</v>
      </c>
      <c r="J2753" s="421">
        <f>J2749*C2753</f>
        <v>0</v>
      </c>
      <c r="K2753" s="424">
        <f>SUM(D2753:J2753)</f>
        <v>0</v>
      </c>
    </row>
    <row r="2755" spans="2:13" ht="15" customHeight="1" thickBot="1" x14ac:dyDescent="0.3"/>
    <row r="2756" spans="2:13" ht="15" customHeight="1" thickBot="1" x14ac:dyDescent="0.3">
      <c r="B2756" s="432"/>
      <c r="C2756" s="411"/>
      <c r="D2756" s="407" t="s">
        <v>548</v>
      </c>
      <c r="E2756" s="408" t="s">
        <v>549</v>
      </c>
      <c r="F2756" s="408" t="s">
        <v>550</v>
      </c>
      <c r="G2756" s="408" t="s">
        <v>551</v>
      </c>
      <c r="H2756" s="408" t="s">
        <v>552</v>
      </c>
      <c r="I2756" s="408" t="s">
        <v>553</v>
      </c>
      <c r="J2756" s="408" t="s">
        <v>554</v>
      </c>
      <c r="K2756" s="408" t="s">
        <v>555</v>
      </c>
      <c r="M2756" s="426"/>
    </row>
    <row r="2757" spans="2:13" ht="15" customHeight="1" thickBot="1" x14ac:dyDescent="0.3">
      <c r="B2757" s="414" t="s">
        <v>556</v>
      </c>
      <c r="C2757" s="415" t="s">
        <v>620</v>
      </c>
      <c r="D2757" s="416">
        <f>IF(ISERROR(VLOOKUP(B2756,'MD Usage'!$A$1:$W$5000,3,FALSE)),0,VLOOKUP(B2756,'MD Usage'!$A$1:$W$5000,3,FALSE))</f>
        <v>0</v>
      </c>
      <c r="E2757" s="416">
        <f>IF(ISERROR(VLOOKUP(B2756,'MD Usage'!$A$1:$W$5000,5,FALSE)),0,VLOOKUP(B2756,'MD Usage'!$A$1:$W$5000,5,FALSE))</f>
        <v>0</v>
      </c>
      <c r="F2757" s="416">
        <f>IF(ISERROR(VLOOKUP(B2756,'MD Usage'!$A$1:$W$5000,7,FALSE)),0,VLOOKUP(B2756,'MD Usage'!$A$1:$W$5000,7,FALSE))</f>
        <v>0</v>
      </c>
      <c r="G2757" s="416">
        <f>IF(ISERROR(VLOOKUP(B2756,'MD Usage'!$A$1:$W$5000,9,FALSE)),0,VLOOKUP(B2756,'MD Usage'!$A$1:$W$5000,9,FALSE))</f>
        <v>0</v>
      </c>
      <c r="H2757" s="416">
        <f>IF(ISERROR(VLOOKUP(B2756,'MD Usage'!$A$1:$W$5000,11,FALSE)),0,VLOOKUP(B2756,'MD Usage'!$A$1:$W$5000,11,FALSE))</f>
        <v>0</v>
      </c>
      <c r="I2757" s="416">
        <f>IF(ISERROR(VLOOKUP(B2756,'MD Usage'!A1:R2000,13,FALSE)),0,VLOOKUP(B2756,'MD Usage'!A1:R2000,13,FALSE))</f>
        <v>0</v>
      </c>
      <c r="J2757" s="416">
        <f>IF(ISERROR(VLOOKUP(B2756,'MD Usage'!A1:R2000,15,FALSE)),0,VLOOKUP(B2756,'MD Usage'!A1:R2000,15,FALSE))</f>
        <v>0</v>
      </c>
      <c r="K2757" s="418">
        <f t="shared" ref="K2757:K2763" si="176">SUM(D2757:J2757)</f>
        <v>0</v>
      </c>
    </row>
    <row r="2758" spans="2:13" ht="15" customHeight="1" x14ac:dyDescent="0.25">
      <c r="B2758" s="419"/>
      <c r="C2758" s="420"/>
      <c r="D2758" s="421">
        <f>D2757*C2758</f>
        <v>0</v>
      </c>
      <c r="E2758" s="421">
        <f>E2757*C2758</f>
        <v>0</v>
      </c>
      <c r="F2758" s="421">
        <f>F2757*C2758</f>
        <v>0</v>
      </c>
      <c r="G2758" s="421">
        <f>G2757*C2758</f>
        <v>0</v>
      </c>
      <c r="H2758" s="421">
        <f>H2757*C2758</f>
        <v>0</v>
      </c>
      <c r="I2758" s="421">
        <f>I2757*C2758</f>
        <v>0</v>
      </c>
      <c r="J2758" s="421">
        <f>J2757*C2758</f>
        <v>0</v>
      </c>
      <c r="K2758" s="422">
        <f t="shared" si="176"/>
        <v>0</v>
      </c>
    </row>
    <row r="2759" spans="2:13" ht="15" customHeight="1" x14ac:dyDescent="0.25">
      <c r="B2759" s="419"/>
      <c r="C2759" s="420"/>
      <c r="D2759" s="421">
        <f>D2757*C2759</f>
        <v>0</v>
      </c>
      <c r="E2759" s="421">
        <f>E2757*C2759</f>
        <v>0</v>
      </c>
      <c r="F2759" s="421">
        <f>F2757*C2759</f>
        <v>0</v>
      </c>
      <c r="G2759" s="421">
        <f>G2757*C2759</f>
        <v>0</v>
      </c>
      <c r="H2759" s="421">
        <f>H2757*C2759</f>
        <v>0</v>
      </c>
      <c r="I2759" s="421">
        <f>I2757*C2759</f>
        <v>0</v>
      </c>
      <c r="J2759" s="421">
        <f>J2757*C2759</f>
        <v>0</v>
      </c>
      <c r="K2759" s="424">
        <f t="shared" si="176"/>
        <v>0</v>
      </c>
    </row>
    <row r="2760" spans="2:13" ht="15" customHeight="1" x14ac:dyDescent="0.25">
      <c r="B2760" s="389"/>
      <c r="C2760" s="423"/>
      <c r="D2760" s="421">
        <f>D2757*C2760</f>
        <v>0</v>
      </c>
      <c r="E2760" s="421">
        <f>E2757*C2760</f>
        <v>0</v>
      </c>
      <c r="F2760" s="421">
        <f>F2757*C2760</f>
        <v>0</v>
      </c>
      <c r="G2760" s="421">
        <f>G2757*C2760</f>
        <v>0</v>
      </c>
      <c r="H2760" s="421">
        <f>H2757*C2760</f>
        <v>0</v>
      </c>
      <c r="I2760" s="421">
        <f>I2757*C2760</f>
        <v>0</v>
      </c>
      <c r="J2760" s="421">
        <f>J2757*C2760</f>
        <v>0</v>
      </c>
      <c r="K2760" s="424">
        <f t="shared" si="176"/>
        <v>0</v>
      </c>
    </row>
    <row r="2761" spans="2:13" ht="15" customHeight="1" x14ac:dyDescent="0.25">
      <c r="B2761" s="389"/>
      <c r="C2761" s="423"/>
      <c r="D2761" s="421">
        <f>D2757*C2761</f>
        <v>0</v>
      </c>
      <c r="E2761" s="421">
        <f>E2757*C2761</f>
        <v>0</v>
      </c>
      <c r="F2761" s="421">
        <f>F2757*C2761</f>
        <v>0</v>
      </c>
      <c r="G2761" s="421">
        <f>G2757*C2761</f>
        <v>0</v>
      </c>
      <c r="H2761" s="421">
        <f>H2757*C2761</f>
        <v>0</v>
      </c>
      <c r="I2761" s="421">
        <f>I2757*C2761</f>
        <v>0</v>
      </c>
      <c r="J2761" s="421">
        <f>J2757*C2761</f>
        <v>0</v>
      </c>
      <c r="K2761" s="424">
        <f t="shared" si="176"/>
        <v>0</v>
      </c>
    </row>
    <row r="2762" spans="2:13" ht="15" customHeight="1" x14ac:dyDescent="0.25">
      <c r="B2762" s="389"/>
      <c r="C2762" s="423"/>
      <c r="D2762" s="421">
        <f>D2757*C2762</f>
        <v>0</v>
      </c>
      <c r="E2762" s="421">
        <f>E2757*C2762</f>
        <v>0</v>
      </c>
      <c r="F2762" s="421">
        <f>F2757*C2762</f>
        <v>0</v>
      </c>
      <c r="G2762" s="421">
        <f>G2757*C2762</f>
        <v>0</v>
      </c>
      <c r="H2762" s="421">
        <f>H2757*C2762</f>
        <v>0</v>
      </c>
      <c r="I2762" s="421">
        <f>I2757*C2762</f>
        <v>0</v>
      </c>
      <c r="J2762" s="421">
        <f>J2757*C2762</f>
        <v>0</v>
      </c>
      <c r="K2762" s="424">
        <f t="shared" si="176"/>
        <v>0</v>
      </c>
    </row>
    <row r="2763" spans="2:13" ht="15" customHeight="1" x14ac:dyDescent="0.25">
      <c r="B2763" s="389"/>
      <c r="C2763" s="423"/>
      <c r="D2763" s="421">
        <f>D2757*C2763</f>
        <v>0</v>
      </c>
      <c r="E2763" s="421">
        <f>E2757*C2763</f>
        <v>0</v>
      </c>
      <c r="F2763" s="421">
        <f>F2757*C2763</f>
        <v>0</v>
      </c>
      <c r="G2763" s="421">
        <f>G2757*C2763</f>
        <v>0</v>
      </c>
      <c r="H2763" s="421">
        <f>H2757*C2763</f>
        <v>0</v>
      </c>
      <c r="I2763" s="421">
        <f>I2757*C2763</f>
        <v>0</v>
      </c>
      <c r="J2763" s="421">
        <f>J2757*C2763</f>
        <v>0</v>
      </c>
      <c r="K2763" s="424">
        <f t="shared" si="176"/>
        <v>0</v>
      </c>
    </row>
    <row r="2764" spans="2:13" ht="15" customHeight="1" thickBot="1" x14ac:dyDescent="0.3"/>
    <row r="2765" spans="2:13" ht="15" customHeight="1" thickBot="1" x14ac:dyDescent="0.3">
      <c r="B2765" s="414"/>
      <c r="C2765" s="411"/>
      <c r="D2765" s="407" t="s">
        <v>548</v>
      </c>
      <c r="E2765" s="408" t="s">
        <v>549</v>
      </c>
      <c r="F2765" s="408" t="s">
        <v>550</v>
      </c>
      <c r="G2765" s="408" t="s">
        <v>551</v>
      </c>
      <c r="H2765" s="408" t="s">
        <v>552</v>
      </c>
      <c r="I2765" s="408" t="s">
        <v>553</v>
      </c>
      <c r="J2765" s="408" t="s">
        <v>554</v>
      </c>
      <c r="K2765" s="408" t="s">
        <v>555</v>
      </c>
    </row>
    <row r="2766" spans="2:13" ht="15" customHeight="1" thickBot="1" x14ac:dyDescent="0.3">
      <c r="B2766" s="414" t="s">
        <v>556</v>
      </c>
      <c r="C2766" s="415" t="s">
        <v>620</v>
      </c>
      <c r="D2766" s="416">
        <f>IF(ISERROR(VLOOKUP(B2765,'MD Usage'!$A$1:$W$5000,3,FALSE)),0,VLOOKUP(B2765,'MD Usage'!$A$1:$W$5000,3,FALSE))</f>
        <v>0</v>
      </c>
      <c r="E2766" s="416">
        <f>IF(ISERROR(VLOOKUP(B2765,'MD Usage'!$A$1:$W$5000,5,FALSE)),0,VLOOKUP(B2765,'MD Usage'!$A$1:$W$5000,5,FALSE))</f>
        <v>0</v>
      </c>
      <c r="F2766" s="416">
        <f>IF(ISERROR(VLOOKUP(B2765,'MD Usage'!$A$1:$W$5000,7,FALSE)),0,VLOOKUP(B2765,'MD Usage'!$A$1:$W$5000,7,FALSE))</f>
        <v>0</v>
      </c>
      <c r="G2766" s="416">
        <f>IF(ISERROR(VLOOKUP(B2765,'MD Usage'!$A$1:$W$5000,9,FALSE)),0,VLOOKUP(B2765,'MD Usage'!$A$1:$W$5000,9,FALSE))</f>
        <v>0</v>
      </c>
      <c r="H2766" s="416">
        <f>IF(ISERROR(VLOOKUP(B2765,'MD Usage'!$A$1:$W$5000,11,FALSE)),0,VLOOKUP(B2765,'MD Usage'!$A$1:$W$5000,11,FALSE))</f>
        <v>0</v>
      </c>
      <c r="I2766" s="416">
        <f>IF(ISERROR(VLOOKUP(B2765,'MD Usage'!A1:R2000,13,FALSE)),0,VLOOKUP(B2765,'MD Usage'!A1:R2000,13,FALSE))</f>
        <v>0</v>
      </c>
      <c r="J2766" s="416">
        <f>IF(ISERROR(VLOOKUP(B2765,'MD Usage'!A1:R2000,15,FALSE)),0,VLOOKUP(B2765,'MD Usage'!A1:R2000,15,FALSE))</f>
        <v>0</v>
      </c>
      <c r="K2766" s="418">
        <f t="shared" ref="K2766:K2772" si="177">SUM(D2766:J2766)</f>
        <v>0</v>
      </c>
    </row>
    <row r="2767" spans="2:13" ht="15" customHeight="1" x14ac:dyDescent="0.25">
      <c r="B2767" s="419"/>
      <c r="C2767" s="420"/>
      <c r="D2767" s="421">
        <f>D2766*C2767</f>
        <v>0</v>
      </c>
      <c r="E2767" s="421">
        <f>E2766*C2767</f>
        <v>0</v>
      </c>
      <c r="F2767" s="421">
        <f>F2766*C2767</f>
        <v>0</v>
      </c>
      <c r="G2767" s="421">
        <f>G2766*C2767</f>
        <v>0</v>
      </c>
      <c r="H2767" s="421">
        <f>H2766*C2767</f>
        <v>0</v>
      </c>
      <c r="I2767" s="421">
        <f>I2766*C2767</f>
        <v>0</v>
      </c>
      <c r="J2767" s="421">
        <f>J2766*C2767</f>
        <v>0</v>
      </c>
      <c r="K2767" s="422">
        <f t="shared" si="177"/>
        <v>0</v>
      </c>
    </row>
    <row r="2768" spans="2:13" ht="15" customHeight="1" x14ac:dyDescent="0.25">
      <c r="B2768" s="419"/>
      <c r="C2768" s="420"/>
      <c r="D2768" s="421">
        <f>D2766*C2768</f>
        <v>0</v>
      </c>
      <c r="E2768" s="421">
        <f>E2766*C2768</f>
        <v>0</v>
      </c>
      <c r="F2768" s="421">
        <f>F2766*C2768</f>
        <v>0</v>
      </c>
      <c r="G2768" s="421">
        <f>G2766*C2768</f>
        <v>0</v>
      </c>
      <c r="H2768" s="421">
        <f>H2766*C2768</f>
        <v>0</v>
      </c>
      <c r="I2768" s="421">
        <f>I2766*C2768</f>
        <v>0</v>
      </c>
      <c r="J2768" s="421">
        <f>J2766*C2768</f>
        <v>0</v>
      </c>
      <c r="K2768" s="424">
        <f t="shared" si="177"/>
        <v>0</v>
      </c>
    </row>
    <row r="2769" spans="2:18" ht="15" customHeight="1" x14ac:dyDescent="0.25">
      <c r="B2769" s="389"/>
      <c r="C2769" s="423"/>
      <c r="D2769" s="421">
        <f>D2766*C2769</f>
        <v>0</v>
      </c>
      <c r="E2769" s="421">
        <f>E2766*C2769</f>
        <v>0</v>
      </c>
      <c r="F2769" s="421">
        <f>F2766*C2769</f>
        <v>0</v>
      </c>
      <c r="G2769" s="421">
        <f>G2766*C2769</f>
        <v>0</v>
      </c>
      <c r="H2769" s="421">
        <f>H2766*C2769</f>
        <v>0</v>
      </c>
      <c r="I2769" s="421">
        <f>I2766*C2769</f>
        <v>0</v>
      </c>
      <c r="J2769" s="421">
        <f>J2766*C2769</f>
        <v>0</v>
      </c>
      <c r="K2769" s="424">
        <f t="shared" si="177"/>
        <v>0</v>
      </c>
    </row>
    <row r="2770" spans="2:18" ht="15" customHeight="1" x14ac:dyDescent="0.25">
      <c r="B2770" s="389"/>
      <c r="C2770" s="423"/>
      <c r="D2770" s="421">
        <f>D2766*C2770</f>
        <v>0</v>
      </c>
      <c r="E2770" s="421">
        <f>E2766*C2770</f>
        <v>0</v>
      </c>
      <c r="F2770" s="421">
        <f>F2766*C2770</f>
        <v>0</v>
      </c>
      <c r="G2770" s="421">
        <f>G2766*C2770</f>
        <v>0</v>
      </c>
      <c r="H2770" s="421">
        <f>H2766*C2770</f>
        <v>0</v>
      </c>
      <c r="I2770" s="421">
        <f>I2766*C2770</f>
        <v>0</v>
      </c>
      <c r="J2770" s="421">
        <f>J2766*C2770</f>
        <v>0</v>
      </c>
      <c r="K2770" s="424">
        <f t="shared" si="177"/>
        <v>0</v>
      </c>
    </row>
    <row r="2771" spans="2:18" ht="15" customHeight="1" x14ac:dyDescent="0.25">
      <c r="B2771" s="389"/>
      <c r="C2771" s="423"/>
      <c r="D2771" s="421">
        <f>D2766*C2771</f>
        <v>0</v>
      </c>
      <c r="E2771" s="421">
        <f>E2766*C2771</f>
        <v>0</v>
      </c>
      <c r="F2771" s="421">
        <f>F2766*C2771</f>
        <v>0</v>
      </c>
      <c r="G2771" s="421">
        <f>G2766*C2771</f>
        <v>0</v>
      </c>
      <c r="H2771" s="421">
        <f>H2766*C2771</f>
        <v>0</v>
      </c>
      <c r="I2771" s="421">
        <f>I2766*C2771</f>
        <v>0</v>
      </c>
      <c r="J2771" s="421">
        <f>J2766*C2771</f>
        <v>0</v>
      </c>
      <c r="K2771" s="424">
        <f t="shared" si="177"/>
        <v>0</v>
      </c>
    </row>
    <row r="2772" spans="2:18" ht="15" customHeight="1" x14ac:dyDescent="0.25">
      <c r="B2772" s="389"/>
      <c r="C2772" s="423"/>
      <c r="D2772" s="421">
        <f>D2766*C2772</f>
        <v>0</v>
      </c>
      <c r="E2772" s="421">
        <f>E2766*C2772</f>
        <v>0</v>
      </c>
      <c r="F2772" s="421">
        <f>F2766*C2772</f>
        <v>0</v>
      </c>
      <c r="G2772" s="421">
        <f>G2766*C2772</f>
        <v>0</v>
      </c>
      <c r="H2772" s="421">
        <f>H2766*C2772</f>
        <v>0</v>
      </c>
      <c r="I2772" s="421">
        <f>I2766*C2772</f>
        <v>0</v>
      </c>
      <c r="J2772" s="421">
        <f>J2766*C2772</f>
        <v>0</v>
      </c>
      <c r="K2772" s="424">
        <f t="shared" si="177"/>
        <v>0</v>
      </c>
    </row>
    <row r="2773" spans="2:18" ht="15" customHeight="1" thickBot="1" x14ac:dyDescent="0.3"/>
    <row r="2774" spans="2:18" ht="15" customHeight="1" thickBot="1" x14ac:dyDescent="0.3">
      <c r="B2774" s="432"/>
      <c r="C2774" s="411"/>
      <c r="D2774" s="407" t="s">
        <v>548</v>
      </c>
      <c r="E2774" s="408" t="s">
        <v>549</v>
      </c>
      <c r="F2774" s="408" t="s">
        <v>550</v>
      </c>
      <c r="G2774" s="408" t="s">
        <v>551</v>
      </c>
      <c r="H2774" s="408" t="s">
        <v>552</v>
      </c>
      <c r="I2774" s="408" t="s">
        <v>553</v>
      </c>
      <c r="J2774" s="408" t="s">
        <v>554</v>
      </c>
      <c r="K2774" s="408" t="s">
        <v>555</v>
      </c>
    </row>
    <row r="2775" spans="2:18" ht="15" customHeight="1" thickBot="1" x14ac:dyDescent="0.3">
      <c r="B2775" s="414" t="s">
        <v>556</v>
      </c>
      <c r="C2775" s="415" t="s">
        <v>620</v>
      </c>
      <c r="D2775" s="416">
        <f>IF(ISERROR(VLOOKUP(B2774,'MD Usage'!$A$1:$W$5000,3,FALSE)),0,VLOOKUP(B2774,'MD Usage'!$A$1:$W$5000,3,FALSE))</f>
        <v>0</v>
      </c>
      <c r="E2775" s="416">
        <f>IF(ISERROR(VLOOKUP(B2774,'MD Usage'!$A$1:$W$5000,5,FALSE)),0,VLOOKUP(B2774,'MD Usage'!$A$1:$W$5000,5,FALSE))</f>
        <v>0</v>
      </c>
      <c r="F2775" s="416">
        <f>IF(ISERROR(VLOOKUP(B2774,'MD Usage'!$A$1:$W$5000,7,FALSE)),0,VLOOKUP(B2774,'MD Usage'!$A$1:$W$5000,7,FALSE))</f>
        <v>0</v>
      </c>
      <c r="G2775" s="416">
        <f>IF(ISERROR(VLOOKUP(B2774,'MD Usage'!$A$1:$W$5000,9,FALSE)),0,VLOOKUP(B2774,'MD Usage'!$A$1:$W$5000,9,FALSE))</f>
        <v>0</v>
      </c>
      <c r="H2775" s="416">
        <f>IF(ISERROR(VLOOKUP(B2774,'MD Usage'!$A$1:$W$5000,11,FALSE)),0,VLOOKUP(B2774,'MD Usage'!$A$1:$W$5000,11,FALSE))</f>
        <v>0</v>
      </c>
      <c r="I2775" s="416">
        <f>IF(ISERROR(VLOOKUP(B2774,'MD Usage'!A1:R2000,13,FALSE)),0,VLOOKUP(B2774,'MD Usage'!A1:R2000,13,FALSE))</f>
        <v>0</v>
      </c>
      <c r="J2775" s="416">
        <f>IF(ISERROR(VLOOKUP(B2774,'MD Usage'!A1:R2000,15,FALSE)),0,VLOOKUP(B2774,'MD Usage'!A1:R2000,15,FALSE))</f>
        <v>0</v>
      </c>
      <c r="K2775" s="418">
        <f t="shared" ref="K2775:K2781" si="178">SUM(D2775:J2775)</f>
        <v>0</v>
      </c>
    </row>
    <row r="2776" spans="2:18" ht="15" customHeight="1" x14ac:dyDescent="0.25">
      <c r="B2776" s="419"/>
      <c r="C2776" s="420"/>
      <c r="D2776" s="421">
        <f>D2775*C2776</f>
        <v>0</v>
      </c>
      <c r="E2776" s="421">
        <f>E2775*C2776</f>
        <v>0</v>
      </c>
      <c r="F2776" s="421">
        <f>F2775*C2776</f>
        <v>0</v>
      </c>
      <c r="G2776" s="421">
        <f>G2775*C2776</f>
        <v>0</v>
      </c>
      <c r="H2776" s="421">
        <f>H2775*C2776</f>
        <v>0</v>
      </c>
      <c r="I2776" s="421">
        <f>I2775*C2776</f>
        <v>0</v>
      </c>
      <c r="J2776" s="421">
        <f>J2775*C2776</f>
        <v>0</v>
      </c>
      <c r="K2776" s="422">
        <f t="shared" si="178"/>
        <v>0</v>
      </c>
    </row>
    <row r="2777" spans="2:18" ht="15" customHeight="1" x14ac:dyDescent="0.25">
      <c r="B2777" s="389"/>
      <c r="C2777" s="423"/>
      <c r="D2777" s="421">
        <f>D2775*C2777</f>
        <v>0</v>
      </c>
      <c r="E2777" s="421">
        <f>E2775*C2777</f>
        <v>0</v>
      </c>
      <c r="F2777" s="421">
        <f>F2775*C2777</f>
        <v>0</v>
      </c>
      <c r="G2777" s="421">
        <f>G2775*C2777</f>
        <v>0</v>
      </c>
      <c r="H2777" s="421">
        <f>H2775*C2777</f>
        <v>0</v>
      </c>
      <c r="I2777" s="421">
        <f>I2775*C2777</f>
        <v>0</v>
      </c>
      <c r="J2777" s="421">
        <f>J2775*C2777</f>
        <v>0</v>
      </c>
      <c r="K2777" s="424">
        <f t="shared" si="178"/>
        <v>0</v>
      </c>
      <c r="Q2777" s="419" t="s">
        <v>106</v>
      </c>
      <c r="R2777" s="420">
        <v>1</v>
      </c>
    </row>
    <row r="2778" spans="2:18" ht="15" customHeight="1" x14ac:dyDescent="0.25">
      <c r="B2778" s="389"/>
      <c r="C2778" s="423"/>
      <c r="D2778" s="421">
        <f>D2775*C2778</f>
        <v>0</v>
      </c>
      <c r="E2778" s="421">
        <f>E2775*C2778</f>
        <v>0</v>
      </c>
      <c r="F2778" s="421">
        <f>F2775*C2778</f>
        <v>0</v>
      </c>
      <c r="G2778" s="421">
        <f>G2775*C2778</f>
        <v>0</v>
      </c>
      <c r="H2778" s="421">
        <f>H2775*C2778</f>
        <v>0</v>
      </c>
      <c r="I2778" s="421">
        <f>I2775*C2778</f>
        <v>0</v>
      </c>
      <c r="J2778" s="421">
        <f>J2775*C2778</f>
        <v>0</v>
      </c>
      <c r="K2778" s="424">
        <f t="shared" si="178"/>
        <v>0</v>
      </c>
      <c r="Q2778" s="389" t="s">
        <v>64</v>
      </c>
      <c r="R2778" s="423">
        <v>6</v>
      </c>
    </row>
    <row r="2779" spans="2:18" ht="15" customHeight="1" x14ac:dyDescent="0.25">
      <c r="B2779" s="389"/>
      <c r="C2779" s="423"/>
      <c r="D2779" s="421">
        <f>D2775*C2779</f>
        <v>0</v>
      </c>
      <c r="E2779" s="421">
        <f>E2775*C2779</f>
        <v>0</v>
      </c>
      <c r="F2779" s="421">
        <f>F2775*C2779</f>
        <v>0</v>
      </c>
      <c r="G2779" s="421">
        <f>G2775*C2779</f>
        <v>0</v>
      </c>
      <c r="H2779" s="421">
        <f>H2775*C2779</f>
        <v>0</v>
      </c>
      <c r="I2779" s="421">
        <f>I2775*C2779</f>
        <v>0</v>
      </c>
      <c r="J2779" s="421">
        <f>J2775*C2779</f>
        <v>0</v>
      </c>
      <c r="K2779" s="424">
        <f t="shared" si="178"/>
        <v>0</v>
      </c>
      <c r="Q2779" s="389" t="s">
        <v>97</v>
      </c>
      <c r="R2779" s="423">
        <v>1.5</v>
      </c>
    </row>
    <row r="2780" spans="2:18" ht="15" customHeight="1" x14ac:dyDescent="0.25">
      <c r="B2780" s="389"/>
      <c r="C2780" s="423"/>
      <c r="D2780" s="421">
        <f>D2775*C2780</f>
        <v>0</v>
      </c>
      <c r="E2780" s="421">
        <f>E2775*C2780</f>
        <v>0</v>
      </c>
      <c r="F2780" s="421">
        <f>F2775*C2780</f>
        <v>0</v>
      </c>
      <c r="G2780" s="421">
        <f>G2775*C2780</f>
        <v>0</v>
      </c>
      <c r="H2780" s="421">
        <f>H2775*C2780</f>
        <v>0</v>
      </c>
      <c r="I2780" s="421">
        <f>I2775*C2780</f>
        <v>0</v>
      </c>
      <c r="J2780" s="421">
        <f>J2775*C2780</f>
        <v>0</v>
      </c>
      <c r="K2780" s="424">
        <f t="shared" si="178"/>
        <v>0</v>
      </c>
      <c r="Q2780" s="389" t="s">
        <v>59</v>
      </c>
      <c r="R2780" s="423">
        <v>2</v>
      </c>
    </row>
    <row r="2781" spans="2:18" ht="15" customHeight="1" x14ac:dyDescent="0.25">
      <c r="B2781" s="389"/>
      <c r="C2781" s="423"/>
      <c r="D2781" s="421">
        <f>D2775*C2781</f>
        <v>0</v>
      </c>
      <c r="E2781" s="421">
        <f>E2775*C2781</f>
        <v>0</v>
      </c>
      <c r="F2781" s="421">
        <f>F2775*C2781</f>
        <v>0</v>
      </c>
      <c r="G2781" s="421">
        <f>G2775*C2781</f>
        <v>0</v>
      </c>
      <c r="H2781" s="421">
        <f>H2775*C2781</f>
        <v>0</v>
      </c>
      <c r="I2781" s="421">
        <f>I2775*C2781</f>
        <v>0</v>
      </c>
      <c r="J2781" s="421">
        <f>J2775*C2781</f>
        <v>0</v>
      </c>
      <c r="K2781" s="424">
        <f t="shared" si="178"/>
        <v>0</v>
      </c>
    </row>
    <row r="2782" spans="2:18" ht="15" customHeight="1" thickBot="1" x14ac:dyDescent="0.3"/>
    <row r="2783" spans="2:18" ht="15" customHeight="1" thickBot="1" x14ac:dyDescent="0.3">
      <c r="B2783" s="432"/>
      <c r="C2783" s="411"/>
      <c r="D2783" s="407" t="s">
        <v>548</v>
      </c>
      <c r="E2783" s="408" t="s">
        <v>549</v>
      </c>
      <c r="F2783" s="408" t="s">
        <v>550</v>
      </c>
      <c r="G2783" s="408" t="s">
        <v>551</v>
      </c>
      <c r="H2783" s="408" t="s">
        <v>552</v>
      </c>
      <c r="I2783" s="408" t="s">
        <v>553</v>
      </c>
      <c r="J2783" s="408" t="s">
        <v>554</v>
      </c>
      <c r="K2783" s="408" t="s">
        <v>555</v>
      </c>
      <c r="M2783" s="426"/>
    </row>
    <row r="2784" spans="2:18" ht="15" customHeight="1" thickBot="1" x14ac:dyDescent="0.3">
      <c r="B2784" s="414" t="s">
        <v>556</v>
      </c>
      <c r="C2784" s="415" t="s">
        <v>620</v>
      </c>
      <c r="D2784" s="416">
        <f>IF(ISERROR(VLOOKUP(B2783,'MD Usage'!$A$1:$W$5000,3,FALSE)),0,VLOOKUP(B2783,'MD Usage'!$A$1:$W$5000,3,FALSE))</f>
        <v>0</v>
      </c>
      <c r="E2784" s="416">
        <f>IF(ISERROR(VLOOKUP(B2783,'MD Usage'!$A$1:$W$5000,5,FALSE)),0,VLOOKUP(B2783,'MD Usage'!$A$1:$W$5000,5,FALSE))</f>
        <v>0</v>
      </c>
      <c r="F2784" s="416">
        <f>IF(ISERROR(VLOOKUP(B2783,'MD Usage'!$A$1:$W$5000,7,FALSE)),0,VLOOKUP(B2783,'MD Usage'!$A$1:$W$5000,7,FALSE))</f>
        <v>0</v>
      </c>
      <c r="G2784" s="416">
        <f>IF(ISERROR(VLOOKUP(B2783,'MD Usage'!$A$1:$W$5000,9,FALSE)),0,VLOOKUP(B2783,'MD Usage'!$A$1:$W$5000,9,FALSE))</f>
        <v>0</v>
      </c>
      <c r="H2784" s="416">
        <f>IF(ISERROR(VLOOKUP(B2783,'MD Usage'!$A$1:$W$5000,11,FALSE)),0,VLOOKUP(B2783,'MD Usage'!$A$1:$W$5000,11,FALSE))</f>
        <v>0</v>
      </c>
      <c r="I2784" s="416">
        <f>IF(ISERROR(VLOOKUP(B2783,'MD Usage'!A1:R2000,13,FALSE)),0,VLOOKUP(B2783,'MD Usage'!A1:R2000,13,FALSE))</f>
        <v>0</v>
      </c>
      <c r="J2784" s="416">
        <f>IF(ISERROR(VLOOKUP(B2783,'MD Usage'!A1:R2000,15,FALSE)),0,VLOOKUP(B2783,'MD Usage'!A1:R2000,15,FALSE))</f>
        <v>0</v>
      </c>
      <c r="K2784" s="418">
        <f t="shared" ref="K2784:K2790" si="179">SUM(D2784:J2784)</f>
        <v>0</v>
      </c>
    </row>
    <row r="2785" spans="2:13" ht="15" customHeight="1" x14ac:dyDescent="0.25">
      <c r="B2785" s="419"/>
      <c r="C2785" s="420"/>
      <c r="D2785" s="421">
        <f>D2784*C2785</f>
        <v>0</v>
      </c>
      <c r="E2785" s="421">
        <f>E2784*C2785</f>
        <v>0</v>
      </c>
      <c r="F2785" s="421">
        <f>F2784*C2785</f>
        <v>0</v>
      </c>
      <c r="G2785" s="421">
        <f>G2784*C2785</f>
        <v>0</v>
      </c>
      <c r="H2785" s="421">
        <f>H2784*C2785</f>
        <v>0</v>
      </c>
      <c r="I2785" s="421">
        <f>I2784*C2785</f>
        <v>0</v>
      </c>
      <c r="J2785" s="421">
        <f>J2784*C2785</f>
        <v>0</v>
      </c>
      <c r="K2785" s="422">
        <f t="shared" si="179"/>
        <v>0</v>
      </c>
    </row>
    <row r="2786" spans="2:13" ht="15" customHeight="1" x14ac:dyDescent="0.25">
      <c r="B2786" s="389"/>
      <c r="C2786" s="423"/>
      <c r="D2786" s="421">
        <f>D2784*C2786</f>
        <v>0</v>
      </c>
      <c r="E2786" s="421">
        <f>E2784*C2786</f>
        <v>0</v>
      </c>
      <c r="F2786" s="421">
        <f>F2784*C2786</f>
        <v>0</v>
      </c>
      <c r="G2786" s="421">
        <f>G2784*C2786</f>
        <v>0</v>
      </c>
      <c r="H2786" s="421">
        <f>H2784*C2786</f>
        <v>0</v>
      </c>
      <c r="I2786" s="421">
        <f>I2784*C2786</f>
        <v>0</v>
      </c>
      <c r="J2786" s="421">
        <f>J2784*C2786</f>
        <v>0</v>
      </c>
      <c r="K2786" s="424">
        <f t="shared" si="179"/>
        <v>0</v>
      </c>
    </row>
    <row r="2787" spans="2:13" ht="15" customHeight="1" x14ac:dyDescent="0.25">
      <c r="B2787" s="389"/>
      <c r="C2787" s="423"/>
      <c r="D2787" s="421">
        <f>D2784*C2787</f>
        <v>0</v>
      </c>
      <c r="E2787" s="421">
        <f>E2784*C2787</f>
        <v>0</v>
      </c>
      <c r="F2787" s="421">
        <f>F2784*C2787</f>
        <v>0</v>
      </c>
      <c r="G2787" s="421">
        <f>G2784*C2787</f>
        <v>0</v>
      </c>
      <c r="H2787" s="421">
        <f>H2784*C2787</f>
        <v>0</v>
      </c>
      <c r="I2787" s="421">
        <f>I2784*C2787</f>
        <v>0</v>
      </c>
      <c r="J2787" s="421">
        <f>J2784*C2787</f>
        <v>0</v>
      </c>
      <c r="K2787" s="424">
        <f t="shared" si="179"/>
        <v>0</v>
      </c>
    </row>
    <row r="2788" spans="2:13" ht="15" customHeight="1" x14ac:dyDescent="0.25">
      <c r="B2788" s="387"/>
      <c r="C2788" s="423"/>
      <c r="D2788" s="421">
        <f>D2784*C2788</f>
        <v>0</v>
      </c>
      <c r="E2788" s="421">
        <f>E2784*C2788</f>
        <v>0</v>
      </c>
      <c r="F2788" s="421">
        <f>F2784*C2788</f>
        <v>0</v>
      </c>
      <c r="G2788" s="421">
        <f>G2784*C2788</f>
        <v>0</v>
      </c>
      <c r="H2788" s="421">
        <f>H2784*C2788</f>
        <v>0</v>
      </c>
      <c r="I2788" s="421">
        <f>I2784*C2788</f>
        <v>0</v>
      </c>
      <c r="J2788" s="421">
        <f>J2784*C2788</f>
        <v>0</v>
      </c>
      <c r="K2788" s="424">
        <f t="shared" si="179"/>
        <v>0</v>
      </c>
    </row>
    <row r="2789" spans="2:13" ht="15" customHeight="1" x14ac:dyDescent="0.25">
      <c r="B2789" s="389"/>
      <c r="C2789" s="423"/>
      <c r="D2789" s="421">
        <f>D2784*C2789</f>
        <v>0</v>
      </c>
      <c r="E2789" s="421">
        <f>E2784*C2789</f>
        <v>0</v>
      </c>
      <c r="F2789" s="421">
        <f>F2784*C2789</f>
        <v>0</v>
      </c>
      <c r="G2789" s="421">
        <f>G2784*C2789</f>
        <v>0</v>
      </c>
      <c r="H2789" s="421">
        <f>H2784*C2789</f>
        <v>0</v>
      </c>
      <c r="I2789" s="421">
        <f>I2784*C2789</f>
        <v>0</v>
      </c>
      <c r="J2789" s="421">
        <f>J2784*C2789</f>
        <v>0</v>
      </c>
      <c r="K2789" s="424">
        <f t="shared" si="179"/>
        <v>0</v>
      </c>
    </row>
    <row r="2790" spans="2:13" ht="15" customHeight="1" x14ac:dyDescent="0.25">
      <c r="B2790" s="389"/>
      <c r="C2790" s="423"/>
      <c r="D2790" s="421">
        <f>D2784*C2790</f>
        <v>0</v>
      </c>
      <c r="E2790" s="421">
        <f>E2784*C2790</f>
        <v>0</v>
      </c>
      <c r="F2790" s="421">
        <f>F2784*C2790</f>
        <v>0</v>
      </c>
      <c r="G2790" s="421">
        <f>G2784*C2790</f>
        <v>0</v>
      </c>
      <c r="H2790" s="421">
        <f>H2784*C2790</f>
        <v>0</v>
      </c>
      <c r="I2790" s="421">
        <f>I2784*C2790</f>
        <v>0</v>
      </c>
      <c r="J2790" s="421">
        <f>J2784*C2790</f>
        <v>0</v>
      </c>
      <c r="K2790" s="424">
        <f t="shared" si="179"/>
        <v>0</v>
      </c>
    </row>
    <row r="2792" spans="2:13" ht="15" customHeight="1" thickBot="1" x14ac:dyDescent="0.3"/>
    <row r="2793" spans="2:13" ht="15" customHeight="1" thickBot="1" x14ac:dyDescent="0.3">
      <c r="B2793" s="432"/>
      <c r="C2793" s="411"/>
      <c r="D2793" s="407" t="s">
        <v>548</v>
      </c>
      <c r="E2793" s="408" t="s">
        <v>549</v>
      </c>
      <c r="F2793" s="408" t="s">
        <v>550</v>
      </c>
      <c r="G2793" s="408" t="s">
        <v>551</v>
      </c>
      <c r="H2793" s="408" t="s">
        <v>552</v>
      </c>
      <c r="I2793" s="408" t="s">
        <v>553</v>
      </c>
      <c r="J2793" s="408" t="s">
        <v>554</v>
      </c>
      <c r="K2793" s="408" t="s">
        <v>555</v>
      </c>
      <c r="M2793" s="426"/>
    </row>
    <row r="2794" spans="2:13" ht="15" customHeight="1" thickBot="1" x14ac:dyDescent="0.3">
      <c r="B2794" s="414" t="s">
        <v>556</v>
      </c>
      <c r="C2794" s="415" t="s">
        <v>620</v>
      </c>
      <c r="D2794" s="416">
        <f>IF(ISERROR(VLOOKUP(B2793,'MD Usage'!$A$1:$W$5000,3,FALSE)),0,VLOOKUP(B2793,'MD Usage'!$A$1:$W$5000,3,FALSE))</f>
        <v>0</v>
      </c>
      <c r="E2794" s="416">
        <f>IF(ISERROR(VLOOKUP(B2793,'MD Usage'!$A$1:$W$5000,5,FALSE)),0,VLOOKUP(B2793,'MD Usage'!$A$1:$W$5000,5,FALSE))</f>
        <v>0</v>
      </c>
      <c r="F2794" s="416">
        <f>IF(ISERROR(VLOOKUP(B2793,'MD Usage'!$A$1:$W$5000,7,FALSE)),0,VLOOKUP(B2793,'MD Usage'!$A$1:$W$5000,7,FALSE))</f>
        <v>0</v>
      </c>
      <c r="G2794" s="416">
        <f>IF(ISERROR(VLOOKUP(B2793,'MD Usage'!$A$1:$W$5000,9,FALSE)),0,VLOOKUP(B2793,'MD Usage'!$A$1:$W$5000,9,FALSE))</f>
        <v>0</v>
      </c>
      <c r="H2794" s="416">
        <f>IF(ISERROR(VLOOKUP(B2793,'MD Usage'!$A$1:$W$5000,11,FALSE)),0,VLOOKUP(B2793,'MD Usage'!$A$1:$W$5000,11,FALSE))</f>
        <v>0</v>
      </c>
      <c r="I2794" s="416">
        <f>IF(ISERROR(VLOOKUP(B2793,'MD Usage'!A1:R2000,13,FALSE)),0,VLOOKUP(B2793,'MD Usage'!A1:R2000,13,FALSE))</f>
        <v>0</v>
      </c>
      <c r="J2794" s="416">
        <f>IF(ISERROR(VLOOKUP(B2793,'MD Usage'!A1:R2000,15,FALSE)),0,VLOOKUP(B2793,'MD Usage'!A1:R2000,15,FALSE))</f>
        <v>0</v>
      </c>
      <c r="K2794" s="418">
        <f t="shared" ref="K2794:K2800" si="180">SUM(D2794:J2794)</f>
        <v>0</v>
      </c>
    </row>
    <row r="2795" spans="2:13" ht="15" customHeight="1" x14ac:dyDescent="0.25">
      <c r="B2795" s="419"/>
      <c r="C2795" s="420"/>
      <c r="D2795" s="421">
        <f>D2794*C2795</f>
        <v>0</v>
      </c>
      <c r="E2795" s="421">
        <f>E2794*C2795</f>
        <v>0</v>
      </c>
      <c r="F2795" s="421">
        <f>F2794*C2795</f>
        <v>0</v>
      </c>
      <c r="G2795" s="421">
        <f>G2794*C2795</f>
        <v>0</v>
      </c>
      <c r="H2795" s="421">
        <f>H2794*C2795</f>
        <v>0</v>
      </c>
      <c r="I2795" s="421">
        <f>I2794*C2795</f>
        <v>0</v>
      </c>
      <c r="J2795" s="421">
        <f>J2794*C2795</f>
        <v>0</v>
      </c>
      <c r="K2795" s="422">
        <f t="shared" si="180"/>
        <v>0</v>
      </c>
    </row>
    <row r="2796" spans="2:13" ht="15" customHeight="1" x14ac:dyDescent="0.25">
      <c r="B2796" s="389"/>
      <c r="C2796" s="423"/>
      <c r="D2796" s="421">
        <f>D2794*C2796</f>
        <v>0</v>
      </c>
      <c r="E2796" s="421">
        <f>E2794*C2796</f>
        <v>0</v>
      </c>
      <c r="F2796" s="421">
        <f>F2794*C2796</f>
        <v>0</v>
      </c>
      <c r="G2796" s="421">
        <f>G2794*C2796</f>
        <v>0</v>
      </c>
      <c r="H2796" s="421">
        <f>H2794*C2796</f>
        <v>0</v>
      </c>
      <c r="I2796" s="421">
        <f>I2794*C2796</f>
        <v>0</v>
      </c>
      <c r="J2796" s="421">
        <f>J2794*C2796</f>
        <v>0</v>
      </c>
      <c r="K2796" s="424">
        <f t="shared" si="180"/>
        <v>0</v>
      </c>
    </row>
    <row r="2797" spans="2:13" ht="15" customHeight="1" x14ac:dyDescent="0.25">
      <c r="B2797" s="389"/>
      <c r="C2797" s="423"/>
      <c r="D2797" s="421">
        <f>D2794*C2797</f>
        <v>0</v>
      </c>
      <c r="E2797" s="421">
        <f>E2794*C2797</f>
        <v>0</v>
      </c>
      <c r="F2797" s="421">
        <f>F2794*C2797</f>
        <v>0</v>
      </c>
      <c r="G2797" s="421">
        <f>G2794*C2797</f>
        <v>0</v>
      </c>
      <c r="H2797" s="421">
        <f>H2794*C2797</f>
        <v>0</v>
      </c>
      <c r="I2797" s="421">
        <f>I2794*C2797</f>
        <v>0</v>
      </c>
      <c r="J2797" s="421">
        <f>J2794*C2797</f>
        <v>0</v>
      </c>
      <c r="K2797" s="424">
        <f t="shared" si="180"/>
        <v>0</v>
      </c>
    </row>
    <row r="2798" spans="2:13" ht="15" customHeight="1" x14ac:dyDescent="0.25">
      <c r="B2798" s="389"/>
      <c r="C2798" s="423"/>
      <c r="D2798" s="421">
        <f>D2794*C2798</f>
        <v>0</v>
      </c>
      <c r="E2798" s="421">
        <f>E2794*C2798</f>
        <v>0</v>
      </c>
      <c r="F2798" s="421">
        <f>F2794*C2798</f>
        <v>0</v>
      </c>
      <c r="G2798" s="421">
        <f>G2794*C2798</f>
        <v>0</v>
      </c>
      <c r="H2798" s="421">
        <f>H2794*C2798</f>
        <v>0</v>
      </c>
      <c r="I2798" s="421">
        <f>I2794*C2798</f>
        <v>0</v>
      </c>
      <c r="J2798" s="421">
        <f>J2794*C2798</f>
        <v>0</v>
      </c>
      <c r="K2798" s="424">
        <f t="shared" si="180"/>
        <v>0</v>
      </c>
    </row>
    <row r="2799" spans="2:13" ht="15" customHeight="1" x14ac:dyDescent="0.25">
      <c r="B2799" s="389"/>
      <c r="C2799" s="423"/>
      <c r="D2799" s="421">
        <f>D2794*C2799</f>
        <v>0</v>
      </c>
      <c r="E2799" s="421">
        <f>E2794*C2799</f>
        <v>0</v>
      </c>
      <c r="F2799" s="421">
        <f>F2794*C2799</f>
        <v>0</v>
      </c>
      <c r="G2799" s="421">
        <f>G2794*C2799</f>
        <v>0</v>
      </c>
      <c r="H2799" s="421">
        <f>H2794*C2799</f>
        <v>0</v>
      </c>
      <c r="I2799" s="421">
        <f>I2794*C2799</f>
        <v>0</v>
      </c>
      <c r="J2799" s="421">
        <f>J2794*C2799</f>
        <v>0</v>
      </c>
      <c r="K2799" s="424">
        <f t="shared" si="180"/>
        <v>0</v>
      </c>
    </row>
    <row r="2800" spans="2:13" ht="15" customHeight="1" x14ac:dyDescent="0.25">
      <c r="B2800" s="389"/>
      <c r="C2800" s="423"/>
      <c r="D2800" s="421">
        <f>D2794*C2800</f>
        <v>0</v>
      </c>
      <c r="E2800" s="421">
        <f>E2794*C2800</f>
        <v>0</v>
      </c>
      <c r="F2800" s="421">
        <f>F2794*C2800</f>
        <v>0</v>
      </c>
      <c r="G2800" s="421">
        <f>G2794*C2800</f>
        <v>0</v>
      </c>
      <c r="H2800" s="421">
        <f>H2794*C2800</f>
        <v>0</v>
      </c>
      <c r="I2800" s="421">
        <f>I2794*C2800</f>
        <v>0</v>
      </c>
      <c r="J2800" s="421">
        <f>J2794*C2800</f>
        <v>0</v>
      </c>
      <c r="K2800" s="424">
        <f t="shared" si="180"/>
        <v>0</v>
      </c>
    </row>
    <row r="2801" spans="2:20" ht="15" customHeight="1" thickBot="1" x14ac:dyDescent="0.3"/>
    <row r="2802" spans="2:20" ht="15" customHeight="1" thickBot="1" x14ac:dyDescent="0.3">
      <c r="B2802" s="432"/>
      <c r="C2802" s="411"/>
      <c r="D2802" s="407" t="s">
        <v>548</v>
      </c>
      <c r="E2802" s="408" t="s">
        <v>549</v>
      </c>
      <c r="F2802" s="408" t="s">
        <v>550</v>
      </c>
      <c r="G2802" s="408" t="s">
        <v>551</v>
      </c>
      <c r="H2802" s="408" t="s">
        <v>552</v>
      </c>
      <c r="I2802" s="408" t="s">
        <v>553</v>
      </c>
      <c r="J2802" s="408" t="s">
        <v>554</v>
      </c>
      <c r="K2802" s="408" t="s">
        <v>555</v>
      </c>
      <c r="M2802" s="426"/>
    </row>
    <row r="2803" spans="2:20" ht="15" customHeight="1" thickBot="1" x14ac:dyDescent="0.3">
      <c r="B2803" s="414" t="s">
        <v>556</v>
      </c>
      <c r="C2803" s="415" t="s">
        <v>620</v>
      </c>
      <c r="D2803" s="416">
        <f>IF(ISERROR(VLOOKUP(B2802,'MD Usage'!$A$1:$W$5000,3,FALSE)),0,VLOOKUP(B2802,'MD Usage'!$A$1:$W$5000,3,FALSE))</f>
        <v>0</v>
      </c>
      <c r="E2803" s="416">
        <f>IF(ISERROR(VLOOKUP(B2802,'MD Usage'!$A$1:$W$5000,5,FALSE)),0,VLOOKUP(B2802,'MD Usage'!$A$1:$W$5000,5,FALSE))</f>
        <v>0</v>
      </c>
      <c r="F2803" s="416">
        <f>IF(ISERROR(VLOOKUP(B2802,'MD Usage'!$A$1:$W$5000,7,FALSE)),0,VLOOKUP(B2802,'MD Usage'!$A$1:$W$5000,7,FALSE))</f>
        <v>0</v>
      </c>
      <c r="G2803" s="416">
        <f>IF(ISERROR(VLOOKUP(B2802,'MD Usage'!$A$1:$W$5000,9,FALSE)),0,VLOOKUP(B2802,'MD Usage'!$A$1:$W$5000,9,FALSE))</f>
        <v>0</v>
      </c>
      <c r="H2803" s="416">
        <f>IF(ISERROR(VLOOKUP(B2802,'MD Usage'!$A$1:$W$5000,11,FALSE)),0,VLOOKUP(B2802,'MD Usage'!$A$1:$W$5000,11,FALSE))</f>
        <v>0</v>
      </c>
      <c r="I2803" s="416">
        <f>IF(ISERROR(VLOOKUP(B2802,'MD Usage'!A1:R2000,13,FALSE)),0,VLOOKUP(B2802,'MD Usage'!A1:R2000,13,FALSE))</f>
        <v>0</v>
      </c>
      <c r="J2803" s="416">
        <f>IF(ISERROR(VLOOKUP(B2802,'MD Usage'!A1:R2000,15,FALSE)),0,VLOOKUP(B2802,'MD Usage'!A1:R2000,15,FALSE))</f>
        <v>0</v>
      </c>
      <c r="K2803" s="418">
        <f>SUM(D2803:J2803)</f>
        <v>0</v>
      </c>
    </row>
    <row r="2804" spans="2:20" ht="15" customHeight="1" x14ac:dyDescent="0.25">
      <c r="B2804" s="419"/>
      <c r="C2804" s="420"/>
      <c r="D2804" s="421">
        <f>D2803*C2804</f>
        <v>0</v>
      </c>
      <c r="E2804" s="421">
        <f>E2803*C2804</f>
        <v>0</v>
      </c>
      <c r="F2804" s="421">
        <f>F2803*C2804</f>
        <v>0</v>
      </c>
      <c r="G2804" s="421">
        <f>G2803*C2804</f>
        <v>0</v>
      </c>
      <c r="H2804" s="421">
        <f>H2803*C2804</f>
        <v>0</v>
      </c>
      <c r="I2804" s="421">
        <f>I2803*C2804</f>
        <v>0</v>
      </c>
      <c r="J2804" s="421">
        <f>J2803*C2804</f>
        <v>0</v>
      </c>
      <c r="K2804" s="422">
        <f>SUM(D2804:J2804)</f>
        <v>0</v>
      </c>
    </row>
    <row r="2805" spans="2:20" ht="15" customHeight="1" x14ac:dyDescent="0.25">
      <c r="B2805" s="389"/>
      <c r="C2805" s="423"/>
      <c r="D2805" s="421">
        <f>D2803*C2805</f>
        <v>0</v>
      </c>
      <c r="E2805" s="421">
        <f>E2803*C2805</f>
        <v>0</v>
      </c>
      <c r="F2805" s="421">
        <f>F2803*C2805</f>
        <v>0</v>
      </c>
      <c r="G2805" s="421">
        <f>G2803*C2805</f>
        <v>0</v>
      </c>
      <c r="H2805" s="421">
        <f>H2803*C2805</f>
        <v>0</v>
      </c>
      <c r="I2805" s="421">
        <f>I2803*C2805</f>
        <v>0</v>
      </c>
      <c r="J2805" s="421">
        <f>J2803*C2805</f>
        <v>0</v>
      </c>
      <c r="K2805" s="424">
        <f>SUM(D2805:J2805)</f>
        <v>0</v>
      </c>
    </row>
    <row r="2806" spans="2:20" ht="15" customHeight="1" x14ac:dyDescent="0.25">
      <c r="B2806" s="389"/>
      <c r="C2806" s="423"/>
      <c r="D2806" s="421">
        <f>D2803*C2806</f>
        <v>0</v>
      </c>
      <c r="E2806" s="421">
        <f>E2803*C2806</f>
        <v>0</v>
      </c>
      <c r="F2806" s="421">
        <f>F2803*C2806</f>
        <v>0</v>
      </c>
      <c r="G2806" s="421">
        <f>G2803*C2806</f>
        <v>0</v>
      </c>
      <c r="H2806" s="421">
        <f>H2803*C2806</f>
        <v>0</v>
      </c>
      <c r="I2806" s="421">
        <f>I2803*C2806</f>
        <v>0</v>
      </c>
      <c r="J2806" s="421">
        <f>J2803*C2806</f>
        <v>0</v>
      </c>
      <c r="K2806" s="424">
        <f>SUM(D2806:J2806)</f>
        <v>0</v>
      </c>
    </row>
    <row r="2807" spans="2:20" ht="15" customHeight="1" x14ac:dyDescent="0.25">
      <c r="B2807" s="389"/>
      <c r="C2807" s="423"/>
      <c r="D2807" s="421">
        <f>D2803*C2807</f>
        <v>0</v>
      </c>
      <c r="E2807" s="421">
        <f>E2803*C2807</f>
        <v>0</v>
      </c>
      <c r="F2807" s="421">
        <f>F2803*C2807</f>
        <v>0</v>
      </c>
      <c r="G2807" s="421">
        <f>G2803*C2807</f>
        <v>0</v>
      </c>
      <c r="H2807" s="421">
        <f>H2803*C2807</f>
        <v>0</v>
      </c>
      <c r="I2807" s="421">
        <f>I2803*C2807</f>
        <v>0</v>
      </c>
      <c r="J2807" s="421">
        <f>J2803*C2807</f>
        <v>0</v>
      </c>
      <c r="K2807" s="424">
        <f>SUM(D2807:J2807)</f>
        <v>0</v>
      </c>
    </row>
    <row r="2808" spans="2:20" ht="15" customHeight="1" thickBot="1" x14ac:dyDescent="0.3"/>
    <row r="2809" spans="2:20" ht="15" customHeight="1" thickBot="1" x14ac:dyDescent="0.3">
      <c r="B2809" s="432"/>
      <c r="C2809" s="411"/>
      <c r="D2809" s="407" t="s">
        <v>548</v>
      </c>
      <c r="E2809" s="408" t="s">
        <v>549</v>
      </c>
      <c r="F2809" s="408" t="s">
        <v>550</v>
      </c>
      <c r="G2809" s="408" t="s">
        <v>551</v>
      </c>
      <c r="H2809" s="408" t="s">
        <v>552</v>
      </c>
      <c r="I2809" s="408" t="s">
        <v>553</v>
      </c>
      <c r="J2809" s="408" t="s">
        <v>554</v>
      </c>
      <c r="K2809" s="408" t="s">
        <v>555</v>
      </c>
      <c r="M2809" s="426"/>
    </row>
    <row r="2810" spans="2:20" ht="15" customHeight="1" thickBot="1" x14ac:dyDescent="0.3">
      <c r="B2810" s="414" t="s">
        <v>556</v>
      </c>
      <c r="C2810" s="415" t="s">
        <v>620</v>
      </c>
      <c r="D2810" s="416">
        <f>IF(ISERROR(VLOOKUP(B2809,'MD Usage'!$A$1:$W$5000,3,FALSE)),0,VLOOKUP(B2809,'MD Usage'!$A$1:$W$5000,3,FALSE))</f>
        <v>0</v>
      </c>
      <c r="E2810" s="416">
        <f>IF(ISERROR(VLOOKUP(B2809,'MD Usage'!$A$1:$W$5000,5,FALSE)),0,VLOOKUP(B2809,'MD Usage'!$A$1:$W$5000,5,FALSE))</f>
        <v>0</v>
      </c>
      <c r="F2810" s="416">
        <f>IF(ISERROR(VLOOKUP(B2809,'MD Usage'!$A$1:$W$5000,7,FALSE)),0,VLOOKUP(B2809,'MD Usage'!$A$1:$W$5000,7,FALSE))</f>
        <v>0</v>
      </c>
      <c r="G2810" s="416">
        <f>IF(ISERROR(VLOOKUP(B2809,'MD Usage'!$A$1:$W$5000,9,FALSE)),0,VLOOKUP(B2809,'MD Usage'!$A$1:$W$5000,9,FALSE))</f>
        <v>0</v>
      </c>
      <c r="H2810" s="416">
        <f>IF(ISERROR(VLOOKUP(B2809,'MD Usage'!$A$1:$W$5000,11,FALSE)),0,VLOOKUP(B2809,'MD Usage'!$A$1:$W$5000,11,FALSE))</f>
        <v>0</v>
      </c>
      <c r="I2810" s="416">
        <f>IF(ISERROR(VLOOKUP(B2809,'MD Usage'!A1:R2000,13,FALSE)),0,VLOOKUP(B2809,'MD Usage'!A1:R2000,13,FALSE))</f>
        <v>0</v>
      </c>
      <c r="J2810" s="416">
        <f>IF(ISERROR(VLOOKUP(B2809,'MD Usage'!A1:R2000,15,FALSE)),0,VLOOKUP(B2809,'MD Usage'!A1:R2000,15,FALSE))</f>
        <v>0</v>
      </c>
      <c r="K2810" s="418">
        <f t="shared" ref="K2810:K2815" si="181">SUM(D2810:J2810)</f>
        <v>0</v>
      </c>
    </row>
    <row r="2811" spans="2:20" ht="15" customHeight="1" x14ac:dyDescent="0.25">
      <c r="B2811" s="419"/>
      <c r="C2811" s="420"/>
      <c r="D2811" s="421">
        <f>D$2810*C2811</f>
        <v>0</v>
      </c>
      <c r="E2811" s="421">
        <f>E$2810*C2811</f>
        <v>0</v>
      </c>
      <c r="F2811" s="421">
        <f>F$2810*C2811</f>
        <v>0</v>
      </c>
      <c r="G2811" s="421">
        <f>G$2810*C2811</f>
        <v>0</v>
      </c>
      <c r="H2811" s="421">
        <f>H$2810*C2811</f>
        <v>0</v>
      </c>
      <c r="I2811" s="421">
        <f>I$2810*C2811</f>
        <v>0</v>
      </c>
      <c r="J2811" s="421">
        <f>J$2810*C2811</f>
        <v>0</v>
      </c>
      <c r="K2811" s="422">
        <f t="shared" si="181"/>
        <v>0</v>
      </c>
    </row>
    <row r="2812" spans="2:20" ht="15" customHeight="1" x14ac:dyDescent="0.25">
      <c r="B2812" s="389"/>
      <c r="C2812" s="423"/>
      <c r="D2812" s="421">
        <f>D$2810*C2812</f>
        <v>0</v>
      </c>
      <c r="E2812" s="421">
        <f>E$2810*C2812</f>
        <v>0</v>
      </c>
      <c r="F2812" s="421">
        <f>F$2810*C2812</f>
        <v>0</v>
      </c>
      <c r="G2812" s="421">
        <f>G$2810*C2812</f>
        <v>0</v>
      </c>
      <c r="H2812" s="421">
        <f>H$2810*C2812</f>
        <v>0</v>
      </c>
      <c r="I2812" s="421">
        <f>I$2810*C2812</f>
        <v>0</v>
      </c>
      <c r="J2812" s="421">
        <f>J$2810*C2812</f>
        <v>0</v>
      </c>
      <c r="K2812" s="422">
        <f t="shared" si="181"/>
        <v>0</v>
      </c>
    </row>
    <row r="2813" spans="2:20" ht="15" customHeight="1" x14ac:dyDescent="0.25">
      <c r="B2813" s="389"/>
      <c r="C2813" s="423"/>
      <c r="D2813" s="421">
        <f>D$2810*C2813</f>
        <v>0</v>
      </c>
      <c r="E2813" s="421">
        <f>E$2810*C2813</f>
        <v>0</v>
      </c>
      <c r="F2813" s="421">
        <f>F$2810*C2813</f>
        <v>0</v>
      </c>
      <c r="G2813" s="421">
        <f>G$2810*C2813</f>
        <v>0</v>
      </c>
      <c r="H2813" s="421">
        <f>H$2810*C2813</f>
        <v>0</v>
      </c>
      <c r="I2813" s="421">
        <f>I$2810*C2813</f>
        <v>0</v>
      </c>
      <c r="J2813" s="421">
        <f>J$2810*C2813</f>
        <v>0</v>
      </c>
      <c r="K2813" s="422">
        <f t="shared" si="181"/>
        <v>0</v>
      </c>
    </row>
    <row r="2814" spans="2:20" ht="15" customHeight="1" x14ac:dyDescent="0.25">
      <c r="B2814" s="389"/>
      <c r="C2814" s="423"/>
      <c r="D2814" s="421">
        <f>D$2810*C2814</f>
        <v>0</v>
      </c>
      <c r="E2814" s="421">
        <f>E$2810*C2814</f>
        <v>0</v>
      </c>
      <c r="F2814" s="421">
        <f>F$2810*C2814</f>
        <v>0</v>
      </c>
      <c r="G2814" s="421">
        <f>G$2810*C2814</f>
        <v>0</v>
      </c>
      <c r="H2814" s="421">
        <f>H$2810*C2814</f>
        <v>0</v>
      </c>
      <c r="I2814" s="421">
        <f>I$2810*C2814</f>
        <v>0</v>
      </c>
      <c r="J2814" s="421">
        <f>J$2810*C2814</f>
        <v>0</v>
      </c>
      <c r="K2814" s="422">
        <f t="shared" si="181"/>
        <v>0</v>
      </c>
    </row>
    <row r="2815" spans="2:20" ht="15" customHeight="1" x14ac:dyDescent="0.25">
      <c r="B2815" s="389"/>
      <c r="C2815" s="423"/>
      <c r="D2815" s="421">
        <f>D$2810*C2815</f>
        <v>0</v>
      </c>
      <c r="E2815" s="421">
        <f>E$2810*C2815</f>
        <v>0</v>
      </c>
      <c r="F2815" s="421">
        <f>F$2810*C2815</f>
        <v>0</v>
      </c>
      <c r="G2815" s="421">
        <f>G$2810*C2815</f>
        <v>0</v>
      </c>
      <c r="H2815" s="421">
        <f>H$2810*C2815</f>
        <v>0</v>
      </c>
      <c r="I2815" s="421">
        <f>I$2810*C2815</f>
        <v>0</v>
      </c>
      <c r="J2815" s="421">
        <f>J$2810*C2815</f>
        <v>0</v>
      </c>
      <c r="K2815" s="422">
        <f t="shared" si="181"/>
        <v>0</v>
      </c>
    </row>
    <row r="2816" spans="2:20" ht="15" customHeight="1" thickBot="1" x14ac:dyDescent="0.3">
      <c r="B2816" s="383"/>
      <c r="C2816" s="443"/>
      <c r="M2816" s="421"/>
      <c r="N2816" s="421"/>
      <c r="O2816" s="421"/>
      <c r="P2816" s="421"/>
      <c r="Q2816" s="421"/>
      <c r="R2816" s="421"/>
      <c r="S2816" s="421"/>
      <c r="T2816" s="424"/>
    </row>
    <row r="2817" spans="2:13" ht="15" customHeight="1" thickBot="1" x14ac:dyDescent="0.3">
      <c r="B2817" s="432"/>
      <c r="C2817" s="411"/>
      <c r="D2817" s="407" t="s">
        <v>548</v>
      </c>
      <c r="E2817" s="408" t="s">
        <v>549</v>
      </c>
      <c r="F2817" s="408" t="s">
        <v>550</v>
      </c>
      <c r="G2817" s="408" t="s">
        <v>551</v>
      </c>
      <c r="H2817" s="408" t="s">
        <v>552</v>
      </c>
      <c r="I2817" s="408" t="s">
        <v>553</v>
      </c>
      <c r="J2817" s="408" t="s">
        <v>554</v>
      </c>
      <c r="K2817" s="408" t="s">
        <v>555</v>
      </c>
      <c r="M2817" s="426"/>
    </row>
    <row r="2818" spans="2:13" ht="15" customHeight="1" thickBot="1" x14ac:dyDescent="0.3">
      <c r="B2818" s="414" t="s">
        <v>556</v>
      </c>
      <c r="C2818" s="415" t="s">
        <v>620</v>
      </c>
      <c r="D2818" s="416">
        <f>IF(ISERROR(VLOOKUP(B2817,'MD Usage'!$A$1:$W$5000,3,FALSE)),0,VLOOKUP(B2817,'MD Usage'!$A$1:$W$5000,3,FALSE))</f>
        <v>0</v>
      </c>
      <c r="E2818" s="416">
        <f>IF(ISERROR(VLOOKUP(B2817,'MD Usage'!$A$1:$W$5000,5,FALSE)),0,VLOOKUP(B2817,'MD Usage'!$A$1:$W$5000,5,FALSE))</f>
        <v>0</v>
      </c>
      <c r="F2818" s="416">
        <f>IF(ISERROR(VLOOKUP(B2817,'MD Usage'!$A$1:$W$5000,7,FALSE)),0,VLOOKUP(B2817,'MD Usage'!$A$1:$W$5000,7,FALSE))</f>
        <v>0</v>
      </c>
      <c r="G2818" s="416">
        <f>IF(ISERROR(VLOOKUP(B2817,'MD Usage'!$A$1:$W$5000,9,FALSE)),0,VLOOKUP(B2817,'MD Usage'!$A$1:$W$5000,9,FALSE))</f>
        <v>0</v>
      </c>
      <c r="H2818" s="416">
        <f>IF(ISERROR(VLOOKUP(B2817,'MD Usage'!$A$1:$W$5000,11,FALSE)),0,VLOOKUP(B2817,'MD Usage'!$A$1:$W$5000,11,FALSE))</f>
        <v>0</v>
      </c>
      <c r="I2818" s="416">
        <f>IF(ISERROR(VLOOKUP(B2817,'MD Usage'!A1:R2000,13,FALSE)),0,VLOOKUP(B2817,'MD Usage'!A1:R2000,13,FALSE))</f>
        <v>0</v>
      </c>
      <c r="J2818" s="416">
        <f>IF(ISERROR(VLOOKUP(B2817,'MD Usage'!A1:R2000,15,FALSE)),0,VLOOKUP(B2817,'MD Usage'!A1:R2000,15,FALSE))</f>
        <v>0</v>
      </c>
      <c r="K2818" s="418">
        <f t="shared" ref="K2818:K2824" si="182">SUM(D2818:J2818)</f>
        <v>0</v>
      </c>
    </row>
    <row r="2819" spans="2:13" ht="15" customHeight="1" x14ac:dyDescent="0.25">
      <c r="B2819" s="419"/>
      <c r="C2819" s="420"/>
      <c r="D2819" s="421">
        <f>D$2818*C2819</f>
        <v>0</v>
      </c>
      <c r="E2819" s="421">
        <f>E$2818*C2819</f>
        <v>0</v>
      </c>
      <c r="F2819" s="421">
        <f>F$2818*C2819</f>
        <v>0</v>
      </c>
      <c r="G2819" s="421">
        <f>G$2818*C2819</f>
        <v>0</v>
      </c>
      <c r="H2819" s="421">
        <f>H$2818*C2819</f>
        <v>0</v>
      </c>
      <c r="I2819" s="421">
        <f>I$2818*C2819</f>
        <v>0</v>
      </c>
      <c r="J2819" s="421">
        <f>J$2818*C2819</f>
        <v>0</v>
      </c>
      <c r="K2819" s="422">
        <f t="shared" si="182"/>
        <v>0</v>
      </c>
    </row>
    <row r="2820" spans="2:13" ht="15" customHeight="1" x14ac:dyDescent="0.25">
      <c r="B2820" s="419"/>
      <c r="C2820" s="420"/>
      <c r="D2820" s="421">
        <f>D$2818*C2820</f>
        <v>0</v>
      </c>
      <c r="E2820" s="421">
        <f>E$2818*C2820</f>
        <v>0</v>
      </c>
      <c r="F2820" s="421">
        <f>F$2818*C2820</f>
        <v>0</v>
      </c>
      <c r="G2820" s="421">
        <f>G$2818*C2820</f>
        <v>0</v>
      </c>
      <c r="H2820" s="421">
        <f>H$2818*C2820</f>
        <v>0</v>
      </c>
      <c r="I2820" s="421">
        <f>I$2818*C2820</f>
        <v>0</v>
      </c>
      <c r="J2820" s="421">
        <f>J$2818*C2820</f>
        <v>0</v>
      </c>
      <c r="K2820" s="422">
        <f t="shared" si="182"/>
        <v>0</v>
      </c>
    </row>
    <row r="2821" spans="2:13" ht="15" customHeight="1" x14ac:dyDescent="0.25">
      <c r="B2821" s="383"/>
      <c r="C2821" s="420"/>
      <c r="D2821" s="421">
        <f>D$2818*C2821</f>
        <v>0</v>
      </c>
      <c r="E2821" s="421">
        <f>E$2818*C2821</f>
        <v>0</v>
      </c>
      <c r="F2821" s="421">
        <f>F$2818*C2821</f>
        <v>0</v>
      </c>
      <c r="G2821" s="421">
        <f>G$2818*C2821</f>
        <v>0</v>
      </c>
      <c r="H2821" s="421">
        <f>H$2818*C2821</f>
        <v>0</v>
      </c>
      <c r="I2821" s="421">
        <f>I$2818*C2821</f>
        <v>0</v>
      </c>
      <c r="J2821" s="421">
        <f>J$2818*C2821</f>
        <v>0</v>
      </c>
      <c r="K2821" s="422">
        <f t="shared" si="182"/>
        <v>0</v>
      </c>
    </row>
    <row r="2822" spans="2:13" ht="15" customHeight="1" x14ac:dyDescent="0.25">
      <c r="B2822" s="383"/>
      <c r="C2822" s="423"/>
      <c r="D2822" s="421">
        <f>D$2818*C2822</f>
        <v>0</v>
      </c>
      <c r="E2822" s="421">
        <f>E$2818*C2822</f>
        <v>0</v>
      </c>
      <c r="F2822" s="421">
        <f>F$2818*C2822</f>
        <v>0</v>
      </c>
      <c r="G2822" s="421">
        <f>G$2818*C2822</f>
        <v>0</v>
      </c>
      <c r="H2822" s="421">
        <f>H$2818*C2822</f>
        <v>0</v>
      </c>
      <c r="I2822" s="421">
        <f>I$2818*C2822</f>
        <v>0</v>
      </c>
      <c r="J2822" s="421">
        <f>J$2818*C2822</f>
        <v>0</v>
      </c>
      <c r="K2822" s="422">
        <f t="shared" si="182"/>
        <v>0</v>
      </c>
    </row>
    <row r="2823" spans="2:13" ht="15" customHeight="1" x14ac:dyDescent="0.25">
      <c r="B2823" s="389"/>
      <c r="C2823" s="423"/>
      <c r="D2823" s="421">
        <f>D2818*C2823</f>
        <v>0</v>
      </c>
      <c r="E2823" s="421">
        <f>E2818*C2823</f>
        <v>0</v>
      </c>
      <c r="F2823" s="421">
        <f>F2818*C2823</f>
        <v>0</v>
      </c>
      <c r="G2823" s="421">
        <f>G2818*C2823</f>
        <v>0</v>
      </c>
      <c r="H2823" s="421">
        <f>H2818*C2823</f>
        <v>0</v>
      </c>
      <c r="I2823" s="421">
        <f>I2818*C2823</f>
        <v>0</v>
      </c>
      <c r="J2823" s="421">
        <f>J2818*C2823</f>
        <v>0</v>
      </c>
      <c r="K2823" s="422">
        <f t="shared" si="182"/>
        <v>0</v>
      </c>
    </row>
    <row r="2824" spans="2:13" ht="15" customHeight="1" x14ac:dyDescent="0.25">
      <c r="B2824" s="389"/>
      <c r="C2824" s="423"/>
      <c r="D2824" s="421">
        <f>D2818*C2824</f>
        <v>0</v>
      </c>
      <c r="E2824" s="421">
        <f>E2818*C2824</f>
        <v>0</v>
      </c>
      <c r="F2824" s="421">
        <f>F2818*C2824</f>
        <v>0</v>
      </c>
      <c r="G2824" s="421">
        <f>G2818*C2824</f>
        <v>0</v>
      </c>
      <c r="H2824" s="421">
        <f>H2818*C2824</f>
        <v>0</v>
      </c>
      <c r="I2824" s="421">
        <f>I2818*C2824</f>
        <v>0</v>
      </c>
      <c r="J2824" s="421">
        <f>J2818*C2824</f>
        <v>0</v>
      </c>
      <c r="K2824" s="422">
        <f t="shared" si="182"/>
        <v>0</v>
      </c>
    </row>
    <row r="2825" spans="2:13" ht="15" customHeight="1" thickBot="1" x14ac:dyDescent="0.3"/>
    <row r="2826" spans="2:13" ht="15" customHeight="1" thickBot="1" x14ac:dyDescent="0.3">
      <c r="B2826" s="432"/>
      <c r="C2826" s="411"/>
      <c r="D2826" s="407" t="s">
        <v>548</v>
      </c>
      <c r="E2826" s="408" t="s">
        <v>549</v>
      </c>
      <c r="F2826" s="408" t="s">
        <v>550</v>
      </c>
      <c r="G2826" s="408" t="s">
        <v>551</v>
      </c>
      <c r="H2826" s="408" t="s">
        <v>552</v>
      </c>
      <c r="I2826" s="408" t="s">
        <v>553</v>
      </c>
      <c r="J2826" s="408" t="s">
        <v>554</v>
      </c>
      <c r="K2826" s="408" t="s">
        <v>555</v>
      </c>
      <c r="M2826" s="426"/>
    </row>
    <row r="2827" spans="2:13" ht="15" customHeight="1" thickBot="1" x14ac:dyDescent="0.3">
      <c r="B2827" s="414" t="s">
        <v>556</v>
      </c>
      <c r="C2827" s="415" t="s">
        <v>620</v>
      </c>
      <c r="D2827" s="416">
        <f>IF(ISERROR(VLOOKUP(B2826,'MD Usage'!$A$1:$W$5000,3,FALSE)),0,VLOOKUP(B2826,'MD Usage'!$A$1:$W$5000,3,FALSE))</f>
        <v>0</v>
      </c>
      <c r="E2827" s="416">
        <f>IF(ISERROR(VLOOKUP(B2826,'MD Usage'!$A$1:$W$5000,5,FALSE)),0,VLOOKUP(B2826,'MD Usage'!$A$1:$W$5000,5,FALSE))</f>
        <v>0</v>
      </c>
      <c r="F2827" s="416">
        <f>IF(ISERROR(VLOOKUP(B2826,'MD Usage'!$A$1:$W$5000,7,FALSE)),0,VLOOKUP(B2826,'MD Usage'!$A$1:$W$5000,7,FALSE))</f>
        <v>0</v>
      </c>
      <c r="G2827" s="416">
        <f>IF(ISERROR(VLOOKUP(B2826,'MD Usage'!$A$1:$W$5000,9,FALSE)),0,VLOOKUP(B2826,'MD Usage'!$A$1:$W$5000,9,FALSE))</f>
        <v>0</v>
      </c>
      <c r="H2827" s="416">
        <f>IF(ISERROR(VLOOKUP(B2826,'MD Usage'!$A$1:$W$5000,11,FALSE)),0,VLOOKUP(B2826,'MD Usage'!$A$1:$W$5000,11,FALSE))</f>
        <v>0</v>
      </c>
      <c r="I2827" s="416">
        <f>IF(ISERROR(VLOOKUP(B2826,'MD Usage'!A1:R2000,13,FALSE)),0,VLOOKUP(B2826,'MD Usage'!A1:R2000,13,FALSE))</f>
        <v>0</v>
      </c>
      <c r="J2827" s="416">
        <f>IF(ISERROR(VLOOKUP(B2826,'MD Usage'!A1:R2000,15,FALSE)),0,VLOOKUP(B2826,'MD Usage'!A1:R2000,15,FALSE))</f>
        <v>0</v>
      </c>
      <c r="K2827" s="418">
        <f t="shared" ref="K2827:K2833" si="183">SUM(D2827:J2827)</f>
        <v>0</v>
      </c>
    </row>
    <row r="2828" spans="2:13" ht="15" customHeight="1" x14ac:dyDescent="0.25">
      <c r="B2828" s="419"/>
      <c r="C2828" s="420"/>
      <c r="D2828" s="421">
        <f>D2827*C2828</f>
        <v>0</v>
      </c>
      <c r="E2828" s="421">
        <f>E2827*C2828</f>
        <v>0</v>
      </c>
      <c r="F2828" s="421">
        <f>F2827*C2828</f>
        <v>0</v>
      </c>
      <c r="G2828" s="421">
        <f>G2827*C2828</f>
        <v>0</v>
      </c>
      <c r="H2828" s="421">
        <f>H2827*C2828</f>
        <v>0</v>
      </c>
      <c r="I2828" s="421">
        <f>I2827*C2828</f>
        <v>0</v>
      </c>
      <c r="J2828" s="421">
        <f>J2827*C2828</f>
        <v>0</v>
      </c>
      <c r="K2828" s="422">
        <f t="shared" si="183"/>
        <v>0</v>
      </c>
    </row>
    <row r="2829" spans="2:13" ht="15" customHeight="1" x14ac:dyDescent="0.25">
      <c r="B2829" s="389"/>
      <c r="C2829" s="423"/>
      <c r="D2829" s="421">
        <f>D2827*C2829</f>
        <v>0</v>
      </c>
      <c r="E2829" s="421">
        <f>E2827*C2829</f>
        <v>0</v>
      </c>
      <c r="F2829" s="421">
        <f>F2827*C2829</f>
        <v>0</v>
      </c>
      <c r="G2829" s="421">
        <f>G2827*C2829</f>
        <v>0</v>
      </c>
      <c r="H2829" s="421">
        <f>H2827*C2829</f>
        <v>0</v>
      </c>
      <c r="I2829" s="421">
        <f>I2827*C2829</f>
        <v>0</v>
      </c>
      <c r="J2829" s="421">
        <f>J2827*C2829</f>
        <v>0</v>
      </c>
      <c r="K2829" s="424">
        <f t="shared" si="183"/>
        <v>0</v>
      </c>
    </row>
    <row r="2830" spans="2:13" ht="15" customHeight="1" x14ac:dyDescent="0.25">
      <c r="B2830" s="389"/>
      <c r="C2830" s="423"/>
      <c r="D2830" s="421">
        <f>D2827*C2830</f>
        <v>0</v>
      </c>
      <c r="E2830" s="421">
        <f>E2827*C2830</f>
        <v>0</v>
      </c>
      <c r="F2830" s="421">
        <f>F2827*C2830</f>
        <v>0</v>
      </c>
      <c r="G2830" s="421">
        <f>G2827*C2830</f>
        <v>0</v>
      </c>
      <c r="H2830" s="421">
        <f>H2827*C2830</f>
        <v>0</v>
      </c>
      <c r="I2830" s="421">
        <f>I2827*C2830</f>
        <v>0</v>
      </c>
      <c r="J2830" s="421">
        <f>J2827*C2830</f>
        <v>0</v>
      </c>
      <c r="K2830" s="424">
        <f t="shared" si="183"/>
        <v>0</v>
      </c>
    </row>
    <row r="2831" spans="2:13" ht="15" customHeight="1" x14ac:dyDescent="0.25">
      <c r="B2831" s="389"/>
      <c r="C2831" s="423"/>
      <c r="D2831" s="421">
        <f>D2827*C2831</f>
        <v>0</v>
      </c>
      <c r="E2831" s="421">
        <f>E2827*C2831</f>
        <v>0</v>
      </c>
      <c r="F2831" s="421">
        <f>F2827*C2831</f>
        <v>0</v>
      </c>
      <c r="G2831" s="421">
        <f>G2827*C2831</f>
        <v>0</v>
      </c>
      <c r="H2831" s="421">
        <f>H2827*C2831</f>
        <v>0</v>
      </c>
      <c r="I2831" s="421">
        <f>I2827*C2831</f>
        <v>0</v>
      </c>
      <c r="J2831" s="421">
        <f>J2827*C2831</f>
        <v>0</v>
      </c>
      <c r="K2831" s="424">
        <f t="shared" si="183"/>
        <v>0</v>
      </c>
    </row>
    <row r="2832" spans="2:13" ht="15" customHeight="1" x14ac:dyDescent="0.25">
      <c r="B2832" s="389"/>
      <c r="C2832" s="423"/>
      <c r="D2832" s="421">
        <f>D2827*C2832</f>
        <v>0</v>
      </c>
      <c r="E2832" s="421">
        <f>E2827*C2832</f>
        <v>0</v>
      </c>
      <c r="F2832" s="421">
        <f>F2827*C2832</f>
        <v>0</v>
      </c>
      <c r="G2832" s="421">
        <f>G2827*C2832</f>
        <v>0</v>
      </c>
      <c r="H2832" s="421">
        <f>H2827*C2832</f>
        <v>0</v>
      </c>
      <c r="I2832" s="421">
        <f>I2827*C2832</f>
        <v>0</v>
      </c>
      <c r="J2832" s="421">
        <f>J2827*C2832</f>
        <v>0</v>
      </c>
      <c r="K2832" s="424">
        <f t="shared" si="183"/>
        <v>0</v>
      </c>
    </row>
    <row r="2833" spans="2:13" ht="15" customHeight="1" x14ac:dyDescent="0.25">
      <c r="B2833" s="389"/>
      <c r="C2833" s="423"/>
      <c r="D2833" s="421">
        <f>D2827*C2833</f>
        <v>0</v>
      </c>
      <c r="E2833" s="421">
        <f>E2827*C2833</f>
        <v>0</v>
      </c>
      <c r="F2833" s="421">
        <f>F2827*C2833</f>
        <v>0</v>
      </c>
      <c r="G2833" s="421">
        <f>G2827*C2833</f>
        <v>0</v>
      </c>
      <c r="H2833" s="421">
        <f>H2827*C2833</f>
        <v>0</v>
      </c>
      <c r="I2833" s="421">
        <f>I2827*C2833</f>
        <v>0</v>
      </c>
      <c r="J2833" s="421">
        <f>J2827*C2833</f>
        <v>0</v>
      </c>
      <c r="K2833" s="424">
        <f t="shared" si="183"/>
        <v>0</v>
      </c>
    </row>
    <row r="2834" spans="2:13" ht="15" customHeight="1" thickBot="1" x14ac:dyDescent="0.3"/>
    <row r="2835" spans="2:13" ht="15" customHeight="1" thickBot="1" x14ac:dyDescent="0.3">
      <c r="B2835" s="432"/>
      <c r="C2835" s="411"/>
      <c r="D2835" s="407" t="s">
        <v>548</v>
      </c>
      <c r="E2835" s="408" t="s">
        <v>549</v>
      </c>
      <c r="F2835" s="408" t="s">
        <v>550</v>
      </c>
      <c r="G2835" s="408" t="s">
        <v>551</v>
      </c>
      <c r="H2835" s="408" t="s">
        <v>552</v>
      </c>
      <c r="I2835" s="408" t="s">
        <v>553</v>
      </c>
      <c r="J2835" s="408" t="s">
        <v>554</v>
      </c>
      <c r="K2835" s="408" t="s">
        <v>555</v>
      </c>
      <c r="M2835" s="426"/>
    </row>
    <row r="2836" spans="2:13" ht="15" customHeight="1" thickBot="1" x14ac:dyDescent="0.3">
      <c r="B2836" s="414" t="s">
        <v>556</v>
      </c>
      <c r="C2836" s="415" t="s">
        <v>620</v>
      </c>
      <c r="D2836" s="416">
        <f>IF(ISERROR(VLOOKUP(B2835,'MD Usage'!$A$1:$W$5000,3,FALSE)),0,VLOOKUP(B2835,'MD Usage'!$A$1:$W$5000,3,FALSE))</f>
        <v>0</v>
      </c>
      <c r="E2836" s="416">
        <f>IF(ISERROR(VLOOKUP(B2835,'MD Usage'!$A$1:$W$5000,5,FALSE)),0,VLOOKUP(B2835,'MD Usage'!$A$1:$W$5000,5,FALSE))</f>
        <v>0</v>
      </c>
      <c r="F2836" s="416">
        <f>IF(ISERROR(VLOOKUP(B2835,'MD Usage'!$A$1:$W$5000,7,FALSE)),0,VLOOKUP(B2835,'MD Usage'!$A$1:$W$5000,7,FALSE))</f>
        <v>0</v>
      </c>
      <c r="G2836" s="416">
        <f>IF(ISERROR(VLOOKUP(B2835,'MD Usage'!$A$1:$W$5000,9,FALSE)),0,VLOOKUP(B2835,'MD Usage'!$A$1:$W$5000,9,FALSE))</f>
        <v>0</v>
      </c>
      <c r="H2836" s="416">
        <f>IF(ISERROR(VLOOKUP(B2835,'MD Usage'!$A$1:$W$5000,11,FALSE)),0,VLOOKUP(B2835,'MD Usage'!$A$1:$W$5000,11,FALSE))</f>
        <v>0</v>
      </c>
      <c r="I2836" s="416">
        <f>IF(ISERROR(VLOOKUP(B2835,'MD Usage'!A1:R2000,13,FALSE)),0,VLOOKUP(B2835,'MD Usage'!A1:R2000,13,FALSE))</f>
        <v>0</v>
      </c>
      <c r="J2836" s="416">
        <f>IF(ISERROR(VLOOKUP(B2835,'MD Usage'!A1:R2000,15,FALSE)),0,VLOOKUP(B2835,'MD Usage'!A1:R2000,15,FALSE))</f>
        <v>0</v>
      </c>
      <c r="K2836" s="418">
        <f t="shared" ref="K2836:K2842" si="184">SUM(D2836:J2836)</f>
        <v>0</v>
      </c>
    </row>
    <row r="2837" spans="2:13" ht="15" customHeight="1" x14ac:dyDescent="0.25">
      <c r="B2837" s="419"/>
      <c r="C2837" s="420"/>
      <c r="D2837" s="421">
        <f>D2836*C2837</f>
        <v>0</v>
      </c>
      <c r="E2837" s="421">
        <f>E2836*C2837</f>
        <v>0</v>
      </c>
      <c r="F2837" s="421">
        <f>F2836*C2837</f>
        <v>0</v>
      </c>
      <c r="G2837" s="421">
        <f>G2836*C2837</f>
        <v>0</v>
      </c>
      <c r="H2837" s="421">
        <f>H2836*C2837</f>
        <v>0</v>
      </c>
      <c r="I2837" s="421">
        <f>I2836*C2837</f>
        <v>0</v>
      </c>
      <c r="J2837" s="421">
        <f>J2836*C2837</f>
        <v>0</v>
      </c>
      <c r="K2837" s="422">
        <f t="shared" si="184"/>
        <v>0</v>
      </c>
    </row>
    <row r="2838" spans="2:13" ht="15" customHeight="1" x14ac:dyDescent="0.25">
      <c r="B2838" s="389"/>
      <c r="C2838" s="423"/>
      <c r="D2838" s="421">
        <f>D2836*C2838</f>
        <v>0</v>
      </c>
      <c r="E2838" s="421">
        <f>E2836*C2838</f>
        <v>0</v>
      </c>
      <c r="F2838" s="421">
        <f>F2836*C2838</f>
        <v>0</v>
      </c>
      <c r="G2838" s="421">
        <f>G2836*C2838</f>
        <v>0</v>
      </c>
      <c r="H2838" s="421">
        <f>H2836*C2838</f>
        <v>0</v>
      </c>
      <c r="I2838" s="421">
        <f>I2836*C2838</f>
        <v>0</v>
      </c>
      <c r="J2838" s="421">
        <f>J2836*C2838</f>
        <v>0</v>
      </c>
      <c r="K2838" s="424">
        <f t="shared" si="184"/>
        <v>0</v>
      </c>
    </row>
    <row r="2839" spans="2:13" ht="15" customHeight="1" x14ac:dyDescent="0.25">
      <c r="B2839" s="389"/>
      <c r="C2839" s="423"/>
      <c r="D2839" s="421">
        <f>D2836*C2839</f>
        <v>0</v>
      </c>
      <c r="E2839" s="421">
        <f>E2836*C2839</f>
        <v>0</v>
      </c>
      <c r="F2839" s="421">
        <f>F2836*C2839</f>
        <v>0</v>
      </c>
      <c r="G2839" s="421">
        <f>G2836*C2839</f>
        <v>0</v>
      </c>
      <c r="H2839" s="421">
        <f>H2836*C2839</f>
        <v>0</v>
      </c>
      <c r="I2839" s="421">
        <f>I2836*C2839</f>
        <v>0</v>
      </c>
      <c r="J2839" s="421">
        <f>J2836*C2839</f>
        <v>0</v>
      </c>
      <c r="K2839" s="424">
        <f t="shared" si="184"/>
        <v>0</v>
      </c>
    </row>
    <row r="2840" spans="2:13" ht="15" customHeight="1" x14ac:dyDescent="0.25">
      <c r="B2840" s="389"/>
      <c r="C2840" s="423"/>
      <c r="D2840" s="421">
        <f>D2837*C2840</f>
        <v>0</v>
      </c>
      <c r="E2840" s="421">
        <f>E2837*C2840</f>
        <v>0</v>
      </c>
      <c r="F2840" s="421">
        <f>F2837*C2840</f>
        <v>0</v>
      </c>
      <c r="G2840" s="421">
        <f>G2837*C2840</f>
        <v>0</v>
      </c>
      <c r="H2840" s="421">
        <f>H2837*C2840</f>
        <v>0</v>
      </c>
      <c r="I2840" s="421">
        <f>I2837*C2840</f>
        <v>0</v>
      </c>
      <c r="J2840" s="421">
        <f>J2837*C2840</f>
        <v>0</v>
      </c>
      <c r="K2840" s="424">
        <f t="shared" si="184"/>
        <v>0</v>
      </c>
    </row>
    <row r="2841" spans="2:13" ht="15" customHeight="1" x14ac:dyDescent="0.25">
      <c r="B2841" s="389"/>
      <c r="C2841" s="423"/>
      <c r="D2841" s="421">
        <f>D2838*C2841</f>
        <v>0</v>
      </c>
      <c r="E2841" s="421">
        <f>E2838*C2841</f>
        <v>0</v>
      </c>
      <c r="F2841" s="421">
        <f>F2838*C2841</f>
        <v>0</v>
      </c>
      <c r="G2841" s="421">
        <f>G2838*C2841</f>
        <v>0</v>
      </c>
      <c r="H2841" s="421">
        <f>H2838*C2841</f>
        <v>0</v>
      </c>
      <c r="I2841" s="421">
        <f>I2838*C2841</f>
        <v>0</v>
      </c>
      <c r="J2841" s="421">
        <f>J2838*C2841</f>
        <v>0</v>
      </c>
      <c r="K2841" s="424">
        <f t="shared" si="184"/>
        <v>0</v>
      </c>
    </row>
    <row r="2842" spans="2:13" ht="15" customHeight="1" x14ac:dyDescent="0.25">
      <c r="B2842" s="389"/>
      <c r="C2842" s="423"/>
      <c r="D2842" s="421">
        <f>D2836*C2842</f>
        <v>0</v>
      </c>
      <c r="E2842" s="421">
        <f>E2836*C2842</f>
        <v>0</v>
      </c>
      <c r="F2842" s="421">
        <f>F2836*C2842</f>
        <v>0</v>
      </c>
      <c r="G2842" s="421">
        <f>G2836*C2842</f>
        <v>0</v>
      </c>
      <c r="H2842" s="421">
        <f>H2836*C2842</f>
        <v>0</v>
      </c>
      <c r="I2842" s="421">
        <f>I2836*C2842</f>
        <v>0</v>
      </c>
      <c r="J2842" s="421">
        <f>J2836*C2842</f>
        <v>0</v>
      </c>
      <c r="K2842" s="424">
        <f t="shared" si="184"/>
        <v>0</v>
      </c>
    </row>
    <row r="2843" spans="2:13" ht="15" customHeight="1" thickBot="1" x14ac:dyDescent="0.3"/>
    <row r="2844" spans="2:13" ht="15" customHeight="1" thickBot="1" x14ac:dyDescent="0.3">
      <c r="B2844" s="432"/>
      <c r="C2844" s="411"/>
      <c r="D2844" s="407" t="s">
        <v>548</v>
      </c>
      <c r="E2844" s="408" t="s">
        <v>549</v>
      </c>
      <c r="F2844" s="408" t="s">
        <v>550</v>
      </c>
      <c r="G2844" s="408" t="s">
        <v>551</v>
      </c>
      <c r="H2844" s="408" t="s">
        <v>552</v>
      </c>
      <c r="I2844" s="408" t="s">
        <v>553</v>
      </c>
      <c r="J2844" s="408" t="s">
        <v>554</v>
      </c>
      <c r="K2844" s="408" t="s">
        <v>555</v>
      </c>
      <c r="M2844" s="426"/>
    </row>
    <row r="2845" spans="2:13" ht="15" customHeight="1" thickBot="1" x14ac:dyDescent="0.3">
      <c r="B2845" s="414" t="s">
        <v>556</v>
      </c>
      <c r="C2845" s="415" t="s">
        <v>620</v>
      </c>
      <c r="D2845" s="416">
        <f>IF(ISERROR(VLOOKUP(B2844,'MD Usage'!$A$1:$W$5000,3,FALSE)),0,VLOOKUP(B2844,'MD Usage'!$A$1:$W$5000,3,FALSE))</f>
        <v>0</v>
      </c>
      <c r="E2845" s="416">
        <f>IF(ISERROR(VLOOKUP(B2844,'MD Usage'!$A$1:$W$5000,5,FALSE)),0,VLOOKUP(B2844,'MD Usage'!$A$1:$W$5000,5,FALSE))</f>
        <v>0</v>
      </c>
      <c r="F2845" s="416">
        <f>IF(ISERROR(VLOOKUP(B2844,'MD Usage'!$A$1:$W$5000,7,FALSE)),0,VLOOKUP(B2844,'MD Usage'!$A$1:$W$5000,7,FALSE))</f>
        <v>0</v>
      </c>
      <c r="G2845" s="416">
        <f>IF(ISERROR(VLOOKUP(B2844,'MD Usage'!$A$1:$W$5000,9,FALSE)),0,VLOOKUP(B2844,'MD Usage'!$A$1:$W$5000,9,FALSE))</f>
        <v>0</v>
      </c>
      <c r="H2845" s="416">
        <f>IF(ISERROR(VLOOKUP(B2844,'MD Usage'!$A$1:$W$5000,11,FALSE)),0,VLOOKUP(B2844,'MD Usage'!$A$1:$W$5000,11,FALSE))</f>
        <v>0</v>
      </c>
      <c r="I2845" s="416">
        <f>IF(ISERROR(VLOOKUP(B2844,'MD Usage'!A1:R2000,13,FALSE)),0,VLOOKUP(B2844,'MD Usage'!A1:R2000,13,FALSE))</f>
        <v>0</v>
      </c>
      <c r="J2845" s="416">
        <f>IF(ISERROR(VLOOKUP(B2844,'MD Usage'!A1:R2000,15,FALSE)),0,VLOOKUP(B2844,'MD Usage'!A1:R2000,15,FALSE))</f>
        <v>0</v>
      </c>
      <c r="K2845" s="418">
        <f t="shared" ref="K2845:K2851" si="185">SUM(D2845:J2845)</f>
        <v>0</v>
      </c>
    </row>
    <row r="2846" spans="2:13" ht="15" customHeight="1" x14ac:dyDescent="0.25">
      <c r="B2846" s="419"/>
      <c r="C2846" s="420"/>
      <c r="D2846" s="421">
        <f>D2845*C2846</f>
        <v>0</v>
      </c>
      <c r="E2846" s="421">
        <f>E2845*C2846</f>
        <v>0</v>
      </c>
      <c r="F2846" s="421">
        <f>F2845*C2846</f>
        <v>0</v>
      </c>
      <c r="G2846" s="421">
        <f>G2845*C2846</f>
        <v>0</v>
      </c>
      <c r="H2846" s="421">
        <f>H2845*C2846</f>
        <v>0</v>
      </c>
      <c r="I2846" s="421">
        <f>I2845*C2846</f>
        <v>0</v>
      </c>
      <c r="J2846" s="421">
        <f>J2845*C2846</f>
        <v>0</v>
      </c>
      <c r="K2846" s="422">
        <f t="shared" si="185"/>
        <v>0</v>
      </c>
    </row>
    <row r="2847" spans="2:13" ht="15" customHeight="1" x14ac:dyDescent="0.25">
      <c r="B2847" s="389"/>
      <c r="C2847" s="423"/>
      <c r="D2847" s="421">
        <f>D2845*C2847</f>
        <v>0</v>
      </c>
      <c r="E2847" s="421">
        <f>E2845*C2847</f>
        <v>0</v>
      </c>
      <c r="F2847" s="421">
        <f>F2845*C2847</f>
        <v>0</v>
      </c>
      <c r="G2847" s="421">
        <f>G2845*C2847</f>
        <v>0</v>
      </c>
      <c r="H2847" s="421">
        <f>H2845*C2847</f>
        <v>0</v>
      </c>
      <c r="I2847" s="421">
        <f>I2845*C2847</f>
        <v>0</v>
      </c>
      <c r="J2847" s="421">
        <f>J2845*C2847</f>
        <v>0</v>
      </c>
      <c r="K2847" s="424">
        <f t="shared" si="185"/>
        <v>0</v>
      </c>
    </row>
    <row r="2848" spans="2:13" ht="15" customHeight="1" x14ac:dyDescent="0.25">
      <c r="B2848" s="389"/>
      <c r="C2848" s="423"/>
      <c r="D2848" s="421">
        <f>D2846*C2848</f>
        <v>0</v>
      </c>
      <c r="E2848" s="421">
        <f>E2846*C2848</f>
        <v>0</v>
      </c>
      <c r="F2848" s="421">
        <f>F2846*C2848</f>
        <v>0</v>
      </c>
      <c r="G2848" s="421">
        <f>G2846*C2848</f>
        <v>0</v>
      </c>
      <c r="H2848" s="421">
        <f>H2846*C2848</f>
        <v>0</v>
      </c>
      <c r="I2848" s="421">
        <f>I2846*C2848</f>
        <v>0</v>
      </c>
      <c r="J2848" s="421">
        <f>J2846*C2848</f>
        <v>0</v>
      </c>
      <c r="K2848" s="424">
        <f t="shared" si="185"/>
        <v>0</v>
      </c>
    </row>
    <row r="2849" spans="2:13" ht="15" customHeight="1" x14ac:dyDescent="0.25">
      <c r="B2849" s="389"/>
      <c r="C2849" s="423"/>
      <c r="D2849" s="421">
        <f>D2847*C2849</f>
        <v>0</v>
      </c>
      <c r="E2849" s="421">
        <f>E2847*C2849</f>
        <v>0</v>
      </c>
      <c r="F2849" s="421">
        <f>F2847*C2849</f>
        <v>0</v>
      </c>
      <c r="G2849" s="421">
        <f>G2847*C2849</f>
        <v>0</v>
      </c>
      <c r="H2849" s="421">
        <f>H2847*C2849</f>
        <v>0</v>
      </c>
      <c r="I2849" s="421">
        <f>I2847*C2849</f>
        <v>0</v>
      </c>
      <c r="J2849" s="421">
        <f>J2847*C2849</f>
        <v>0</v>
      </c>
      <c r="K2849" s="424">
        <f t="shared" si="185"/>
        <v>0</v>
      </c>
    </row>
    <row r="2850" spans="2:13" ht="15" customHeight="1" x14ac:dyDescent="0.25">
      <c r="B2850" s="389"/>
      <c r="C2850" s="423"/>
      <c r="D2850" s="421">
        <f>D2845*C2850</f>
        <v>0</v>
      </c>
      <c r="E2850" s="421">
        <f>E2845*C2850</f>
        <v>0</v>
      </c>
      <c r="F2850" s="421">
        <f>F2845*C2850</f>
        <v>0</v>
      </c>
      <c r="G2850" s="421">
        <f>G2845*C2850</f>
        <v>0</v>
      </c>
      <c r="H2850" s="421">
        <f>H2845*C2850</f>
        <v>0</v>
      </c>
      <c r="I2850" s="421">
        <f>I2845*C2850</f>
        <v>0</v>
      </c>
      <c r="J2850" s="421">
        <f>J2845*C2850</f>
        <v>0</v>
      </c>
      <c r="K2850" s="424">
        <f t="shared" si="185"/>
        <v>0</v>
      </c>
    </row>
    <row r="2851" spans="2:13" ht="15" customHeight="1" x14ac:dyDescent="0.25">
      <c r="B2851" s="389"/>
      <c r="C2851" s="423"/>
      <c r="D2851" s="421">
        <f>D2845*C2851</f>
        <v>0</v>
      </c>
      <c r="E2851" s="421">
        <f>E2845*C2851</f>
        <v>0</v>
      </c>
      <c r="F2851" s="421">
        <f>F2845*C2851</f>
        <v>0</v>
      </c>
      <c r="G2851" s="421">
        <f>G2845*C2851</f>
        <v>0</v>
      </c>
      <c r="H2851" s="421">
        <f>H2845*C2851</f>
        <v>0</v>
      </c>
      <c r="I2851" s="421">
        <f>I2845*C2851</f>
        <v>0</v>
      </c>
      <c r="J2851" s="421">
        <f>J2845*C2851</f>
        <v>0</v>
      </c>
      <c r="K2851" s="424">
        <f t="shared" si="185"/>
        <v>0</v>
      </c>
    </row>
    <row r="2852" spans="2:13" ht="15" customHeight="1" thickBot="1" x14ac:dyDescent="0.3"/>
    <row r="2853" spans="2:13" ht="15" customHeight="1" thickBot="1" x14ac:dyDescent="0.3">
      <c r="B2853" s="432"/>
      <c r="C2853" s="411"/>
      <c r="D2853" s="407" t="s">
        <v>548</v>
      </c>
      <c r="E2853" s="408" t="s">
        <v>549</v>
      </c>
      <c r="F2853" s="408" t="s">
        <v>550</v>
      </c>
      <c r="G2853" s="408" t="s">
        <v>551</v>
      </c>
      <c r="H2853" s="408" t="s">
        <v>552</v>
      </c>
      <c r="I2853" s="408" t="s">
        <v>553</v>
      </c>
      <c r="J2853" s="408" t="s">
        <v>554</v>
      </c>
      <c r="K2853" s="408" t="s">
        <v>555</v>
      </c>
      <c r="M2853" s="414"/>
    </row>
    <row r="2854" spans="2:13" ht="15" customHeight="1" thickBot="1" x14ac:dyDescent="0.3">
      <c r="B2854" s="414" t="s">
        <v>556</v>
      </c>
      <c r="C2854" s="415" t="s">
        <v>620</v>
      </c>
      <c r="D2854" s="416">
        <f>IF(ISERROR(VLOOKUP(B2853,'MD Usage'!$A$1:$W$5000,3,FALSE)),0,VLOOKUP(B2853,'MD Usage'!$A$1:$W$5000,3,FALSE))</f>
        <v>0</v>
      </c>
      <c r="E2854" s="416">
        <f>IF(ISERROR(VLOOKUP(B2853,'MD Usage'!$A$1:$W$5000,5,FALSE)),0,VLOOKUP(B2853,'MD Usage'!$A$1:$W$5000,5,FALSE))</f>
        <v>0</v>
      </c>
      <c r="F2854" s="416">
        <f>IF(ISERROR(VLOOKUP(B2853,'MD Usage'!$A$1:$W$5000,7,FALSE)),0,VLOOKUP(B2853,'MD Usage'!$A$1:$W$5000,7,FALSE))</f>
        <v>0</v>
      </c>
      <c r="G2854" s="416">
        <f>IF(ISERROR(VLOOKUP(B2853,'MD Usage'!$A$1:$W$5000,9,FALSE)),0,VLOOKUP(B2853,'MD Usage'!$A$1:$W$5000,9,FALSE))</f>
        <v>0</v>
      </c>
      <c r="H2854" s="416">
        <f>IF(ISERROR(VLOOKUP(B2853,'MD Usage'!$A$1:$W$5000,11,FALSE)),0,VLOOKUP(B2853,'MD Usage'!$A$1:$W$5000,11,FALSE))</f>
        <v>0</v>
      </c>
      <c r="I2854" s="416">
        <f>IF(ISERROR(VLOOKUP(B2853,'MD Usage'!A1:R2000,13,FALSE)),0,VLOOKUP(B2853,'MD Usage'!A1:R2000,13,FALSE))</f>
        <v>0</v>
      </c>
      <c r="J2854" s="416">
        <f>IF(ISERROR(VLOOKUP(B2853,'MD Usage'!A1:R2000,15,FALSE)),0,VLOOKUP(B2853,'MD Usage'!A1:R2000,15,FALSE))</f>
        <v>0</v>
      </c>
      <c r="K2854" s="418">
        <f>SUM(D2854:J2854)</f>
        <v>0</v>
      </c>
    </row>
    <row r="2855" spans="2:13" ht="15" customHeight="1" x14ac:dyDescent="0.25">
      <c r="B2855" s="389"/>
      <c r="C2855" s="420"/>
      <c r="D2855" s="421">
        <f>D2854*C2855</f>
        <v>0</v>
      </c>
      <c r="E2855" s="421">
        <f>E2854*C2855</f>
        <v>0</v>
      </c>
      <c r="F2855" s="421">
        <f>F2854*C2855</f>
        <v>0</v>
      </c>
      <c r="G2855" s="421">
        <f>G2854*C2855</f>
        <v>0</v>
      </c>
      <c r="H2855" s="421">
        <f>H2854*C2855</f>
        <v>0</v>
      </c>
      <c r="I2855" s="421">
        <f>I2854*C2855</f>
        <v>0</v>
      </c>
      <c r="J2855" s="421">
        <f>J2854*C2855</f>
        <v>0</v>
      </c>
      <c r="K2855" s="422">
        <f>SUM(D2855:J2855)</f>
        <v>0</v>
      </c>
    </row>
    <row r="2856" spans="2:13" ht="15" customHeight="1" x14ac:dyDescent="0.25">
      <c r="B2856" s="389"/>
      <c r="C2856" s="423"/>
      <c r="D2856" s="421">
        <f>D2854*C2856</f>
        <v>0</v>
      </c>
      <c r="E2856" s="421">
        <f>E2854*C2856</f>
        <v>0</v>
      </c>
      <c r="F2856" s="421">
        <f>F2854*C2856</f>
        <v>0</v>
      </c>
      <c r="G2856" s="421">
        <f>G2854*C2856</f>
        <v>0</v>
      </c>
      <c r="H2856" s="421">
        <f>H2854*C2856</f>
        <v>0</v>
      </c>
      <c r="I2856" s="421">
        <f>I2854*C2856</f>
        <v>0</v>
      </c>
      <c r="J2856" s="421">
        <f>J2854*C2856</f>
        <v>0</v>
      </c>
      <c r="K2856" s="424">
        <f>SUM(D2856:J2856)</f>
        <v>0</v>
      </c>
    </row>
    <row r="2857" spans="2:13" ht="15" customHeight="1" x14ac:dyDescent="0.25">
      <c r="B2857" s="383"/>
      <c r="C2857" s="423"/>
      <c r="D2857" s="421">
        <f>D2854*C2857</f>
        <v>0</v>
      </c>
      <c r="E2857" s="421">
        <f>E2854*C2857</f>
        <v>0</v>
      </c>
      <c r="F2857" s="421">
        <f>F2854*C2857</f>
        <v>0</v>
      </c>
      <c r="G2857" s="421">
        <f>G2854*C2857</f>
        <v>0</v>
      </c>
      <c r="H2857" s="421">
        <f>H2854*C2857</f>
        <v>0</v>
      </c>
      <c r="I2857" s="421">
        <f>I2854*C2857</f>
        <v>0</v>
      </c>
      <c r="J2857" s="421">
        <f>J2854*C2857</f>
        <v>0</v>
      </c>
      <c r="K2857" s="424">
        <f>SUM(D2857:J2857)</f>
        <v>0</v>
      </c>
    </row>
    <row r="2858" spans="2:13" ht="15" customHeight="1" x14ac:dyDescent="0.25">
      <c r="B2858" s="389"/>
      <c r="C2858" s="423"/>
      <c r="D2858" s="421">
        <f>D2854*C2858</f>
        <v>0</v>
      </c>
      <c r="E2858" s="421">
        <f>E2854*C2858</f>
        <v>0</v>
      </c>
      <c r="F2858" s="421">
        <f>F2854*C2858</f>
        <v>0</v>
      </c>
      <c r="G2858" s="421">
        <f>G2854*C2858</f>
        <v>0</v>
      </c>
      <c r="H2858" s="421">
        <f>H2854*C2858</f>
        <v>0</v>
      </c>
      <c r="I2858" s="421">
        <f>I2854*C2858</f>
        <v>0</v>
      </c>
      <c r="J2858" s="421">
        <f>J2854*C2858</f>
        <v>0</v>
      </c>
      <c r="K2858" s="424">
        <f>SUM(D2858:J2858)</f>
        <v>0</v>
      </c>
    </row>
    <row r="2860" spans="2:13" ht="15" customHeight="1" thickBot="1" x14ac:dyDescent="0.3"/>
    <row r="2861" spans="2:13" ht="15" customHeight="1" thickBot="1" x14ac:dyDescent="0.3">
      <c r="B2861" s="432"/>
      <c r="C2861" s="411"/>
      <c r="D2861" s="407" t="s">
        <v>548</v>
      </c>
      <c r="E2861" s="408" t="s">
        <v>549</v>
      </c>
      <c r="F2861" s="408" t="s">
        <v>550</v>
      </c>
      <c r="G2861" s="408" t="s">
        <v>551</v>
      </c>
      <c r="H2861" s="408" t="s">
        <v>552</v>
      </c>
      <c r="I2861" s="408" t="s">
        <v>553</v>
      </c>
      <c r="J2861" s="408" t="s">
        <v>554</v>
      </c>
      <c r="K2861" s="408" t="s">
        <v>555</v>
      </c>
      <c r="M2861" s="414"/>
    </row>
    <row r="2862" spans="2:13" ht="15" customHeight="1" thickBot="1" x14ac:dyDescent="0.3">
      <c r="B2862" s="414" t="s">
        <v>556</v>
      </c>
      <c r="C2862" s="415" t="s">
        <v>620</v>
      </c>
      <c r="D2862" s="416">
        <f>IF(ISERROR(VLOOKUP(B2861,'MD Usage'!$A$1:$W$5000,3,FALSE)),0,VLOOKUP(B2861,'MD Usage'!$A$1:$W$5000,3,FALSE))</f>
        <v>0</v>
      </c>
      <c r="E2862" s="416">
        <f>IF(ISERROR(VLOOKUP(B2861,'MD Usage'!$A$1:$W$5000,5,FALSE)),0,VLOOKUP(B2861,'MD Usage'!$A$1:$W$5000,5,FALSE))</f>
        <v>0</v>
      </c>
      <c r="F2862" s="416">
        <f>IF(ISERROR(VLOOKUP(B2861,'MD Usage'!$A$1:$W$5000,7,FALSE)),0,VLOOKUP(B2861,'MD Usage'!$A$1:$W$5000,7,FALSE))</f>
        <v>0</v>
      </c>
      <c r="G2862" s="416">
        <f>IF(ISERROR(VLOOKUP(B2861,'MD Usage'!$A$1:$W$5000,9,FALSE)),0,VLOOKUP(B2861,'MD Usage'!$A$1:$W$5000,9,FALSE))</f>
        <v>0</v>
      </c>
      <c r="H2862" s="416">
        <f>IF(ISERROR(VLOOKUP(B2861,'MD Usage'!$A$1:$W$5000,11,FALSE)),0,VLOOKUP(B2861,'MD Usage'!$A$1:$W$5000,11,FALSE))</f>
        <v>0</v>
      </c>
      <c r="I2862" s="416">
        <f>IF(ISERROR(VLOOKUP(B2861,'MD Usage'!A1:R2000,13,FALSE)),0,VLOOKUP(B2861,'MD Usage'!A1:R2000,13,FALSE))</f>
        <v>0</v>
      </c>
      <c r="J2862" s="416">
        <f>IF(ISERROR(VLOOKUP(B2861,'MD Usage'!A1:R2000,15,FALSE)),0,VLOOKUP(B2861,'MD Usage'!A1:R2000,15,FALSE))</f>
        <v>0</v>
      </c>
      <c r="K2862" s="418">
        <f>SUM(D2862:J2862)</f>
        <v>0</v>
      </c>
    </row>
    <row r="2863" spans="2:13" ht="15" customHeight="1" x14ac:dyDescent="0.25">
      <c r="B2863" s="419"/>
      <c r="C2863" s="420"/>
      <c r="D2863" s="421">
        <f>D2862*C2863</f>
        <v>0</v>
      </c>
      <c r="E2863" s="421">
        <f>E2862*C2863</f>
        <v>0</v>
      </c>
      <c r="F2863" s="421">
        <f>F2862*C2863</f>
        <v>0</v>
      </c>
      <c r="G2863" s="421">
        <f>G2862*C2863</f>
        <v>0</v>
      </c>
      <c r="H2863" s="421">
        <f>H2862*C2863</f>
        <v>0</v>
      </c>
      <c r="I2863" s="421">
        <f>I2862*C2863</f>
        <v>0</v>
      </c>
      <c r="J2863" s="421">
        <f>J2862*C2863</f>
        <v>0</v>
      </c>
      <c r="K2863" s="422">
        <f>SUM(D2863:J2863)</f>
        <v>0</v>
      </c>
    </row>
    <row r="2864" spans="2:13" ht="15" customHeight="1" x14ac:dyDescent="0.25">
      <c r="B2864" s="389"/>
      <c r="C2864" s="423"/>
      <c r="D2864" s="421">
        <f>D2862*C2864</f>
        <v>0</v>
      </c>
      <c r="E2864" s="421">
        <f>E2862*C2864</f>
        <v>0</v>
      </c>
      <c r="F2864" s="421">
        <f>F2862*C2864</f>
        <v>0</v>
      </c>
      <c r="G2864" s="421">
        <f>G2862*C2864</f>
        <v>0</v>
      </c>
      <c r="H2864" s="421">
        <f>H2862*C2864</f>
        <v>0</v>
      </c>
      <c r="I2864" s="421">
        <f>I2862*C2864</f>
        <v>0</v>
      </c>
      <c r="J2864" s="421">
        <f>J2862*C2864</f>
        <v>0</v>
      </c>
      <c r="K2864" s="424">
        <f>SUM(D2864:J2864)</f>
        <v>0</v>
      </c>
    </row>
    <row r="2865" spans="2:13" ht="15" customHeight="1" x14ac:dyDescent="0.25">
      <c r="B2865" s="389"/>
      <c r="C2865" s="423"/>
      <c r="D2865" s="421">
        <f>D2862*C2865</f>
        <v>0</v>
      </c>
      <c r="E2865" s="421">
        <f>E2862*C2865</f>
        <v>0</v>
      </c>
      <c r="F2865" s="421">
        <f>F2862*C2865</f>
        <v>0</v>
      </c>
      <c r="G2865" s="421">
        <f>G2862*C2865</f>
        <v>0</v>
      </c>
      <c r="H2865" s="421">
        <f>H2862*C2865</f>
        <v>0</v>
      </c>
      <c r="I2865" s="421">
        <f>I2862*C2865</f>
        <v>0</v>
      </c>
      <c r="J2865" s="421">
        <f>J2862*C2865</f>
        <v>0</v>
      </c>
      <c r="K2865" s="424">
        <f>SUM(D2865:J2865)</f>
        <v>0</v>
      </c>
    </row>
    <row r="2866" spans="2:13" ht="15" customHeight="1" x14ac:dyDescent="0.25">
      <c r="B2866" s="389"/>
      <c r="C2866" s="423"/>
      <c r="D2866" s="421">
        <f>D2862*C2866</f>
        <v>0</v>
      </c>
      <c r="E2866" s="421">
        <f>E2862*C2866</f>
        <v>0</v>
      </c>
      <c r="F2866" s="421">
        <f>F2862*C2866</f>
        <v>0</v>
      </c>
      <c r="G2866" s="421">
        <f>G2862*C2866</f>
        <v>0</v>
      </c>
      <c r="H2866" s="421">
        <f>H2862*C2866</f>
        <v>0</v>
      </c>
      <c r="I2866" s="421">
        <f>I2862*C2866</f>
        <v>0</v>
      </c>
      <c r="J2866" s="421">
        <f>J2862*C2866</f>
        <v>0</v>
      </c>
      <c r="K2866" s="424">
        <f>SUM(D2866:J2866)</f>
        <v>0</v>
      </c>
    </row>
    <row r="2867" spans="2:13" ht="15" customHeight="1" thickBot="1" x14ac:dyDescent="0.3"/>
    <row r="2868" spans="2:13" ht="15" customHeight="1" thickBot="1" x14ac:dyDescent="0.3">
      <c r="B2868" s="432"/>
      <c r="C2868" s="411"/>
      <c r="D2868" s="407" t="s">
        <v>548</v>
      </c>
      <c r="E2868" s="408" t="s">
        <v>549</v>
      </c>
      <c r="F2868" s="408" t="s">
        <v>550</v>
      </c>
      <c r="G2868" s="408" t="s">
        <v>551</v>
      </c>
      <c r="H2868" s="408" t="s">
        <v>552</v>
      </c>
      <c r="I2868" s="408" t="s">
        <v>553</v>
      </c>
      <c r="J2868" s="408" t="s">
        <v>554</v>
      </c>
      <c r="K2868" s="408" t="s">
        <v>555</v>
      </c>
      <c r="M2868" s="414"/>
    </row>
    <row r="2869" spans="2:13" ht="15" customHeight="1" thickBot="1" x14ac:dyDescent="0.3">
      <c r="B2869" s="414" t="s">
        <v>556</v>
      </c>
      <c r="C2869" s="415" t="s">
        <v>620</v>
      </c>
      <c r="D2869" s="416">
        <f>IF(ISERROR(VLOOKUP(B2868,'MD Usage'!$A$1:$W$5000,3,FALSE)),0,VLOOKUP(B2868,'MD Usage'!$A$1:$W$5000,3,FALSE))</f>
        <v>0</v>
      </c>
      <c r="E2869" s="416">
        <f>IF(ISERROR(VLOOKUP(B2868,'MD Usage'!$A$1:$W$5000,5,FALSE)),0,VLOOKUP(B2868,'MD Usage'!$A$1:$W$5000,5,FALSE))</f>
        <v>0</v>
      </c>
      <c r="F2869" s="416">
        <f>IF(ISERROR(VLOOKUP(B2868,'MD Usage'!$A$1:$W$5000,7,FALSE)),0,VLOOKUP(B2868,'MD Usage'!$A$1:$W$5000,7,FALSE))</f>
        <v>0</v>
      </c>
      <c r="G2869" s="416">
        <f>IF(ISERROR(VLOOKUP(B2868,'MD Usage'!$A$1:$W$5000,9,FALSE)),0,VLOOKUP(B2868,'MD Usage'!$A$1:$W$5000,9,FALSE))</f>
        <v>0</v>
      </c>
      <c r="H2869" s="416">
        <f>IF(ISERROR(VLOOKUP(B2868,'MD Usage'!$A$1:$W$5000,11,FALSE)),0,VLOOKUP(B2868,'MD Usage'!$A$1:$W$5000,11,FALSE))</f>
        <v>0</v>
      </c>
      <c r="I2869" s="416">
        <f>IF(ISERROR(VLOOKUP(B2868,'MD Usage'!A1:R2000,13,FALSE)),0,VLOOKUP(B2868,'MD Usage'!A1:R2000,13,FALSE))</f>
        <v>0</v>
      </c>
      <c r="J2869" s="416">
        <f>IF(ISERROR(VLOOKUP(B2868,'MD Usage'!A1:R2000,15,FALSE)),0,VLOOKUP(B2868,'MD Usage'!A1:R2000,15,FALSE))</f>
        <v>0</v>
      </c>
      <c r="K2869" s="418">
        <f>SUM(D2869:J2869)</f>
        <v>0</v>
      </c>
    </row>
    <row r="2870" spans="2:13" ht="15" customHeight="1" x14ac:dyDescent="0.25">
      <c r="B2870" s="419"/>
      <c r="C2870" s="420"/>
      <c r="D2870" s="421">
        <f>D2869*C2870</f>
        <v>0</v>
      </c>
      <c r="E2870" s="421">
        <f>E2869*C2870</f>
        <v>0</v>
      </c>
      <c r="F2870" s="421">
        <f>F2869*C2870</f>
        <v>0</v>
      </c>
      <c r="G2870" s="421">
        <f>G2869*C2870</f>
        <v>0</v>
      </c>
      <c r="H2870" s="421">
        <f>H2869*C2870</f>
        <v>0</v>
      </c>
      <c r="I2870" s="421">
        <f>I2869*C2870</f>
        <v>0</v>
      </c>
      <c r="J2870" s="421">
        <f>J2869*C2870</f>
        <v>0</v>
      </c>
      <c r="K2870" s="422">
        <f>SUM(D2870:J2870)</f>
        <v>0</v>
      </c>
    </row>
    <row r="2871" spans="2:13" ht="15" customHeight="1" x14ac:dyDescent="0.25">
      <c r="B2871" s="389"/>
      <c r="C2871" s="423"/>
      <c r="D2871" s="421">
        <f>D2869*C2871</f>
        <v>0</v>
      </c>
      <c r="E2871" s="421">
        <f>E2869*C2871</f>
        <v>0</v>
      </c>
      <c r="F2871" s="421">
        <f>F2869*C2871</f>
        <v>0</v>
      </c>
      <c r="G2871" s="421">
        <f>G2869*C2871</f>
        <v>0</v>
      </c>
      <c r="H2871" s="421">
        <f>H2869*C2871</f>
        <v>0</v>
      </c>
      <c r="I2871" s="421">
        <f>I2869*C2871</f>
        <v>0</v>
      </c>
      <c r="J2871" s="421">
        <f>J2869*C2871</f>
        <v>0</v>
      </c>
      <c r="K2871" s="424">
        <f>SUM(D2871:J2871)</f>
        <v>0</v>
      </c>
    </row>
    <row r="2872" spans="2:13" ht="15" customHeight="1" x14ac:dyDescent="0.25">
      <c r="B2872" s="389"/>
      <c r="C2872" s="423"/>
      <c r="D2872" s="421">
        <f>D2869*C2872</f>
        <v>0</v>
      </c>
      <c r="E2872" s="421">
        <f>E2869*C2872</f>
        <v>0</v>
      </c>
      <c r="F2872" s="421">
        <f>F2869*C2872</f>
        <v>0</v>
      </c>
      <c r="G2872" s="421">
        <f>G2869*C2872</f>
        <v>0</v>
      </c>
      <c r="H2872" s="421">
        <f>H2869*C2872</f>
        <v>0</v>
      </c>
      <c r="I2872" s="421">
        <f>I2869*C2872</f>
        <v>0</v>
      </c>
      <c r="J2872" s="421">
        <f>J2869*C2872</f>
        <v>0</v>
      </c>
      <c r="K2872" s="424">
        <f>SUM(D2872:J2872)</f>
        <v>0</v>
      </c>
    </row>
    <row r="2873" spans="2:13" ht="15" customHeight="1" x14ac:dyDescent="0.25">
      <c r="B2873" s="389"/>
      <c r="C2873" s="423"/>
      <c r="D2873" s="421">
        <f>D2869*C2873</f>
        <v>0</v>
      </c>
      <c r="E2873" s="421">
        <f>E2869*C2873</f>
        <v>0</v>
      </c>
      <c r="F2873" s="421">
        <f>F2869*C2873</f>
        <v>0</v>
      </c>
      <c r="G2873" s="421">
        <f>G2869*C2873</f>
        <v>0</v>
      </c>
      <c r="H2873" s="421">
        <f>H2869*C2873</f>
        <v>0</v>
      </c>
      <c r="I2873" s="421">
        <f>I2869*C2873</f>
        <v>0</v>
      </c>
      <c r="J2873" s="421">
        <f>J2869*C2873</f>
        <v>0</v>
      </c>
      <c r="K2873" s="424">
        <f>SUM(D2873:J2873)</f>
        <v>0</v>
      </c>
    </row>
    <row r="2874" spans="2:13" ht="15" customHeight="1" thickBot="1" x14ac:dyDescent="0.3"/>
    <row r="2875" spans="2:13" ht="15" customHeight="1" thickBot="1" x14ac:dyDescent="0.3">
      <c r="B2875" s="432"/>
      <c r="C2875" s="411"/>
      <c r="D2875" s="407" t="s">
        <v>548</v>
      </c>
      <c r="E2875" s="408" t="s">
        <v>549</v>
      </c>
      <c r="F2875" s="408" t="s">
        <v>550</v>
      </c>
      <c r="G2875" s="408" t="s">
        <v>551</v>
      </c>
      <c r="H2875" s="408" t="s">
        <v>552</v>
      </c>
      <c r="I2875" s="408" t="s">
        <v>553</v>
      </c>
      <c r="J2875" s="408" t="s">
        <v>554</v>
      </c>
      <c r="K2875" s="408" t="s">
        <v>555</v>
      </c>
      <c r="M2875" s="414"/>
    </row>
    <row r="2876" spans="2:13" ht="15" customHeight="1" thickBot="1" x14ac:dyDescent="0.3">
      <c r="B2876" s="414" t="s">
        <v>556</v>
      </c>
      <c r="C2876" s="415" t="s">
        <v>620</v>
      </c>
      <c r="D2876" s="416">
        <f>IF(ISERROR(VLOOKUP(B2875,'MD Usage'!$A$1:$W$5000,3,FALSE)),0,VLOOKUP(B2875,'MD Usage'!$A$1:$W$5000,3,FALSE))</f>
        <v>0</v>
      </c>
      <c r="E2876" s="416">
        <f>IF(ISERROR(VLOOKUP(B2875,'MD Usage'!$A$1:$W$5000,5,FALSE)),0,VLOOKUP(B2875,'MD Usage'!$A$1:$W$5000,5,FALSE))</f>
        <v>0</v>
      </c>
      <c r="F2876" s="416">
        <f>IF(ISERROR(VLOOKUP(B2875,'MD Usage'!$A$1:$W$5000,7,FALSE)),0,VLOOKUP(B2875,'MD Usage'!$A$1:$W$5000,7,FALSE))</f>
        <v>0</v>
      </c>
      <c r="G2876" s="416">
        <f>IF(ISERROR(VLOOKUP(B2875,'MD Usage'!$A$1:$W$5000,9,FALSE)),0,VLOOKUP(B2875,'MD Usage'!$A$1:$W$5000,9,FALSE))</f>
        <v>0</v>
      </c>
      <c r="H2876" s="416">
        <f>IF(ISERROR(VLOOKUP(B2875,'MD Usage'!$A$1:$W$5000,11,FALSE)),0,VLOOKUP(B2875,'MD Usage'!$A$1:$W$5000,11,FALSE))</f>
        <v>0</v>
      </c>
      <c r="I2876" s="416">
        <f>IF(ISERROR(VLOOKUP(B2875,'MD Usage'!A1:R2000,13,FALSE)),0,VLOOKUP(B2875,'MD Usage'!A1:R2000,13,FALSE))</f>
        <v>0</v>
      </c>
      <c r="J2876" s="416">
        <f>IF(ISERROR(VLOOKUP(B2875,'MD Usage'!A1:R2000,15,FALSE)),0,VLOOKUP(B2875,'MD Usage'!A1:R2000,15,FALSE))</f>
        <v>0</v>
      </c>
      <c r="K2876" s="418">
        <f>SUM(D2876:J2876)</f>
        <v>0</v>
      </c>
    </row>
    <row r="2877" spans="2:13" ht="15" customHeight="1" x14ac:dyDescent="0.25">
      <c r="B2877" s="419"/>
      <c r="C2877" s="420"/>
      <c r="D2877" s="421">
        <f>D2876*C2877</f>
        <v>0</v>
      </c>
      <c r="E2877" s="421">
        <f>E2876*C2877</f>
        <v>0</v>
      </c>
      <c r="F2877" s="421">
        <f>F2876*C2877</f>
        <v>0</v>
      </c>
      <c r="G2877" s="421">
        <f>G2876*C2877</f>
        <v>0</v>
      </c>
      <c r="H2877" s="421">
        <f>H2876*C2877</f>
        <v>0</v>
      </c>
      <c r="I2877" s="421">
        <f>I2876*C2877</f>
        <v>0</v>
      </c>
      <c r="J2877" s="421">
        <f>J2876*C2877</f>
        <v>0</v>
      </c>
      <c r="K2877" s="422">
        <f>SUM(D2877:J2877)</f>
        <v>0</v>
      </c>
    </row>
    <row r="2878" spans="2:13" ht="15" customHeight="1" x14ac:dyDescent="0.25">
      <c r="B2878" s="389"/>
      <c r="C2878" s="423"/>
      <c r="D2878" s="421">
        <f>D2876*C2878</f>
        <v>0</v>
      </c>
      <c r="E2878" s="421">
        <f>E2876*C2878</f>
        <v>0</v>
      </c>
      <c r="F2878" s="421">
        <f>F2876*C2878</f>
        <v>0</v>
      </c>
      <c r="G2878" s="421">
        <f>G2876*C2878</f>
        <v>0</v>
      </c>
      <c r="H2878" s="421">
        <f>H2876*C2878</f>
        <v>0</v>
      </c>
      <c r="I2878" s="421">
        <f>I2876*C2878</f>
        <v>0</v>
      </c>
      <c r="J2878" s="421">
        <f>J2876*C2878</f>
        <v>0</v>
      </c>
      <c r="K2878" s="424">
        <f>SUM(D2878:J2878)</f>
        <v>0</v>
      </c>
    </row>
    <row r="2879" spans="2:13" ht="15" customHeight="1" x14ac:dyDescent="0.25">
      <c r="B2879" s="389"/>
      <c r="C2879" s="423"/>
      <c r="D2879" s="421">
        <f>D2876*C2879</f>
        <v>0</v>
      </c>
      <c r="E2879" s="421">
        <f>E2876*C2879</f>
        <v>0</v>
      </c>
      <c r="F2879" s="421">
        <f>F2876*C2879</f>
        <v>0</v>
      </c>
      <c r="G2879" s="421">
        <f>G2876*C2879</f>
        <v>0</v>
      </c>
      <c r="H2879" s="421">
        <f>H2876*C2879</f>
        <v>0</v>
      </c>
      <c r="I2879" s="421">
        <f>I2876*C2879</f>
        <v>0</v>
      </c>
      <c r="J2879" s="421">
        <f>J2876*C2879</f>
        <v>0</v>
      </c>
      <c r="K2879" s="424">
        <f>SUM(D2879:J2879)</f>
        <v>0</v>
      </c>
    </row>
    <row r="2880" spans="2:13" ht="15" customHeight="1" x14ac:dyDescent="0.25">
      <c r="B2880" s="389"/>
      <c r="C2880" s="423"/>
      <c r="D2880" s="421">
        <f>D2876*C2880</f>
        <v>0</v>
      </c>
      <c r="E2880" s="421">
        <f>E2876*C2880</f>
        <v>0</v>
      </c>
      <c r="F2880" s="421">
        <f>F2876*C2880</f>
        <v>0</v>
      </c>
      <c r="G2880" s="421">
        <f>G2876*C2880</f>
        <v>0</v>
      </c>
      <c r="H2880" s="421">
        <f>H2876*C2880</f>
        <v>0</v>
      </c>
      <c r="I2880" s="421">
        <f>I2876*C2880</f>
        <v>0</v>
      </c>
      <c r="J2880" s="421">
        <f>J2876*C2880</f>
        <v>0</v>
      </c>
      <c r="K2880" s="424">
        <f>SUM(D2880:J2880)</f>
        <v>0</v>
      </c>
    </row>
    <row r="2881" spans="2:13" ht="15" customHeight="1" thickBot="1" x14ac:dyDescent="0.3"/>
    <row r="2882" spans="2:13" ht="15" customHeight="1" thickBot="1" x14ac:dyDescent="0.3">
      <c r="B2882" s="432"/>
      <c r="C2882" s="411"/>
      <c r="D2882" s="407" t="s">
        <v>548</v>
      </c>
      <c r="E2882" s="408" t="s">
        <v>549</v>
      </c>
      <c r="F2882" s="408" t="s">
        <v>550</v>
      </c>
      <c r="G2882" s="408" t="s">
        <v>551</v>
      </c>
      <c r="H2882" s="408" t="s">
        <v>552</v>
      </c>
      <c r="I2882" s="408" t="s">
        <v>553</v>
      </c>
      <c r="J2882" s="408" t="s">
        <v>554</v>
      </c>
      <c r="K2882" s="408" t="s">
        <v>555</v>
      </c>
      <c r="M2882" s="414"/>
    </row>
    <row r="2883" spans="2:13" ht="15" customHeight="1" thickBot="1" x14ac:dyDescent="0.3">
      <c r="B2883" s="414" t="s">
        <v>556</v>
      </c>
      <c r="C2883" s="415" t="s">
        <v>620</v>
      </c>
      <c r="D2883" s="416">
        <f>IF(ISERROR(VLOOKUP(B2882,'MD Usage'!$A$1:$W$5000,3,FALSE)),0,VLOOKUP(B2882,'MD Usage'!$A$1:$W$5000,3,FALSE))</f>
        <v>0</v>
      </c>
      <c r="E2883" s="416">
        <f>IF(ISERROR(VLOOKUP(B2882,'MD Usage'!$A$1:$W$5000,5,FALSE)),0,VLOOKUP(B2882,'MD Usage'!$A$1:$W$5000,5,FALSE))</f>
        <v>0</v>
      </c>
      <c r="F2883" s="416">
        <f>IF(ISERROR(VLOOKUP(B2882,'MD Usage'!$A$1:$W$5000,7,FALSE)),0,VLOOKUP(B2882,'MD Usage'!$A$1:$W$5000,7,FALSE))</f>
        <v>0</v>
      </c>
      <c r="G2883" s="416">
        <f>IF(ISERROR(VLOOKUP(B2882,'MD Usage'!$A$1:$W$5000,9,FALSE)),0,VLOOKUP(B2882,'MD Usage'!$A$1:$W$5000,9,FALSE))</f>
        <v>0</v>
      </c>
      <c r="H2883" s="416">
        <f>IF(ISERROR(VLOOKUP(B2882,'MD Usage'!$A$1:$W$5000,11,FALSE)),0,VLOOKUP(B2882,'MD Usage'!$A$1:$W$5000,11,FALSE))</f>
        <v>0</v>
      </c>
      <c r="I2883" s="416">
        <f>IF(ISERROR(VLOOKUP(B2882,'MD Usage'!A1:R2000,13,FALSE)),0,VLOOKUP(B2882,'MD Usage'!A1:R2000,13,FALSE))</f>
        <v>0</v>
      </c>
      <c r="J2883" s="416">
        <f>IF(ISERROR(VLOOKUP(B2882,'MD Usage'!A1:R2000,15,FALSE)),0,VLOOKUP(B2882,'MD Usage'!A1:R2000,15,FALSE))</f>
        <v>0</v>
      </c>
      <c r="K2883" s="418">
        <f>SUM(D2883:J2883)</f>
        <v>0</v>
      </c>
    </row>
    <row r="2884" spans="2:13" ht="15" customHeight="1" x14ac:dyDescent="0.25">
      <c r="B2884" s="419"/>
      <c r="C2884" s="420"/>
      <c r="D2884" s="421">
        <f>D2883*C2884</f>
        <v>0</v>
      </c>
      <c r="E2884" s="421">
        <f>E2883*C2884</f>
        <v>0</v>
      </c>
      <c r="F2884" s="421">
        <f>F2883*C2884</f>
        <v>0</v>
      </c>
      <c r="G2884" s="421">
        <f>G2883*C2884</f>
        <v>0</v>
      </c>
      <c r="H2884" s="421">
        <f>H2883*C2884</f>
        <v>0</v>
      </c>
      <c r="I2884" s="421">
        <f>I2883*C2884</f>
        <v>0</v>
      </c>
      <c r="J2884" s="421">
        <f>J2883*C2884</f>
        <v>0</v>
      </c>
      <c r="K2884" s="422">
        <f>SUM(D2884:J2884)</f>
        <v>0</v>
      </c>
    </row>
    <row r="2885" spans="2:13" ht="15" customHeight="1" x14ac:dyDescent="0.25">
      <c r="B2885" s="389"/>
      <c r="C2885" s="423"/>
      <c r="D2885" s="421">
        <f>D2883*C2885</f>
        <v>0</v>
      </c>
      <c r="E2885" s="421">
        <f>E2883*C2885</f>
        <v>0</v>
      </c>
      <c r="F2885" s="421">
        <f>F2883*C2885</f>
        <v>0</v>
      </c>
      <c r="G2885" s="421">
        <f>G2883*C2885</f>
        <v>0</v>
      </c>
      <c r="H2885" s="421">
        <f>H2883*C2885</f>
        <v>0</v>
      </c>
      <c r="I2885" s="421">
        <f>I2883*C2885</f>
        <v>0</v>
      </c>
      <c r="J2885" s="421">
        <f>J2883*C2885</f>
        <v>0</v>
      </c>
      <c r="K2885" s="424">
        <f>SUM(D2885:J2885)</f>
        <v>0</v>
      </c>
    </row>
    <row r="2886" spans="2:13" ht="15" customHeight="1" x14ac:dyDescent="0.25">
      <c r="B2886" s="389"/>
      <c r="C2886" s="423"/>
      <c r="D2886" s="421">
        <f>D2883*C2886</f>
        <v>0</v>
      </c>
      <c r="E2886" s="421">
        <f>E2883*C2886</f>
        <v>0</v>
      </c>
      <c r="F2886" s="421">
        <f>F2883*C2886</f>
        <v>0</v>
      </c>
      <c r="G2886" s="421">
        <f>G2883*C2886</f>
        <v>0</v>
      </c>
      <c r="H2886" s="421">
        <f>H2883*C2886</f>
        <v>0</v>
      </c>
      <c r="I2886" s="421">
        <f>I2883*C2886</f>
        <v>0</v>
      </c>
      <c r="J2886" s="421">
        <f>J2883*C2886</f>
        <v>0</v>
      </c>
      <c r="K2886" s="424">
        <f>SUM(D2886:J2886)</f>
        <v>0</v>
      </c>
    </row>
    <row r="2887" spans="2:13" ht="15" customHeight="1" x14ac:dyDescent="0.25">
      <c r="B2887" s="389"/>
      <c r="C2887" s="423"/>
      <c r="D2887" s="421">
        <f>D2883*C2887</f>
        <v>0</v>
      </c>
      <c r="E2887" s="421">
        <f>E2883*C2887</f>
        <v>0</v>
      </c>
      <c r="F2887" s="421">
        <f>F2883*C2887</f>
        <v>0</v>
      </c>
      <c r="G2887" s="421">
        <f>G2883*C2887</f>
        <v>0</v>
      </c>
      <c r="H2887" s="421">
        <f>H2883*C2887</f>
        <v>0</v>
      </c>
      <c r="I2887" s="421">
        <f>I2883*C2887</f>
        <v>0</v>
      </c>
      <c r="J2887" s="421">
        <f>J2883*C2887</f>
        <v>0</v>
      </c>
      <c r="K2887" s="424">
        <f>SUM(D2887:J2887)</f>
        <v>0</v>
      </c>
    </row>
    <row r="2888" spans="2:13" ht="15" customHeight="1" thickBot="1" x14ac:dyDescent="0.3"/>
    <row r="2889" spans="2:13" ht="15" customHeight="1" thickBot="1" x14ac:dyDescent="0.3">
      <c r="B2889" s="432"/>
      <c r="C2889" s="411"/>
      <c r="D2889" s="407" t="s">
        <v>548</v>
      </c>
      <c r="E2889" s="408" t="s">
        <v>549</v>
      </c>
      <c r="F2889" s="408" t="s">
        <v>550</v>
      </c>
      <c r="G2889" s="408" t="s">
        <v>551</v>
      </c>
      <c r="H2889" s="408" t="s">
        <v>552</v>
      </c>
      <c r="I2889" s="408" t="s">
        <v>553</v>
      </c>
      <c r="J2889" s="408" t="s">
        <v>554</v>
      </c>
      <c r="K2889" s="408" t="s">
        <v>555</v>
      </c>
      <c r="M2889" s="414"/>
    </row>
    <row r="2890" spans="2:13" ht="15" customHeight="1" thickBot="1" x14ac:dyDescent="0.3">
      <c r="B2890" s="414" t="s">
        <v>556</v>
      </c>
      <c r="C2890" s="415" t="s">
        <v>620</v>
      </c>
      <c r="D2890" s="416">
        <f>IF(ISERROR(VLOOKUP(B2889,'MD Usage'!$A$1:$W$5000,3,FALSE)),0,VLOOKUP(B2889,'MD Usage'!$A$1:$W$5000,3,FALSE))</f>
        <v>0</v>
      </c>
      <c r="E2890" s="416">
        <f>IF(ISERROR(VLOOKUP(B2889,'MD Usage'!$A$1:$W$5000,5,FALSE)),0,VLOOKUP(B2889,'MD Usage'!$A$1:$W$5000,5,FALSE))</f>
        <v>0</v>
      </c>
      <c r="F2890" s="416">
        <f>IF(ISERROR(VLOOKUP(B2889,'MD Usage'!$A$1:$W$5000,7,FALSE)),0,VLOOKUP(B2889,'MD Usage'!$A$1:$W$5000,7,FALSE))</f>
        <v>0</v>
      </c>
      <c r="G2890" s="416">
        <f>IF(ISERROR(VLOOKUP(B2889,'MD Usage'!$A$1:$W$5000,9,FALSE)),0,VLOOKUP(B2889,'MD Usage'!$A$1:$W$5000,9,FALSE))</f>
        <v>0</v>
      </c>
      <c r="H2890" s="416">
        <f>IF(ISERROR(VLOOKUP(B2889,'MD Usage'!$A$1:$W$5000,11,FALSE)),0,VLOOKUP(B2889,'MD Usage'!$A$1:$W$5000,11,FALSE))</f>
        <v>0</v>
      </c>
      <c r="I2890" s="416">
        <f>IF(ISERROR(VLOOKUP(B2889,'MD Usage'!A1:R2000,13,FALSE)),0,VLOOKUP(B2889,'MD Usage'!A1:R2000,13,FALSE))</f>
        <v>0</v>
      </c>
      <c r="J2890" s="416">
        <f>IF(ISERROR(VLOOKUP(B2889,'MD Usage'!A1:R2000,15,FALSE)),0,VLOOKUP(B2889,'MD Usage'!A1:R2000,15,FALSE))</f>
        <v>0</v>
      </c>
      <c r="K2890" s="418">
        <f>SUM(D2890:J2890)</f>
        <v>0</v>
      </c>
    </row>
    <row r="2891" spans="2:13" ht="15" customHeight="1" x14ac:dyDescent="0.25">
      <c r="B2891" s="419"/>
      <c r="C2891" s="420"/>
      <c r="D2891" s="421">
        <f>D2890*C2891</f>
        <v>0</v>
      </c>
      <c r="E2891" s="421">
        <f>E2890*C2891</f>
        <v>0</v>
      </c>
      <c r="F2891" s="421">
        <f>F2890*C2891</f>
        <v>0</v>
      </c>
      <c r="G2891" s="421">
        <f>G2890*C2891</f>
        <v>0</v>
      </c>
      <c r="H2891" s="421">
        <f>H2890*C2891</f>
        <v>0</v>
      </c>
      <c r="I2891" s="421">
        <f>I2890*C2891</f>
        <v>0</v>
      </c>
      <c r="J2891" s="421">
        <f>J2890*C2891</f>
        <v>0</v>
      </c>
      <c r="K2891" s="422">
        <f>SUM(D2891:J2891)</f>
        <v>0</v>
      </c>
    </row>
    <row r="2892" spans="2:13" ht="15" customHeight="1" x14ac:dyDescent="0.25">
      <c r="B2892" s="389"/>
      <c r="C2892" s="423"/>
      <c r="D2892" s="421">
        <f>D2890*C2892</f>
        <v>0</v>
      </c>
      <c r="E2892" s="421">
        <f>E2890*C2892</f>
        <v>0</v>
      </c>
      <c r="F2892" s="421">
        <f>F2890*C2892</f>
        <v>0</v>
      </c>
      <c r="G2892" s="421">
        <f>G2890*C2892</f>
        <v>0</v>
      </c>
      <c r="H2892" s="421">
        <f>H2890*C2892</f>
        <v>0</v>
      </c>
      <c r="I2892" s="421">
        <f>I2890*C2892</f>
        <v>0</v>
      </c>
      <c r="J2892" s="421">
        <f>J2890*C2892</f>
        <v>0</v>
      </c>
      <c r="K2892" s="424">
        <f>SUM(D2892:J2892)</f>
        <v>0</v>
      </c>
    </row>
    <row r="2893" spans="2:13" ht="15" customHeight="1" x14ac:dyDescent="0.25">
      <c r="B2893" s="389"/>
      <c r="C2893" s="423"/>
      <c r="D2893" s="421">
        <f>D2890*C2893</f>
        <v>0</v>
      </c>
      <c r="E2893" s="421">
        <f>E2890*C2893</f>
        <v>0</v>
      </c>
      <c r="F2893" s="421">
        <f>F2890*C2893</f>
        <v>0</v>
      </c>
      <c r="G2893" s="421">
        <f>G2890*C2893</f>
        <v>0</v>
      </c>
      <c r="H2893" s="421">
        <f>H2890*C2893</f>
        <v>0</v>
      </c>
      <c r="I2893" s="421">
        <f>I2890*C2893</f>
        <v>0</v>
      </c>
      <c r="J2893" s="421">
        <f>J2890*C2893</f>
        <v>0</v>
      </c>
      <c r="K2893" s="424">
        <f>SUM(D2893:J2893)</f>
        <v>0</v>
      </c>
    </row>
    <row r="2894" spans="2:13" ht="15" customHeight="1" thickBot="1" x14ac:dyDescent="0.3">
      <c r="B2894" s="389"/>
      <c r="C2894" s="423"/>
      <c r="D2894" s="421">
        <f>D2890*C2894</f>
        <v>0</v>
      </c>
      <c r="E2894" s="421">
        <f>E2890*C2894</f>
        <v>0</v>
      </c>
      <c r="F2894" s="421">
        <f>F2890*C2894</f>
        <v>0</v>
      </c>
      <c r="G2894" s="421">
        <f>G2890*C2894</f>
        <v>0</v>
      </c>
      <c r="H2894" s="421">
        <f>H2890*C2894</f>
        <v>0</v>
      </c>
      <c r="I2894" s="421">
        <f>I2890*C2894</f>
        <v>0</v>
      </c>
      <c r="J2894" s="421">
        <f>J2890*C2894</f>
        <v>0</v>
      </c>
      <c r="K2894" s="424">
        <f>SUM(D2894:J2894)</f>
        <v>0</v>
      </c>
    </row>
    <row r="2895" spans="2:13" ht="15" customHeight="1" thickBot="1" x14ac:dyDescent="0.3">
      <c r="B2895" s="432"/>
      <c r="C2895" s="411"/>
      <c r="D2895" s="407" t="s">
        <v>548</v>
      </c>
      <c r="E2895" s="408" t="s">
        <v>549</v>
      </c>
      <c r="F2895" s="408" t="s">
        <v>550</v>
      </c>
      <c r="G2895" s="408" t="s">
        <v>551</v>
      </c>
      <c r="H2895" s="408" t="s">
        <v>552</v>
      </c>
      <c r="I2895" s="408" t="s">
        <v>553</v>
      </c>
      <c r="J2895" s="408" t="s">
        <v>554</v>
      </c>
      <c r="K2895" s="408" t="s">
        <v>555</v>
      </c>
      <c r="M2895" s="414"/>
    </row>
    <row r="2896" spans="2:13" ht="15" customHeight="1" thickBot="1" x14ac:dyDescent="0.3">
      <c r="B2896" s="414" t="s">
        <v>556</v>
      </c>
      <c r="C2896" s="415" t="s">
        <v>620</v>
      </c>
      <c r="D2896" s="416">
        <f>IF(ISERROR(VLOOKUP(B2895,'MD Usage'!$A$1:$W$5000,3,FALSE)),0,VLOOKUP(B2895,'MD Usage'!$A$1:$W$5000,3,FALSE))</f>
        <v>0</v>
      </c>
      <c r="E2896" s="416">
        <f>IF(ISERROR(VLOOKUP(B2895,'MD Usage'!$A$1:$W$5000,5,FALSE)),0,VLOOKUP(B2895,'MD Usage'!$A$1:$W$5000,5,FALSE))</f>
        <v>0</v>
      </c>
      <c r="F2896" s="416">
        <f>IF(ISERROR(VLOOKUP(B2895,'MD Usage'!$A$1:$W$5000,7,FALSE)),0,VLOOKUP(B2895,'MD Usage'!$A$1:$W$5000,7,FALSE))</f>
        <v>0</v>
      </c>
      <c r="G2896" s="416">
        <f>IF(ISERROR(VLOOKUP(B2895,'MD Usage'!$A$1:$W$5000,9,FALSE)),0,VLOOKUP(B2895,'MD Usage'!$A$1:$W$5000,9,FALSE))</f>
        <v>0</v>
      </c>
      <c r="H2896" s="416">
        <f>IF(ISERROR(VLOOKUP(B2895,'MD Usage'!$A$1:$W$5000,11,FALSE)),0,VLOOKUP(B2895,'MD Usage'!$A$1:$W$5000,11,FALSE))</f>
        <v>0</v>
      </c>
      <c r="I2896" s="416">
        <f>IF(ISERROR(VLOOKUP(B2895,'MD Usage'!A1:R2000,13,FALSE)),0,VLOOKUP(B2895,'MD Usage'!A1:R2000,13,FALSE))</f>
        <v>0</v>
      </c>
      <c r="J2896" s="416">
        <f>IF(ISERROR(VLOOKUP(B2895,'MD Usage'!A1:R2000,15,FALSE)),0,VLOOKUP(B2895,'MD Usage'!A1:R2000,15,FALSE))</f>
        <v>0</v>
      </c>
      <c r="K2896" s="418">
        <f>SUM(D2896:J2896)</f>
        <v>0</v>
      </c>
    </row>
    <row r="2897" spans="2:13" ht="15" customHeight="1" x14ac:dyDescent="0.25">
      <c r="B2897" s="419"/>
      <c r="C2897" s="420"/>
      <c r="D2897" s="421">
        <f>D2896*C2897</f>
        <v>0</v>
      </c>
      <c r="E2897" s="421">
        <f>E2896*C2897</f>
        <v>0</v>
      </c>
      <c r="F2897" s="421">
        <f>F2896*C2897</f>
        <v>0</v>
      </c>
      <c r="G2897" s="421">
        <f>G2896*C2897</f>
        <v>0</v>
      </c>
      <c r="H2897" s="421">
        <f>H2896*C2897</f>
        <v>0</v>
      </c>
      <c r="I2897" s="421">
        <f>I2896*C2897</f>
        <v>0</v>
      </c>
      <c r="J2897" s="421">
        <f>J2896*C2897</f>
        <v>0</v>
      </c>
      <c r="K2897" s="422">
        <f>SUM(D2897:J2897)</f>
        <v>0</v>
      </c>
    </row>
    <row r="2898" spans="2:13" ht="15" customHeight="1" x14ac:dyDescent="0.25">
      <c r="B2898" s="389"/>
      <c r="C2898" s="423"/>
      <c r="D2898" s="421">
        <f>D2896*C2898</f>
        <v>0</v>
      </c>
      <c r="E2898" s="421">
        <f>E2896*C2898</f>
        <v>0</v>
      </c>
      <c r="F2898" s="421">
        <f>F2896*C2898</f>
        <v>0</v>
      </c>
      <c r="G2898" s="421">
        <f>G2896*C2898</f>
        <v>0</v>
      </c>
      <c r="H2898" s="421">
        <f>H2896*C2898</f>
        <v>0</v>
      </c>
      <c r="I2898" s="421">
        <f>I2896*C2898</f>
        <v>0</v>
      </c>
      <c r="J2898" s="421">
        <f>J2896*C2898</f>
        <v>0</v>
      </c>
      <c r="K2898" s="424">
        <f>SUM(D2898:J2898)</f>
        <v>0</v>
      </c>
    </row>
    <row r="2899" spans="2:13" ht="15" customHeight="1" x14ac:dyDescent="0.25">
      <c r="B2899" s="389"/>
      <c r="C2899" s="423"/>
      <c r="D2899" s="421">
        <f>D2896*C2899</f>
        <v>0</v>
      </c>
      <c r="E2899" s="421">
        <f>E2896*C2899</f>
        <v>0</v>
      </c>
      <c r="F2899" s="421">
        <f>F2896*C2899</f>
        <v>0</v>
      </c>
      <c r="G2899" s="421">
        <f>G2896*C2899</f>
        <v>0</v>
      </c>
      <c r="H2899" s="421">
        <f>H2896*C2899</f>
        <v>0</v>
      </c>
      <c r="I2899" s="421">
        <f>I2896*C2899</f>
        <v>0</v>
      </c>
      <c r="J2899" s="421">
        <f>J2896*C2899</f>
        <v>0</v>
      </c>
      <c r="K2899" s="424">
        <f>SUM(D2899:J2899)</f>
        <v>0</v>
      </c>
    </row>
    <row r="2900" spans="2:13" ht="15" customHeight="1" x14ac:dyDescent="0.25">
      <c r="B2900" s="389"/>
      <c r="C2900" s="423"/>
      <c r="D2900" s="421">
        <f>D2896*C2900</f>
        <v>0</v>
      </c>
      <c r="E2900" s="421">
        <f>E2896*C2900</f>
        <v>0</v>
      </c>
      <c r="F2900" s="421">
        <f>F2896*C2900</f>
        <v>0</v>
      </c>
      <c r="G2900" s="421">
        <f>G2896*C2900</f>
        <v>0</v>
      </c>
      <c r="H2900" s="421">
        <f>H2896*C2900</f>
        <v>0</v>
      </c>
      <c r="I2900" s="421">
        <f>I2896*C2900</f>
        <v>0</v>
      </c>
      <c r="J2900" s="421">
        <f>J2896*C2900</f>
        <v>0</v>
      </c>
      <c r="K2900" s="424">
        <f>SUM(D2900:J2900)</f>
        <v>0</v>
      </c>
    </row>
    <row r="2901" spans="2:13" ht="15" customHeight="1" thickBot="1" x14ac:dyDescent="0.3">
      <c r="B2901" s="389"/>
      <c r="C2901" s="423"/>
    </row>
    <row r="2902" spans="2:13" ht="15" customHeight="1" thickBot="1" x14ac:dyDescent="0.3">
      <c r="B2902" s="432"/>
      <c r="C2902" s="411"/>
      <c r="D2902" s="407" t="s">
        <v>548</v>
      </c>
      <c r="E2902" s="408" t="s">
        <v>549</v>
      </c>
      <c r="F2902" s="408" t="s">
        <v>550</v>
      </c>
      <c r="G2902" s="408" t="s">
        <v>551</v>
      </c>
      <c r="H2902" s="408" t="s">
        <v>552</v>
      </c>
      <c r="I2902" s="408" t="s">
        <v>553</v>
      </c>
      <c r="J2902" s="408" t="s">
        <v>554</v>
      </c>
      <c r="K2902" s="408" t="s">
        <v>555</v>
      </c>
      <c r="M2902" s="414"/>
    </row>
    <row r="2903" spans="2:13" ht="15" customHeight="1" thickBot="1" x14ac:dyDescent="0.3">
      <c r="B2903" s="414" t="s">
        <v>556</v>
      </c>
      <c r="C2903" s="415" t="s">
        <v>620</v>
      </c>
      <c r="D2903" s="416">
        <f>IF(ISERROR(VLOOKUP(B2902,'MD Usage'!$A$1:$W$5000,3,FALSE)),0,VLOOKUP(B2902,'MD Usage'!$A$1:$W$5000,3,FALSE))</f>
        <v>0</v>
      </c>
      <c r="E2903" s="416">
        <f>IF(ISERROR(VLOOKUP(B2902,'MD Usage'!$A$1:$W$5000,5,FALSE)),0,VLOOKUP(B2902,'MD Usage'!$A$1:$W$5000,5,FALSE))</f>
        <v>0</v>
      </c>
      <c r="F2903" s="416">
        <f>IF(ISERROR(VLOOKUP(B2902,'MD Usage'!$A$1:$W$5000,7,FALSE)),0,VLOOKUP(B2902,'MD Usage'!$A$1:$W$5000,7,FALSE))</f>
        <v>0</v>
      </c>
      <c r="G2903" s="416">
        <f>IF(ISERROR(VLOOKUP(B2902,'MD Usage'!$A$1:$W$5000,9,FALSE)),0,VLOOKUP(B2902,'MD Usage'!$A$1:$W$5000,9,FALSE))</f>
        <v>0</v>
      </c>
      <c r="H2903" s="416">
        <f>IF(ISERROR(VLOOKUP(B2902,'MD Usage'!$A$1:$W$5000,11,FALSE)),0,VLOOKUP(B2902,'MD Usage'!$A$1:$W$5000,11,FALSE))</f>
        <v>0</v>
      </c>
      <c r="I2903" s="416">
        <f>IF(ISERROR(VLOOKUP(B2902,'MD Usage'!A1:R2000,13,FALSE)),0,VLOOKUP(B2902,'MD Usage'!A1:R2000,13,FALSE))</f>
        <v>0</v>
      </c>
      <c r="J2903" s="416">
        <f>IF(ISERROR(VLOOKUP(B2902,'MD Usage'!A1:R2000,15,FALSE)),0,VLOOKUP(B2902,'MD Usage'!A1:R2000,15,FALSE))</f>
        <v>0</v>
      </c>
      <c r="K2903" s="418">
        <f>SUM(D2903:J2903)</f>
        <v>0</v>
      </c>
    </row>
    <row r="2904" spans="2:13" ht="15" customHeight="1" x14ac:dyDescent="0.25">
      <c r="B2904" s="419"/>
      <c r="C2904" s="420"/>
      <c r="D2904" s="421">
        <f>D2903*C2904</f>
        <v>0</v>
      </c>
      <c r="E2904" s="421">
        <f>E2903*C2904</f>
        <v>0</v>
      </c>
      <c r="F2904" s="421">
        <f>F2903*C2904</f>
        <v>0</v>
      </c>
      <c r="G2904" s="421">
        <f>G2903*C2904</f>
        <v>0</v>
      </c>
      <c r="H2904" s="421">
        <f>H2903*C2904</f>
        <v>0</v>
      </c>
      <c r="I2904" s="421">
        <f>I2903*C2904</f>
        <v>0</v>
      </c>
      <c r="J2904" s="421">
        <f>J2903*C2904</f>
        <v>0</v>
      </c>
      <c r="K2904" s="422">
        <f>SUM(D2904:J2904)</f>
        <v>0</v>
      </c>
    </row>
    <row r="2905" spans="2:13" ht="15" customHeight="1" x14ac:dyDescent="0.25">
      <c r="B2905" s="389"/>
      <c r="C2905" s="423"/>
      <c r="D2905" s="421">
        <f>D2903*C2905</f>
        <v>0</v>
      </c>
      <c r="E2905" s="421">
        <f>E2903*C2905</f>
        <v>0</v>
      </c>
      <c r="F2905" s="421">
        <f>F2903*C2905</f>
        <v>0</v>
      </c>
      <c r="G2905" s="421">
        <f>G2903*C2905</f>
        <v>0</v>
      </c>
      <c r="H2905" s="421">
        <f>H2903*C2905</f>
        <v>0</v>
      </c>
      <c r="I2905" s="421">
        <f>I2903*C2905</f>
        <v>0</v>
      </c>
      <c r="J2905" s="421">
        <f>J2903*C2905</f>
        <v>0</v>
      </c>
      <c r="K2905" s="424">
        <f>SUM(D2905:J2905)</f>
        <v>0</v>
      </c>
    </row>
    <row r="2906" spans="2:13" ht="15" customHeight="1" x14ac:dyDescent="0.25">
      <c r="B2906" s="389"/>
      <c r="C2906" s="423"/>
      <c r="D2906" s="421">
        <f>D2903*C2906</f>
        <v>0</v>
      </c>
      <c r="E2906" s="421">
        <f>E2903*C2906</f>
        <v>0</v>
      </c>
      <c r="F2906" s="421">
        <f>F2903*C2906</f>
        <v>0</v>
      </c>
      <c r="G2906" s="421">
        <f>G2903*C2906</f>
        <v>0</v>
      </c>
      <c r="H2906" s="421">
        <f>H2903*C2906</f>
        <v>0</v>
      </c>
      <c r="I2906" s="421">
        <f>I2903*C2906</f>
        <v>0</v>
      </c>
      <c r="J2906" s="421">
        <f>J2903*C2906</f>
        <v>0</v>
      </c>
      <c r="K2906" s="424">
        <f>SUM(D2906:J2906)</f>
        <v>0</v>
      </c>
    </row>
    <row r="2907" spans="2:13" ht="15" customHeight="1" x14ac:dyDescent="0.25">
      <c r="B2907" s="389"/>
      <c r="C2907" s="423"/>
      <c r="D2907" s="421">
        <f>D2903*C2907</f>
        <v>0</v>
      </c>
      <c r="E2907" s="421">
        <f>E2903*C2907</f>
        <v>0</v>
      </c>
      <c r="F2907" s="421">
        <f>F2903*C2907</f>
        <v>0</v>
      </c>
      <c r="G2907" s="421">
        <f>G2903*C2907</f>
        <v>0</v>
      </c>
      <c r="H2907" s="421">
        <f>H2903*C2907</f>
        <v>0</v>
      </c>
      <c r="I2907" s="421">
        <f>I2903*C2907</f>
        <v>0</v>
      </c>
      <c r="J2907" s="421">
        <f>J2903*C2907</f>
        <v>0</v>
      </c>
      <c r="K2907" s="424">
        <f>SUM(D2907:J2907)</f>
        <v>0</v>
      </c>
    </row>
    <row r="2908" spans="2:13" ht="15" customHeight="1" thickBot="1" x14ac:dyDescent="0.3"/>
    <row r="2909" spans="2:13" ht="15" customHeight="1" thickBot="1" x14ac:dyDescent="0.3">
      <c r="B2909" s="432"/>
      <c r="C2909" s="411"/>
      <c r="D2909" s="407" t="s">
        <v>548</v>
      </c>
      <c r="E2909" s="408" t="s">
        <v>549</v>
      </c>
      <c r="F2909" s="408" t="s">
        <v>550</v>
      </c>
      <c r="G2909" s="408" t="s">
        <v>551</v>
      </c>
      <c r="H2909" s="408" t="s">
        <v>552</v>
      </c>
      <c r="I2909" s="408" t="s">
        <v>553</v>
      </c>
      <c r="J2909" s="408" t="s">
        <v>554</v>
      </c>
      <c r="K2909" s="408" t="s">
        <v>555</v>
      </c>
      <c r="M2909" s="414"/>
    </row>
    <row r="2910" spans="2:13" ht="15" customHeight="1" thickBot="1" x14ac:dyDescent="0.3">
      <c r="B2910" s="414" t="s">
        <v>556</v>
      </c>
      <c r="C2910" s="415" t="s">
        <v>620</v>
      </c>
      <c r="D2910" s="416">
        <f>IF(ISERROR(VLOOKUP(B2909,'MD Usage'!$A$1:$W$5000,3,FALSE)),0,VLOOKUP(B2909,'MD Usage'!$A$1:$W$5000,3,FALSE))</f>
        <v>0</v>
      </c>
      <c r="E2910" s="416">
        <f>IF(ISERROR(VLOOKUP(B2909,'MD Usage'!$A$1:$W$5000,5,FALSE)),0,VLOOKUP(B2909,'MD Usage'!$A$1:$W$5000,5,FALSE))</f>
        <v>0</v>
      </c>
      <c r="F2910" s="416">
        <f>IF(ISERROR(VLOOKUP(B2909,'MD Usage'!$A$1:$W$5000,7,FALSE)),0,VLOOKUP(B2909,'MD Usage'!$A$1:$W$5000,7,FALSE))</f>
        <v>0</v>
      </c>
      <c r="G2910" s="416">
        <f>IF(ISERROR(VLOOKUP(B2909,'MD Usage'!$A$1:$W$5000,9,FALSE)),0,VLOOKUP(B2909,'MD Usage'!$A$1:$W$5000,9,FALSE))</f>
        <v>0</v>
      </c>
      <c r="H2910" s="416">
        <f>IF(ISERROR(VLOOKUP(B2909,'MD Usage'!$A$1:$W$5000,11,FALSE)),0,VLOOKUP(B2909,'MD Usage'!$A$1:$W$5000,11,FALSE))</f>
        <v>0</v>
      </c>
      <c r="I2910" s="416">
        <f>IF(ISERROR(VLOOKUP(B2909,'MD Usage'!A1:R2000,13,FALSE)),0,VLOOKUP(B2909,'MD Usage'!A1:R2000,13,FALSE))</f>
        <v>0</v>
      </c>
      <c r="J2910" s="416">
        <f>IF(ISERROR(VLOOKUP(B2909,'MD Usage'!A1:R2000,15,FALSE)),0,VLOOKUP(B2909,'MD Usage'!A1:R2000,15,FALSE))</f>
        <v>0</v>
      </c>
      <c r="K2910" s="418">
        <f>SUM(D2910:J2910)</f>
        <v>0</v>
      </c>
    </row>
    <row r="2911" spans="2:13" ht="15" customHeight="1" x14ac:dyDescent="0.25">
      <c r="B2911" s="389"/>
      <c r="C2911" s="420"/>
      <c r="D2911" s="421">
        <f>D2910*C2911</f>
        <v>0</v>
      </c>
      <c r="E2911" s="421">
        <f>E2910*C2911</f>
        <v>0</v>
      </c>
      <c r="F2911" s="421">
        <f>F2910*C2911</f>
        <v>0</v>
      </c>
      <c r="G2911" s="421">
        <f>G2910*C2911</f>
        <v>0</v>
      </c>
      <c r="H2911" s="421">
        <f>H2910*C2911</f>
        <v>0</v>
      </c>
      <c r="I2911" s="421">
        <f>I2910*C2911</f>
        <v>0</v>
      </c>
      <c r="J2911" s="421">
        <f>J2910*C2911</f>
        <v>0</v>
      </c>
      <c r="K2911" s="422">
        <f>SUM(D2911:J2911)</f>
        <v>0</v>
      </c>
    </row>
    <row r="2912" spans="2:13" ht="15" customHeight="1" x14ac:dyDescent="0.25">
      <c r="B2912" s="389"/>
      <c r="C2912" s="423"/>
      <c r="D2912" s="421">
        <f>D2910*C2912</f>
        <v>0</v>
      </c>
      <c r="E2912" s="421">
        <f>E2910*C2912</f>
        <v>0</v>
      </c>
      <c r="F2912" s="421">
        <f>F2910*C2912</f>
        <v>0</v>
      </c>
      <c r="G2912" s="421">
        <f>G2910*C2912</f>
        <v>0</v>
      </c>
      <c r="H2912" s="421">
        <f>H2910*C2912</f>
        <v>0</v>
      </c>
      <c r="I2912" s="421">
        <f>I2910*C2912</f>
        <v>0</v>
      </c>
      <c r="J2912" s="421">
        <f>J2910*C2912</f>
        <v>0</v>
      </c>
      <c r="K2912" s="424">
        <f>SUM(D2912:J2912)</f>
        <v>0</v>
      </c>
    </row>
    <row r="2913" spans="2:13" ht="15" customHeight="1" x14ac:dyDescent="0.25">
      <c r="B2913" s="389"/>
      <c r="C2913" s="423"/>
      <c r="D2913" s="421">
        <f>D2910*C2913</f>
        <v>0</v>
      </c>
      <c r="E2913" s="421">
        <f>E2910*C2913</f>
        <v>0</v>
      </c>
      <c r="F2913" s="421">
        <f>F2910*C2913</f>
        <v>0</v>
      </c>
      <c r="G2913" s="421">
        <f>G2910*C2913</f>
        <v>0</v>
      </c>
      <c r="H2913" s="421">
        <f>H2910*C2913</f>
        <v>0</v>
      </c>
      <c r="I2913" s="421">
        <f>I2910*C2913</f>
        <v>0</v>
      </c>
      <c r="J2913" s="421">
        <f>J2910*C2913</f>
        <v>0</v>
      </c>
      <c r="K2913" s="424">
        <f>SUM(D2913:J2913)</f>
        <v>0</v>
      </c>
    </row>
    <row r="2914" spans="2:13" ht="15" customHeight="1" thickBot="1" x14ac:dyDescent="0.3">
      <c r="B2914" s="389"/>
      <c r="C2914" s="423"/>
      <c r="D2914" s="421">
        <f>D2910*C2914</f>
        <v>0</v>
      </c>
      <c r="E2914" s="421">
        <f>E2910*C2914</f>
        <v>0</v>
      </c>
      <c r="F2914" s="421">
        <f>F2910*C2914</f>
        <v>0</v>
      </c>
      <c r="G2914" s="421">
        <f>G2910*C2914</f>
        <v>0</v>
      </c>
      <c r="H2914" s="421">
        <f>H2910*C2914</f>
        <v>0</v>
      </c>
      <c r="I2914" s="421">
        <f>I2910*C2914</f>
        <v>0</v>
      </c>
      <c r="J2914" s="421">
        <f>J2910*C2914</f>
        <v>0</v>
      </c>
      <c r="K2914" s="424">
        <f>SUM(D2914:J2914)</f>
        <v>0</v>
      </c>
    </row>
    <row r="2915" spans="2:13" ht="15" customHeight="1" thickBot="1" x14ac:dyDescent="0.3">
      <c r="B2915" s="432"/>
      <c r="C2915" s="411"/>
      <c r="D2915" s="407" t="s">
        <v>548</v>
      </c>
      <c r="E2915" s="408" t="s">
        <v>549</v>
      </c>
      <c r="F2915" s="408" t="s">
        <v>550</v>
      </c>
      <c r="G2915" s="408" t="s">
        <v>551</v>
      </c>
      <c r="H2915" s="408" t="s">
        <v>552</v>
      </c>
      <c r="I2915" s="408" t="s">
        <v>553</v>
      </c>
      <c r="J2915" s="408" t="s">
        <v>554</v>
      </c>
      <c r="K2915" s="408" t="s">
        <v>555</v>
      </c>
      <c r="M2915" s="414"/>
    </row>
    <row r="2916" spans="2:13" ht="15" customHeight="1" thickBot="1" x14ac:dyDescent="0.3">
      <c r="B2916" s="414" t="s">
        <v>556</v>
      </c>
      <c r="C2916" s="415" t="s">
        <v>620</v>
      </c>
      <c r="D2916" s="416">
        <f>IF(ISERROR(VLOOKUP(B2915,'MD Usage'!$A$1:$W$5000,3,FALSE)),0,VLOOKUP(B2915,'MD Usage'!$A$1:$W$5000,3,FALSE))</f>
        <v>0</v>
      </c>
      <c r="E2916" s="416">
        <f>IF(ISERROR(VLOOKUP(B2915,'MD Usage'!$A$1:$W$5000,5,FALSE)),0,VLOOKUP(B2915,'MD Usage'!$A$1:$W$5000,5,FALSE))</f>
        <v>0</v>
      </c>
      <c r="F2916" s="416">
        <f>IF(ISERROR(VLOOKUP(B2915,'MD Usage'!$A$1:$W$5000,7,FALSE)),0,VLOOKUP(B2915,'MD Usage'!$A$1:$W$5000,7,FALSE))</f>
        <v>0</v>
      </c>
      <c r="G2916" s="416">
        <f>IF(ISERROR(VLOOKUP(B2915,'MD Usage'!$A$1:$W$5000,9,FALSE)),0,VLOOKUP(B2915,'MD Usage'!$A$1:$W$5000,9,FALSE))</f>
        <v>0</v>
      </c>
      <c r="H2916" s="416">
        <f>IF(ISERROR(VLOOKUP(B2915,'MD Usage'!$A$1:$W$5000,11,FALSE)),0,VLOOKUP(B2915,'MD Usage'!$A$1:$W$5000,11,FALSE))</f>
        <v>0</v>
      </c>
      <c r="I2916" s="416">
        <f>IF(ISERROR(VLOOKUP(B2915,'MD Usage'!A1:R2000,13,FALSE)),0,VLOOKUP(B2915,'MD Usage'!A1:R2000,13,FALSE))</f>
        <v>0</v>
      </c>
      <c r="J2916" s="416">
        <f>IF(ISERROR(VLOOKUP(B2915,'MD Usage'!A1:R2000,15,FALSE)),0,VLOOKUP(B2915,'MD Usage'!A1:R2000,15,FALSE))</f>
        <v>0</v>
      </c>
      <c r="K2916" s="418">
        <f>SUM(D2916:J2916)</f>
        <v>0</v>
      </c>
    </row>
    <row r="2917" spans="2:13" ht="15" customHeight="1" x14ac:dyDescent="0.25">
      <c r="B2917" s="419"/>
      <c r="C2917" s="420"/>
      <c r="D2917" s="421">
        <f>D2916*C2917</f>
        <v>0</v>
      </c>
      <c r="E2917" s="421">
        <f>E2916*C2917</f>
        <v>0</v>
      </c>
      <c r="F2917" s="421">
        <f>F2916*C2917</f>
        <v>0</v>
      </c>
      <c r="G2917" s="421">
        <f>G2916*C2917</f>
        <v>0</v>
      </c>
      <c r="H2917" s="421">
        <f>H2916*C2917</f>
        <v>0</v>
      </c>
      <c r="I2917" s="421">
        <f>I2916*C2917</f>
        <v>0</v>
      </c>
      <c r="J2917" s="421">
        <f>J2916*C2917</f>
        <v>0</v>
      </c>
      <c r="K2917" s="422">
        <f>SUM(D2917:J2917)</f>
        <v>0</v>
      </c>
    </row>
    <row r="2918" spans="2:13" ht="15" customHeight="1" x14ac:dyDescent="0.25">
      <c r="B2918" s="389"/>
      <c r="C2918" s="423"/>
      <c r="D2918" s="421">
        <f>D2916*C2918</f>
        <v>0</v>
      </c>
      <c r="E2918" s="421">
        <f>E2916*C2918</f>
        <v>0</v>
      </c>
      <c r="F2918" s="421">
        <f>F2916*C2918</f>
        <v>0</v>
      </c>
      <c r="G2918" s="421">
        <f>G2916*C2918</f>
        <v>0</v>
      </c>
      <c r="H2918" s="421">
        <f>H2916*C2918</f>
        <v>0</v>
      </c>
      <c r="I2918" s="421">
        <f>I2916*C2918</f>
        <v>0</v>
      </c>
      <c r="J2918" s="421">
        <f>J2916*C2918</f>
        <v>0</v>
      </c>
      <c r="K2918" s="424">
        <f>SUM(D2918:J2918)</f>
        <v>0</v>
      </c>
    </row>
    <row r="2919" spans="2:13" ht="15" customHeight="1" x14ac:dyDescent="0.25">
      <c r="B2919" s="389"/>
      <c r="C2919" s="423"/>
      <c r="D2919" s="421">
        <f>D2916*C2919</f>
        <v>0</v>
      </c>
      <c r="E2919" s="421">
        <f>E2916*C2919</f>
        <v>0</v>
      </c>
      <c r="F2919" s="421">
        <f>F2916*C2919</f>
        <v>0</v>
      </c>
      <c r="G2919" s="421">
        <f>G2916*C2919</f>
        <v>0</v>
      </c>
      <c r="H2919" s="421">
        <f>H2916*C2919</f>
        <v>0</v>
      </c>
      <c r="I2919" s="421">
        <f>I2916*C2919</f>
        <v>0</v>
      </c>
      <c r="J2919" s="421">
        <f>J2916*C2919</f>
        <v>0</v>
      </c>
      <c r="K2919" s="424">
        <f>SUM(D2919:J2919)</f>
        <v>0</v>
      </c>
    </row>
    <row r="2920" spans="2:13" ht="15" customHeight="1" x14ac:dyDescent="0.25">
      <c r="B2920" s="389"/>
      <c r="C2920" s="423"/>
      <c r="D2920" s="421">
        <f>D2916*C2920</f>
        <v>0</v>
      </c>
      <c r="E2920" s="421">
        <f>E2916*C2920</f>
        <v>0</v>
      </c>
      <c r="F2920" s="421">
        <f>F2916*C2920</f>
        <v>0</v>
      </c>
      <c r="G2920" s="421">
        <f>G2916*C2920</f>
        <v>0</v>
      </c>
      <c r="H2920" s="421">
        <f>H2916*C2920</f>
        <v>0</v>
      </c>
      <c r="I2920" s="421">
        <f>I2916*C2920</f>
        <v>0</v>
      </c>
      <c r="J2920" s="421">
        <f>J2916*C2920</f>
        <v>0</v>
      </c>
      <c r="K2920" s="424">
        <f>SUM(D2920:J2920)</f>
        <v>0</v>
      </c>
    </row>
    <row r="2921" spans="2:13" ht="15" customHeight="1" thickBot="1" x14ac:dyDescent="0.3"/>
    <row r="2922" spans="2:13" ht="15" customHeight="1" thickBot="1" x14ac:dyDescent="0.3">
      <c r="B2922" s="432"/>
      <c r="C2922" s="411"/>
      <c r="D2922" s="407" t="s">
        <v>548</v>
      </c>
      <c r="E2922" s="408" t="s">
        <v>549</v>
      </c>
      <c r="F2922" s="408" t="s">
        <v>550</v>
      </c>
      <c r="G2922" s="408" t="s">
        <v>551</v>
      </c>
      <c r="H2922" s="408" t="s">
        <v>552</v>
      </c>
      <c r="I2922" s="408" t="s">
        <v>553</v>
      </c>
      <c r="J2922" s="408" t="s">
        <v>554</v>
      </c>
      <c r="K2922" s="408" t="s">
        <v>555</v>
      </c>
      <c r="M2922" s="426"/>
    </row>
    <row r="2923" spans="2:13" ht="15" customHeight="1" thickBot="1" x14ac:dyDescent="0.3">
      <c r="B2923" s="414" t="s">
        <v>556</v>
      </c>
      <c r="C2923" s="415" t="s">
        <v>620</v>
      </c>
      <c r="D2923" s="416">
        <f>IF(ISERROR(VLOOKUP(B2922,'MD Usage'!$A$1:$W$5000,3,FALSE)),0,VLOOKUP(B2922,'MD Usage'!$A$1:$W$5000,3,FALSE))</f>
        <v>0</v>
      </c>
      <c r="E2923" s="416">
        <f>IF(ISERROR(VLOOKUP(B2922,'MD Usage'!$A$1:$W$5000,5,FALSE)),0,VLOOKUP(B2922,'MD Usage'!$A$1:$W$5000,5,FALSE))</f>
        <v>0</v>
      </c>
      <c r="F2923" s="416">
        <f>IF(ISERROR(VLOOKUP(B2922,'MD Usage'!$A$1:$W$5000,7,FALSE)),0,VLOOKUP(B2922,'MD Usage'!$A$1:$W$5000,7,FALSE))</f>
        <v>0</v>
      </c>
      <c r="G2923" s="416">
        <f>IF(ISERROR(VLOOKUP(B2922,'MD Usage'!$A$1:$W$5000,9,FALSE)),0,VLOOKUP(B2922,'MD Usage'!$A$1:$W$5000,9,FALSE))</f>
        <v>0</v>
      </c>
      <c r="H2923" s="416">
        <f>IF(ISERROR(VLOOKUP(B2922,'MD Usage'!$A$1:$W$5000,11,FALSE)),0,VLOOKUP(B2922,'MD Usage'!$A$1:$W$5000,11,FALSE))</f>
        <v>0</v>
      </c>
      <c r="I2923" s="416">
        <f>IF(ISERROR(VLOOKUP(B2922,'MD Usage'!A1:R2000,13,FALSE)),0,VLOOKUP(B2922,'MD Usage'!A1:R2000,13,FALSE))</f>
        <v>0</v>
      </c>
      <c r="J2923" s="416">
        <f>IF(ISERROR(VLOOKUP(B2922,'MD Usage'!A1:R2000,15,FALSE)),0,VLOOKUP(B2922,'MD Usage'!A1:R2000,15,FALSE))</f>
        <v>0</v>
      </c>
      <c r="K2923" s="418">
        <f>SUM(D2923:J2923)</f>
        <v>0</v>
      </c>
    </row>
    <row r="2924" spans="2:13" ht="15" customHeight="1" x14ac:dyDescent="0.25">
      <c r="B2924" s="419"/>
      <c r="C2924" s="420"/>
      <c r="D2924" s="421">
        <f>D2923*C2924</f>
        <v>0</v>
      </c>
      <c r="E2924" s="421">
        <f>E2923*C2924</f>
        <v>0</v>
      </c>
      <c r="F2924" s="421">
        <f>F2923*C2924</f>
        <v>0</v>
      </c>
      <c r="G2924" s="421">
        <f>G2923*C2924</f>
        <v>0</v>
      </c>
      <c r="H2924" s="421">
        <f>H2923*C2924</f>
        <v>0</v>
      </c>
      <c r="I2924" s="421">
        <f>I2923*C2924</f>
        <v>0</v>
      </c>
      <c r="J2924" s="421">
        <f>J2923*C2924</f>
        <v>0</v>
      </c>
      <c r="K2924" s="422">
        <f>SUM(D2924:J2924)</f>
        <v>0</v>
      </c>
    </row>
    <row r="2925" spans="2:13" ht="15" customHeight="1" x14ac:dyDescent="0.25">
      <c r="B2925" s="389"/>
      <c r="C2925" s="423"/>
      <c r="D2925" s="421">
        <f>D2923*C2925</f>
        <v>0</v>
      </c>
      <c r="E2925" s="421">
        <f>E2923*C2925</f>
        <v>0</v>
      </c>
      <c r="F2925" s="421">
        <f>F2923*C2925</f>
        <v>0</v>
      </c>
      <c r="G2925" s="421">
        <f>G2923*C2925</f>
        <v>0</v>
      </c>
      <c r="H2925" s="421">
        <f>H2923*C2925</f>
        <v>0</v>
      </c>
      <c r="I2925" s="421">
        <f>I2923*C2925</f>
        <v>0</v>
      </c>
      <c r="J2925" s="421">
        <f>J2923*C2925</f>
        <v>0</v>
      </c>
      <c r="K2925" s="424">
        <f>SUM(D2925:J2925)</f>
        <v>0</v>
      </c>
    </row>
    <row r="2926" spans="2:13" ht="15" customHeight="1" x14ac:dyDescent="0.25">
      <c r="B2926" s="389"/>
      <c r="C2926" s="423"/>
      <c r="D2926" s="421">
        <f>D2923*C2926</f>
        <v>0</v>
      </c>
      <c r="E2926" s="421">
        <f>E2923*C2926</f>
        <v>0</v>
      </c>
      <c r="F2926" s="421">
        <f>F2923*C2926</f>
        <v>0</v>
      </c>
      <c r="G2926" s="421">
        <f>G2923*C2926</f>
        <v>0</v>
      </c>
      <c r="H2926" s="421">
        <f>H2923*C2926</f>
        <v>0</v>
      </c>
      <c r="I2926" s="421">
        <f>I2923*C2926</f>
        <v>0</v>
      </c>
      <c r="J2926" s="421">
        <f>J2923*C2926</f>
        <v>0</v>
      </c>
      <c r="K2926" s="424">
        <f>SUM(D2926:J2926)</f>
        <v>0</v>
      </c>
    </row>
    <row r="2927" spans="2:13" ht="15" customHeight="1" x14ac:dyDescent="0.25">
      <c r="B2927" s="389"/>
      <c r="C2927" s="423"/>
      <c r="D2927" s="421">
        <f>D2923*C2927</f>
        <v>0</v>
      </c>
      <c r="E2927" s="421">
        <f>E2923*C2927</f>
        <v>0</v>
      </c>
      <c r="F2927" s="421">
        <f>F2923*C2927</f>
        <v>0</v>
      </c>
      <c r="G2927" s="421">
        <f>G2923*C2927</f>
        <v>0</v>
      </c>
      <c r="H2927" s="421">
        <f>H2923*C2927</f>
        <v>0</v>
      </c>
      <c r="I2927" s="421">
        <f>I2923*C2927</f>
        <v>0</v>
      </c>
      <c r="J2927" s="421">
        <f>J2923*C2927</f>
        <v>0</v>
      </c>
      <c r="K2927" s="424">
        <f>SUM(D2927:J2927)</f>
        <v>0</v>
      </c>
    </row>
    <row r="2928" spans="2:13" ht="15" customHeight="1" thickBot="1" x14ac:dyDescent="0.3"/>
    <row r="2929" spans="2:13" ht="15" customHeight="1" thickBot="1" x14ac:dyDescent="0.3">
      <c r="B2929" s="432"/>
      <c r="C2929" s="411"/>
      <c r="D2929" s="407" t="s">
        <v>548</v>
      </c>
      <c r="E2929" s="408" t="s">
        <v>549</v>
      </c>
      <c r="F2929" s="408" t="s">
        <v>550</v>
      </c>
      <c r="G2929" s="408" t="s">
        <v>551</v>
      </c>
      <c r="H2929" s="408" t="s">
        <v>552</v>
      </c>
      <c r="I2929" s="408" t="s">
        <v>553</v>
      </c>
      <c r="J2929" s="408" t="s">
        <v>554</v>
      </c>
      <c r="K2929" s="408" t="s">
        <v>555</v>
      </c>
      <c r="M2929" s="414"/>
    </row>
    <row r="2930" spans="2:13" ht="15" customHeight="1" thickBot="1" x14ac:dyDescent="0.3">
      <c r="B2930" s="414" t="s">
        <v>556</v>
      </c>
      <c r="C2930" s="415" t="s">
        <v>620</v>
      </c>
      <c r="D2930" s="416">
        <f>IF(ISERROR(VLOOKUP(B2929,'MD Usage'!$A$1:$W$5000,3,FALSE)),0,VLOOKUP(B2929,'MD Usage'!$A$1:$W$5000,3,FALSE))</f>
        <v>0</v>
      </c>
      <c r="E2930" s="416">
        <f>IF(ISERROR(VLOOKUP(B2929,'MD Usage'!$A$1:$W$5000,5,FALSE)),0,VLOOKUP(B2929,'MD Usage'!$A$1:$W$5000,5,FALSE))</f>
        <v>0</v>
      </c>
      <c r="F2930" s="416">
        <f>IF(ISERROR(VLOOKUP(B2929,'MD Usage'!$A$1:$W$5000,7,FALSE)),0,VLOOKUP(B2929,'MD Usage'!$A$1:$W$5000,7,FALSE))</f>
        <v>0</v>
      </c>
      <c r="G2930" s="416">
        <f>IF(ISERROR(VLOOKUP(B2929,'MD Usage'!$A$1:$W$5000,9,FALSE)),0,VLOOKUP(B2929,'MD Usage'!$A$1:$W$5000,9,FALSE))</f>
        <v>0</v>
      </c>
      <c r="H2930" s="416">
        <f>IF(ISERROR(VLOOKUP(B2929,'MD Usage'!$A$1:$W$5000,11,FALSE)),0,VLOOKUP(B2929,'MD Usage'!$A$1:$W$5000,11,FALSE))</f>
        <v>0</v>
      </c>
      <c r="I2930" s="416">
        <f>IF(ISERROR(VLOOKUP(B2929,'MD Usage'!A1:R2000,13,FALSE)),0,VLOOKUP(B2929,'MD Usage'!A1:R2000,13,FALSE))</f>
        <v>0</v>
      </c>
      <c r="J2930" s="416">
        <f>IF(ISERROR(VLOOKUP(B2929,'MD Usage'!A1:R2000,15,FALSE)),0,VLOOKUP(B2929,'MD Usage'!A1:R2000,15,FALSE))</f>
        <v>0</v>
      </c>
      <c r="K2930" s="418">
        <f>SUM(D2930:J2930)</f>
        <v>0</v>
      </c>
    </row>
    <row r="2931" spans="2:13" ht="15" customHeight="1" x14ac:dyDescent="0.25">
      <c r="B2931" s="419"/>
      <c r="C2931" s="420"/>
      <c r="D2931" s="421">
        <f>D2930*C2931</f>
        <v>0</v>
      </c>
      <c r="E2931" s="421">
        <f>E2930*C2931</f>
        <v>0</v>
      </c>
      <c r="F2931" s="421">
        <f>F2930*C2931</f>
        <v>0</v>
      </c>
      <c r="G2931" s="421">
        <f>G2930*C2931</f>
        <v>0</v>
      </c>
      <c r="H2931" s="421">
        <f>H2930*C2931</f>
        <v>0</v>
      </c>
      <c r="I2931" s="421">
        <f>I2930*C2931</f>
        <v>0</v>
      </c>
      <c r="J2931" s="421">
        <f>J2930*C2931</f>
        <v>0</v>
      </c>
      <c r="K2931" s="422">
        <f>SUM(D2931:J2931)</f>
        <v>0</v>
      </c>
    </row>
    <row r="2932" spans="2:13" ht="15" customHeight="1" x14ac:dyDescent="0.25">
      <c r="B2932" s="389"/>
      <c r="C2932" s="423"/>
      <c r="D2932" s="421">
        <f>D2930*C2932</f>
        <v>0</v>
      </c>
      <c r="E2932" s="421">
        <f>E2930*C2932</f>
        <v>0</v>
      </c>
      <c r="F2932" s="421">
        <f>F2930*C2932</f>
        <v>0</v>
      </c>
      <c r="G2932" s="421">
        <f>G2930*C2932</f>
        <v>0</v>
      </c>
      <c r="H2932" s="421">
        <f>H2930*C2932</f>
        <v>0</v>
      </c>
      <c r="I2932" s="421">
        <f>I2930*C2932</f>
        <v>0</v>
      </c>
      <c r="J2932" s="421">
        <f>J2930*C2932</f>
        <v>0</v>
      </c>
      <c r="K2932" s="424">
        <f>SUM(D2932:J2932)</f>
        <v>0</v>
      </c>
    </row>
    <row r="2933" spans="2:13" ht="15" customHeight="1" x14ac:dyDescent="0.25">
      <c r="B2933" s="389"/>
      <c r="C2933" s="423"/>
      <c r="D2933" s="421">
        <f>D2930*C2933</f>
        <v>0</v>
      </c>
      <c r="E2933" s="421">
        <f>E2930*C2933</f>
        <v>0</v>
      </c>
      <c r="F2933" s="421">
        <f>F2930*C2933</f>
        <v>0</v>
      </c>
      <c r="G2933" s="421">
        <f>G2930*C2933</f>
        <v>0</v>
      </c>
      <c r="H2933" s="421">
        <f>H2930*C2933</f>
        <v>0</v>
      </c>
      <c r="I2933" s="421">
        <f>I2930*C2933</f>
        <v>0</v>
      </c>
      <c r="J2933" s="421">
        <f>J2930*C2933</f>
        <v>0</v>
      </c>
      <c r="K2933" s="424">
        <f>SUM(D2933:J2933)</f>
        <v>0</v>
      </c>
    </row>
    <row r="2934" spans="2:13" ht="15" customHeight="1" x14ac:dyDescent="0.25">
      <c r="B2934" s="389"/>
      <c r="C2934" s="423"/>
      <c r="D2934" s="421">
        <f>D2930*C2934</f>
        <v>0</v>
      </c>
      <c r="E2934" s="421">
        <f>E2930*C2934</f>
        <v>0</v>
      </c>
      <c r="F2934" s="421">
        <f>F2930*C2934</f>
        <v>0</v>
      </c>
      <c r="G2934" s="421">
        <f>G2930*C2934</f>
        <v>0</v>
      </c>
      <c r="H2934" s="421">
        <f>H2930*C2934</f>
        <v>0</v>
      </c>
      <c r="I2934" s="421">
        <f>I2930*C2934</f>
        <v>0</v>
      </c>
      <c r="J2934" s="421">
        <f>J2930*C2934</f>
        <v>0</v>
      </c>
      <c r="K2934" s="424">
        <f>SUM(D2934:J2934)</f>
        <v>0</v>
      </c>
    </row>
    <row r="2935" spans="2:13" ht="15" customHeight="1" thickBot="1" x14ac:dyDescent="0.3"/>
    <row r="2936" spans="2:13" ht="15" customHeight="1" thickBot="1" x14ac:dyDescent="0.3">
      <c r="B2936" s="432"/>
      <c r="C2936" s="411"/>
      <c r="D2936" s="407" t="s">
        <v>548</v>
      </c>
      <c r="E2936" s="408" t="s">
        <v>549</v>
      </c>
      <c r="F2936" s="408" t="s">
        <v>550</v>
      </c>
      <c r="G2936" s="408" t="s">
        <v>551</v>
      </c>
      <c r="H2936" s="408" t="s">
        <v>552</v>
      </c>
      <c r="I2936" s="408" t="s">
        <v>553</v>
      </c>
      <c r="J2936" s="408" t="s">
        <v>554</v>
      </c>
      <c r="K2936" s="408" t="s">
        <v>555</v>
      </c>
      <c r="M2936" s="414"/>
    </row>
    <row r="2937" spans="2:13" ht="15" customHeight="1" thickBot="1" x14ac:dyDescent="0.3">
      <c r="B2937" s="414" t="s">
        <v>556</v>
      </c>
      <c r="C2937" s="415" t="s">
        <v>620</v>
      </c>
      <c r="D2937" s="416">
        <f>IF(ISERROR(VLOOKUP(B2936,'MD Usage'!$A$1:$W$5000,3,FALSE)),0,VLOOKUP(B2936,'MD Usage'!$A$1:$W$5000,3,FALSE))</f>
        <v>0</v>
      </c>
      <c r="E2937" s="416">
        <f>IF(ISERROR(VLOOKUP(B2936,'MD Usage'!$A$1:$W$5000,5,FALSE)),0,VLOOKUP(B2936,'MD Usage'!$A$1:$W$5000,5,FALSE))</f>
        <v>0</v>
      </c>
      <c r="F2937" s="416">
        <f>IF(ISERROR(VLOOKUP(B2936,'MD Usage'!$A$1:$W$5000,7,FALSE)),0,VLOOKUP(B2936,'MD Usage'!$A$1:$W$5000,7,FALSE))</f>
        <v>0</v>
      </c>
      <c r="G2937" s="416">
        <f>IF(ISERROR(VLOOKUP(B2936,'MD Usage'!$A$1:$W$5000,9,FALSE)),0,VLOOKUP(B2936,'MD Usage'!$A$1:$W$5000,9,FALSE))</f>
        <v>0</v>
      </c>
      <c r="H2937" s="416">
        <f>IF(ISERROR(VLOOKUP(B2936,'MD Usage'!$A$1:$W$5000,11,FALSE)),0,VLOOKUP(B2936,'MD Usage'!$A$1:$W$5000,11,FALSE))</f>
        <v>0</v>
      </c>
      <c r="I2937" s="416">
        <f>IF(ISERROR(VLOOKUP(B2936,'MD Usage'!A1:R2000,13,FALSE)),0,VLOOKUP(B2936,'MD Usage'!A1:R2000,13,FALSE))</f>
        <v>0</v>
      </c>
      <c r="J2937" s="416">
        <f>IF(ISERROR(VLOOKUP(B2936,'MD Usage'!A1:R2000,15,FALSE)),0,VLOOKUP(B2936,'MD Usage'!A1:R2000,15,FALSE))</f>
        <v>0</v>
      </c>
      <c r="K2937" s="418">
        <f>SUM(D2937:J2937)</f>
        <v>0</v>
      </c>
    </row>
    <row r="2938" spans="2:13" ht="15" customHeight="1" x14ac:dyDescent="0.25">
      <c r="B2938" s="389"/>
      <c r="C2938" s="420"/>
      <c r="D2938" s="421">
        <f>D2937*C2938</f>
        <v>0</v>
      </c>
      <c r="E2938" s="421">
        <f>E2937*C2938</f>
        <v>0</v>
      </c>
      <c r="F2938" s="421">
        <f>F2937*C2938</f>
        <v>0</v>
      </c>
      <c r="G2938" s="421">
        <f>G2937*C2938</f>
        <v>0</v>
      </c>
      <c r="H2938" s="421">
        <f>H2937*C2938</f>
        <v>0</v>
      </c>
      <c r="I2938" s="421">
        <f>I2937*C2938</f>
        <v>0</v>
      </c>
      <c r="J2938" s="421">
        <f>J2937*C2938</f>
        <v>0</v>
      </c>
      <c r="K2938" s="422">
        <f>SUM(D2938:J2938)</f>
        <v>0</v>
      </c>
    </row>
    <row r="2939" spans="2:13" ht="15" customHeight="1" x14ac:dyDescent="0.25">
      <c r="B2939" s="389"/>
      <c r="C2939" s="423"/>
      <c r="D2939" s="421">
        <f>D2937*C2939</f>
        <v>0</v>
      </c>
      <c r="E2939" s="421">
        <f>E2937*C2939</f>
        <v>0</v>
      </c>
      <c r="F2939" s="421">
        <f>F2937*C2939</f>
        <v>0</v>
      </c>
      <c r="G2939" s="421">
        <f>G2937*C2939</f>
        <v>0</v>
      </c>
      <c r="H2939" s="421">
        <f>H2937*C2939</f>
        <v>0</v>
      </c>
      <c r="I2939" s="421">
        <f>I2937*C2939</f>
        <v>0</v>
      </c>
      <c r="J2939" s="421">
        <f>J2937*C2939</f>
        <v>0</v>
      </c>
      <c r="K2939" s="424">
        <f>SUM(D2939:J2939)</f>
        <v>0</v>
      </c>
    </row>
    <row r="2940" spans="2:13" ht="15" customHeight="1" x14ac:dyDescent="0.25">
      <c r="B2940" s="389"/>
      <c r="C2940" s="423"/>
      <c r="D2940" s="421">
        <f>D2937*C2940</f>
        <v>0</v>
      </c>
      <c r="E2940" s="421">
        <f>E2937*C2940</f>
        <v>0</v>
      </c>
      <c r="F2940" s="421">
        <f>F2937*C2940</f>
        <v>0</v>
      </c>
      <c r="G2940" s="421">
        <f>G2937*C2940</f>
        <v>0</v>
      </c>
      <c r="H2940" s="421">
        <f>H2937*C2940</f>
        <v>0</v>
      </c>
      <c r="I2940" s="421">
        <f>I2937*C2940</f>
        <v>0</v>
      </c>
      <c r="J2940" s="421">
        <f>J2937*C2940</f>
        <v>0</v>
      </c>
      <c r="K2940" s="424">
        <f>SUM(D2940:J2940)</f>
        <v>0</v>
      </c>
    </row>
    <row r="2942" spans="2:13" ht="15" customHeight="1" thickBot="1" x14ac:dyDescent="0.3"/>
    <row r="2943" spans="2:13" ht="15" customHeight="1" thickBot="1" x14ac:dyDescent="0.3">
      <c r="B2943" s="432"/>
      <c r="C2943" s="411"/>
      <c r="D2943" s="407" t="s">
        <v>548</v>
      </c>
      <c r="E2943" s="408" t="s">
        <v>549</v>
      </c>
      <c r="F2943" s="408" t="s">
        <v>550</v>
      </c>
      <c r="G2943" s="408" t="s">
        <v>551</v>
      </c>
      <c r="H2943" s="408" t="s">
        <v>552</v>
      </c>
      <c r="I2943" s="408" t="s">
        <v>553</v>
      </c>
      <c r="J2943" s="408" t="s">
        <v>554</v>
      </c>
      <c r="K2943" s="408" t="s">
        <v>555</v>
      </c>
      <c r="M2943" s="426"/>
    </row>
    <row r="2944" spans="2:13" ht="15" customHeight="1" thickBot="1" x14ac:dyDescent="0.3">
      <c r="B2944" s="414" t="s">
        <v>556</v>
      </c>
      <c r="C2944" s="415" t="s">
        <v>620</v>
      </c>
      <c r="D2944" s="416">
        <f>IF(ISERROR(VLOOKUP(B2943,'MD Usage'!$A$1:$W$5000,3,FALSE)),0,VLOOKUP(B2943,'MD Usage'!$A$1:$W$5000,3,FALSE))</f>
        <v>0</v>
      </c>
      <c r="E2944" s="416">
        <f>IF(ISERROR(VLOOKUP(B2943,'MD Usage'!$A$1:$W$5000,5,FALSE)),0,VLOOKUP(B2943,'MD Usage'!$A$1:$W$5000,5,FALSE))</f>
        <v>0</v>
      </c>
      <c r="F2944" s="416">
        <f>IF(ISERROR(VLOOKUP(B2943,'MD Usage'!$A$1:$W$5000,7,FALSE)),0,VLOOKUP(B2943,'MD Usage'!$A$1:$W$5000,7,FALSE))</f>
        <v>0</v>
      </c>
      <c r="G2944" s="416">
        <f>IF(ISERROR(VLOOKUP(B2943,'MD Usage'!$A$1:$W$5000,9,FALSE)),0,VLOOKUP(B2943,'MD Usage'!$A$1:$W$5000,9,FALSE))</f>
        <v>0</v>
      </c>
      <c r="H2944" s="416">
        <f>IF(ISERROR(VLOOKUP(B2943,'MD Usage'!$A$1:$W$5000,11,FALSE)),0,VLOOKUP(B2943,'MD Usage'!$A$1:$W$5000,11,FALSE))</f>
        <v>0</v>
      </c>
      <c r="I2944" s="416">
        <f>IF(ISERROR(VLOOKUP(B2943,'MD Usage'!A1:R2000,13,FALSE)),0,VLOOKUP(B2943,'MD Usage'!A1:R2000,13,FALSE))</f>
        <v>0</v>
      </c>
      <c r="J2944" s="416">
        <f>IF(ISERROR(VLOOKUP(B2943,'MD Usage'!A1:R2000,15,FALSE)),0,VLOOKUP(B2943,'MD Usage'!A1:R2000,15,FALSE))</f>
        <v>0</v>
      </c>
      <c r="K2944" s="418">
        <f t="shared" ref="K2944:K2950" si="186">SUM(D2944:J2944)</f>
        <v>0</v>
      </c>
    </row>
    <row r="2945" spans="2:11" ht="15" customHeight="1" x14ac:dyDescent="0.25">
      <c r="B2945" s="419"/>
      <c r="C2945" s="420"/>
      <c r="D2945" s="421">
        <f>D2944*C2945</f>
        <v>0</v>
      </c>
      <c r="E2945" s="421">
        <f>E2944*C2945</f>
        <v>0</v>
      </c>
      <c r="F2945" s="421">
        <f>F2944*C2945</f>
        <v>0</v>
      </c>
      <c r="G2945" s="421">
        <f>G2944*C2945</f>
        <v>0</v>
      </c>
      <c r="H2945" s="421">
        <f>H2944*C2945</f>
        <v>0</v>
      </c>
      <c r="I2945" s="421">
        <f>I2944*C2945</f>
        <v>0</v>
      </c>
      <c r="J2945" s="421">
        <f>J2944*C2945</f>
        <v>0</v>
      </c>
      <c r="K2945" s="422">
        <f t="shared" si="186"/>
        <v>0</v>
      </c>
    </row>
    <row r="2946" spans="2:11" ht="15" customHeight="1" x14ac:dyDescent="0.25">
      <c r="B2946" s="389"/>
      <c r="C2946" s="423"/>
      <c r="D2946" s="421">
        <f>D2944*C2946</f>
        <v>0</v>
      </c>
      <c r="E2946" s="421">
        <f>E2944*C2946</f>
        <v>0</v>
      </c>
      <c r="F2946" s="421">
        <f>F2944*C2946</f>
        <v>0</v>
      </c>
      <c r="G2946" s="421">
        <f>G2944*C2946</f>
        <v>0</v>
      </c>
      <c r="H2946" s="421">
        <f>H2944*C2946</f>
        <v>0</v>
      </c>
      <c r="I2946" s="421">
        <f>I2944*C2946</f>
        <v>0</v>
      </c>
      <c r="J2946" s="421">
        <f>J2944*C2946</f>
        <v>0</v>
      </c>
      <c r="K2946" s="424">
        <f t="shared" si="186"/>
        <v>0</v>
      </c>
    </row>
    <row r="2947" spans="2:11" ht="15" customHeight="1" x14ac:dyDescent="0.25">
      <c r="B2947" s="389"/>
      <c r="C2947" s="423"/>
      <c r="D2947" s="421">
        <f>D2944*C2947</f>
        <v>0</v>
      </c>
      <c r="E2947" s="421">
        <f>E2944*C2947</f>
        <v>0</v>
      </c>
      <c r="F2947" s="421">
        <f>F2944*C2947</f>
        <v>0</v>
      </c>
      <c r="G2947" s="421">
        <f>G2944*C2947</f>
        <v>0</v>
      </c>
      <c r="H2947" s="421">
        <f>H2944*C2947</f>
        <v>0</v>
      </c>
      <c r="I2947" s="421">
        <f>I2944*C2947</f>
        <v>0</v>
      </c>
      <c r="J2947" s="421">
        <f>J2944*C2947</f>
        <v>0</v>
      </c>
      <c r="K2947" s="422">
        <f t="shared" si="186"/>
        <v>0</v>
      </c>
    </row>
    <row r="2948" spans="2:11" ht="15" customHeight="1" x14ac:dyDescent="0.25">
      <c r="B2948" s="389"/>
      <c r="C2948" s="423"/>
      <c r="D2948" s="421">
        <f>D2945*C2948</f>
        <v>0</v>
      </c>
      <c r="E2948" s="421">
        <f>E2945*C2948</f>
        <v>0</v>
      </c>
      <c r="F2948" s="421">
        <f>F2945*C2948</f>
        <v>0</v>
      </c>
      <c r="G2948" s="421">
        <f>G2945*C2948</f>
        <v>0</v>
      </c>
      <c r="H2948" s="421">
        <f>H2945*C2948</f>
        <v>0</v>
      </c>
      <c r="I2948" s="421">
        <f>I2945*C2948</f>
        <v>0</v>
      </c>
      <c r="J2948" s="421">
        <f>J2945*C2948</f>
        <v>0</v>
      </c>
      <c r="K2948" s="424">
        <f t="shared" si="186"/>
        <v>0</v>
      </c>
    </row>
    <row r="2949" spans="2:11" ht="15" customHeight="1" x14ac:dyDescent="0.25">
      <c r="B2949" s="419"/>
      <c r="C2949" s="420"/>
      <c r="D2949" s="421">
        <f>D2946*C2949</f>
        <v>0</v>
      </c>
      <c r="E2949" s="421">
        <f>E2946*C2949</f>
        <v>0</v>
      </c>
      <c r="F2949" s="421">
        <f>F2946*C2949</f>
        <v>0</v>
      </c>
      <c r="G2949" s="421">
        <f>G2946*C2949</f>
        <v>0</v>
      </c>
      <c r="H2949" s="421">
        <f>H2946*C2949</f>
        <v>0</v>
      </c>
      <c r="I2949" s="421">
        <f>I2946*C2949</f>
        <v>0</v>
      </c>
      <c r="J2949" s="421">
        <f>J2946*C2949</f>
        <v>0</v>
      </c>
      <c r="K2949" s="422">
        <f t="shared" si="186"/>
        <v>0</v>
      </c>
    </row>
    <row r="2950" spans="2:11" ht="15" customHeight="1" x14ac:dyDescent="0.25">
      <c r="B2950" s="389"/>
      <c r="C2950" s="423"/>
      <c r="D2950" s="421">
        <f>D2947*C2950</f>
        <v>0</v>
      </c>
      <c r="E2950" s="421">
        <f>E2947*C2950</f>
        <v>0</v>
      </c>
      <c r="F2950" s="421">
        <f>F2947*C2950</f>
        <v>0</v>
      </c>
      <c r="G2950" s="421">
        <f>G2947*C2950</f>
        <v>0</v>
      </c>
      <c r="H2950" s="421">
        <f>H2947*C2950</f>
        <v>0</v>
      </c>
      <c r="I2950" s="421">
        <f>I2947*C2950</f>
        <v>0</v>
      </c>
      <c r="J2950" s="421">
        <f>J2947*C2950</f>
        <v>0</v>
      </c>
      <c r="K2950" s="424">
        <f t="shared" si="186"/>
        <v>0</v>
      </c>
    </row>
    <row r="2952" spans="2:11" ht="15" customHeight="1" thickBot="1" x14ac:dyDescent="0.3"/>
    <row r="2953" spans="2:11" ht="15" customHeight="1" thickBot="1" x14ac:dyDescent="0.3">
      <c r="B2953" s="432"/>
      <c r="C2953" s="411"/>
      <c r="D2953" s="407" t="s">
        <v>548</v>
      </c>
      <c r="E2953" s="408" t="s">
        <v>549</v>
      </c>
      <c r="F2953" s="408" t="s">
        <v>550</v>
      </c>
      <c r="G2953" s="408" t="s">
        <v>551</v>
      </c>
      <c r="H2953" s="408" t="s">
        <v>552</v>
      </c>
      <c r="I2953" s="408" t="s">
        <v>553</v>
      </c>
      <c r="J2953" s="408" t="s">
        <v>554</v>
      </c>
      <c r="K2953" s="408" t="s">
        <v>555</v>
      </c>
    </row>
    <row r="2954" spans="2:11" ht="15" customHeight="1" thickBot="1" x14ac:dyDescent="0.3">
      <c r="B2954" s="414" t="s">
        <v>556</v>
      </c>
      <c r="C2954" s="415" t="s">
        <v>620</v>
      </c>
      <c r="D2954" s="416"/>
      <c r="E2954" s="416"/>
      <c r="F2954" s="416"/>
      <c r="G2954" s="416"/>
      <c r="H2954" s="416"/>
      <c r="I2954" s="416"/>
      <c r="J2954" s="416"/>
      <c r="K2954" s="418"/>
    </row>
    <row r="2955" spans="2:11" ht="15" customHeight="1" x14ac:dyDescent="0.25">
      <c r="B2955" s="383"/>
      <c r="C2955" s="420"/>
      <c r="D2955" s="421"/>
      <c r="E2955" s="421"/>
      <c r="F2955" s="421"/>
      <c r="G2955" s="421"/>
      <c r="H2955" s="421"/>
      <c r="I2955" s="421"/>
      <c r="J2955" s="421"/>
      <c r="K2955" s="422"/>
    </row>
    <row r="2956" spans="2:11" ht="15" customHeight="1" x14ac:dyDescent="0.25">
      <c r="B2956" s="389"/>
      <c r="C2956" s="423"/>
      <c r="D2956" s="421"/>
      <c r="E2956" s="421"/>
      <c r="F2956" s="421"/>
      <c r="G2956" s="421"/>
      <c r="H2956" s="421"/>
      <c r="I2956" s="421"/>
      <c r="J2956" s="421"/>
      <c r="K2956" s="424"/>
    </row>
    <row r="2957" spans="2:11" ht="15" customHeight="1" x14ac:dyDescent="0.25">
      <c r="B2957" s="389"/>
      <c r="C2957" s="423"/>
      <c r="D2957" s="421"/>
      <c r="E2957" s="421"/>
      <c r="F2957" s="421"/>
      <c r="G2957" s="421"/>
      <c r="H2957" s="421"/>
      <c r="I2957" s="421"/>
      <c r="J2957" s="421"/>
      <c r="K2957" s="422"/>
    </row>
    <row r="2958" spans="2:11" ht="15" customHeight="1" x14ac:dyDescent="0.25">
      <c r="B2958" s="389"/>
      <c r="C2958" s="423"/>
      <c r="D2958" s="421"/>
      <c r="E2958" s="421"/>
      <c r="F2958" s="421"/>
      <c r="G2958" s="421"/>
      <c r="H2958" s="421"/>
      <c r="I2958" s="421"/>
      <c r="J2958" s="421"/>
      <c r="K2958" s="424"/>
    </row>
    <row r="2959" spans="2:11" ht="15" customHeight="1" x14ac:dyDescent="0.25">
      <c r="B2959" s="419"/>
      <c r="C2959" s="420"/>
      <c r="D2959" s="421"/>
      <c r="E2959" s="421"/>
      <c r="F2959" s="421"/>
      <c r="G2959" s="421"/>
      <c r="H2959" s="421"/>
      <c r="I2959" s="421"/>
      <c r="J2959" s="421"/>
      <c r="K2959" s="422"/>
    </row>
    <row r="2960" spans="2:11" ht="15" customHeight="1" x14ac:dyDescent="0.25">
      <c r="B2960" s="389"/>
      <c r="C2960" s="423"/>
      <c r="D2960" s="421"/>
      <c r="E2960" s="421"/>
      <c r="F2960" s="421"/>
      <c r="G2960" s="421"/>
      <c r="H2960" s="421"/>
      <c r="I2960" s="421"/>
      <c r="J2960" s="421"/>
      <c r="K2960" s="424"/>
    </row>
    <row r="2961" spans="2:13" ht="15" customHeight="1" thickBot="1" x14ac:dyDescent="0.3"/>
    <row r="2962" spans="2:13" ht="15" customHeight="1" thickBot="1" x14ac:dyDescent="0.3">
      <c r="B2962" s="432"/>
      <c r="C2962" s="411"/>
      <c r="D2962" s="407" t="s">
        <v>548</v>
      </c>
      <c r="E2962" s="408" t="s">
        <v>549</v>
      </c>
      <c r="F2962" s="408" t="s">
        <v>550</v>
      </c>
      <c r="G2962" s="408" t="s">
        <v>551</v>
      </c>
      <c r="H2962" s="408" t="s">
        <v>552</v>
      </c>
      <c r="I2962" s="408" t="s">
        <v>553</v>
      </c>
      <c r="J2962" s="408" t="s">
        <v>554</v>
      </c>
      <c r="K2962" s="408" t="s">
        <v>555</v>
      </c>
    </row>
    <row r="2963" spans="2:13" ht="15" customHeight="1" thickBot="1" x14ac:dyDescent="0.3">
      <c r="B2963" s="414" t="s">
        <v>556</v>
      </c>
      <c r="C2963" s="415" t="s">
        <v>620</v>
      </c>
      <c r="D2963" s="416">
        <f>IF(ISERROR(VLOOKUP(B2962,'MD Usage'!$A$1:$W$5000,3,FALSE)),0,VLOOKUP(B2962,'MD Usage'!$A$1:$W$5000,3,FALSE))</f>
        <v>0</v>
      </c>
      <c r="E2963" s="416">
        <f>IF(ISERROR(VLOOKUP(B2962,'MD Usage'!$A$1:$W$5000,5,FALSE)),0,VLOOKUP(B2962,'MD Usage'!$A$1:$W$5000,5,FALSE))</f>
        <v>0</v>
      </c>
      <c r="F2963" s="416">
        <f>IF(ISERROR(VLOOKUP(B2962,'MD Usage'!$A$1:$W$5000,7,FALSE)),0,VLOOKUP(B2962,'MD Usage'!$A$1:$W$5000,7,FALSE))</f>
        <v>0</v>
      </c>
      <c r="G2963" s="416">
        <f>IF(ISERROR(VLOOKUP(B2962,'MD Usage'!$A$1:$W$5000,9,FALSE)),0,VLOOKUP(B2962,'MD Usage'!$A$1:$W$5000,9,FALSE))</f>
        <v>0</v>
      </c>
      <c r="H2963" s="416">
        <f>IF(ISERROR(VLOOKUP(B2962,'MD Usage'!$A$1:$W$5000,11,FALSE)),0,VLOOKUP(B2962,'MD Usage'!$A$1:$W$5000,11,FALSE))</f>
        <v>0</v>
      </c>
      <c r="I2963" s="416">
        <f>IF(ISERROR(VLOOKUP(B2962,'MD Usage'!A1:R2000,13,FALSE)),0,VLOOKUP(B2962,'MD Usage'!A1:R2000,13,FALSE))</f>
        <v>0</v>
      </c>
      <c r="J2963" s="416">
        <f>IF(ISERROR(VLOOKUP(B2962,'MD Usage'!A1:R2000,15,FALSE)),0,VLOOKUP(B2962,'MD Usage'!A1:R2000,15,FALSE))</f>
        <v>0</v>
      </c>
      <c r="K2963" s="418">
        <f t="shared" ref="K2963:K2969" si="187">SUM(D2963:J2963)</f>
        <v>0</v>
      </c>
    </row>
    <row r="2964" spans="2:13" ht="15" customHeight="1" x14ac:dyDescent="0.25">
      <c r="B2964" s="383"/>
      <c r="C2964" s="420"/>
      <c r="D2964" s="421">
        <f t="shared" ref="D2964:D2969" si="188">$D$2963*C2964</f>
        <v>0</v>
      </c>
      <c r="E2964" s="421">
        <f t="shared" ref="E2964:E2969" si="189">$E$2963*C2964</f>
        <v>0</v>
      </c>
      <c r="F2964" s="421">
        <f t="shared" ref="F2964:F2969" si="190">$F$2963*C2964</f>
        <v>0</v>
      </c>
      <c r="G2964" s="421">
        <f t="shared" ref="G2964:G2969" si="191">$G$2963*C2964</f>
        <v>0</v>
      </c>
      <c r="H2964" s="421">
        <f t="shared" ref="H2964:H2969" si="192">$H$2963*C2964</f>
        <v>0</v>
      </c>
      <c r="I2964" s="421">
        <f t="shared" ref="I2964:I2969" si="193">$I$2963*C2964</f>
        <v>0</v>
      </c>
      <c r="J2964" s="421">
        <f t="shared" ref="J2964:J2969" si="194">$J$2963*C2964</f>
        <v>0</v>
      </c>
      <c r="K2964" s="422">
        <f t="shared" si="187"/>
        <v>0</v>
      </c>
    </row>
    <row r="2965" spans="2:13" ht="15" customHeight="1" x14ac:dyDescent="0.25">
      <c r="B2965" s="389"/>
      <c r="C2965" s="423"/>
      <c r="D2965" s="421">
        <f t="shared" si="188"/>
        <v>0</v>
      </c>
      <c r="E2965" s="421">
        <f t="shared" si="189"/>
        <v>0</v>
      </c>
      <c r="F2965" s="421">
        <f t="shared" si="190"/>
        <v>0</v>
      </c>
      <c r="G2965" s="421">
        <f t="shared" si="191"/>
        <v>0</v>
      </c>
      <c r="H2965" s="421">
        <f t="shared" si="192"/>
        <v>0</v>
      </c>
      <c r="I2965" s="421">
        <f t="shared" si="193"/>
        <v>0</v>
      </c>
      <c r="J2965" s="421">
        <f t="shared" si="194"/>
        <v>0</v>
      </c>
      <c r="K2965" s="424">
        <f t="shared" si="187"/>
        <v>0</v>
      </c>
    </row>
    <row r="2966" spans="2:13" ht="15" customHeight="1" x14ac:dyDescent="0.25">
      <c r="B2966" s="389"/>
      <c r="C2966" s="423"/>
      <c r="D2966" s="421">
        <f t="shared" si="188"/>
        <v>0</v>
      </c>
      <c r="E2966" s="421">
        <f t="shared" si="189"/>
        <v>0</v>
      </c>
      <c r="F2966" s="421">
        <f t="shared" si="190"/>
        <v>0</v>
      </c>
      <c r="G2966" s="421">
        <f t="shared" si="191"/>
        <v>0</v>
      </c>
      <c r="H2966" s="421">
        <f t="shared" si="192"/>
        <v>0</v>
      </c>
      <c r="I2966" s="421">
        <f t="shared" si="193"/>
        <v>0</v>
      </c>
      <c r="J2966" s="421">
        <f t="shared" si="194"/>
        <v>0</v>
      </c>
      <c r="K2966" s="422">
        <f t="shared" si="187"/>
        <v>0</v>
      </c>
    </row>
    <row r="2967" spans="2:13" ht="15" customHeight="1" x14ac:dyDescent="0.25">
      <c r="B2967" s="389"/>
      <c r="C2967" s="423"/>
      <c r="D2967" s="421">
        <f t="shared" si="188"/>
        <v>0</v>
      </c>
      <c r="E2967" s="421">
        <f t="shared" si="189"/>
        <v>0</v>
      </c>
      <c r="F2967" s="421">
        <f t="shared" si="190"/>
        <v>0</v>
      </c>
      <c r="G2967" s="421">
        <f t="shared" si="191"/>
        <v>0</v>
      </c>
      <c r="H2967" s="421">
        <f t="shared" si="192"/>
        <v>0</v>
      </c>
      <c r="I2967" s="421">
        <f t="shared" si="193"/>
        <v>0</v>
      </c>
      <c r="J2967" s="421">
        <f t="shared" si="194"/>
        <v>0</v>
      </c>
      <c r="K2967" s="424">
        <f t="shared" si="187"/>
        <v>0</v>
      </c>
    </row>
    <row r="2968" spans="2:13" ht="15" customHeight="1" x14ac:dyDescent="0.25">
      <c r="B2968" s="419"/>
      <c r="C2968" s="420"/>
      <c r="D2968" s="421">
        <f t="shared" si="188"/>
        <v>0</v>
      </c>
      <c r="E2968" s="421">
        <f t="shared" si="189"/>
        <v>0</v>
      </c>
      <c r="F2968" s="421">
        <f t="shared" si="190"/>
        <v>0</v>
      </c>
      <c r="G2968" s="421">
        <f t="shared" si="191"/>
        <v>0</v>
      </c>
      <c r="H2968" s="421">
        <f t="shared" si="192"/>
        <v>0</v>
      </c>
      <c r="I2968" s="421">
        <f t="shared" si="193"/>
        <v>0</v>
      </c>
      <c r="J2968" s="421">
        <f t="shared" si="194"/>
        <v>0</v>
      </c>
      <c r="K2968" s="422">
        <f t="shared" si="187"/>
        <v>0</v>
      </c>
    </row>
    <row r="2969" spans="2:13" ht="15" customHeight="1" x14ac:dyDescent="0.25">
      <c r="B2969" s="389"/>
      <c r="C2969" s="423"/>
      <c r="D2969" s="421">
        <f t="shared" si="188"/>
        <v>0</v>
      </c>
      <c r="E2969" s="421">
        <f t="shared" si="189"/>
        <v>0</v>
      </c>
      <c r="F2969" s="421">
        <f t="shared" si="190"/>
        <v>0</v>
      </c>
      <c r="G2969" s="421">
        <f t="shared" si="191"/>
        <v>0</v>
      </c>
      <c r="H2969" s="421">
        <f t="shared" si="192"/>
        <v>0</v>
      </c>
      <c r="I2969" s="421">
        <f t="shared" si="193"/>
        <v>0</v>
      </c>
      <c r="J2969" s="421">
        <f t="shared" si="194"/>
        <v>0</v>
      </c>
      <c r="K2969" s="424">
        <f t="shared" si="187"/>
        <v>0</v>
      </c>
    </row>
    <row r="2971" spans="2:13" ht="15" customHeight="1" thickBot="1" x14ac:dyDescent="0.3"/>
    <row r="2972" spans="2:13" ht="15" customHeight="1" thickBot="1" x14ac:dyDescent="0.3">
      <c r="B2972" s="432"/>
      <c r="C2972" s="411"/>
      <c r="D2972" s="407" t="s">
        <v>548</v>
      </c>
      <c r="E2972" s="408" t="s">
        <v>549</v>
      </c>
      <c r="F2972" s="408" t="s">
        <v>550</v>
      </c>
      <c r="G2972" s="408" t="s">
        <v>551</v>
      </c>
      <c r="H2972" s="408" t="s">
        <v>552</v>
      </c>
      <c r="I2972" s="408" t="s">
        <v>553</v>
      </c>
      <c r="J2972" s="408" t="s">
        <v>554</v>
      </c>
      <c r="K2972" s="408" t="s">
        <v>555</v>
      </c>
      <c r="M2972" s="426"/>
    </row>
    <row r="2973" spans="2:13" ht="15" customHeight="1" thickBot="1" x14ac:dyDescent="0.3">
      <c r="B2973" s="414" t="s">
        <v>556</v>
      </c>
      <c r="C2973" s="415" t="s">
        <v>620</v>
      </c>
      <c r="D2973" s="416">
        <f>IF(ISERROR(VLOOKUP(B2972,'MD Usage'!$A$1:$W$5000,3,FALSE)),0,VLOOKUP(B2972,'MD Usage'!$A$1:$W$5000,3,FALSE))</f>
        <v>0</v>
      </c>
      <c r="E2973" s="416">
        <f>IF(ISERROR(VLOOKUP(B2972,'MD Usage'!$A$1:$W$5000,5,FALSE)),0,VLOOKUP(B2972,'MD Usage'!$A$1:$W$5000,5,FALSE))</f>
        <v>0</v>
      </c>
      <c r="F2973" s="416">
        <f>IF(ISERROR(VLOOKUP(B2972,'MD Usage'!$A$1:$W$5000,7,FALSE)),0,VLOOKUP(B2972,'MD Usage'!$A$1:$W$5000,7,FALSE))</f>
        <v>0</v>
      </c>
      <c r="G2973" s="416">
        <f>IF(ISERROR(VLOOKUP(B2972,'MD Usage'!$A$1:$W$5000,9,FALSE)),0,VLOOKUP(B2972,'MD Usage'!$A$1:$W$5000,9,FALSE))</f>
        <v>0</v>
      </c>
      <c r="H2973" s="416">
        <f>IF(ISERROR(VLOOKUP(B2972,'MD Usage'!$A$1:$W$5000,11,FALSE)),0,VLOOKUP(B2972,'MD Usage'!$A$1:$W$5000,11,FALSE))</f>
        <v>0</v>
      </c>
      <c r="I2973" s="416">
        <f>IF(ISERROR(VLOOKUP(B2972,'MD Usage'!A1:R2000,13,FALSE)),0,VLOOKUP(B2972,'MD Usage'!A1:R2000,13,FALSE))</f>
        <v>0</v>
      </c>
      <c r="J2973" s="416">
        <f>IF(ISERROR(VLOOKUP(B2972,'MD Usage'!A1:R2000,15,FALSE)),0,VLOOKUP(B2972,'MD Usage'!A1:R2000,15,FALSE))</f>
        <v>0</v>
      </c>
      <c r="K2973" s="418">
        <f t="shared" ref="K2973:K2979" si="195">SUM(D2973:J2973)</f>
        <v>0</v>
      </c>
    </row>
    <row r="2974" spans="2:13" ht="15" customHeight="1" x14ac:dyDescent="0.25">
      <c r="B2974" s="383"/>
      <c r="C2974" s="420"/>
      <c r="D2974" s="421">
        <f t="shared" ref="D2974:D2979" si="196">$D$2973*C2974</f>
        <v>0</v>
      </c>
      <c r="E2974" s="421">
        <f t="shared" ref="E2974:E2979" si="197">$E$2973*C2974</f>
        <v>0</v>
      </c>
      <c r="F2974" s="421">
        <f t="shared" ref="F2974:F2979" si="198">$F$2973*C2974</f>
        <v>0</v>
      </c>
      <c r="G2974" s="421">
        <f t="shared" ref="G2974:G2979" si="199">$G$2973*C2974</f>
        <v>0</v>
      </c>
      <c r="H2974" s="421">
        <f>$H$2973*C2974</f>
        <v>0</v>
      </c>
      <c r="I2974" s="421">
        <f t="shared" ref="I2974:I2979" si="200">$I$2973*C2974</f>
        <v>0</v>
      </c>
      <c r="J2974" s="421">
        <f t="shared" ref="J2974:J2979" si="201">$J$2973*C2974</f>
        <v>0</v>
      </c>
      <c r="K2974" s="422">
        <f t="shared" si="195"/>
        <v>0</v>
      </c>
    </row>
    <row r="2975" spans="2:13" ht="15" customHeight="1" x14ac:dyDescent="0.25">
      <c r="B2975" s="389"/>
      <c r="C2975" s="423"/>
      <c r="D2975" s="421">
        <f t="shared" si="196"/>
        <v>0</v>
      </c>
      <c r="E2975" s="421">
        <f t="shared" si="197"/>
        <v>0</v>
      </c>
      <c r="F2975" s="421">
        <f t="shared" si="198"/>
        <v>0</v>
      </c>
      <c r="G2975" s="421">
        <f t="shared" si="199"/>
        <v>0</v>
      </c>
      <c r="H2975" s="421">
        <f>$H$2973*C2975</f>
        <v>0</v>
      </c>
      <c r="I2975" s="421">
        <f t="shared" si="200"/>
        <v>0</v>
      </c>
      <c r="J2975" s="421">
        <f t="shared" si="201"/>
        <v>0</v>
      </c>
      <c r="K2975" s="424">
        <f t="shared" si="195"/>
        <v>0</v>
      </c>
    </row>
    <row r="2976" spans="2:13" ht="15" customHeight="1" x14ac:dyDescent="0.25">
      <c r="B2976" s="389"/>
      <c r="C2976" s="423"/>
      <c r="D2976" s="421">
        <f t="shared" si="196"/>
        <v>0</v>
      </c>
      <c r="E2976" s="421">
        <f t="shared" si="197"/>
        <v>0</v>
      </c>
      <c r="F2976" s="421">
        <f t="shared" si="198"/>
        <v>0</v>
      </c>
      <c r="G2976" s="421">
        <f t="shared" si="199"/>
        <v>0</v>
      </c>
      <c r="H2976" s="421">
        <f>$H$2973*C2976</f>
        <v>0</v>
      </c>
      <c r="I2976" s="421">
        <f t="shared" si="200"/>
        <v>0</v>
      </c>
      <c r="J2976" s="421">
        <f t="shared" si="201"/>
        <v>0</v>
      </c>
      <c r="K2976" s="422">
        <f t="shared" si="195"/>
        <v>0</v>
      </c>
    </row>
    <row r="2977" spans="2:13" ht="15" customHeight="1" x14ac:dyDescent="0.25">
      <c r="B2977" s="389"/>
      <c r="C2977" s="423"/>
      <c r="D2977" s="421">
        <f t="shared" si="196"/>
        <v>0</v>
      </c>
      <c r="E2977" s="421">
        <f t="shared" si="197"/>
        <v>0</v>
      </c>
      <c r="F2977" s="421">
        <f t="shared" si="198"/>
        <v>0</v>
      </c>
      <c r="G2977" s="421">
        <f t="shared" si="199"/>
        <v>0</v>
      </c>
      <c r="H2977" s="421">
        <f>$H$2973*C2977</f>
        <v>0</v>
      </c>
      <c r="I2977" s="421">
        <f t="shared" si="200"/>
        <v>0</v>
      </c>
      <c r="J2977" s="421">
        <f t="shared" si="201"/>
        <v>0</v>
      </c>
      <c r="K2977" s="424">
        <f t="shared" si="195"/>
        <v>0</v>
      </c>
    </row>
    <row r="2978" spans="2:13" ht="15" customHeight="1" x14ac:dyDescent="0.25">
      <c r="B2978" s="419"/>
      <c r="C2978" s="420"/>
      <c r="D2978" s="421">
        <f t="shared" si="196"/>
        <v>0</v>
      </c>
      <c r="E2978" s="421">
        <f t="shared" si="197"/>
        <v>0</v>
      </c>
      <c r="F2978" s="421">
        <f t="shared" si="198"/>
        <v>0</v>
      </c>
      <c r="G2978" s="421">
        <f t="shared" si="199"/>
        <v>0</v>
      </c>
      <c r="H2978" s="421">
        <f>$H$2973*C2978</f>
        <v>0</v>
      </c>
      <c r="I2978" s="421">
        <f t="shared" si="200"/>
        <v>0</v>
      </c>
      <c r="J2978" s="421">
        <f t="shared" si="201"/>
        <v>0</v>
      </c>
      <c r="K2978" s="422">
        <f t="shared" si="195"/>
        <v>0</v>
      </c>
    </row>
    <row r="2979" spans="2:13" ht="15" customHeight="1" x14ac:dyDescent="0.25">
      <c r="B2979" s="389"/>
      <c r="C2979" s="423"/>
      <c r="D2979" s="421">
        <f t="shared" si="196"/>
        <v>0</v>
      </c>
      <c r="E2979" s="421">
        <f t="shared" si="197"/>
        <v>0</v>
      </c>
      <c r="F2979" s="421">
        <f t="shared" si="198"/>
        <v>0</v>
      </c>
      <c r="G2979" s="421">
        <f t="shared" si="199"/>
        <v>0</v>
      </c>
      <c r="H2979" s="421">
        <f>$H$2633*C2979</f>
        <v>0</v>
      </c>
      <c r="I2979" s="421">
        <f t="shared" si="200"/>
        <v>0</v>
      </c>
      <c r="J2979" s="421">
        <f t="shared" si="201"/>
        <v>0</v>
      </c>
      <c r="K2979" s="424">
        <f t="shared" si="195"/>
        <v>0</v>
      </c>
    </row>
    <row r="2981" spans="2:13" ht="15" customHeight="1" thickBot="1" x14ac:dyDescent="0.3"/>
    <row r="2982" spans="2:13" ht="15" customHeight="1" thickBot="1" x14ac:dyDescent="0.3">
      <c r="B2982" s="432"/>
      <c r="C2982" s="411"/>
      <c r="D2982" s="407" t="s">
        <v>548</v>
      </c>
      <c r="E2982" s="408" t="s">
        <v>549</v>
      </c>
      <c r="F2982" s="408" t="s">
        <v>550</v>
      </c>
      <c r="G2982" s="408" t="s">
        <v>551</v>
      </c>
      <c r="H2982" s="408" t="s">
        <v>552</v>
      </c>
      <c r="I2982" s="408" t="s">
        <v>553</v>
      </c>
      <c r="J2982" s="408" t="s">
        <v>554</v>
      </c>
      <c r="K2982" s="408" t="s">
        <v>555</v>
      </c>
    </row>
    <row r="2983" spans="2:13" ht="15" customHeight="1" thickBot="1" x14ac:dyDescent="0.3">
      <c r="B2983" s="414" t="s">
        <v>556</v>
      </c>
      <c r="C2983" s="415" t="s">
        <v>620</v>
      </c>
      <c r="D2983" s="416">
        <f>IF(ISERROR(VLOOKUP(B2982,'MD Usage'!$A$1:$W$5000,3,FALSE)),0,VLOOKUP(B2982,'MD Usage'!$A$1:$W$5000,3,FALSE))</f>
        <v>0</v>
      </c>
      <c r="E2983" s="416">
        <f>IF(ISERROR(VLOOKUP(B2982,'MD Usage'!$A$1:$W$5000,5,FALSE)),0,VLOOKUP(B2982,'MD Usage'!$A$1:$W$5000,5,FALSE))</f>
        <v>0</v>
      </c>
      <c r="F2983" s="416">
        <f>IF(ISERROR(VLOOKUP(B2982,'MD Usage'!$A$1:$W$5000,7,FALSE)),0,VLOOKUP(B2982,'MD Usage'!$A$1:$W$5000,7,FALSE))</f>
        <v>0</v>
      </c>
      <c r="G2983" s="416">
        <f>IF(ISERROR(VLOOKUP(B2982,'MD Usage'!$A$1:$W$5000,9,FALSE)),0,VLOOKUP(B2982,'MD Usage'!$A$1:$W$5000,9,FALSE))</f>
        <v>0</v>
      </c>
      <c r="H2983" s="416">
        <f>IF(ISERROR(VLOOKUP(B2982,'MD Usage'!$A$1:$W$5000,11,FALSE)),0,VLOOKUP(B2982,'MD Usage'!$A$1:$W$5000,11,FALSE))</f>
        <v>0</v>
      </c>
      <c r="I2983" s="416">
        <f>IF(ISERROR(VLOOKUP(B2982,'MD Usage'!A1:R2000,13,FALSE)),0,VLOOKUP(B2982,'MD Usage'!A1:R2000,13,FALSE))</f>
        <v>0</v>
      </c>
      <c r="J2983" s="416">
        <f>IF(ISERROR(VLOOKUP(B2982,'MD Usage'!A1:R2000,15,FALSE)),0,VLOOKUP(B2982,'MD Usage'!A1:R2000,15,FALSE))</f>
        <v>0</v>
      </c>
      <c r="K2983" s="418">
        <f t="shared" ref="K2983:K2989" si="202">SUM(D2983:J2983)</f>
        <v>0</v>
      </c>
    </row>
    <row r="2984" spans="2:13" ht="15" customHeight="1" x14ac:dyDescent="0.25">
      <c r="B2984" s="383"/>
      <c r="C2984" s="420"/>
      <c r="D2984" s="421">
        <f t="shared" ref="D2984:D2989" si="203">$D$2983*C2984</f>
        <v>0</v>
      </c>
      <c r="E2984" s="421">
        <f t="shared" ref="E2984:E2989" si="204">$E$2983*C2984</f>
        <v>0</v>
      </c>
      <c r="F2984" s="421">
        <f t="shared" ref="F2984:F2989" si="205">$F$2983*C2984</f>
        <v>0</v>
      </c>
      <c r="G2984" s="421">
        <f t="shared" ref="G2984:G2989" si="206">$G$2983*C2984</f>
        <v>0</v>
      </c>
      <c r="H2984" s="421">
        <f t="shared" ref="H2984:H2989" si="207">$H$2983*C2984</f>
        <v>0</v>
      </c>
      <c r="I2984" s="421">
        <f t="shared" ref="I2984:I2989" si="208">$I$2983*C2984</f>
        <v>0</v>
      </c>
      <c r="J2984" s="421">
        <f t="shared" ref="J2984:J2989" si="209">$J$2983*C2984</f>
        <v>0</v>
      </c>
      <c r="K2984" s="422">
        <f t="shared" si="202"/>
        <v>0</v>
      </c>
    </row>
    <row r="2985" spans="2:13" ht="15" customHeight="1" x14ac:dyDescent="0.25">
      <c r="B2985" s="389"/>
      <c r="C2985" s="423"/>
      <c r="D2985" s="421">
        <f t="shared" si="203"/>
        <v>0</v>
      </c>
      <c r="E2985" s="421">
        <f t="shared" si="204"/>
        <v>0</v>
      </c>
      <c r="F2985" s="421">
        <f t="shared" si="205"/>
        <v>0</v>
      </c>
      <c r="G2985" s="421">
        <f t="shared" si="206"/>
        <v>0</v>
      </c>
      <c r="H2985" s="421">
        <f t="shared" si="207"/>
        <v>0</v>
      </c>
      <c r="I2985" s="421">
        <f t="shared" si="208"/>
        <v>0</v>
      </c>
      <c r="J2985" s="421">
        <f t="shared" si="209"/>
        <v>0</v>
      </c>
      <c r="K2985" s="424">
        <f t="shared" si="202"/>
        <v>0</v>
      </c>
    </row>
    <row r="2986" spans="2:13" ht="15" customHeight="1" x14ac:dyDescent="0.25">
      <c r="B2986" s="389"/>
      <c r="C2986" s="423"/>
      <c r="D2986" s="421">
        <f t="shared" si="203"/>
        <v>0</v>
      </c>
      <c r="E2986" s="421">
        <f t="shared" si="204"/>
        <v>0</v>
      </c>
      <c r="F2986" s="421">
        <f t="shared" si="205"/>
        <v>0</v>
      </c>
      <c r="G2986" s="421">
        <f t="shared" si="206"/>
        <v>0</v>
      </c>
      <c r="H2986" s="421">
        <f t="shared" si="207"/>
        <v>0</v>
      </c>
      <c r="I2986" s="421">
        <f t="shared" si="208"/>
        <v>0</v>
      </c>
      <c r="J2986" s="421">
        <f t="shared" si="209"/>
        <v>0</v>
      </c>
      <c r="K2986" s="422">
        <f t="shared" si="202"/>
        <v>0</v>
      </c>
    </row>
    <row r="2987" spans="2:13" ht="15" customHeight="1" x14ac:dyDescent="0.25">
      <c r="B2987" s="389"/>
      <c r="C2987" s="423"/>
      <c r="D2987" s="421">
        <f t="shared" si="203"/>
        <v>0</v>
      </c>
      <c r="E2987" s="421">
        <f t="shared" si="204"/>
        <v>0</v>
      </c>
      <c r="F2987" s="421">
        <f t="shared" si="205"/>
        <v>0</v>
      </c>
      <c r="G2987" s="421">
        <f t="shared" si="206"/>
        <v>0</v>
      </c>
      <c r="H2987" s="421">
        <f t="shared" si="207"/>
        <v>0</v>
      </c>
      <c r="I2987" s="421">
        <f t="shared" si="208"/>
        <v>0</v>
      </c>
      <c r="J2987" s="421">
        <f t="shared" si="209"/>
        <v>0</v>
      </c>
      <c r="K2987" s="424">
        <f t="shared" si="202"/>
        <v>0</v>
      </c>
    </row>
    <row r="2988" spans="2:13" ht="15" customHeight="1" x14ac:dyDescent="0.25">
      <c r="B2988" s="419"/>
      <c r="C2988" s="420"/>
      <c r="D2988" s="421">
        <f t="shared" si="203"/>
        <v>0</v>
      </c>
      <c r="E2988" s="421">
        <f t="shared" si="204"/>
        <v>0</v>
      </c>
      <c r="F2988" s="421">
        <f t="shared" si="205"/>
        <v>0</v>
      </c>
      <c r="G2988" s="421">
        <f t="shared" si="206"/>
        <v>0</v>
      </c>
      <c r="H2988" s="421">
        <f t="shared" si="207"/>
        <v>0</v>
      </c>
      <c r="I2988" s="421">
        <f t="shared" si="208"/>
        <v>0</v>
      </c>
      <c r="J2988" s="421">
        <f t="shared" si="209"/>
        <v>0</v>
      </c>
      <c r="K2988" s="422">
        <f t="shared" si="202"/>
        <v>0</v>
      </c>
    </row>
    <row r="2989" spans="2:13" ht="15" customHeight="1" x14ac:dyDescent="0.25">
      <c r="B2989" s="389"/>
      <c r="C2989" s="423"/>
      <c r="D2989" s="421">
        <f t="shared" si="203"/>
        <v>0</v>
      </c>
      <c r="E2989" s="421">
        <f t="shared" si="204"/>
        <v>0</v>
      </c>
      <c r="F2989" s="421">
        <f t="shared" si="205"/>
        <v>0</v>
      </c>
      <c r="G2989" s="421">
        <f t="shared" si="206"/>
        <v>0</v>
      </c>
      <c r="H2989" s="421">
        <f t="shared" si="207"/>
        <v>0</v>
      </c>
      <c r="I2989" s="421">
        <f t="shared" si="208"/>
        <v>0</v>
      </c>
      <c r="J2989" s="421">
        <f t="shared" si="209"/>
        <v>0</v>
      </c>
      <c r="K2989" s="424">
        <f t="shared" si="202"/>
        <v>0</v>
      </c>
    </row>
    <row r="2991" spans="2:13" ht="15" customHeight="1" thickBot="1" x14ac:dyDescent="0.3"/>
    <row r="2992" spans="2:13" ht="15" customHeight="1" thickBot="1" x14ac:dyDescent="0.3">
      <c r="B2992" s="432"/>
      <c r="C2992" s="411"/>
      <c r="D2992" s="407" t="s">
        <v>548</v>
      </c>
      <c r="E2992" s="408" t="s">
        <v>549</v>
      </c>
      <c r="F2992" s="408" t="s">
        <v>550</v>
      </c>
      <c r="G2992" s="408" t="s">
        <v>551</v>
      </c>
      <c r="H2992" s="408" t="s">
        <v>552</v>
      </c>
      <c r="I2992" s="408" t="s">
        <v>553</v>
      </c>
      <c r="J2992" s="408" t="s">
        <v>554</v>
      </c>
      <c r="K2992" s="408" t="s">
        <v>555</v>
      </c>
      <c r="M2992" s="426"/>
    </row>
    <row r="2993" spans="2:13" ht="15" customHeight="1" thickBot="1" x14ac:dyDescent="0.3">
      <c r="B2993" s="414" t="s">
        <v>556</v>
      </c>
      <c r="C2993" s="415" t="s">
        <v>620</v>
      </c>
      <c r="D2993" s="416">
        <f>IF(ISERROR(VLOOKUP(B2992,'MD Usage'!$A$1:$W$5000,3,FALSE)),0,VLOOKUP(B2992,'MD Usage'!$A$1:$W$5000,3,FALSE))</f>
        <v>0</v>
      </c>
      <c r="E2993" s="416">
        <f>IF(ISERROR(VLOOKUP(B2992,'MD Usage'!$A$1:$W$5000,5,FALSE)),0,VLOOKUP(B2992,'MD Usage'!$A$1:$W$5000,5,FALSE))</f>
        <v>0</v>
      </c>
      <c r="F2993" s="416">
        <f>IF(ISERROR(VLOOKUP(B2992,'MD Usage'!$A$1:$W$5000,7,FALSE)),0,VLOOKUP(B2992,'MD Usage'!$A$1:$W$5000,7,FALSE))</f>
        <v>0</v>
      </c>
      <c r="G2993" s="416">
        <f>IF(ISERROR(VLOOKUP(B2992,'MD Usage'!$A$1:$W$5000,9,FALSE)),0,VLOOKUP(B2992,'MD Usage'!$A$1:$W$5000,9,FALSE))</f>
        <v>0</v>
      </c>
      <c r="H2993" s="416">
        <f>IF(ISERROR(VLOOKUP(B2992,'MD Usage'!$A$1:$W$5000,11,FALSE)),0,VLOOKUP(B2992,'MD Usage'!$A$1:$W$5000,11,FALSE))</f>
        <v>0</v>
      </c>
      <c r="I2993" s="416">
        <f>IF(ISERROR(VLOOKUP(B2992,'MD Usage'!A1:R2000,13,FALSE)),0,VLOOKUP(B2992,'MD Usage'!A1:R2000,13,FALSE))</f>
        <v>0</v>
      </c>
      <c r="J2993" s="416">
        <f>IF(ISERROR(VLOOKUP(B2992,'MD Usage'!A1:R2000,15,FALSE)),0,VLOOKUP(B2992,'MD Usage'!A1:R2000,15,FALSE))</f>
        <v>0</v>
      </c>
      <c r="K2993" s="418">
        <f t="shared" ref="K2993:K2999" si="210">SUM(D2993:J2993)</f>
        <v>0</v>
      </c>
    </row>
    <row r="2994" spans="2:13" ht="15" customHeight="1" x14ac:dyDescent="0.25">
      <c r="B2994" s="419"/>
      <c r="C2994" s="420"/>
      <c r="D2994" s="421">
        <f t="shared" ref="D2994:D2999" si="211">$D$2993*C2994</f>
        <v>0</v>
      </c>
      <c r="E2994" s="421">
        <f t="shared" ref="E2994:E2999" si="212">$E$2993*C2994</f>
        <v>0</v>
      </c>
      <c r="F2994" s="421">
        <f t="shared" ref="F2994:F2999" si="213">$F$2993*C2994</f>
        <v>0</v>
      </c>
      <c r="G2994" s="421">
        <f t="shared" ref="G2994:G2999" si="214">$G$2993*C2994</f>
        <v>0</v>
      </c>
      <c r="H2994" s="421">
        <f t="shared" ref="H2994:H2999" si="215">$H$2993*C2994</f>
        <v>0</v>
      </c>
      <c r="I2994" s="421">
        <f t="shared" ref="I2994:I2999" si="216">$I$2993*C2994</f>
        <v>0</v>
      </c>
      <c r="J2994" s="421">
        <f t="shared" ref="J2994:J2999" si="217">$J$2993*C2994</f>
        <v>0</v>
      </c>
      <c r="K2994" s="422">
        <f t="shared" si="210"/>
        <v>0</v>
      </c>
    </row>
    <row r="2995" spans="2:13" ht="15" customHeight="1" x14ac:dyDescent="0.25">
      <c r="B2995" s="389"/>
      <c r="C2995" s="423"/>
      <c r="D2995" s="421">
        <f t="shared" si="211"/>
        <v>0</v>
      </c>
      <c r="E2995" s="421">
        <f t="shared" si="212"/>
        <v>0</v>
      </c>
      <c r="F2995" s="421">
        <f t="shared" si="213"/>
        <v>0</v>
      </c>
      <c r="G2995" s="421">
        <f t="shared" si="214"/>
        <v>0</v>
      </c>
      <c r="H2995" s="421">
        <f t="shared" si="215"/>
        <v>0</v>
      </c>
      <c r="I2995" s="421">
        <f t="shared" si="216"/>
        <v>0</v>
      </c>
      <c r="J2995" s="421">
        <f t="shared" si="217"/>
        <v>0</v>
      </c>
      <c r="K2995" s="424">
        <f t="shared" si="210"/>
        <v>0</v>
      </c>
    </row>
    <row r="2996" spans="2:13" ht="15" customHeight="1" x14ac:dyDescent="0.25">
      <c r="B2996" s="389"/>
      <c r="C2996" s="423"/>
      <c r="D2996" s="421">
        <f t="shared" si="211"/>
        <v>0</v>
      </c>
      <c r="E2996" s="421">
        <f t="shared" si="212"/>
        <v>0</v>
      </c>
      <c r="F2996" s="421">
        <f t="shared" si="213"/>
        <v>0</v>
      </c>
      <c r="G2996" s="421">
        <f t="shared" si="214"/>
        <v>0</v>
      </c>
      <c r="H2996" s="421">
        <f t="shared" si="215"/>
        <v>0</v>
      </c>
      <c r="I2996" s="421">
        <f t="shared" si="216"/>
        <v>0</v>
      </c>
      <c r="J2996" s="421">
        <f t="shared" si="217"/>
        <v>0</v>
      </c>
      <c r="K2996" s="422">
        <f t="shared" si="210"/>
        <v>0</v>
      </c>
    </row>
    <row r="2997" spans="2:13" ht="15" customHeight="1" x14ac:dyDescent="0.25">
      <c r="B2997" s="389"/>
      <c r="C2997" s="423"/>
      <c r="D2997" s="421">
        <f t="shared" si="211"/>
        <v>0</v>
      </c>
      <c r="E2997" s="421">
        <f t="shared" si="212"/>
        <v>0</v>
      </c>
      <c r="F2997" s="421">
        <f t="shared" si="213"/>
        <v>0</v>
      </c>
      <c r="G2997" s="421">
        <f t="shared" si="214"/>
        <v>0</v>
      </c>
      <c r="H2997" s="421">
        <f t="shared" si="215"/>
        <v>0</v>
      </c>
      <c r="I2997" s="421">
        <f t="shared" si="216"/>
        <v>0</v>
      </c>
      <c r="J2997" s="421">
        <f t="shared" si="217"/>
        <v>0</v>
      </c>
      <c r="K2997" s="424">
        <f t="shared" si="210"/>
        <v>0</v>
      </c>
    </row>
    <row r="2998" spans="2:13" ht="15" customHeight="1" x14ac:dyDescent="0.25">
      <c r="B2998" s="419"/>
      <c r="C2998" s="420"/>
      <c r="D2998" s="421">
        <f t="shared" si="211"/>
        <v>0</v>
      </c>
      <c r="E2998" s="421">
        <f t="shared" si="212"/>
        <v>0</v>
      </c>
      <c r="F2998" s="421">
        <f t="shared" si="213"/>
        <v>0</v>
      </c>
      <c r="G2998" s="421">
        <f t="shared" si="214"/>
        <v>0</v>
      </c>
      <c r="H2998" s="421">
        <f t="shared" si="215"/>
        <v>0</v>
      </c>
      <c r="I2998" s="421">
        <f t="shared" si="216"/>
        <v>0</v>
      </c>
      <c r="J2998" s="421">
        <f t="shared" si="217"/>
        <v>0</v>
      </c>
      <c r="K2998" s="422">
        <f t="shared" si="210"/>
        <v>0</v>
      </c>
    </row>
    <row r="2999" spans="2:13" ht="15" customHeight="1" x14ac:dyDescent="0.25">
      <c r="B2999" s="389"/>
      <c r="C2999" s="423"/>
      <c r="D2999" s="421">
        <f t="shared" si="211"/>
        <v>0</v>
      </c>
      <c r="E2999" s="421">
        <f t="shared" si="212"/>
        <v>0</v>
      </c>
      <c r="F2999" s="421">
        <f t="shared" si="213"/>
        <v>0</v>
      </c>
      <c r="G2999" s="421">
        <f t="shared" si="214"/>
        <v>0</v>
      </c>
      <c r="H2999" s="421">
        <f t="shared" si="215"/>
        <v>0</v>
      </c>
      <c r="I2999" s="421">
        <f t="shared" si="216"/>
        <v>0</v>
      </c>
      <c r="J2999" s="421">
        <f t="shared" si="217"/>
        <v>0</v>
      </c>
      <c r="K2999" s="424">
        <f t="shared" si="210"/>
        <v>0</v>
      </c>
    </row>
    <row r="3001" spans="2:13" ht="15" customHeight="1" thickBot="1" x14ac:dyDescent="0.3"/>
    <row r="3002" spans="2:13" ht="15" customHeight="1" thickBot="1" x14ac:dyDescent="0.3">
      <c r="B3002" s="432"/>
      <c r="C3002" s="411"/>
      <c r="D3002" s="407" t="s">
        <v>548</v>
      </c>
      <c r="E3002" s="408" t="s">
        <v>549</v>
      </c>
      <c r="F3002" s="408" t="s">
        <v>550</v>
      </c>
      <c r="G3002" s="408" t="s">
        <v>551</v>
      </c>
      <c r="H3002" s="408" t="s">
        <v>552</v>
      </c>
      <c r="I3002" s="408" t="s">
        <v>553</v>
      </c>
      <c r="J3002" s="408" t="s">
        <v>554</v>
      </c>
      <c r="K3002" s="408" t="s">
        <v>555</v>
      </c>
      <c r="M3002" s="426"/>
    </row>
    <row r="3003" spans="2:13" ht="15" customHeight="1" thickBot="1" x14ac:dyDescent="0.3">
      <c r="B3003" s="414" t="s">
        <v>556</v>
      </c>
      <c r="C3003" s="415" t="s">
        <v>620</v>
      </c>
      <c r="D3003" s="416">
        <f>IF(ISERROR(VLOOKUP(B3002,'MD Usage'!$A$1:$W$5000,3,FALSE)),0,VLOOKUP(B3002,'MD Usage'!$A$1:$W$5000,3,FALSE))</f>
        <v>0</v>
      </c>
      <c r="E3003" s="416">
        <f>IF(ISERROR(VLOOKUP(B3002,'MD Usage'!$A$1:$W$5000,5,FALSE)),0,VLOOKUP(B3002,'MD Usage'!$A$1:$W$5000,5,FALSE))</f>
        <v>0</v>
      </c>
      <c r="F3003" s="416">
        <f>IF(ISERROR(VLOOKUP(B3002,'MD Usage'!$A$1:$W$5000,7,FALSE)),0,VLOOKUP(B3002,'MD Usage'!$A$1:$W$5000,7,FALSE))</f>
        <v>0</v>
      </c>
      <c r="G3003" s="416">
        <f>IF(ISERROR(VLOOKUP(B3002,'MD Usage'!$A$1:$W$5000,9,FALSE)),0,VLOOKUP(B3002,'MD Usage'!$A$1:$W$5000,9,FALSE))</f>
        <v>0</v>
      </c>
      <c r="H3003" s="416">
        <f>IF(ISERROR(VLOOKUP(B3002,'MD Usage'!$A$1:$W$5000,11,FALSE)),0,VLOOKUP(B3002,'MD Usage'!$A$1:$W$5000,11,FALSE))</f>
        <v>0</v>
      </c>
      <c r="I3003" s="416">
        <f>IF(ISERROR(VLOOKUP(B3002,'MD Usage'!A1:R2000,13,FALSE)),0,VLOOKUP(B3002,'MD Usage'!A1:R2000,13,FALSE))</f>
        <v>0</v>
      </c>
      <c r="J3003" s="416">
        <f>IF(ISERROR(VLOOKUP(B3002,'MD Usage'!A1:R2000,15,FALSE)),0,VLOOKUP(B3002,'MD Usage'!A1:R2000,15,FALSE))</f>
        <v>0</v>
      </c>
      <c r="K3003" s="418">
        <f t="shared" ref="K3003:K3009" si="218">SUM(D3003:J3003)</f>
        <v>0</v>
      </c>
    </row>
    <row r="3004" spans="2:13" ht="15" customHeight="1" x14ac:dyDescent="0.25">
      <c r="B3004" s="419"/>
      <c r="C3004" s="420"/>
      <c r="D3004" s="421">
        <f t="shared" ref="D3004:D3009" si="219">$D$3003*C3004</f>
        <v>0</v>
      </c>
      <c r="E3004" s="421">
        <f t="shared" ref="E3004:E3009" si="220">$E$3003*C3004</f>
        <v>0</v>
      </c>
      <c r="F3004" s="421">
        <f t="shared" ref="F3004:F3009" si="221">$F$3003*C3004</f>
        <v>0</v>
      </c>
      <c r="G3004" s="421">
        <f t="shared" ref="G3004:G3009" si="222">$G$3003*C3004</f>
        <v>0</v>
      </c>
      <c r="H3004" s="421">
        <f t="shared" ref="H3004:H3009" si="223">$H$3003*C3004</f>
        <v>0</v>
      </c>
      <c r="I3004" s="421">
        <f t="shared" ref="I3004:I3009" si="224">$I$3003*C3004</f>
        <v>0</v>
      </c>
      <c r="J3004" s="421">
        <f t="shared" ref="J3004:J3009" si="225">$J$3003*C3004</f>
        <v>0</v>
      </c>
      <c r="K3004" s="422">
        <f t="shared" si="218"/>
        <v>0</v>
      </c>
    </row>
    <row r="3005" spans="2:13" ht="15" customHeight="1" x14ac:dyDescent="0.25">
      <c r="B3005" s="389"/>
      <c r="C3005" s="423"/>
      <c r="D3005" s="421">
        <f t="shared" si="219"/>
        <v>0</v>
      </c>
      <c r="E3005" s="421">
        <f t="shared" si="220"/>
        <v>0</v>
      </c>
      <c r="F3005" s="421">
        <f t="shared" si="221"/>
        <v>0</v>
      </c>
      <c r="G3005" s="421">
        <f t="shared" si="222"/>
        <v>0</v>
      </c>
      <c r="H3005" s="421">
        <f t="shared" si="223"/>
        <v>0</v>
      </c>
      <c r="I3005" s="421">
        <f t="shared" si="224"/>
        <v>0</v>
      </c>
      <c r="J3005" s="421">
        <f t="shared" si="225"/>
        <v>0</v>
      </c>
      <c r="K3005" s="424">
        <f t="shared" si="218"/>
        <v>0</v>
      </c>
    </row>
    <row r="3006" spans="2:13" ht="15" customHeight="1" x14ac:dyDescent="0.25">
      <c r="B3006" s="389"/>
      <c r="C3006" s="423"/>
      <c r="D3006" s="421">
        <f t="shared" si="219"/>
        <v>0</v>
      </c>
      <c r="E3006" s="421">
        <f t="shared" si="220"/>
        <v>0</v>
      </c>
      <c r="F3006" s="421">
        <f t="shared" si="221"/>
        <v>0</v>
      </c>
      <c r="G3006" s="421">
        <f t="shared" si="222"/>
        <v>0</v>
      </c>
      <c r="H3006" s="421">
        <f t="shared" si="223"/>
        <v>0</v>
      </c>
      <c r="I3006" s="421">
        <f t="shared" si="224"/>
        <v>0</v>
      </c>
      <c r="J3006" s="421">
        <f t="shared" si="225"/>
        <v>0</v>
      </c>
      <c r="K3006" s="422">
        <f t="shared" si="218"/>
        <v>0</v>
      </c>
    </row>
    <row r="3007" spans="2:13" ht="15" customHeight="1" x14ac:dyDescent="0.25">
      <c r="B3007" s="389"/>
      <c r="C3007" s="423"/>
      <c r="D3007" s="421">
        <f t="shared" si="219"/>
        <v>0</v>
      </c>
      <c r="E3007" s="421">
        <f t="shared" si="220"/>
        <v>0</v>
      </c>
      <c r="F3007" s="421">
        <f t="shared" si="221"/>
        <v>0</v>
      </c>
      <c r="G3007" s="421">
        <f t="shared" si="222"/>
        <v>0</v>
      </c>
      <c r="H3007" s="421">
        <f t="shared" si="223"/>
        <v>0</v>
      </c>
      <c r="I3007" s="421">
        <f t="shared" si="224"/>
        <v>0</v>
      </c>
      <c r="J3007" s="421">
        <f t="shared" si="225"/>
        <v>0</v>
      </c>
      <c r="K3007" s="424">
        <f t="shared" si="218"/>
        <v>0</v>
      </c>
    </row>
    <row r="3008" spans="2:13" ht="15" customHeight="1" x14ac:dyDescent="0.25">
      <c r="B3008" s="419"/>
      <c r="C3008" s="420"/>
      <c r="D3008" s="421">
        <f t="shared" si="219"/>
        <v>0</v>
      </c>
      <c r="E3008" s="421">
        <f t="shared" si="220"/>
        <v>0</v>
      </c>
      <c r="F3008" s="421">
        <f t="shared" si="221"/>
        <v>0</v>
      </c>
      <c r="G3008" s="421">
        <f t="shared" si="222"/>
        <v>0</v>
      </c>
      <c r="H3008" s="421">
        <f t="shared" si="223"/>
        <v>0</v>
      </c>
      <c r="I3008" s="421">
        <f t="shared" si="224"/>
        <v>0</v>
      </c>
      <c r="J3008" s="421">
        <f t="shared" si="225"/>
        <v>0</v>
      </c>
      <c r="K3008" s="422">
        <f t="shared" si="218"/>
        <v>0</v>
      </c>
    </row>
    <row r="3009" spans="2:13" ht="15" customHeight="1" x14ac:dyDescent="0.25">
      <c r="B3009" s="389"/>
      <c r="C3009" s="423"/>
      <c r="D3009" s="421">
        <f t="shared" si="219"/>
        <v>0</v>
      </c>
      <c r="E3009" s="421">
        <f t="shared" si="220"/>
        <v>0</v>
      </c>
      <c r="F3009" s="421">
        <f t="shared" si="221"/>
        <v>0</v>
      </c>
      <c r="G3009" s="421">
        <f t="shared" si="222"/>
        <v>0</v>
      </c>
      <c r="H3009" s="421">
        <f t="shared" si="223"/>
        <v>0</v>
      </c>
      <c r="I3009" s="421">
        <f t="shared" si="224"/>
        <v>0</v>
      </c>
      <c r="J3009" s="421">
        <f t="shared" si="225"/>
        <v>0</v>
      </c>
      <c r="K3009" s="424">
        <f t="shared" si="218"/>
        <v>0</v>
      </c>
    </row>
    <row r="3010" spans="2:13" ht="15" customHeight="1" thickBot="1" x14ac:dyDescent="0.3"/>
    <row r="3011" spans="2:13" ht="15" customHeight="1" thickBot="1" x14ac:dyDescent="0.3">
      <c r="B3011" s="432"/>
      <c r="C3011" s="411"/>
      <c r="D3011" s="407" t="s">
        <v>548</v>
      </c>
      <c r="E3011" s="408" t="s">
        <v>549</v>
      </c>
      <c r="F3011" s="408" t="s">
        <v>550</v>
      </c>
      <c r="G3011" s="408" t="s">
        <v>551</v>
      </c>
      <c r="H3011" s="408" t="s">
        <v>552</v>
      </c>
      <c r="I3011" s="408" t="s">
        <v>553</v>
      </c>
      <c r="J3011" s="408" t="s">
        <v>554</v>
      </c>
      <c r="K3011" s="408" t="s">
        <v>555</v>
      </c>
      <c r="M3011" s="426"/>
    </row>
    <row r="3012" spans="2:13" ht="15" customHeight="1" thickBot="1" x14ac:dyDescent="0.3">
      <c r="B3012" s="414" t="s">
        <v>556</v>
      </c>
      <c r="C3012" s="415" t="s">
        <v>620</v>
      </c>
      <c r="D3012" s="416">
        <f>IF(ISERROR(VLOOKUP(B3011,'MD Usage'!$A$1:$W$5000,3,FALSE)),0,VLOOKUP(B3011,'MD Usage'!$A$1:$W$5000,3,FALSE))</f>
        <v>0</v>
      </c>
      <c r="E3012" s="416">
        <f>IF(ISERROR(VLOOKUP(B3011,'MD Usage'!$A$1:$W$5000,5,FALSE)),0,VLOOKUP(B3011,'MD Usage'!$A$1:$W$5000,5,FALSE))</f>
        <v>0</v>
      </c>
      <c r="F3012" s="416">
        <f>IF(ISERROR(VLOOKUP(B3011,'MD Usage'!$A$1:$W$5000,7,FALSE)),0,VLOOKUP(B3011,'MD Usage'!$A$1:$W$5000,7,FALSE))</f>
        <v>0</v>
      </c>
      <c r="G3012" s="416">
        <f>IF(ISERROR(VLOOKUP(B3011,'MD Usage'!$A$1:$W$5000,9,FALSE)),0,VLOOKUP(B3011,'MD Usage'!$A$1:$W$5000,9,FALSE))</f>
        <v>0</v>
      </c>
      <c r="H3012" s="416">
        <f>IF(ISERROR(VLOOKUP(B3011,'MD Usage'!$A$1:$W$5000,11,FALSE)),0,VLOOKUP(B3011,'MD Usage'!$A$1:$W$5000,11,FALSE))</f>
        <v>0</v>
      </c>
      <c r="I3012" s="416">
        <f>IF(ISERROR(VLOOKUP(B3011,'MD Usage'!A1:R2000,13,FALSE)),0,VLOOKUP(B3011,'MD Usage'!A1:R2000,13,FALSE))</f>
        <v>0</v>
      </c>
      <c r="J3012" s="416">
        <f>IF(ISERROR(VLOOKUP(B3011,'MD Usage'!A1:R2000,15,FALSE)),0,VLOOKUP(B3011,'MD Usage'!A1:R2000,15,FALSE))</f>
        <v>0</v>
      </c>
      <c r="K3012" s="418">
        <f t="shared" ref="K3012:K3018" si="226">SUM(D3012:J3012)</f>
        <v>0</v>
      </c>
    </row>
    <row r="3013" spans="2:13" ht="15" customHeight="1" x14ac:dyDescent="0.25">
      <c r="B3013" s="419"/>
      <c r="C3013" s="420"/>
      <c r="D3013" s="421">
        <f t="shared" ref="D3013:D3018" si="227">$D$3012*C3013</f>
        <v>0</v>
      </c>
      <c r="E3013" s="421">
        <f t="shared" ref="E3013:E3018" si="228">$E$3012*C3013</f>
        <v>0</v>
      </c>
      <c r="F3013" s="421">
        <f t="shared" ref="F3013:F3018" si="229">$F$3012*E3013</f>
        <v>0</v>
      </c>
      <c r="G3013" s="421">
        <f t="shared" ref="G3013:G3018" si="230">$G$3012*F3013</f>
        <v>0</v>
      </c>
      <c r="H3013" s="421">
        <f t="shared" ref="H3013:H3018" si="231">$H$3012*G3013</f>
        <v>0</v>
      </c>
      <c r="I3013" s="421">
        <f t="shared" ref="I3013:I3018" si="232">$I$3012*H3013</f>
        <v>0</v>
      </c>
      <c r="J3013" s="421">
        <f t="shared" ref="J3013:J3018" si="233">$J$3012*I3013</f>
        <v>0</v>
      </c>
      <c r="K3013" s="422">
        <f t="shared" si="226"/>
        <v>0</v>
      </c>
    </row>
    <row r="3014" spans="2:13" ht="15" customHeight="1" x14ac:dyDescent="0.25">
      <c r="B3014" s="389"/>
      <c r="C3014" s="423"/>
      <c r="D3014" s="421">
        <f t="shared" si="227"/>
        <v>0</v>
      </c>
      <c r="E3014" s="421">
        <f t="shared" si="228"/>
        <v>0</v>
      </c>
      <c r="F3014" s="421">
        <f t="shared" si="229"/>
        <v>0</v>
      </c>
      <c r="G3014" s="421">
        <f t="shared" si="230"/>
        <v>0</v>
      </c>
      <c r="H3014" s="421">
        <f t="shared" si="231"/>
        <v>0</v>
      </c>
      <c r="I3014" s="421">
        <f t="shared" si="232"/>
        <v>0</v>
      </c>
      <c r="J3014" s="421">
        <f t="shared" si="233"/>
        <v>0</v>
      </c>
      <c r="K3014" s="424">
        <f t="shared" si="226"/>
        <v>0</v>
      </c>
    </row>
    <row r="3015" spans="2:13" ht="15" customHeight="1" x14ac:dyDescent="0.25">
      <c r="B3015" s="389"/>
      <c r="C3015" s="423"/>
      <c r="D3015" s="421">
        <f t="shared" si="227"/>
        <v>0</v>
      </c>
      <c r="E3015" s="421">
        <f t="shared" si="228"/>
        <v>0</v>
      </c>
      <c r="F3015" s="421">
        <f t="shared" si="229"/>
        <v>0</v>
      </c>
      <c r="G3015" s="421">
        <f t="shared" si="230"/>
        <v>0</v>
      </c>
      <c r="H3015" s="421">
        <f t="shared" si="231"/>
        <v>0</v>
      </c>
      <c r="I3015" s="421">
        <f t="shared" si="232"/>
        <v>0</v>
      </c>
      <c r="J3015" s="421">
        <f t="shared" si="233"/>
        <v>0</v>
      </c>
      <c r="K3015" s="422">
        <f t="shared" si="226"/>
        <v>0</v>
      </c>
    </row>
    <row r="3016" spans="2:13" ht="15" customHeight="1" x14ac:dyDescent="0.25">
      <c r="B3016" s="389"/>
      <c r="C3016" s="423"/>
      <c r="D3016" s="421">
        <f t="shared" si="227"/>
        <v>0</v>
      </c>
      <c r="E3016" s="421">
        <f t="shared" si="228"/>
        <v>0</v>
      </c>
      <c r="F3016" s="421">
        <f t="shared" si="229"/>
        <v>0</v>
      </c>
      <c r="G3016" s="421">
        <f t="shared" si="230"/>
        <v>0</v>
      </c>
      <c r="H3016" s="421">
        <f t="shared" si="231"/>
        <v>0</v>
      </c>
      <c r="I3016" s="421">
        <f t="shared" si="232"/>
        <v>0</v>
      </c>
      <c r="J3016" s="421">
        <f t="shared" si="233"/>
        <v>0</v>
      </c>
      <c r="K3016" s="424">
        <f t="shared" si="226"/>
        <v>0</v>
      </c>
    </row>
    <row r="3017" spans="2:13" ht="15" customHeight="1" x14ac:dyDescent="0.25">
      <c r="B3017" s="419"/>
      <c r="C3017" s="420"/>
      <c r="D3017" s="421">
        <f t="shared" si="227"/>
        <v>0</v>
      </c>
      <c r="E3017" s="421">
        <f t="shared" si="228"/>
        <v>0</v>
      </c>
      <c r="F3017" s="421">
        <f t="shared" si="229"/>
        <v>0</v>
      </c>
      <c r="G3017" s="421">
        <f t="shared" si="230"/>
        <v>0</v>
      </c>
      <c r="H3017" s="421">
        <f t="shared" si="231"/>
        <v>0</v>
      </c>
      <c r="I3017" s="421">
        <f t="shared" si="232"/>
        <v>0</v>
      </c>
      <c r="J3017" s="421">
        <f t="shared" si="233"/>
        <v>0</v>
      </c>
      <c r="K3017" s="422">
        <f t="shared" si="226"/>
        <v>0</v>
      </c>
    </row>
    <row r="3018" spans="2:13" ht="15" customHeight="1" x14ac:dyDescent="0.25">
      <c r="B3018" s="389"/>
      <c r="C3018" s="423"/>
      <c r="D3018" s="421">
        <f t="shared" si="227"/>
        <v>0</v>
      </c>
      <c r="E3018" s="421">
        <f t="shared" si="228"/>
        <v>0</v>
      </c>
      <c r="F3018" s="421">
        <f t="shared" si="229"/>
        <v>0</v>
      </c>
      <c r="G3018" s="421">
        <f t="shared" si="230"/>
        <v>0</v>
      </c>
      <c r="H3018" s="421">
        <f t="shared" si="231"/>
        <v>0</v>
      </c>
      <c r="I3018" s="421">
        <f t="shared" si="232"/>
        <v>0</v>
      </c>
      <c r="J3018" s="421">
        <f t="shared" si="233"/>
        <v>0</v>
      </c>
      <c r="K3018" s="424">
        <f t="shared" si="226"/>
        <v>0</v>
      </c>
    </row>
    <row r="3019" spans="2:13" ht="15" customHeight="1" thickBot="1" x14ac:dyDescent="0.3"/>
    <row r="3020" spans="2:13" ht="15" customHeight="1" thickBot="1" x14ac:dyDescent="0.3">
      <c r="B3020" s="432"/>
      <c r="C3020" s="411"/>
      <c r="D3020" s="407" t="s">
        <v>548</v>
      </c>
      <c r="E3020" s="408" t="s">
        <v>549</v>
      </c>
      <c r="F3020" s="408" t="s">
        <v>550</v>
      </c>
      <c r="G3020" s="408" t="s">
        <v>551</v>
      </c>
      <c r="H3020" s="408" t="s">
        <v>552</v>
      </c>
      <c r="I3020" s="408" t="s">
        <v>553</v>
      </c>
      <c r="J3020" s="408" t="s">
        <v>554</v>
      </c>
      <c r="K3020" s="408" t="s">
        <v>555</v>
      </c>
      <c r="M3020" s="426"/>
    </row>
    <row r="3021" spans="2:13" ht="15" customHeight="1" thickBot="1" x14ac:dyDescent="0.3">
      <c r="B3021" s="414" t="s">
        <v>556</v>
      </c>
      <c r="C3021" s="415" t="s">
        <v>620</v>
      </c>
      <c r="D3021" s="416">
        <f>IF(ISERROR(VLOOKUP(B3020,'MD Usage'!$A$1:$W$5000,3,FALSE)),0,VLOOKUP(B3020,'MD Usage'!$A$1:$W$5000,3,FALSE))</f>
        <v>0</v>
      </c>
      <c r="E3021" s="416">
        <f>IF(ISERROR(VLOOKUP(B3020,'MD Usage'!$A$1:$W$5000,5,FALSE)),0,VLOOKUP(B3020,'MD Usage'!$A$1:$W$5000,5,FALSE))</f>
        <v>0</v>
      </c>
      <c r="F3021" s="416">
        <f>IF(ISERROR(VLOOKUP(B3020,'MD Usage'!$A$1:$W$5000,7,FALSE)),0,VLOOKUP(B3020,'MD Usage'!$A$1:$W$5000,7,FALSE))</f>
        <v>0</v>
      </c>
      <c r="G3021" s="416">
        <f>IF(ISERROR(VLOOKUP(B3020,'MD Usage'!$A$1:$W$5000,9,FALSE)),0,VLOOKUP(B3020,'MD Usage'!$A$1:$W$5000,9,FALSE))</f>
        <v>0</v>
      </c>
      <c r="H3021" s="416">
        <f>IF(ISERROR(VLOOKUP(B3020,'MD Usage'!$A$1:$W$5000,11,FALSE)),0,VLOOKUP(B3020,'MD Usage'!$A$1:$W$5000,11,FALSE))</f>
        <v>0</v>
      </c>
      <c r="I3021" s="416">
        <f>IF(ISERROR(VLOOKUP(B3020,'MD Usage'!A1:R2000,13,FALSE)),0,VLOOKUP(B3020,'MD Usage'!A1:R2000,13,FALSE))</f>
        <v>0</v>
      </c>
      <c r="J3021" s="416">
        <f>IF(ISERROR(VLOOKUP(B3020,'MD Usage'!A1:R2000,15,FALSE)),0,VLOOKUP(B3020,'MD Usage'!A1:R2000,15,FALSE))</f>
        <v>0</v>
      </c>
      <c r="K3021" s="418">
        <f t="shared" ref="K3021:K3027" si="234">SUM(D3021:J3021)</f>
        <v>0</v>
      </c>
    </row>
    <row r="3022" spans="2:13" ht="15" customHeight="1" x14ac:dyDescent="0.25">
      <c r="B3022" s="419"/>
      <c r="C3022" s="420"/>
      <c r="D3022" s="421">
        <f t="shared" ref="D3022:D3027" si="235">$D$3021*C3022</f>
        <v>0</v>
      </c>
      <c r="E3022" s="421">
        <f t="shared" ref="E3022:E3027" si="236">$E$3021*C3022</f>
        <v>0</v>
      </c>
      <c r="F3022" s="421">
        <f t="shared" ref="F3022:F3027" si="237">$F$3021*C3022</f>
        <v>0</v>
      </c>
      <c r="G3022" s="421">
        <f t="shared" ref="G3022:G3027" si="238">$G$3021*C3022</f>
        <v>0</v>
      </c>
      <c r="H3022" s="421">
        <f t="shared" ref="H3022:H3027" si="239">$H$3021*C3022</f>
        <v>0</v>
      </c>
      <c r="I3022" s="421">
        <f t="shared" ref="I3022:I3027" si="240">$I$3021*C3022</f>
        <v>0</v>
      </c>
      <c r="J3022" s="421">
        <f t="shared" ref="J3022:J3027" si="241">$J$3021*C3022</f>
        <v>0</v>
      </c>
      <c r="K3022" s="422">
        <f t="shared" si="234"/>
        <v>0</v>
      </c>
    </row>
    <row r="3023" spans="2:13" ht="15" customHeight="1" x14ac:dyDescent="0.25">
      <c r="B3023" s="389"/>
      <c r="C3023" s="423"/>
      <c r="D3023" s="421">
        <f t="shared" si="235"/>
        <v>0</v>
      </c>
      <c r="E3023" s="421">
        <f t="shared" si="236"/>
        <v>0</v>
      </c>
      <c r="F3023" s="421">
        <f t="shared" si="237"/>
        <v>0</v>
      </c>
      <c r="G3023" s="421">
        <f t="shared" si="238"/>
        <v>0</v>
      </c>
      <c r="H3023" s="421">
        <f t="shared" si="239"/>
        <v>0</v>
      </c>
      <c r="I3023" s="421">
        <f t="shared" si="240"/>
        <v>0</v>
      </c>
      <c r="J3023" s="421">
        <f t="shared" si="241"/>
        <v>0</v>
      </c>
      <c r="K3023" s="424">
        <f t="shared" si="234"/>
        <v>0</v>
      </c>
    </row>
    <row r="3024" spans="2:13" ht="15" customHeight="1" x14ac:dyDescent="0.25">
      <c r="B3024" s="389"/>
      <c r="C3024" s="423"/>
      <c r="D3024" s="421">
        <f t="shared" si="235"/>
        <v>0</v>
      </c>
      <c r="E3024" s="421">
        <f t="shared" si="236"/>
        <v>0</v>
      </c>
      <c r="F3024" s="421">
        <f t="shared" si="237"/>
        <v>0</v>
      </c>
      <c r="G3024" s="421">
        <f t="shared" si="238"/>
        <v>0</v>
      </c>
      <c r="H3024" s="421">
        <f t="shared" si="239"/>
        <v>0</v>
      </c>
      <c r="I3024" s="421">
        <f t="shared" si="240"/>
        <v>0</v>
      </c>
      <c r="J3024" s="421">
        <f t="shared" si="241"/>
        <v>0</v>
      </c>
      <c r="K3024" s="422">
        <f t="shared" si="234"/>
        <v>0</v>
      </c>
    </row>
    <row r="3025" spans="2:13" ht="15" customHeight="1" x14ac:dyDescent="0.25">
      <c r="B3025" s="389"/>
      <c r="C3025" s="423"/>
      <c r="D3025" s="421">
        <f t="shared" si="235"/>
        <v>0</v>
      </c>
      <c r="E3025" s="421">
        <f t="shared" si="236"/>
        <v>0</v>
      </c>
      <c r="F3025" s="421">
        <f t="shared" si="237"/>
        <v>0</v>
      </c>
      <c r="G3025" s="421">
        <f t="shared" si="238"/>
        <v>0</v>
      </c>
      <c r="H3025" s="421">
        <f t="shared" si="239"/>
        <v>0</v>
      </c>
      <c r="I3025" s="421">
        <f t="shared" si="240"/>
        <v>0</v>
      </c>
      <c r="J3025" s="421">
        <f t="shared" si="241"/>
        <v>0</v>
      </c>
      <c r="K3025" s="424">
        <f t="shared" si="234"/>
        <v>0</v>
      </c>
    </row>
    <row r="3026" spans="2:13" ht="15" customHeight="1" x14ac:dyDescent="0.25">
      <c r="B3026" s="419"/>
      <c r="C3026" s="420"/>
      <c r="D3026" s="421">
        <f t="shared" si="235"/>
        <v>0</v>
      </c>
      <c r="E3026" s="421">
        <f t="shared" si="236"/>
        <v>0</v>
      </c>
      <c r="F3026" s="421">
        <f t="shared" si="237"/>
        <v>0</v>
      </c>
      <c r="G3026" s="421">
        <f t="shared" si="238"/>
        <v>0</v>
      </c>
      <c r="H3026" s="421">
        <f t="shared" si="239"/>
        <v>0</v>
      </c>
      <c r="I3026" s="421">
        <f t="shared" si="240"/>
        <v>0</v>
      </c>
      <c r="J3026" s="421">
        <f t="shared" si="241"/>
        <v>0</v>
      </c>
      <c r="K3026" s="422">
        <f t="shared" si="234"/>
        <v>0</v>
      </c>
    </row>
    <row r="3027" spans="2:13" ht="15" customHeight="1" x14ac:dyDescent="0.25">
      <c r="B3027" s="389"/>
      <c r="C3027" s="423"/>
      <c r="D3027" s="421">
        <f t="shared" si="235"/>
        <v>0</v>
      </c>
      <c r="E3027" s="421">
        <f t="shared" si="236"/>
        <v>0</v>
      </c>
      <c r="F3027" s="421">
        <f t="shared" si="237"/>
        <v>0</v>
      </c>
      <c r="G3027" s="421">
        <f t="shared" si="238"/>
        <v>0</v>
      </c>
      <c r="H3027" s="421">
        <f t="shared" si="239"/>
        <v>0</v>
      </c>
      <c r="I3027" s="421">
        <f t="shared" si="240"/>
        <v>0</v>
      </c>
      <c r="J3027" s="421">
        <f t="shared" si="241"/>
        <v>0</v>
      </c>
      <c r="K3027" s="424">
        <f t="shared" si="234"/>
        <v>0</v>
      </c>
    </row>
    <row r="3028" spans="2:13" ht="15" customHeight="1" thickBot="1" x14ac:dyDescent="0.3"/>
    <row r="3029" spans="2:13" ht="15" customHeight="1" thickBot="1" x14ac:dyDescent="0.3">
      <c r="B3029" s="432"/>
      <c r="C3029" s="411"/>
      <c r="D3029" s="407" t="s">
        <v>548</v>
      </c>
      <c r="E3029" s="408" t="s">
        <v>549</v>
      </c>
      <c r="F3029" s="408" t="s">
        <v>550</v>
      </c>
      <c r="G3029" s="408" t="s">
        <v>551</v>
      </c>
      <c r="H3029" s="408" t="s">
        <v>552</v>
      </c>
      <c r="I3029" s="408" t="s">
        <v>553</v>
      </c>
      <c r="J3029" s="408" t="s">
        <v>554</v>
      </c>
      <c r="K3029" s="408" t="s">
        <v>555</v>
      </c>
      <c r="M3029" s="426"/>
    </row>
    <row r="3030" spans="2:13" ht="15" customHeight="1" thickBot="1" x14ac:dyDescent="0.3">
      <c r="B3030" s="414" t="s">
        <v>556</v>
      </c>
      <c r="C3030" s="415" t="s">
        <v>620</v>
      </c>
      <c r="D3030" s="416">
        <f>IF(ISERROR(VLOOKUP(B3029,'MD Usage'!$A$1:$W$5000,3,FALSE)),0,VLOOKUP(B3029,'MD Usage'!$A$1:$W$5000,3,FALSE))</f>
        <v>0</v>
      </c>
      <c r="E3030" s="416">
        <f>IF(ISERROR(VLOOKUP(B3029,'MD Usage'!$A$1:$W$5000,5,FALSE)),0,VLOOKUP(B3029,'MD Usage'!$A$1:$W$5000,5,FALSE))</f>
        <v>0</v>
      </c>
      <c r="F3030" s="416">
        <f>IF(ISERROR(VLOOKUP(B3029,'MD Usage'!$A$1:$W$5000,7,FALSE)),0,VLOOKUP(B3029,'MD Usage'!$A$1:$W$5000,7,FALSE))</f>
        <v>0</v>
      </c>
      <c r="G3030" s="416">
        <f>IF(ISERROR(VLOOKUP(B3029,'MD Usage'!$A$1:$W$5000,9,FALSE)),0,VLOOKUP(B3029,'MD Usage'!$A$1:$W$5000,9,FALSE))</f>
        <v>0</v>
      </c>
      <c r="H3030" s="416">
        <f>IF(ISERROR(VLOOKUP(B3029,'MD Usage'!$A$1:$W$5000,11,FALSE)),0,VLOOKUP(B3029,'MD Usage'!$A$1:$W$5000,11,FALSE))</f>
        <v>0</v>
      </c>
      <c r="I3030" s="416">
        <f>IF(ISERROR(VLOOKUP(B3029,'MD Usage'!A1:R2000,13,FALSE)),0,VLOOKUP(B3029,'MD Usage'!A1:R2000,13,FALSE))</f>
        <v>0</v>
      </c>
      <c r="J3030" s="416">
        <f>IF(ISERROR(VLOOKUP(B3029,'MD Usage'!A1:R2000,15,FALSE)),0,VLOOKUP(B3029,'MD Usage'!A1:R2000,15,FALSE))</f>
        <v>0</v>
      </c>
      <c r="K3030" s="418">
        <f t="shared" ref="K3030:K3036" si="242">SUM(D3030:J3030)</f>
        <v>0</v>
      </c>
    </row>
    <row r="3031" spans="2:13" ht="15" customHeight="1" x14ac:dyDescent="0.25">
      <c r="B3031" s="419"/>
      <c r="C3031" s="420"/>
      <c r="D3031" s="421">
        <f t="shared" ref="D3031:D3036" si="243">$D$3030*C3031</f>
        <v>0</v>
      </c>
      <c r="E3031" s="421">
        <f t="shared" ref="E3031:E3036" si="244">$E$3030*C3031</f>
        <v>0</v>
      </c>
      <c r="F3031" s="421">
        <f t="shared" ref="F3031:F3036" si="245">$F$3030*C3031</f>
        <v>0</v>
      </c>
      <c r="G3031" s="421">
        <f t="shared" ref="G3031:G3036" si="246">$G$3030*C3031</f>
        <v>0</v>
      </c>
      <c r="H3031" s="421">
        <f t="shared" ref="H3031:H3036" si="247">$H$3030*C3031</f>
        <v>0</v>
      </c>
      <c r="I3031" s="421">
        <f t="shared" ref="I3031:I3036" si="248">$I$3030*C3031</f>
        <v>0</v>
      </c>
      <c r="J3031" s="421">
        <f t="shared" ref="J3031:J3036" si="249">$J$3030*C3031</f>
        <v>0</v>
      </c>
      <c r="K3031" s="422">
        <f t="shared" si="242"/>
        <v>0</v>
      </c>
    </row>
    <row r="3032" spans="2:13" ht="15" customHeight="1" x14ac:dyDescent="0.25">
      <c r="B3032" s="389"/>
      <c r="C3032" s="423"/>
      <c r="D3032" s="421">
        <f t="shared" si="243"/>
        <v>0</v>
      </c>
      <c r="E3032" s="421">
        <f t="shared" si="244"/>
        <v>0</v>
      </c>
      <c r="F3032" s="421">
        <f t="shared" si="245"/>
        <v>0</v>
      </c>
      <c r="G3032" s="421">
        <f t="shared" si="246"/>
        <v>0</v>
      </c>
      <c r="H3032" s="421">
        <f t="shared" si="247"/>
        <v>0</v>
      </c>
      <c r="I3032" s="421">
        <f t="shared" si="248"/>
        <v>0</v>
      </c>
      <c r="J3032" s="421">
        <f t="shared" si="249"/>
        <v>0</v>
      </c>
      <c r="K3032" s="424">
        <f t="shared" si="242"/>
        <v>0</v>
      </c>
    </row>
    <row r="3033" spans="2:13" ht="15" customHeight="1" x14ac:dyDescent="0.25">
      <c r="B3033" s="389"/>
      <c r="C3033" s="423"/>
      <c r="D3033" s="421">
        <f t="shared" si="243"/>
        <v>0</v>
      </c>
      <c r="E3033" s="421">
        <f t="shared" si="244"/>
        <v>0</v>
      </c>
      <c r="F3033" s="421">
        <f t="shared" si="245"/>
        <v>0</v>
      </c>
      <c r="G3033" s="421">
        <f t="shared" si="246"/>
        <v>0</v>
      </c>
      <c r="H3033" s="421">
        <f t="shared" si="247"/>
        <v>0</v>
      </c>
      <c r="I3033" s="421">
        <f t="shared" si="248"/>
        <v>0</v>
      </c>
      <c r="J3033" s="421">
        <f t="shared" si="249"/>
        <v>0</v>
      </c>
      <c r="K3033" s="422">
        <f t="shared" si="242"/>
        <v>0</v>
      </c>
    </row>
    <row r="3034" spans="2:13" ht="15" customHeight="1" x14ac:dyDescent="0.25">
      <c r="B3034" s="389"/>
      <c r="C3034" s="423"/>
      <c r="D3034" s="421">
        <f t="shared" si="243"/>
        <v>0</v>
      </c>
      <c r="E3034" s="421">
        <f t="shared" si="244"/>
        <v>0</v>
      </c>
      <c r="F3034" s="421">
        <f t="shared" si="245"/>
        <v>0</v>
      </c>
      <c r="G3034" s="421">
        <f t="shared" si="246"/>
        <v>0</v>
      </c>
      <c r="H3034" s="421">
        <f t="shared" si="247"/>
        <v>0</v>
      </c>
      <c r="I3034" s="421">
        <f t="shared" si="248"/>
        <v>0</v>
      </c>
      <c r="J3034" s="421">
        <f t="shared" si="249"/>
        <v>0</v>
      </c>
      <c r="K3034" s="424">
        <f t="shared" si="242"/>
        <v>0</v>
      </c>
    </row>
    <row r="3035" spans="2:13" ht="15" customHeight="1" x14ac:dyDescent="0.25">
      <c r="B3035" s="419"/>
      <c r="C3035" s="420"/>
      <c r="D3035" s="421">
        <f t="shared" si="243"/>
        <v>0</v>
      </c>
      <c r="E3035" s="421">
        <f t="shared" si="244"/>
        <v>0</v>
      </c>
      <c r="F3035" s="421">
        <f t="shared" si="245"/>
        <v>0</v>
      </c>
      <c r="G3035" s="421">
        <f t="shared" si="246"/>
        <v>0</v>
      </c>
      <c r="H3035" s="421">
        <f t="shared" si="247"/>
        <v>0</v>
      </c>
      <c r="I3035" s="421">
        <f t="shared" si="248"/>
        <v>0</v>
      </c>
      <c r="J3035" s="421">
        <f t="shared" si="249"/>
        <v>0</v>
      </c>
      <c r="K3035" s="422">
        <f t="shared" si="242"/>
        <v>0</v>
      </c>
    </row>
    <row r="3036" spans="2:13" ht="15" customHeight="1" x14ac:dyDescent="0.25">
      <c r="B3036" s="389"/>
      <c r="C3036" s="423"/>
      <c r="D3036" s="421">
        <f t="shared" si="243"/>
        <v>0</v>
      </c>
      <c r="E3036" s="421">
        <f t="shared" si="244"/>
        <v>0</v>
      </c>
      <c r="F3036" s="421">
        <f t="shared" si="245"/>
        <v>0</v>
      </c>
      <c r="G3036" s="421">
        <f t="shared" si="246"/>
        <v>0</v>
      </c>
      <c r="H3036" s="421">
        <f t="shared" si="247"/>
        <v>0</v>
      </c>
      <c r="I3036" s="421">
        <f t="shared" si="248"/>
        <v>0</v>
      </c>
      <c r="J3036" s="421">
        <f t="shared" si="249"/>
        <v>0</v>
      </c>
      <c r="K3036" s="424">
        <f t="shared" si="242"/>
        <v>0</v>
      </c>
    </row>
    <row r="3037" spans="2:13" ht="15" customHeight="1" thickBot="1" x14ac:dyDescent="0.3"/>
    <row r="3038" spans="2:13" ht="15" customHeight="1" thickBot="1" x14ac:dyDescent="0.3">
      <c r="B3038" s="432"/>
      <c r="C3038" s="411"/>
      <c r="D3038" s="407" t="s">
        <v>548</v>
      </c>
      <c r="E3038" s="408" t="s">
        <v>549</v>
      </c>
      <c r="F3038" s="408" t="s">
        <v>550</v>
      </c>
      <c r="G3038" s="408" t="s">
        <v>551</v>
      </c>
      <c r="H3038" s="408" t="s">
        <v>552</v>
      </c>
      <c r="I3038" s="408" t="s">
        <v>553</v>
      </c>
      <c r="J3038" s="408" t="s">
        <v>554</v>
      </c>
      <c r="K3038" s="408" t="s">
        <v>555</v>
      </c>
      <c r="M3038" s="426"/>
    </row>
    <row r="3039" spans="2:13" ht="15" customHeight="1" thickBot="1" x14ac:dyDescent="0.3">
      <c r="B3039" s="414" t="s">
        <v>556</v>
      </c>
      <c r="C3039" s="415" t="s">
        <v>620</v>
      </c>
      <c r="D3039" s="416">
        <f>IF(ISERROR(VLOOKUP(B3038,'MD Usage'!$A$1:$W$5000,3,FALSE)),0,VLOOKUP(B3038,'MD Usage'!$A$1:$W$5000,3,FALSE))</f>
        <v>0</v>
      </c>
      <c r="E3039" s="416">
        <f>IF(ISERROR(VLOOKUP(B3038,'MD Usage'!$A$1:$W$5000,5,FALSE)),0,VLOOKUP(B3038,'MD Usage'!$A$1:$W$5000,5,FALSE))</f>
        <v>0</v>
      </c>
      <c r="F3039" s="416">
        <f>IF(ISERROR(VLOOKUP(B3038,'MD Usage'!$A$1:$W$5000,7,FALSE)),0,VLOOKUP(B3038,'MD Usage'!$A$1:$W$5000,7,FALSE))</f>
        <v>0</v>
      </c>
      <c r="G3039" s="416">
        <f>IF(ISERROR(VLOOKUP(B3038,'MD Usage'!$A$1:$W$5000,9,FALSE)),0,VLOOKUP(B3038,'MD Usage'!$A$1:$W$5000,9,FALSE))</f>
        <v>0</v>
      </c>
      <c r="H3039" s="416">
        <f>IF(ISERROR(VLOOKUP(B3038,'MD Usage'!$A$1:$W$5000,11,FALSE)),0,VLOOKUP(B3038,'MD Usage'!$A$1:$W$5000,11,FALSE))</f>
        <v>0</v>
      </c>
      <c r="I3039" s="416">
        <f>IF(ISERROR(VLOOKUP(B3038,'MD Usage'!A1:R2000,13,FALSE)),0,VLOOKUP(B3038,'MD Usage'!A1:R2000,13,FALSE))</f>
        <v>0</v>
      </c>
      <c r="J3039" s="416">
        <f>IF(ISERROR(VLOOKUP(B3038,'MD Usage'!A1:R2000,15,FALSE)),0,VLOOKUP(B3038,'MD Usage'!A1:R2000,15,FALSE))</f>
        <v>0</v>
      </c>
      <c r="K3039" s="418">
        <f t="shared" ref="K3039:K3045" si="250">SUM(D3039:J3039)</f>
        <v>0</v>
      </c>
    </row>
    <row r="3040" spans="2:13" ht="15" customHeight="1" x14ac:dyDescent="0.25">
      <c r="B3040" s="419"/>
      <c r="C3040" s="420"/>
      <c r="D3040" s="421">
        <f t="shared" ref="D3040:D3045" si="251">$D$3039*C3040</f>
        <v>0</v>
      </c>
      <c r="E3040" s="421">
        <f t="shared" ref="E3040:E3045" si="252">$E$3039*C3040</f>
        <v>0</v>
      </c>
      <c r="F3040" s="421">
        <f t="shared" ref="F3040:F3045" si="253">$F$3039*C3040</f>
        <v>0</v>
      </c>
      <c r="G3040" s="421">
        <f t="shared" ref="G3040:G3045" si="254">$G$3039*C3040</f>
        <v>0</v>
      </c>
      <c r="H3040" s="421">
        <f t="shared" ref="H3040:H3045" si="255">$H$3039*C3040</f>
        <v>0</v>
      </c>
      <c r="I3040" s="421">
        <f t="shared" ref="I3040:I3045" si="256">$I$3039*C3040</f>
        <v>0</v>
      </c>
      <c r="J3040" s="421">
        <f>$J$30339*C3040</f>
        <v>0</v>
      </c>
      <c r="K3040" s="422">
        <f t="shared" si="250"/>
        <v>0</v>
      </c>
    </row>
    <row r="3041" spans="2:13" ht="15" customHeight="1" x14ac:dyDescent="0.25">
      <c r="B3041" s="389"/>
      <c r="C3041" s="423"/>
      <c r="D3041" s="421">
        <f t="shared" si="251"/>
        <v>0</v>
      </c>
      <c r="E3041" s="421">
        <f t="shared" si="252"/>
        <v>0</v>
      </c>
      <c r="F3041" s="421">
        <f t="shared" si="253"/>
        <v>0</v>
      </c>
      <c r="G3041" s="421">
        <f t="shared" si="254"/>
        <v>0</v>
      </c>
      <c r="H3041" s="421">
        <f t="shared" si="255"/>
        <v>0</v>
      </c>
      <c r="I3041" s="421">
        <f t="shared" si="256"/>
        <v>0</v>
      </c>
      <c r="J3041" s="421">
        <f>$J$2633*C3041</f>
        <v>0</v>
      </c>
      <c r="K3041" s="424">
        <f t="shared" si="250"/>
        <v>0</v>
      </c>
    </row>
    <row r="3042" spans="2:13" ht="15" customHeight="1" x14ac:dyDescent="0.25">
      <c r="B3042" s="389"/>
      <c r="C3042" s="423"/>
      <c r="D3042" s="421">
        <f t="shared" si="251"/>
        <v>0</v>
      </c>
      <c r="E3042" s="421">
        <f t="shared" si="252"/>
        <v>0</v>
      </c>
      <c r="F3042" s="421">
        <f t="shared" si="253"/>
        <v>0</v>
      </c>
      <c r="G3042" s="421">
        <f t="shared" si="254"/>
        <v>0</v>
      </c>
      <c r="H3042" s="421">
        <f t="shared" si="255"/>
        <v>0</v>
      </c>
      <c r="I3042" s="421">
        <f t="shared" si="256"/>
        <v>0</v>
      </c>
      <c r="J3042" s="421">
        <f>$J$2633*C3042</f>
        <v>0</v>
      </c>
      <c r="K3042" s="422">
        <f t="shared" si="250"/>
        <v>0</v>
      </c>
    </row>
    <row r="3043" spans="2:13" ht="15" customHeight="1" x14ac:dyDescent="0.25">
      <c r="B3043" s="389"/>
      <c r="C3043" s="423"/>
      <c r="D3043" s="421">
        <f t="shared" si="251"/>
        <v>0</v>
      </c>
      <c r="E3043" s="421">
        <f t="shared" si="252"/>
        <v>0</v>
      </c>
      <c r="F3043" s="421">
        <f t="shared" si="253"/>
        <v>0</v>
      </c>
      <c r="G3043" s="421">
        <f t="shared" si="254"/>
        <v>0</v>
      </c>
      <c r="H3043" s="421">
        <f t="shared" si="255"/>
        <v>0</v>
      </c>
      <c r="I3043" s="421">
        <f t="shared" si="256"/>
        <v>0</v>
      </c>
      <c r="J3043" s="421">
        <f>$J$2633*C3043</f>
        <v>0</v>
      </c>
      <c r="K3043" s="424">
        <f t="shared" si="250"/>
        <v>0</v>
      </c>
    </row>
    <row r="3044" spans="2:13" ht="15" customHeight="1" x14ac:dyDescent="0.25">
      <c r="B3044" s="419"/>
      <c r="C3044" s="420"/>
      <c r="D3044" s="421">
        <f t="shared" si="251"/>
        <v>0</v>
      </c>
      <c r="E3044" s="421">
        <f t="shared" si="252"/>
        <v>0</v>
      </c>
      <c r="F3044" s="421">
        <f t="shared" si="253"/>
        <v>0</v>
      </c>
      <c r="G3044" s="421">
        <f t="shared" si="254"/>
        <v>0</v>
      </c>
      <c r="H3044" s="421">
        <f t="shared" si="255"/>
        <v>0</v>
      </c>
      <c r="I3044" s="421">
        <f t="shared" si="256"/>
        <v>0</v>
      </c>
      <c r="J3044" s="421">
        <f>$J$2633*C3044</f>
        <v>0</v>
      </c>
      <c r="K3044" s="422">
        <f t="shared" si="250"/>
        <v>0</v>
      </c>
    </row>
    <row r="3045" spans="2:13" ht="15" customHeight="1" x14ac:dyDescent="0.25">
      <c r="B3045" s="389"/>
      <c r="C3045" s="423"/>
      <c r="D3045" s="421">
        <f t="shared" si="251"/>
        <v>0</v>
      </c>
      <c r="E3045" s="421">
        <f t="shared" si="252"/>
        <v>0</v>
      </c>
      <c r="F3045" s="421">
        <f t="shared" si="253"/>
        <v>0</v>
      </c>
      <c r="G3045" s="421">
        <f t="shared" si="254"/>
        <v>0</v>
      </c>
      <c r="H3045" s="421">
        <f t="shared" si="255"/>
        <v>0</v>
      </c>
      <c r="I3045" s="421">
        <f t="shared" si="256"/>
        <v>0</v>
      </c>
      <c r="J3045" s="421">
        <f>$J$2633*C3045</f>
        <v>0</v>
      </c>
      <c r="K3045" s="424">
        <f t="shared" si="250"/>
        <v>0</v>
      </c>
    </row>
    <row r="3046" spans="2:13" ht="15" customHeight="1" thickBot="1" x14ac:dyDescent="0.3"/>
    <row r="3047" spans="2:13" ht="15" customHeight="1" thickBot="1" x14ac:dyDescent="0.3">
      <c r="B3047" s="432"/>
      <c r="C3047" s="411"/>
      <c r="D3047" s="407" t="s">
        <v>548</v>
      </c>
      <c r="E3047" s="408" t="s">
        <v>549</v>
      </c>
      <c r="F3047" s="408" t="s">
        <v>550</v>
      </c>
      <c r="G3047" s="408" t="s">
        <v>551</v>
      </c>
      <c r="H3047" s="408" t="s">
        <v>552</v>
      </c>
      <c r="I3047" s="408" t="s">
        <v>553</v>
      </c>
      <c r="J3047" s="408" t="s">
        <v>554</v>
      </c>
      <c r="K3047" s="408" t="s">
        <v>555</v>
      </c>
      <c r="M3047" s="426"/>
    </row>
    <row r="3048" spans="2:13" ht="15" customHeight="1" thickBot="1" x14ac:dyDescent="0.3">
      <c r="B3048" s="414" t="s">
        <v>556</v>
      </c>
      <c r="C3048" s="415" t="s">
        <v>620</v>
      </c>
      <c r="D3048" s="416">
        <f>IF(ISERROR(VLOOKUP(B3047,'MD Usage'!$A$1:$W$5000,3,FALSE)),0,VLOOKUP(B3047,'MD Usage'!$A$1:$W$5000,3,FALSE))</f>
        <v>0</v>
      </c>
      <c r="E3048" s="416">
        <f>IF(ISERROR(VLOOKUP(B3047,'MD Usage'!$A$1:$W$5000,5,FALSE)),0,VLOOKUP(B3047,'MD Usage'!$A$1:$W$5000,5,FALSE))</f>
        <v>0</v>
      </c>
      <c r="F3048" s="416">
        <f>IF(ISERROR(VLOOKUP(B3047,'MD Usage'!$A$1:$W$5000,7,FALSE)),0,VLOOKUP(B3047,'MD Usage'!$A$1:$W$5000,7,FALSE))</f>
        <v>0</v>
      </c>
      <c r="G3048" s="416">
        <f>IF(ISERROR(VLOOKUP(B3047,'MD Usage'!$A$1:$W$5000,9,FALSE)),0,VLOOKUP(B3047,'MD Usage'!$A$1:$W$5000,9,FALSE))</f>
        <v>0</v>
      </c>
      <c r="H3048" s="416">
        <f>IF(ISERROR(VLOOKUP(B3047,'MD Usage'!$A$1:$W$5000,11,FALSE)),0,VLOOKUP(B3047,'MD Usage'!$A$1:$W$5000,11,FALSE))</f>
        <v>0</v>
      </c>
      <c r="I3048" s="416">
        <f>IF(ISERROR(VLOOKUP(B3047,'MD Usage'!A1:R2000,13,FALSE)),0,VLOOKUP(B3047,'MD Usage'!A1:R2000,13,FALSE))</f>
        <v>0</v>
      </c>
      <c r="J3048" s="416">
        <f>IF(ISERROR(VLOOKUP(B3047,'MD Usage'!A1:R2000,15,FALSE)),0,VLOOKUP(B3047,'MD Usage'!A1:R2000,15,FALSE))</f>
        <v>0</v>
      </c>
      <c r="K3048" s="418">
        <f t="shared" ref="K3048:K3054" si="257">SUM(D3048:J3048)</f>
        <v>0</v>
      </c>
    </row>
    <row r="3049" spans="2:13" ht="15" customHeight="1" x14ac:dyDescent="0.25">
      <c r="B3049" s="419"/>
      <c r="C3049" s="420"/>
      <c r="D3049" s="421">
        <f t="shared" ref="D3049:D3054" si="258">$D$3048*C3049</f>
        <v>0</v>
      </c>
      <c r="E3049" s="421">
        <f t="shared" ref="E3049:E3054" si="259">$E$3048*C3049</f>
        <v>0</v>
      </c>
      <c r="F3049" s="421">
        <f t="shared" ref="F3049:F3054" si="260">$F$3048*C3049</f>
        <v>0</v>
      </c>
      <c r="G3049" s="421">
        <f t="shared" ref="G3049:G3054" si="261">$G$3048*C3049</f>
        <v>0</v>
      </c>
      <c r="H3049" s="421">
        <f t="shared" ref="H3049:H3054" si="262">$H$3048*C3049</f>
        <v>0</v>
      </c>
      <c r="I3049" s="421">
        <f t="shared" ref="I3049:I3054" si="263">$I$3048*C3049</f>
        <v>0</v>
      </c>
      <c r="J3049" s="421">
        <f t="shared" ref="J3049:J3054" si="264">$J$3048*C3049</f>
        <v>0</v>
      </c>
      <c r="K3049" s="422">
        <f t="shared" si="257"/>
        <v>0</v>
      </c>
    </row>
    <row r="3050" spans="2:13" ht="15" customHeight="1" x14ac:dyDescent="0.25">
      <c r="B3050" s="389"/>
      <c r="C3050" s="423"/>
      <c r="D3050" s="421">
        <f t="shared" si="258"/>
        <v>0</v>
      </c>
      <c r="E3050" s="421">
        <f t="shared" si="259"/>
        <v>0</v>
      </c>
      <c r="F3050" s="421">
        <f t="shared" si="260"/>
        <v>0</v>
      </c>
      <c r="G3050" s="421">
        <f t="shared" si="261"/>
        <v>0</v>
      </c>
      <c r="H3050" s="421">
        <f t="shared" si="262"/>
        <v>0</v>
      </c>
      <c r="I3050" s="421">
        <f t="shared" si="263"/>
        <v>0</v>
      </c>
      <c r="J3050" s="421">
        <f t="shared" si="264"/>
        <v>0</v>
      </c>
      <c r="K3050" s="424">
        <f t="shared" si="257"/>
        <v>0</v>
      </c>
    </row>
    <row r="3051" spans="2:13" ht="15" customHeight="1" x14ac:dyDescent="0.25">
      <c r="B3051" s="389"/>
      <c r="C3051" s="423"/>
      <c r="D3051" s="421">
        <f t="shared" si="258"/>
        <v>0</v>
      </c>
      <c r="E3051" s="421">
        <f t="shared" si="259"/>
        <v>0</v>
      </c>
      <c r="F3051" s="421">
        <f t="shared" si="260"/>
        <v>0</v>
      </c>
      <c r="G3051" s="421">
        <f t="shared" si="261"/>
        <v>0</v>
      </c>
      <c r="H3051" s="421">
        <f t="shared" si="262"/>
        <v>0</v>
      </c>
      <c r="I3051" s="421">
        <f t="shared" si="263"/>
        <v>0</v>
      </c>
      <c r="J3051" s="421">
        <f t="shared" si="264"/>
        <v>0</v>
      </c>
      <c r="K3051" s="422">
        <f t="shared" si="257"/>
        <v>0</v>
      </c>
    </row>
    <row r="3052" spans="2:13" ht="15" customHeight="1" x14ac:dyDescent="0.25">
      <c r="B3052" s="389"/>
      <c r="C3052" s="423"/>
      <c r="D3052" s="421">
        <f t="shared" si="258"/>
        <v>0</v>
      </c>
      <c r="E3052" s="421">
        <f t="shared" si="259"/>
        <v>0</v>
      </c>
      <c r="F3052" s="421">
        <f t="shared" si="260"/>
        <v>0</v>
      </c>
      <c r="G3052" s="421">
        <f t="shared" si="261"/>
        <v>0</v>
      </c>
      <c r="H3052" s="421">
        <f t="shared" si="262"/>
        <v>0</v>
      </c>
      <c r="I3052" s="421">
        <f t="shared" si="263"/>
        <v>0</v>
      </c>
      <c r="J3052" s="421">
        <f t="shared" si="264"/>
        <v>0</v>
      </c>
      <c r="K3052" s="424">
        <f t="shared" si="257"/>
        <v>0</v>
      </c>
    </row>
    <row r="3053" spans="2:13" ht="15" customHeight="1" x14ac:dyDescent="0.25">
      <c r="B3053" s="419"/>
      <c r="C3053" s="420"/>
      <c r="D3053" s="421">
        <f t="shared" si="258"/>
        <v>0</v>
      </c>
      <c r="E3053" s="421">
        <f t="shared" si="259"/>
        <v>0</v>
      </c>
      <c r="F3053" s="421">
        <f t="shared" si="260"/>
        <v>0</v>
      </c>
      <c r="G3053" s="421">
        <f t="shared" si="261"/>
        <v>0</v>
      </c>
      <c r="H3053" s="421">
        <f t="shared" si="262"/>
        <v>0</v>
      </c>
      <c r="I3053" s="421">
        <f t="shared" si="263"/>
        <v>0</v>
      </c>
      <c r="J3053" s="421">
        <f t="shared" si="264"/>
        <v>0</v>
      </c>
      <c r="K3053" s="422">
        <f t="shared" si="257"/>
        <v>0</v>
      </c>
    </row>
    <row r="3054" spans="2:13" ht="15" customHeight="1" x14ac:dyDescent="0.25">
      <c r="B3054" s="389"/>
      <c r="C3054" s="423"/>
      <c r="D3054" s="421">
        <f t="shared" si="258"/>
        <v>0</v>
      </c>
      <c r="E3054" s="421">
        <f t="shared" si="259"/>
        <v>0</v>
      </c>
      <c r="F3054" s="421">
        <f t="shared" si="260"/>
        <v>0</v>
      </c>
      <c r="G3054" s="421">
        <f t="shared" si="261"/>
        <v>0</v>
      </c>
      <c r="H3054" s="421">
        <f t="shared" si="262"/>
        <v>0</v>
      </c>
      <c r="I3054" s="421">
        <f t="shared" si="263"/>
        <v>0</v>
      </c>
      <c r="J3054" s="421">
        <f t="shared" si="264"/>
        <v>0</v>
      </c>
      <c r="K3054" s="424">
        <f t="shared" si="257"/>
        <v>0</v>
      </c>
    </row>
    <row r="3055" spans="2:13" ht="15" customHeight="1" thickBot="1" x14ac:dyDescent="0.3"/>
    <row r="3056" spans="2:13" ht="15" customHeight="1" thickBot="1" x14ac:dyDescent="0.3">
      <c r="B3056" s="432"/>
      <c r="C3056" s="411"/>
      <c r="D3056" s="407" t="s">
        <v>548</v>
      </c>
      <c r="E3056" s="408" t="s">
        <v>549</v>
      </c>
      <c r="F3056" s="408" t="s">
        <v>550</v>
      </c>
      <c r="G3056" s="408" t="s">
        <v>551</v>
      </c>
      <c r="H3056" s="408" t="s">
        <v>552</v>
      </c>
      <c r="I3056" s="408" t="s">
        <v>553</v>
      </c>
      <c r="J3056" s="408" t="s">
        <v>554</v>
      </c>
      <c r="K3056" s="408" t="s">
        <v>555</v>
      </c>
      <c r="M3056" s="426"/>
    </row>
    <row r="3057" spans="2:11" ht="15" customHeight="1" thickBot="1" x14ac:dyDescent="0.3">
      <c r="B3057" s="414" t="s">
        <v>556</v>
      </c>
      <c r="C3057" s="415" t="s">
        <v>620</v>
      </c>
      <c r="D3057" s="416">
        <f>IF(ISERROR(VLOOKUP(B3056,'MD Usage'!$A$1:$W$5000,3,FALSE)),0,VLOOKUP(B3056,'MD Usage'!$A$1:$W$5000,3,FALSE))</f>
        <v>0</v>
      </c>
      <c r="E3057" s="416">
        <f>IF(ISERROR(VLOOKUP(B3056,'MD Usage'!$A$1:$W$5000,5,FALSE)),0,VLOOKUP(B3056,'MD Usage'!$A$1:$W$5000,5,FALSE))</f>
        <v>0</v>
      </c>
      <c r="F3057" s="416">
        <f>IF(ISERROR(VLOOKUP(B3056,'MD Usage'!$A$1:$W$5000,7,FALSE)),0,VLOOKUP(B3056,'MD Usage'!$A$1:$W$5000,7,FALSE))</f>
        <v>0</v>
      </c>
      <c r="G3057" s="416">
        <f>IF(ISERROR(VLOOKUP(B3056,'MD Usage'!$A$1:$W$5000,9,FALSE)),0,VLOOKUP(B3056,'MD Usage'!$A$1:$W$5000,9,FALSE))</f>
        <v>0</v>
      </c>
      <c r="H3057" s="416">
        <f>IF(ISERROR(VLOOKUP(B3056,'MD Usage'!$A$1:$W$5000,11,FALSE)),0,VLOOKUP(B3056,'MD Usage'!$A$1:$W$5000,11,FALSE))</f>
        <v>0</v>
      </c>
      <c r="I3057" s="416">
        <f>IF(ISERROR(VLOOKUP(B3056,'MD Usage'!A1:R2000,13,FALSE)),0,VLOOKUP(B3056,'MD Usage'!A1:R2000,13,FALSE))</f>
        <v>0</v>
      </c>
      <c r="J3057" s="416">
        <f>IF(ISERROR(VLOOKUP(B3056,'MD Usage'!A1:R2000,15,FALSE)),0,VLOOKUP(B3056,'MD Usage'!A1:R2000,15,FALSE))</f>
        <v>0</v>
      </c>
      <c r="K3057" s="418">
        <f t="shared" ref="K3057:K3063" si="265">SUM(D3057:J3057)</f>
        <v>0</v>
      </c>
    </row>
    <row r="3058" spans="2:11" ht="15" customHeight="1" x14ac:dyDescent="0.25">
      <c r="B3058" s="419"/>
      <c r="C3058" s="420"/>
      <c r="D3058" s="421">
        <f t="shared" ref="D3058:D3063" si="266">$D$3057*C3058</f>
        <v>0</v>
      </c>
      <c r="E3058" s="421">
        <f t="shared" ref="E3058:E3063" si="267">$E$3057*C3058</f>
        <v>0</v>
      </c>
      <c r="F3058" s="421">
        <f t="shared" ref="F3058:F3063" si="268">$F$3057*C3058</f>
        <v>0</v>
      </c>
      <c r="G3058" s="421">
        <f t="shared" ref="G3058:G3063" si="269">$G$3057*C3058</f>
        <v>0</v>
      </c>
      <c r="H3058" s="421">
        <f t="shared" ref="H3058:H3063" si="270">$H$3057*C3058</f>
        <v>0</v>
      </c>
      <c r="I3058" s="421">
        <f t="shared" ref="I3058:I3063" si="271">$I$3057*C3058</f>
        <v>0</v>
      </c>
      <c r="J3058" s="421">
        <f t="shared" ref="J3058:J3063" si="272">$J$3057*C3058</f>
        <v>0</v>
      </c>
      <c r="K3058" s="422">
        <f t="shared" si="265"/>
        <v>0</v>
      </c>
    </row>
    <row r="3059" spans="2:11" ht="15" customHeight="1" x14ac:dyDescent="0.25">
      <c r="B3059" s="389"/>
      <c r="C3059" s="423"/>
      <c r="D3059" s="421">
        <f t="shared" si="266"/>
        <v>0</v>
      </c>
      <c r="E3059" s="421">
        <f t="shared" si="267"/>
        <v>0</v>
      </c>
      <c r="F3059" s="421">
        <f t="shared" si="268"/>
        <v>0</v>
      </c>
      <c r="G3059" s="421">
        <f t="shared" si="269"/>
        <v>0</v>
      </c>
      <c r="H3059" s="421">
        <f t="shared" si="270"/>
        <v>0</v>
      </c>
      <c r="I3059" s="421">
        <f t="shared" si="271"/>
        <v>0</v>
      </c>
      <c r="J3059" s="421">
        <f t="shared" si="272"/>
        <v>0</v>
      </c>
      <c r="K3059" s="424">
        <f t="shared" si="265"/>
        <v>0</v>
      </c>
    </row>
    <row r="3060" spans="2:11" ht="15" customHeight="1" x14ac:dyDescent="0.25">
      <c r="B3060" s="389"/>
      <c r="C3060" s="423"/>
      <c r="D3060" s="421">
        <f t="shared" si="266"/>
        <v>0</v>
      </c>
      <c r="E3060" s="421">
        <f t="shared" si="267"/>
        <v>0</v>
      </c>
      <c r="F3060" s="421">
        <f t="shared" si="268"/>
        <v>0</v>
      </c>
      <c r="G3060" s="421">
        <f t="shared" si="269"/>
        <v>0</v>
      </c>
      <c r="H3060" s="421">
        <f t="shared" si="270"/>
        <v>0</v>
      </c>
      <c r="I3060" s="421">
        <f t="shared" si="271"/>
        <v>0</v>
      </c>
      <c r="J3060" s="421">
        <f t="shared" si="272"/>
        <v>0</v>
      </c>
      <c r="K3060" s="422">
        <f t="shared" si="265"/>
        <v>0</v>
      </c>
    </row>
    <row r="3061" spans="2:11" ht="15" customHeight="1" x14ac:dyDescent="0.25">
      <c r="B3061" s="389"/>
      <c r="C3061" s="423"/>
      <c r="D3061" s="421">
        <f t="shared" si="266"/>
        <v>0</v>
      </c>
      <c r="E3061" s="421">
        <f t="shared" si="267"/>
        <v>0</v>
      </c>
      <c r="F3061" s="421">
        <f t="shared" si="268"/>
        <v>0</v>
      </c>
      <c r="G3061" s="421">
        <f t="shared" si="269"/>
        <v>0</v>
      </c>
      <c r="H3061" s="421">
        <f t="shared" si="270"/>
        <v>0</v>
      </c>
      <c r="I3061" s="421">
        <f t="shared" si="271"/>
        <v>0</v>
      </c>
      <c r="J3061" s="421">
        <f t="shared" si="272"/>
        <v>0</v>
      </c>
      <c r="K3061" s="424">
        <f t="shared" si="265"/>
        <v>0</v>
      </c>
    </row>
    <row r="3062" spans="2:11" ht="15" customHeight="1" x14ac:dyDescent="0.25">
      <c r="B3062" s="419"/>
      <c r="C3062" s="420"/>
      <c r="D3062" s="421">
        <f t="shared" si="266"/>
        <v>0</v>
      </c>
      <c r="E3062" s="421">
        <f t="shared" si="267"/>
        <v>0</v>
      </c>
      <c r="F3062" s="421">
        <f t="shared" si="268"/>
        <v>0</v>
      </c>
      <c r="G3062" s="421">
        <f t="shared" si="269"/>
        <v>0</v>
      </c>
      <c r="H3062" s="421">
        <f t="shared" si="270"/>
        <v>0</v>
      </c>
      <c r="I3062" s="421">
        <f t="shared" si="271"/>
        <v>0</v>
      </c>
      <c r="J3062" s="421">
        <f t="shared" si="272"/>
        <v>0</v>
      </c>
      <c r="K3062" s="422">
        <f t="shared" si="265"/>
        <v>0</v>
      </c>
    </row>
    <row r="3063" spans="2:11" ht="15" customHeight="1" x14ac:dyDescent="0.25">
      <c r="B3063" s="389"/>
      <c r="C3063" s="423"/>
      <c r="D3063" s="421">
        <f t="shared" si="266"/>
        <v>0</v>
      </c>
      <c r="E3063" s="421">
        <f t="shared" si="267"/>
        <v>0</v>
      </c>
      <c r="F3063" s="421">
        <f t="shared" si="268"/>
        <v>0</v>
      </c>
      <c r="G3063" s="421">
        <f t="shared" si="269"/>
        <v>0</v>
      </c>
      <c r="H3063" s="421">
        <f t="shared" si="270"/>
        <v>0</v>
      </c>
      <c r="I3063" s="421">
        <f t="shared" si="271"/>
        <v>0</v>
      </c>
      <c r="J3063" s="421">
        <f t="shared" si="272"/>
        <v>0</v>
      </c>
      <c r="K3063" s="424">
        <f t="shared" si="265"/>
        <v>0</v>
      </c>
    </row>
    <row r="3064" spans="2:11" ht="15" customHeight="1" thickBot="1" x14ac:dyDescent="0.3"/>
    <row r="3065" spans="2:11" ht="15" customHeight="1" thickBot="1" x14ac:dyDescent="0.3">
      <c r="B3065" s="432"/>
      <c r="C3065" s="411"/>
      <c r="D3065" s="407" t="s">
        <v>548</v>
      </c>
      <c r="E3065" s="408" t="s">
        <v>549</v>
      </c>
      <c r="F3065" s="408" t="s">
        <v>550</v>
      </c>
      <c r="G3065" s="408" t="s">
        <v>551</v>
      </c>
      <c r="H3065" s="408" t="s">
        <v>552</v>
      </c>
      <c r="I3065" s="408" t="s">
        <v>553</v>
      </c>
      <c r="J3065" s="408" t="s">
        <v>554</v>
      </c>
      <c r="K3065" s="408" t="s">
        <v>555</v>
      </c>
    </row>
    <row r="3066" spans="2:11" ht="15" customHeight="1" thickBot="1" x14ac:dyDescent="0.3">
      <c r="B3066" s="414" t="s">
        <v>556</v>
      </c>
      <c r="C3066" s="415" t="s">
        <v>620</v>
      </c>
      <c r="D3066" s="416">
        <f>IF(ISERROR(VLOOKUP(B3065,'MD Usage'!$A$1:$W$5000,3,FALSE)),0,VLOOKUP(B3065,'MD Usage'!$A$1:$W$5000,3,FALSE))</f>
        <v>0</v>
      </c>
      <c r="E3066" s="416">
        <f>IF(ISERROR(VLOOKUP(B3065,'MD Usage'!$A$1:$W$5000,5,FALSE)),0,VLOOKUP(B3065,'MD Usage'!$A$1:$W$5000,5,FALSE))</f>
        <v>0</v>
      </c>
      <c r="F3066" s="416">
        <f>IF(ISERROR(VLOOKUP(B3065,'MD Usage'!$A$1:$W$5000,7,FALSE)),0,VLOOKUP(B3065,'MD Usage'!$A$1:$W$5000,7,FALSE))</f>
        <v>0</v>
      </c>
      <c r="G3066" s="416">
        <f>IF(ISERROR(VLOOKUP(B3065,'MD Usage'!$A$1:$W$5000,9,FALSE)),0,VLOOKUP(B3065,'MD Usage'!$A$1:$W$5000,9,FALSE))</f>
        <v>0</v>
      </c>
      <c r="H3066" s="416">
        <f>IF(ISERROR(VLOOKUP(B3065,'MD Usage'!$A$1:$W$5000,11,FALSE)),0,VLOOKUP(B3065,'MD Usage'!$A$1:$W$5000,11,FALSE))</f>
        <v>0</v>
      </c>
      <c r="I3066" s="416">
        <f>IF(ISERROR(VLOOKUP(B3065,'MD Usage'!A1:R2000,13,FALSE)),0,VLOOKUP(B3065,'MD Usage'!A1:R2000,13,FALSE))</f>
        <v>0</v>
      </c>
      <c r="J3066" s="416">
        <f>IF(ISERROR(VLOOKUP(B3065,'MD Usage'!A1:R2000,15,FALSE)),0,VLOOKUP(B3065,'MD Usage'!A1:R2000,15,FALSE))</f>
        <v>0</v>
      </c>
      <c r="K3066" s="418">
        <f t="shared" ref="K3066:K3072" si="273">SUM(D3066:J3066)</f>
        <v>0</v>
      </c>
    </row>
    <row r="3067" spans="2:11" ht="15" customHeight="1" x14ac:dyDescent="0.25">
      <c r="B3067" s="419"/>
      <c r="C3067" s="420"/>
      <c r="D3067" s="421">
        <f t="shared" ref="D3067:D3072" si="274">$D$3066*C3067</f>
        <v>0</v>
      </c>
      <c r="E3067" s="421">
        <f t="shared" ref="E3067:E3072" si="275">$E$3066*C3067</f>
        <v>0</v>
      </c>
      <c r="F3067" s="421">
        <f t="shared" ref="F3067:F3072" si="276">$F$3066*C3067</f>
        <v>0</v>
      </c>
      <c r="G3067" s="421">
        <f t="shared" ref="G3067:G3072" si="277">$G$3066*C3067</f>
        <v>0</v>
      </c>
      <c r="H3067" s="421">
        <f t="shared" ref="H3067:H3072" si="278">$H$3066*C3067</f>
        <v>0</v>
      </c>
      <c r="I3067" s="421">
        <f t="shared" ref="I3067:I3072" si="279">$I$3066*C3067</f>
        <v>0</v>
      </c>
      <c r="J3067" s="421">
        <f t="shared" ref="J3067:J3072" si="280">$J$3066*C3067</f>
        <v>0</v>
      </c>
      <c r="K3067" s="422">
        <f t="shared" si="273"/>
        <v>0</v>
      </c>
    </row>
    <row r="3068" spans="2:11" ht="15" customHeight="1" x14ac:dyDescent="0.25">
      <c r="B3068" s="389"/>
      <c r="C3068" s="423"/>
      <c r="D3068" s="421">
        <f t="shared" si="274"/>
        <v>0</v>
      </c>
      <c r="E3068" s="421">
        <f t="shared" si="275"/>
        <v>0</v>
      </c>
      <c r="F3068" s="421">
        <f t="shared" si="276"/>
        <v>0</v>
      </c>
      <c r="G3068" s="421">
        <f t="shared" si="277"/>
        <v>0</v>
      </c>
      <c r="H3068" s="421">
        <f t="shared" si="278"/>
        <v>0</v>
      </c>
      <c r="I3068" s="421">
        <f t="shared" si="279"/>
        <v>0</v>
      </c>
      <c r="J3068" s="421">
        <f t="shared" si="280"/>
        <v>0</v>
      </c>
      <c r="K3068" s="424">
        <f t="shared" si="273"/>
        <v>0</v>
      </c>
    </row>
    <row r="3069" spans="2:11" ht="15" customHeight="1" x14ac:dyDescent="0.25">
      <c r="B3069" s="389"/>
      <c r="C3069" s="423"/>
      <c r="D3069" s="421">
        <f t="shared" si="274"/>
        <v>0</v>
      </c>
      <c r="E3069" s="421">
        <f t="shared" si="275"/>
        <v>0</v>
      </c>
      <c r="F3069" s="421">
        <f t="shared" si="276"/>
        <v>0</v>
      </c>
      <c r="G3069" s="421">
        <f t="shared" si="277"/>
        <v>0</v>
      </c>
      <c r="H3069" s="421">
        <f t="shared" si="278"/>
        <v>0</v>
      </c>
      <c r="I3069" s="421">
        <f t="shared" si="279"/>
        <v>0</v>
      </c>
      <c r="J3069" s="421">
        <f t="shared" si="280"/>
        <v>0</v>
      </c>
      <c r="K3069" s="422">
        <f t="shared" si="273"/>
        <v>0</v>
      </c>
    </row>
    <row r="3070" spans="2:11" ht="15" customHeight="1" x14ac:dyDescent="0.25">
      <c r="B3070" s="389"/>
      <c r="C3070" s="423"/>
      <c r="D3070" s="421">
        <f t="shared" si="274"/>
        <v>0</v>
      </c>
      <c r="E3070" s="421">
        <f t="shared" si="275"/>
        <v>0</v>
      </c>
      <c r="F3070" s="421">
        <f t="shared" si="276"/>
        <v>0</v>
      </c>
      <c r="G3070" s="421">
        <f t="shared" si="277"/>
        <v>0</v>
      </c>
      <c r="H3070" s="421">
        <f t="shared" si="278"/>
        <v>0</v>
      </c>
      <c r="I3070" s="421">
        <f t="shared" si="279"/>
        <v>0</v>
      </c>
      <c r="J3070" s="421">
        <f t="shared" si="280"/>
        <v>0</v>
      </c>
      <c r="K3070" s="424">
        <f t="shared" si="273"/>
        <v>0</v>
      </c>
    </row>
    <row r="3071" spans="2:11" ht="15" customHeight="1" x14ac:dyDescent="0.25">
      <c r="B3071" s="419"/>
      <c r="C3071" s="420"/>
      <c r="D3071" s="421">
        <f t="shared" si="274"/>
        <v>0</v>
      </c>
      <c r="E3071" s="421">
        <f t="shared" si="275"/>
        <v>0</v>
      </c>
      <c r="F3071" s="421">
        <f t="shared" si="276"/>
        <v>0</v>
      </c>
      <c r="G3071" s="421">
        <f t="shared" si="277"/>
        <v>0</v>
      </c>
      <c r="H3071" s="421">
        <f t="shared" si="278"/>
        <v>0</v>
      </c>
      <c r="I3071" s="421">
        <f t="shared" si="279"/>
        <v>0</v>
      </c>
      <c r="J3071" s="421">
        <f t="shared" si="280"/>
        <v>0</v>
      </c>
      <c r="K3071" s="422">
        <f t="shared" si="273"/>
        <v>0</v>
      </c>
    </row>
    <row r="3072" spans="2:11" ht="15" customHeight="1" x14ac:dyDescent="0.25">
      <c r="B3072" s="389"/>
      <c r="C3072" s="423"/>
      <c r="D3072" s="421">
        <f t="shared" si="274"/>
        <v>0</v>
      </c>
      <c r="E3072" s="421">
        <f t="shared" si="275"/>
        <v>0</v>
      </c>
      <c r="F3072" s="421">
        <f t="shared" si="276"/>
        <v>0</v>
      </c>
      <c r="G3072" s="421">
        <f t="shared" si="277"/>
        <v>0</v>
      </c>
      <c r="H3072" s="421">
        <f t="shared" si="278"/>
        <v>0</v>
      </c>
      <c r="I3072" s="421">
        <f t="shared" si="279"/>
        <v>0</v>
      </c>
      <c r="J3072" s="421">
        <f t="shared" si="280"/>
        <v>0</v>
      </c>
      <c r="K3072" s="424">
        <f t="shared" si="273"/>
        <v>0</v>
      </c>
    </row>
    <row r="3073" spans="2:13" ht="15" customHeight="1" thickBot="1" x14ac:dyDescent="0.3"/>
    <row r="3074" spans="2:13" ht="15" customHeight="1" thickBot="1" x14ac:dyDescent="0.3">
      <c r="B3074" s="432"/>
      <c r="C3074" s="411"/>
      <c r="D3074" s="407" t="s">
        <v>548</v>
      </c>
      <c r="E3074" s="408" t="s">
        <v>549</v>
      </c>
      <c r="F3074" s="408" t="s">
        <v>550</v>
      </c>
      <c r="G3074" s="408" t="s">
        <v>551</v>
      </c>
      <c r="H3074" s="408" t="s">
        <v>552</v>
      </c>
      <c r="I3074" s="408" t="s">
        <v>553</v>
      </c>
      <c r="J3074" s="408" t="s">
        <v>554</v>
      </c>
      <c r="K3074" s="408" t="s">
        <v>555</v>
      </c>
      <c r="M3074" s="426"/>
    </row>
    <row r="3075" spans="2:13" ht="15" customHeight="1" thickBot="1" x14ac:dyDescent="0.3">
      <c r="B3075" s="414" t="s">
        <v>556</v>
      </c>
      <c r="C3075" s="415" t="s">
        <v>620</v>
      </c>
      <c r="D3075" s="416">
        <f>IF(ISERROR(VLOOKUP(B3074,'MD Usage'!$A$1:$W$5000,3,FALSE)),0,VLOOKUP(B3074,'MD Usage'!$A$1:$W$5000,3,FALSE))</f>
        <v>0</v>
      </c>
      <c r="E3075" s="416">
        <f>IF(ISERROR(VLOOKUP(B3074,'MD Usage'!$A$1:$W$5000,5,FALSE)),0,VLOOKUP(B3074,'MD Usage'!$A$1:$W$5000,5,FALSE))</f>
        <v>0</v>
      </c>
      <c r="F3075" s="416">
        <f>IF(ISERROR(VLOOKUP(B3074,'MD Usage'!$A$1:$W$5000,7,FALSE)),0,VLOOKUP(B3074,'MD Usage'!$A$1:$W$5000,7,FALSE))</f>
        <v>0</v>
      </c>
      <c r="G3075" s="416">
        <f>IF(ISERROR(VLOOKUP(B3074,'MD Usage'!$A$1:$W$5000,9,FALSE)),0,VLOOKUP(B3074,'MD Usage'!$A$1:$W$5000,9,FALSE))</f>
        <v>0</v>
      </c>
      <c r="H3075" s="416">
        <f>IF(ISERROR(VLOOKUP(B3074,'MD Usage'!$A$1:$W$5000,11,FALSE)),0,VLOOKUP(B3074,'MD Usage'!$A$1:$W$5000,11,FALSE))</f>
        <v>0</v>
      </c>
      <c r="I3075" s="416">
        <f>IF(ISERROR(VLOOKUP(B3074,'MD Usage'!A1:R2000,13,FALSE)),0,VLOOKUP(B3074,'MD Usage'!A1:R2000,13,FALSE))</f>
        <v>0</v>
      </c>
      <c r="J3075" s="416">
        <f>IF(ISERROR(VLOOKUP(B3074,'MD Usage'!A1:R2000,15,FALSE)),0,VLOOKUP(B3074,'MD Usage'!A1:R2000,15,FALSE))</f>
        <v>0</v>
      </c>
      <c r="K3075" s="418">
        <f t="shared" ref="K3075:K3081" si="281">SUM(D3075:J3075)</f>
        <v>0</v>
      </c>
    </row>
    <row r="3076" spans="2:13" ht="15" customHeight="1" x14ac:dyDescent="0.25">
      <c r="B3076" s="419"/>
      <c r="C3076" s="420"/>
      <c r="D3076" s="421">
        <f t="shared" ref="D3076:D3081" si="282">$D$3075*C3076</f>
        <v>0</v>
      </c>
      <c r="E3076" s="421">
        <f t="shared" ref="E3076:E3081" si="283">$E$3075*C3076</f>
        <v>0</v>
      </c>
      <c r="F3076" s="421">
        <f t="shared" ref="F3076:F3081" si="284">$F$3075*C3076</f>
        <v>0</v>
      </c>
      <c r="G3076" s="421">
        <f t="shared" ref="G3076:G3081" si="285">$G$3075*C3076</f>
        <v>0</v>
      </c>
      <c r="H3076" s="421">
        <f t="shared" ref="H3076:H3081" si="286">$H$3075*C3076</f>
        <v>0</v>
      </c>
      <c r="I3076" s="421">
        <f t="shared" ref="I3076:I3081" si="287">$I$3075*C3076</f>
        <v>0</v>
      </c>
      <c r="J3076" s="421">
        <f t="shared" ref="J3076:J3081" si="288">$J$3075*C3076</f>
        <v>0</v>
      </c>
      <c r="K3076" s="422">
        <f t="shared" si="281"/>
        <v>0</v>
      </c>
    </row>
    <row r="3077" spans="2:13" ht="15" customHeight="1" x14ac:dyDescent="0.25">
      <c r="B3077" s="389"/>
      <c r="C3077" s="423"/>
      <c r="D3077" s="421">
        <f t="shared" si="282"/>
        <v>0</v>
      </c>
      <c r="E3077" s="421">
        <f t="shared" si="283"/>
        <v>0</v>
      </c>
      <c r="F3077" s="421">
        <f t="shared" si="284"/>
        <v>0</v>
      </c>
      <c r="G3077" s="421">
        <f t="shared" si="285"/>
        <v>0</v>
      </c>
      <c r="H3077" s="421">
        <f t="shared" si="286"/>
        <v>0</v>
      </c>
      <c r="I3077" s="421">
        <f t="shared" si="287"/>
        <v>0</v>
      </c>
      <c r="J3077" s="421">
        <f t="shared" si="288"/>
        <v>0</v>
      </c>
      <c r="K3077" s="424">
        <f t="shared" si="281"/>
        <v>0</v>
      </c>
    </row>
    <row r="3078" spans="2:13" ht="15" customHeight="1" x14ac:dyDescent="0.25">
      <c r="B3078" s="389"/>
      <c r="C3078" s="423"/>
      <c r="D3078" s="421">
        <f t="shared" si="282"/>
        <v>0</v>
      </c>
      <c r="E3078" s="421">
        <f t="shared" si="283"/>
        <v>0</v>
      </c>
      <c r="F3078" s="421">
        <f t="shared" si="284"/>
        <v>0</v>
      </c>
      <c r="G3078" s="421">
        <f t="shared" si="285"/>
        <v>0</v>
      </c>
      <c r="H3078" s="421">
        <f t="shared" si="286"/>
        <v>0</v>
      </c>
      <c r="I3078" s="421">
        <f t="shared" si="287"/>
        <v>0</v>
      </c>
      <c r="J3078" s="421">
        <f t="shared" si="288"/>
        <v>0</v>
      </c>
      <c r="K3078" s="422">
        <f t="shared" si="281"/>
        <v>0</v>
      </c>
    </row>
    <row r="3079" spans="2:13" ht="15" customHeight="1" x14ac:dyDescent="0.25">
      <c r="B3079" s="389"/>
      <c r="C3079" s="423"/>
      <c r="D3079" s="421">
        <f t="shared" si="282"/>
        <v>0</v>
      </c>
      <c r="E3079" s="421">
        <f t="shared" si="283"/>
        <v>0</v>
      </c>
      <c r="F3079" s="421">
        <f t="shared" si="284"/>
        <v>0</v>
      </c>
      <c r="G3079" s="421">
        <f t="shared" si="285"/>
        <v>0</v>
      </c>
      <c r="H3079" s="421">
        <f t="shared" si="286"/>
        <v>0</v>
      </c>
      <c r="I3079" s="421">
        <f t="shared" si="287"/>
        <v>0</v>
      </c>
      <c r="J3079" s="421">
        <f t="shared" si="288"/>
        <v>0</v>
      </c>
      <c r="K3079" s="424">
        <f t="shared" si="281"/>
        <v>0</v>
      </c>
    </row>
    <row r="3080" spans="2:13" ht="15" customHeight="1" x14ac:dyDescent="0.25">
      <c r="B3080" s="419"/>
      <c r="C3080" s="420"/>
      <c r="D3080" s="421">
        <f t="shared" si="282"/>
        <v>0</v>
      </c>
      <c r="E3080" s="421">
        <f t="shared" si="283"/>
        <v>0</v>
      </c>
      <c r="F3080" s="421">
        <f t="shared" si="284"/>
        <v>0</v>
      </c>
      <c r="G3080" s="421">
        <f t="shared" si="285"/>
        <v>0</v>
      </c>
      <c r="H3080" s="421">
        <f t="shared" si="286"/>
        <v>0</v>
      </c>
      <c r="I3080" s="421">
        <f t="shared" si="287"/>
        <v>0</v>
      </c>
      <c r="J3080" s="421">
        <f t="shared" si="288"/>
        <v>0</v>
      </c>
      <c r="K3080" s="422">
        <f t="shared" si="281"/>
        <v>0</v>
      </c>
    </row>
    <row r="3081" spans="2:13" ht="15" customHeight="1" x14ac:dyDescent="0.25">
      <c r="B3081" s="389"/>
      <c r="C3081" s="423"/>
      <c r="D3081" s="421">
        <f t="shared" si="282"/>
        <v>0</v>
      </c>
      <c r="E3081" s="421">
        <f t="shared" si="283"/>
        <v>0</v>
      </c>
      <c r="F3081" s="421">
        <f t="shared" si="284"/>
        <v>0</v>
      </c>
      <c r="G3081" s="421">
        <f t="shared" si="285"/>
        <v>0</v>
      </c>
      <c r="H3081" s="421">
        <f t="shared" si="286"/>
        <v>0</v>
      </c>
      <c r="I3081" s="421">
        <f t="shared" si="287"/>
        <v>0</v>
      </c>
      <c r="J3081" s="421">
        <f t="shared" si="288"/>
        <v>0</v>
      </c>
      <c r="K3081" s="424">
        <f t="shared" si="281"/>
        <v>0</v>
      </c>
    </row>
    <row r="3082" spans="2:13" ht="15" customHeight="1" thickBot="1" x14ac:dyDescent="0.3"/>
    <row r="3083" spans="2:13" ht="15" customHeight="1" thickBot="1" x14ac:dyDescent="0.3">
      <c r="B3083" s="432"/>
      <c r="C3083" s="411"/>
      <c r="D3083" s="407" t="s">
        <v>548</v>
      </c>
      <c r="E3083" s="408" t="s">
        <v>549</v>
      </c>
      <c r="F3083" s="408" t="s">
        <v>550</v>
      </c>
      <c r="G3083" s="408" t="s">
        <v>551</v>
      </c>
      <c r="H3083" s="408" t="s">
        <v>552</v>
      </c>
      <c r="I3083" s="408" t="s">
        <v>553</v>
      </c>
      <c r="J3083" s="408" t="s">
        <v>554</v>
      </c>
      <c r="K3083" s="408" t="s">
        <v>555</v>
      </c>
      <c r="M3083" s="426"/>
    </row>
    <row r="3084" spans="2:13" ht="15" customHeight="1" thickBot="1" x14ac:dyDescent="0.3">
      <c r="B3084" s="414" t="s">
        <v>556</v>
      </c>
      <c r="C3084" s="415" t="s">
        <v>620</v>
      </c>
      <c r="D3084" s="416">
        <f>IF(ISERROR(VLOOKUP(B3083,'MD Usage'!$A$1:$W$5000,3,FALSE)),0,VLOOKUP(B3083,'MD Usage'!$A$1:$W$5000,3,FALSE))</f>
        <v>0</v>
      </c>
      <c r="E3084" s="416">
        <f>IF(ISERROR(VLOOKUP(B3083,'MD Usage'!$A$1:$W$5000,5,FALSE)),0,VLOOKUP(B3083,'MD Usage'!$A$1:$W$5000,5,FALSE))</f>
        <v>0</v>
      </c>
      <c r="F3084" s="416">
        <f>IF(ISERROR(VLOOKUP(B3083,'MD Usage'!$A$1:$W$5000,7,FALSE)),0,VLOOKUP(B3083,'MD Usage'!$A$1:$W$5000,7,FALSE))</f>
        <v>0</v>
      </c>
      <c r="G3084" s="416">
        <f>IF(ISERROR(VLOOKUP(B3083,'MD Usage'!$A$1:$W$5000,9,FALSE)),0,VLOOKUP(B3083,'MD Usage'!$A$1:$W$5000,9,FALSE))</f>
        <v>0</v>
      </c>
      <c r="H3084" s="416">
        <f>IF(ISERROR(VLOOKUP(B3083,'MD Usage'!$A$1:$W$5000,11,FALSE)),0,VLOOKUP(B3083,'MD Usage'!$A$1:$W$5000,11,FALSE))</f>
        <v>0</v>
      </c>
      <c r="I3084" s="416">
        <f>IF(ISERROR(VLOOKUP(B3083,'MD Usage'!A1:R2000,13,FALSE)),0,VLOOKUP(B3083,'MD Usage'!A1:R2000,13,FALSE))</f>
        <v>0</v>
      </c>
      <c r="J3084" s="416">
        <f>IF(ISERROR(VLOOKUP(B3083,'MD Usage'!A1:R2000,15,FALSE)),0,VLOOKUP(B3083,'MD Usage'!A1:R2000,15,FALSE))</f>
        <v>0</v>
      </c>
      <c r="K3084" s="418">
        <f t="shared" ref="K3084:K3090" si="289">SUM(D3084:J3084)</f>
        <v>0</v>
      </c>
    </row>
    <row r="3085" spans="2:13" ht="15" customHeight="1" x14ac:dyDescent="0.25">
      <c r="B3085" s="419"/>
      <c r="C3085" s="420"/>
      <c r="D3085" s="421">
        <f t="shared" ref="D3085:D3090" si="290">$D$3084*C3085</f>
        <v>0</v>
      </c>
      <c r="E3085" s="421">
        <f t="shared" ref="E3085:E3090" si="291">$E$3084*C3085</f>
        <v>0</v>
      </c>
      <c r="F3085" s="421">
        <f t="shared" ref="F3085:F3090" si="292">$F$3084*C3085</f>
        <v>0</v>
      </c>
      <c r="G3085" s="421">
        <f t="shared" ref="G3085:G3090" si="293">$G$3084*C3085</f>
        <v>0</v>
      </c>
      <c r="H3085" s="421">
        <f t="shared" ref="H3085:H3090" si="294">$H$3084*C3085</f>
        <v>0</v>
      </c>
      <c r="I3085" s="421">
        <f t="shared" ref="I3085:I3090" si="295">$I$3084*C3085</f>
        <v>0</v>
      </c>
      <c r="J3085" s="421">
        <f t="shared" ref="J3085:J3090" si="296">$J$3084*C3085</f>
        <v>0</v>
      </c>
      <c r="K3085" s="422">
        <f t="shared" si="289"/>
        <v>0</v>
      </c>
    </row>
    <row r="3086" spans="2:13" ht="15" customHeight="1" x14ac:dyDescent="0.25">
      <c r="B3086" s="389"/>
      <c r="C3086" s="423"/>
      <c r="D3086" s="421">
        <f t="shared" si="290"/>
        <v>0</v>
      </c>
      <c r="E3086" s="421">
        <f t="shared" si="291"/>
        <v>0</v>
      </c>
      <c r="F3086" s="421">
        <f t="shared" si="292"/>
        <v>0</v>
      </c>
      <c r="G3086" s="421">
        <f t="shared" si="293"/>
        <v>0</v>
      </c>
      <c r="H3086" s="421">
        <f t="shared" si="294"/>
        <v>0</v>
      </c>
      <c r="I3086" s="421">
        <f t="shared" si="295"/>
        <v>0</v>
      </c>
      <c r="J3086" s="421">
        <f t="shared" si="296"/>
        <v>0</v>
      </c>
      <c r="K3086" s="424">
        <f t="shared" si="289"/>
        <v>0</v>
      </c>
    </row>
    <row r="3087" spans="2:13" ht="15" customHeight="1" x14ac:dyDescent="0.25">
      <c r="B3087" s="389"/>
      <c r="C3087" s="423"/>
      <c r="D3087" s="421">
        <f t="shared" si="290"/>
        <v>0</v>
      </c>
      <c r="E3087" s="421">
        <f t="shared" si="291"/>
        <v>0</v>
      </c>
      <c r="F3087" s="421">
        <f t="shared" si="292"/>
        <v>0</v>
      </c>
      <c r="G3087" s="421">
        <f t="shared" si="293"/>
        <v>0</v>
      </c>
      <c r="H3087" s="421">
        <f t="shared" si="294"/>
        <v>0</v>
      </c>
      <c r="I3087" s="421">
        <f t="shared" si="295"/>
        <v>0</v>
      </c>
      <c r="J3087" s="421">
        <f t="shared" si="296"/>
        <v>0</v>
      </c>
      <c r="K3087" s="422">
        <f t="shared" si="289"/>
        <v>0</v>
      </c>
    </row>
    <row r="3088" spans="2:13" ht="15" customHeight="1" x14ac:dyDescent="0.25">
      <c r="B3088" s="389"/>
      <c r="C3088" s="423"/>
      <c r="D3088" s="421">
        <f t="shared" si="290"/>
        <v>0</v>
      </c>
      <c r="E3088" s="421">
        <f t="shared" si="291"/>
        <v>0</v>
      </c>
      <c r="F3088" s="421">
        <f t="shared" si="292"/>
        <v>0</v>
      </c>
      <c r="G3088" s="421">
        <f t="shared" si="293"/>
        <v>0</v>
      </c>
      <c r="H3088" s="421">
        <f t="shared" si="294"/>
        <v>0</v>
      </c>
      <c r="I3088" s="421">
        <f t="shared" si="295"/>
        <v>0</v>
      </c>
      <c r="J3088" s="421">
        <f t="shared" si="296"/>
        <v>0</v>
      </c>
      <c r="K3088" s="424">
        <f t="shared" si="289"/>
        <v>0</v>
      </c>
    </row>
    <row r="3089" spans="2:13" ht="15" customHeight="1" x14ac:dyDescent="0.25">
      <c r="B3089" s="419"/>
      <c r="C3089" s="420"/>
      <c r="D3089" s="421">
        <f t="shared" si="290"/>
        <v>0</v>
      </c>
      <c r="E3089" s="421">
        <f t="shared" si="291"/>
        <v>0</v>
      </c>
      <c r="F3089" s="421">
        <f t="shared" si="292"/>
        <v>0</v>
      </c>
      <c r="G3089" s="421">
        <f t="shared" si="293"/>
        <v>0</v>
      </c>
      <c r="H3089" s="421">
        <f t="shared" si="294"/>
        <v>0</v>
      </c>
      <c r="I3089" s="421">
        <f t="shared" si="295"/>
        <v>0</v>
      </c>
      <c r="J3089" s="421">
        <f t="shared" si="296"/>
        <v>0</v>
      </c>
      <c r="K3089" s="422">
        <f t="shared" si="289"/>
        <v>0</v>
      </c>
    </row>
    <row r="3090" spans="2:13" ht="15" customHeight="1" x14ac:dyDescent="0.25">
      <c r="B3090" s="389"/>
      <c r="C3090" s="423"/>
      <c r="D3090" s="421">
        <f t="shared" si="290"/>
        <v>0</v>
      </c>
      <c r="E3090" s="421">
        <f t="shared" si="291"/>
        <v>0</v>
      </c>
      <c r="F3090" s="421">
        <f t="shared" si="292"/>
        <v>0</v>
      </c>
      <c r="G3090" s="421">
        <f t="shared" si="293"/>
        <v>0</v>
      </c>
      <c r="H3090" s="421">
        <f t="shared" si="294"/>
        <v>0</v>
      </c>
      <c r="I3090" s="421">
        <f t="shared" si="295"/>
        <v>0</v>
      </c>
      <c r="J3090" s="421">
        <f t="shared" si="296"/>
        <v>0</v>
      </c>
      <c r="K3090" s="424">
        <f t="shared" si="289"/>
        <v>0</v>
      </c>
    </row>
    <row r="3091" spans="2:13" ht="15" customHeight="1" thickBot="1" x14ac:dyDescent="0.3"/>
    <row r="3092" spans="2:13" ht="15" customHeight="1" thickBot="1" x14ac:dyDescent="0.3">
      <c r="B3092" s="432"/>
      <c r="C3092" s="411"/>
      <c r="D3092" s="407" t="s">
        <v>548</v>
      </c>
      <c r="E3092" s="408" t="s">
        <v>549</v>
      </c>
      <c r="F3092" s="408" t="s">
        <v>550</v>
      </c>
      <c r="G3092" s="408" t="s">
        <v>551</v>
      </c>
      <c r="H3092" s="408" t="s">
        <v>552</v>
      </c>
      <c r="I3092" s="408" t="s">
        <v>553</v>
      </c>
      <c r="J3092" s="408" t="s">
        <v>554</v>
      </c>
      <c r="K3092" s="408" t="s">
        <v>555</v>
      </c>
      <c r="M3092" s="426"/>
    </row>
    <row r="3093" spans="2:13" ht="15" customHeight="1" thickBot="1" x14ac:dyDescent="0.3">
      <c r="B3093" s="414" t="s">
        <v>556</v>
      </c>
      <c r="C3093" s="415" t="s">
        <v>620</v>
      </c>
      <c r="D3093" s="416">
        <f>IF(ISERROR(VLOOKUP(B3092,'MD Usage'!$A$1:$W$5000,3,FALSE)),0,VLOOKUP(B3092,'MD Usage'!$A$1:$W$5000,3,FALSE))</f>
        <v>0</v>
      </c>
      <c r="E3093" s="416">
        <f>IF(ISERROR(VLOOKUP(B3092,'MD Usage'!$A$1:$W$5000,5,FALSE)),0,VLOOKUP(B3092,'MD Usage'!$A$1:$W$5000,5,FALSE))</f>
        <v>0</v>
      </c>
      <c r="F3093" s="416">
        <f>IF(ISERROR(VLOOKUP(B3092,'MD Usage'!$A$1:$W$5000,7,FALSE)),0,VLOOKUP(B3092,'MD Usage'!$A$1:$W$5000,7,FALSE))</f>
        <v>0</v>
      </c>
      <c r="G3093" s="416">
        <f>IF(ISERROR(VLOOKUP(B3092,'MD Usage'!$A$1:$W$5000,9,FALSE)),0,VLOOKUP(B3092,'MD Usage'!$A$1:$W$5000,9,FALSE))</f>
        <v>0</v>
      </c>
      <c r="H3093" s="416">
        <f>IF(ISERROR(VLOOKUP(B3092,'MD Usage'!$A$1:$W$5000,11,FALSE)),0,VLOOKUP(B3092,'MD Usage'!$A$1:$W$5000,11,FALSE))</f>
        <v>0</v>
      </c>
      <c r="I3093" s="416">
        <f>IF(ISERROR(VLOOKUP(B3092,'MD Usage'!A1:R2000,13,FALSE)),0,VLOOKUP(B3092,'MD Usage'!A1:R2000,13,FALSE))</f>
        <v>0</v>
      </c>
      <c r="J3093" s="416">
        <f>IF(ISERROR(VLOOKUP(B3092,'MD Usage'!A1:R2000,15,FALSE)),0,VLOOKUP(B3092,'MD Usage'!A1:R2000,15,FALSE))</f>
        <v>0</v>
      </c>
      <c r="K3093" s="418">
        <f t="shared" ref="K3093:K3099" si="297">SUM(D3093:J3093)</f>
        <v>0</v>
      </c>
    </row>
    <row r="3094" spans="2:13" ht="15" customHeight="1" x14ac:dyDescent="0.25">
      <c r="B3094" s="419"/>
      <c r="C3094" s="420"/>
      <c r="D3094" s="421">
        <f t="shared" ref="D3094:D3099" si="298">$D$3093*C3094</f>
        <v>0</v>
      </c>
      <c r="E3094" s="421">
        <f t="shared" ref="E3094:E3099" si="299">$E$3093*C3094</f>
        <v>0</v>
      </c>
      <c r="F3094" s="421">
        <f t="shared" ref="F3094:F3099" si="300">$F$3093*C3094</f>
        <v>0</v>
      </c>
      <c r="G3094" s="421">
        <f t="shared" ref="G3094:G3099" si="301">$G$3093*C3094</f>
        <v>0</v>
      </c>
      <c r="H3094" s="421">
        <f t="shared" ref="H3094:H3099" si="302">$H$3093*C3094</f>
        <v>0</v>
      </c>
      <c r="I3094" s="421">
        <f t="shared" ref="I3094:I3099" si="303">$I$3093*C3094</f>
        <v>0</v>
      </c>
      <c r="J3094" s="421">
        <f t="shared" ref="J3094:J3099" si="304">$J$3093*C3094</f>
        <v>0</v>
      </c>
      <c r="K3094" s="422">
        <f t="shared" si="297"/>
        <v>0</v>
      </c>
    </row>
    <row r="3095" spans="2:13" ht="15" customHeight="1" x14ac:dyDescent="0.25">
      <c r="B3095" s="389"/>
      <c r="C3095" s="423"/>
      <c r="D3095" s="421">
        <f t="shared" si="298"/>
        <v>0</v>
      </c>
      <c r="E3095" s="421">
        <f t="shared" si="299"/>
        <v>0</v>
      </c>
      <c r="F3095" s="421">
        <f t="shared" si="300"/>
        <v>0</v>
      </c>
      <c r="G3095" s="421">
        <f t="shared" si="301"/>
        <v>0</v>
      </c>
      <c r="H3095" s="421">
        <f t="shared" si="302"/>
        <v>0</v>
      </c>
      <c r="I3095" s="421">
        <f t="shared" si="303"/>
        <v>0</v>
      </c>
      <c r="J3095" s="421">
        <f t="shared" si="304"/>
        <v>0</v>
      </c>
      <c r="K3095" s="424">
        <f t="shared" si="297"/>
        <v>0</v>
      </c>
    </row>
    <row r="3096" spans="2:13" ht="15" customHeight="1" x14ac:dyDescent="0.25">
      <c r="B3096" s="389"/>
      <c r="C3096" s="423"/>
      <c r="D3096" s="421">
        <f t="shared" si="298"/>
        <v>0</v>
      </c>
      <c r="E3096" s="421">
        <f t="shared" si="299"/>
        <v>0</v>
      </c>
      <c r="F3096" s="421">
        <f t="shared" si="300"/>
        <v>0</v>
      </c>
      <c r="G3096" s="421">
        <f t="shared" si="301"/>
        <v>0</v>
      </c>
      <c r="H3096" s="421">
        <f t="shared" si="302"/>
        <v>0</v>
      </c>
      <c r="I3096" s="421">
        <f t="shared" si="303"/>
        <v>0</v>
      </c>
      <c r="J3096" s="421">
        <f t="shared" si="304"/>
        <v>0</v>
      </c>
      <c r="K3096" s="422">
        <f t="shared" si="297"/>
        <v>0</v>
      </c>
    </row>
    <row r="3097" spans="2:13" ht="15" customHeight="1" x14ac:dyDescent="0.25">
      <c r="B3097" s="389"/>
      <c r="C3097" s="423"/>
      <c r="D3097" s="421">
        <f t="shared" si="298"/>
        <v>0</v>
      </c>
      <c r="E3097" s="421">
        <f t="shared" si="299"/>
        <v>0</v>
      </c>
      <c r="F3097" s="421">
        <f t="shared" si="300"/>
        <v>0</v>
      </c>
      <c r="G3097" s="421">
        <f t="shared" si="301"/>
        <v>0</v>
      </c>
      <c r="H3097" s="421">
        <f t="shared" si="302"/>
        <v>0</v>
      </c>
      <c r="I3097" s="421">
        <f t="shared" si="303"/>
        <v>0</v>
      </c>
      <c r="J3097" s="421">
        <f t="shared" si="304"/>
        <v>0</v>
      </c>
      <c r="K3097" s="424">
        <f t="shared" si="297"/>
        <v>0</v>
      </c>
    </row>
    <row r="3098" spans="2:13" ht="15" customHeight="1" x14ac:dyDescent="0.25">
      <c r="B3098" s="419"/>
      <c r="C3098" s="420"/>
      <c r="D3098" s="421">
        <f t="shared" si="298"/>
        <v>0</v>
      </c>
      <c r="E3098" s="421">
        <f t="shared" si="299"/>
        <v>0</v>
      </c>
      <c r="F3098" s="421">
        <f t="shared" si="300"/>
        <v>0</v>
      </c>
      <c r="G3098" s="421">
        <f t="shared" si="301"/>
        <v>0</v>
      </c>
      <c r="H3098" s="421">
        <f t="shared" si="302"/>
        <v>0</v>
      </c>
      <c r="I3098" s="421">
        <f t="shared" si="303"/>
        <v>0</v>
      </c>
      <c r="J3098" s="421">
        <f t="shared" si="304"/>
        <v>0</v>
      </c>
      <c r="K3098" s="422">
        <f t="shared" si="297"/>
        <v>0</v>
      </c>
    </row>
    <row r="3099" spans="2:13" ht="15" customHeight="1" x14ac:dyDescent="0.25">
      <c r="B3099" s="389"/>
      <c r="C3099" s="423"/>
      <c r="D3099" s="421">
        <f t="shared" si="298"/>
        <v>0</v>
      </c>
      <c r="E3099" s="421">
        <f t="shared" si="299"/>
        <v>0</v>
      </c>
      <c r="F3099" s="421">
        <f t="shared" si="300"/>
        <v>0</v>
      </c>
      <c r="G3099" s="421">
        <f t="shared" si="301"/>
        <v>0</v>
      </c>
      <c r="H3099" s="421">
        <f t="shared" si="302"/>
        <v>0</v>
      </c>
      <c r="I3099" s="421">
        <f t="shared" si="303"/>
        <v>0</v>
      </c>
      <c r="J3099" s="421">
        <f t="shared" si="304"/>
        <v>0</v>
      </c>
      <c r="K3099" s="424">
        <f t="shared" si="297"/>
        <v>0</v>
      </c>
    </row>
    <row r="3100" spans="2:13" ht="15" customHeight="1" thickBot="1" x14ac:dyDescent="0.3"/>
    <row r="3101" spans="2:13" ht="15" customHeight="1" thickBot="1" x14ac:dyDescent="0.3">
      <c r="B3101" s="432"/>
      <c r="C3101" s="411"/>
      <c r="D3101" s="407" t="s">
        <v>548</v>
      </c>
      <c r="E3101" s="408" t="s">
        <v>549</v>
      </c>
      <c r="F3101" s="408" t="s">
        <v>550</v>
      </c>
      <c r="G3101" s="408" t="s">
        <v>551</v>
      </c>
      <c r="H3101" s="408" t="s">
        <v>552</v>
      </c>
      <c r="I3101" s="408" t="s">
        <v>553</v>
      </c>
      <c r="J3101" s="408" t="s">
        <v>554</v>
      </c>
      <c r="K3101" s="408" t="s">
        <v>555</v>
      </c>
      <c r="M3101" s="426"/>
    </row>
    <row r="3102" spans="2:13" ht="15" customHeight="1" thickBot="1" x14ac:dyDescent="0.3">
      <c r="B3102" s="414" t="s">
        <v>556</v>
      </c>
      <c r="C3102" s="415" t="s">
        <v>620</v>
      </c>
      <c r="D3102" s="416">
        <f>IF(ISERROR(VLOOKUP(B3101,'MD Usage'!$A$1:$W$5000,3,FALSE)),0,VLOOKUP(B3101,'MD Usage'!$A$1:$W$5000,3,FALSE))</f>
        <v>0</v>
      </c>
      <c r="E3102" s="416">
        <f>IF(ISERROR(VLOOKUP(B3101,'MD Usage'!$A$1:$W$5000,5,FALSE)),0,VLOOKUP(B3101,'MD Usage'!$A$1:$W$5000,5,FALSE))</f>
        <v>0</v>
      </c>
      <c r="F3102" s="416">
        <f>IF(ISERROR(VLOOKUP(B3101,'MD Usage'!$A$1:$W$5000,7,FALSE)),0,VLOOKUP(B3101,'MD Usage'!$A$1:$W$5000,7,FALSE))</f>
        <v>0</v>
      </c>
      <c r="G3102" s="416">
        <f>IF(ISERROR(VLOOKUP(B3101,'MD Usage'!$A$1:$W$5000,9,FALSE)),0,VLOOKUP(B3101,'MD Usage'!$A$1:$W$5000,9,FALSE))</f>
        <v>0</v>
      </c>
      <c r="H3102" s="416">
        <f>IF(ISERROR(VLOOKUP(B3101,'MD Usage'!$A$1:$W$5000,11,FALSE)),0,VLOOKUP(B3101,'MD Usage'!$A$1:$W$5000,11,FALSE))</f>
        <v>0</v>
      </c>
      <c r="I3102" s="416">
        <f>IF(ISERROR(VLOOKUP(B3101,'MD Usage'!A1:R2000,13,FALSE)),0,VLOOKUP(B3101,'MD Usage'!A1:R2000,13,FALSE))</f>
        <v>0</v>
      </c>
      <c r="J3102" s="416">
        <f>IF(ISERROR(VLOOKUP(B3101,'MD Usage'!A1:R2000,15,FALSE)),0,VLOOKUP(B3101,'MD Usage'!A1:R2000,15,FALSE))</f>
        <v>0</v>
      </c>
      <c r="K3102" s="418">
        <f t="shared" ref="K3102:K3108" si="305">SUM(D3102:J3102)</f>
        <v>0</v>
      </c>
    </row>
    <row r="3103" spans="2:13" ht="15" customHeight="1" x14ac:dyDescent="0.25">
      <c r="B3103" s="419"/>
      <c r="C3103" s="420"/>
      <c r="D3103" s="421">
        <f t="shared" ref="D3103:D3108" si="306">$D$3102*C3103</f>
        <v>0</v>
      </c>
      <c r="E3103" s="421">
        <f t="shared" ref="E3103:E3108" si="307">$E$3102*C3103</f>
        <v>0</v>
      </c>
      <c r="F3103" s="421">
        <f t="shared" ref="F3103:F3108" si="308">$F$3102*C3103</f>
        <v>0</v>
      </c>
      <c r="G3103" s="421">
        <f t="shared" ref="G3103:G3108" si="309">$G$3102*C3103</f>
        <v>0</v>
      </c>
      <c r="H3103" s="421">
        <f t="shared" ref="H3103:H3108" si="310">$H$3102*C3103</f>
        <v>0</v>
      </c>
      <c r="I3103" s="421">
        <f t="shared" ref="I3103:I3108" si="311">$I$3102*C3103</f>
        <v>0</v>
      </c>
      <c r="J3103" s="421">
        <f t="shared" ref="J3103:J3108" si="312">$J$3102*C3103</f>
        <v>0</v>
      </c>
      <c r="K3103" s="422">
        <f t="shared" si="305"/>
        <v>0</v>
      </c>
    </row>
    <row r="3104" spans="2:13" ht="15" customHeight="1" x14ac:dyDescent="0.25">
      <c r="B3104" s="389"/>
      <c r="C3104" s="423"/>
      <c r="D3104" s="421">
        <f t="shared" si="306"/>
        <v>0</v>
      </c>
      <c r="E3104" s="421">
        <f t="shared" si="307"/>
        <v>0</v>
      </c>
      <c r="F3104" s="421">
        <f t="shared" si="308"/>
        <v>0</v>
      </c>
      <c r="G3104" s="421">
        <f t="shared" si="309"/>
        <v>0</v>
      </c>
      <c r="H3104" s="421">
        <f t="shared" si="310"/>
        <v>0</v>
      </c>
      <c r="I3104" s="421">
        <f t="shared" si="311"/>
        <v>0</v>
      </c>
      <c r="J3104" s="421">
        <f t="shared" si="312"/>
        <v>0</v>
      </c>
      <c r="K3104" s="424">
        <f t="shared" si="305"/>
        <v>0</v>
      </c>
    </row>
    <row r="3105" spans="2:13" ht="15" customHeight="1" x14ac:dyDescent="0.25">
      <c r="B3105" s="389"/>
      <c r="C3105" s="423"/>
      <c r="D3105" s="421">
        <f t="shared" si="306"/>
        <v>0</v>
      </c>
      <c r="E3105" s="421">
        <f t="shared" si="307"/>
        <v>0</v>
      </c>
      <c r="F3105" s="421">
        <f t="shared" si="308"/>
        <v>0</v>
      </c>
      <c r="G3105" s="421">
        <f t="shared" si="309"/>
        <v>0</v>
      </c>
      <c r="H3105" s="421">
        <f t="shared" si="310"/>
        <v>0</v>
      </c>
      <c r="I3105" s="421">
        <f t="shared" si="311"/>
        <v>0</v>
      </c>
      <c r="J3105" s="421">
        <f t="shared" si="312"/>
        <v>0</v>
      </c>
      <c r="K3105" s="422">
        <f t="shared" si="305"/>
        <v>0</v>
      </c>
    </row>
    <row r="3106" spans="2:13" ht="15" customHeight="1" x14ac:dyDescent="0.25">
      <c r="B3106" s="389"/>
      <c r="C3106" s="423"/>
      <c r="D3106" s="421">
        <f t="shared" si="306"/>
        <v>0</v>
      </c>
      <c r="E3106" s="421">
        <f t="shared" si="307"/>
        <v>0</v>
      </c>
      <c r="F3106" s="421">
        <f t="shared" si="308"/>
        <v>0</v>
      </c>
      <c r="G3106" s="421">
        <f t="shared" si="309"/>
        <v>0</v>
      </c>
      <c r="H3106" s="421">
        <f t="shared" si="310"/>
        <v>0</v>
      </c>
      <c r="I3106" s="421">
        <f t="shared" si="311"/>
        <v>0</v>
      </c>
      <c r="J3106" s="421">
        <f t="shared" si="312"/>
        <v>0</v>
      </c>
      <c r="K3106" s="424">
        <f t="shared" si="305"/>
        <v>0</v>
      </c>
    </row>
    <row r="3107" spans="2:13" ht="15" customHeight="1" x14ac:dyDescent="0.25">
      <c r="B3107" s="419"/>
      <c r="C3107" s="420"/>
      <c r="D3107" s="421">
        <f t="shared" si="306"/>
        <v>0</v>
      </c>
      <c r="E3107" s="421">
        <f t="shared" si="307"/>
        <v>0</v>
      </c>
      <c r="F3107" s="421">
        <f t="shared" si="308"/>
        <v>0</v>
      </c>
      <c r="G3107" s="421">
        <f t="shared" si="309"/>
        <v>0</v>
      </c>
      <c r="H3107" s="421">
        <f t="shared" si="310"/>
        <v>0</v>
      </c>
      <c r="I3107" s="421">
        <f t="shared" si="311"/>
        <v>0</v>
      </c>
      <c r="J3107" s="421">
        <f t="shared" si="312"/>
        <v>0</v>
      </c>
      <c r="K3107" s="422">
        <f t="shared" si="305"/>
        <v>0</v>
      </c>
    </row>
    <row r="3108" spans="2:13" ht="15" customHeight="1" x14ac:dyDescent="0.25">
      <c r="B3108" s="389"/>
      <c r="C3108" s="423"/>
      <c r="D3108" s="421">
        <f t="shared" si="306"/>
        <v>0</v>
      </c>
      <c r="E3108" s="421">
        <f t="shared" si="307"/>
        <v>0</v>
      </c>
      <c r="F3108" s="421">
        <f t="shared" si="308"/>
        <v>0</v>
      </c>
      <c r="G3108" s="421">
        <f t="shared" si="309"/>
        <v>0</v>
      </c>
      <c r="H3108" s="421">
        <f t="shared" si="310"/>
        <v>0</v>
      </c>
      <c r="I3108" s="421">
        <f t="shared" si="311"/>
        <v>0</v>
      </c>
      <c r="J3108" s="421">
        <f t="shared" si="312"/>
        <v>0</v>
      </c>
      <c r="K3108" s="424">
        <f t="shared" si="305"/>
        <v>0</v>
      </c>
    </row>
    <row r="3109" spans="2:13" ht="15" customHeight="1" thickBot="1" x14ac:dyDescent="0.3"/>
    <row r="3110" spans="2:13" ht="15" customHeight="1" thickBot="1" x14ac:dyDescent="0.3">
      <c r="B3110" s="432"/>
      <c r="C3110" s="411"/>
      <c r="D3110" s="407" t="s">
        <v>548</v>
      </c>
      <c r="E3110" s="408" t="s">
        <v>549</v>
      </c>
      <c r="F3110" s="408" t="s">
        <v>550</v>
      </c>
      <c r="G3110" s="408" t="s">
        <v>551</v>
      </c>
      <c r="H3110" s="408" t="s">
        <v>552</v>
      </c>
      <c r="I3110" s="408" t="s">
        <v>553</v>
      </c>
      <c r="J3110" s="408" t="s">
        <v>554</v>
      </c>
      <c r="K3110" s="408" t="s">
        <v>555</v>
      </c>
      <c r="M3110" s="426"/>
    </row>
    <row r="3111" spans="2:13" ht="15" customHeight="1" thickBot="1" x14ac:dyDescent="0.3">
      <c r="B3111" s="414" t="s">
        <v>556</v>
      </c>
      <c r="C3111" s="415" t="s">
        <v>620</v>
      </c>
      <c r="D3111" s="416">
        <f>IF(ISERROR(VLOOKUP(B3110,'MD Usage'!$A$1:$W$5000,3,FALSE)),0,VLOOKUP(B3110,'MD Usage'!$A$1:$W$5000,3,FALSE))</f>
        <v>0</v>
      </c>
      <c r="E3111" s="416">
        <f>IF(ISERROR(VLOOKUP(B3110,'MD Usage'!$A$1:$W$5000,5,FALSE)),0,VLOOKUP(B3110,'MD Usage'!$A$1:$W$5000,5,FALSE))</f>
        <v>0</v>
      </c>
      <c r="F3111" s="416">
        <f>IF(ISERROR(VLOOKUP(B3110,'MD Usage'!$A$1:$W$5000,7,FALSE)),0,VLOOKUP(B3110,'MD Usage'!$A$1:$W$5000,7,FALSE))</f>
        <v>0</v>
      </c>
      <c r="G3111" s="416">
        <f>IF(ISERROR(VLOOKUP(B3110,'MD Usage'!$A$1:$W$5000,9,FALSE)),0,VLOOKUP(B3110,'MD Usage'!$A$1:$W$5000,9,FALSE))</f>
        <v>0</v>
      </c>
      <c r="H3111" s="416">
        <f>IF(ISERROR(VLOOKUP(B3110,'MD Usage'!$A$1:$W$5000,11,FALSE)),0,VLOOKUP(B3110,'MD Usage'!$A$1:$W$5000,11,FALSE))</f>
        <v>0</v>
      </c>
      <c r="I3111" s="416">
        <f>IF(ISERROR(VLOOKUP(B3110,'MD Usage'!A1:R2000,13,FALSE)),0,VLOOKUP(B3110,'MD Usage'!A1:R2000,13,FALSE))</f>
        <v>0</v>
      </c>
      <c r="J3111" s="416">
        <f>IF(ISERROR(VLOOKUP(B3110,'MD Usage'!A1:R2000,15,FALSE)),0,VLOOKUP(B3110,'MD Usage'!A1:R2000,15,FALSE))</f>
        <v>0</v>
      </c>
      <c r="K3111" s="418">
        <f t="shared" ref="K3111:K3117" si="313">SUM(D3111:J3111)</f>
        <v>0</v>
      </c>
    </row>
    <row r="3112" spans="2:13" ht="15" customHeight="1" x14ac:dyDescent="0.25">
      <c r="B3112" s="419"/>
      <c r="C3112" s="420"/>
      <c r="D3112" s="421">
        <f t="shared" ref="D3112:D3117" si="314">$D$3111*C3112</f>
        <v>0</v>
      </c>
      <c r="E3112" s="421">
        <f t="shared" ref="E3112:E3117" si="315">$E$3111*C3112</f>
        <v>0</v>
      </c>
      <c r="F3112" s="421">
        <f t="shared" ref="F3112:F3117" si="316">$F$3111*C3112</f>
        <v>0</v>
      </c>
      <c r="G3112" s="421">
        <f t="shared" ref="G3112:G3117" si="317">$G$3111*C3112</f>
        <v>0</v>
      </c>
      <c r="H3112" s="421">
        <f t="shared" ref="H3112:H3117" si="318">$H$3111*C3112</f>
        <v>0</v>
      </c>
      <c r="I3112" s="421">
        <f t="shared" ref="I3112:I3117" si="319">$I$3111*C3112</f>
        <v>0</v>
      </c>
      <c r="J3112" s="421">
        <f t="shared" ref="J3112:J3117" si="320">$J$3111*C3112</f>
        <v>0</v>
      </c>
      <c r="K3112" s="422">
        <f t="shared" si="313"/>
        <v>0</v>
      </c>
    </row>
    <row r="3113" spans="2:13" ht="15" customHeight="1" x14ac:dyDescent="0.25">
      <c r="B3113" s="389"/>
      <c r="C3113" s="423"/>
      <c r="D3113" s="421">
        <f t="shared" si="314"/>
        <v>0</v>
      </c>
      <c r="E3113" s="421">
        <f t="shared" si="315"/>
        <v>0</v>
      </c>
      <c r="F3113" s="421">
        <f t="shared" si="316"/>
        <v>0</v>
      </c>
      <c r="G3113" s="421">
        <f t="shared" si="317"/>
        <v>0</v>
      </c>
      <c r="H3113" s="421">
        <f t="shared" si="318"/>
        <v>0</v>
      </c>
      <c r="I3113" s="421">
        <f t="shared" si="319"/>
        <v>0</v>
      </c>
      <c r="J3113" s="421">
        <f t="shared" si="320"/>
        <v>0</v>
      </c>
      <c r="K3113" s="424">
        <f t="shared" si="313"/>
        <v>0</v>
      </c>
    </row>
    <row r="3114" spans="2:13" ht="15" customHeight="1" x14ac:dyDescent="0.25">
      <c r="B3114" s="389"/>
      <c r="C3114" s="423"/>
      <c r="D3114" s="421">
        <f t="shared" si="314"/>
        <v>0</v>
      </c>
      <c r="E3114" s="421">
        <f t="shared" si="315"/>
        <v>0</v>
      </c>
      <c r="F3114" s="421">
        <f t="shared" si="316"/>
        <v>0</v>
      </c>
      <c r="G3114" s="421">
        <f t="shared" si="317"/>
        <v>0</v>
      </c>
      <c r="H3114" s="421">
        <f t="shared" si="318"/>
        <v>0</v>
      </c>
      <c r="I3114" s="421">
        <f t="shared" si="319"/>
        <v>0</v>
      </c>
      <c r="J3114" s="421">
        <f t="shared" si="320"/>
        <v>0</v>
      </c>
      <c r="K3114" s="422">
        <f t="shared" si="313"/>
        <v>0</v>
      </c>
    </row>
    <row r="3115" spans="2:13" ht="15" customHeight="1" x14ac:dyDescent="0.25">
      <c r="B3115" s="389"/>
      <c r="C3115" s="423"/>
      <c r="D3115" s="421">
        <f t="shared" si="314"/>
        <v>0</v>
      </c>
      <c r="E3115" s="421">
        <f t="shared" si="315"/>
        <v>0</v>
      </c>
      <c r="F3115" s="421">
        <f t="shared" si="316"/>
        <v>0</v>
      </c>
      <c r="G3115" s="421">
        <f t="shared" si="317"/>
        <v>0</v>
      </c>
      <c r="H3115" s="421">
        <f t="shared" si="318"/>
        <v>0</v>
      </c>
      <c r="I3115" s="421">
        <f t="shared" si="319"/>
        <v>0</v>
      </c>
      <c r="J3115" s="421">
        <f t="shared" si="320"/>
        <v>0</v>
      </c>
      <c r="K3115" s="424">
        <f t="shared" si="313"/>
        <v>0</v>
      </c>
    </row>
    <row r="3116" spans="2:13" ht="15" customHeight="1" x14ac:dyDescent="0.25">
      <c r="B3116" s="419"/>
      <c r="C3116" s="420"/>
      <c r="D3116" s="421">
        <f t="shared" si="314"/>
        <v>0</v>
      </c>
      <c r="E3116" s="421">
        <f t="shared" si="315"/>
        <v>0</v>
      </c>
      <c r="F3116" s="421">
        <f t="shared" si="316"/>
        <v>0</v>
      </c>
      <c r="G3116" s="421">
        <f t="shared" si="317"/>
        <v>0</v>
      </c>
      <c r="H3116" s="421">
        <f t="shared" si="318"/>
        <v>0</v>
      </c>
      <c r="I3116" s="421">
        <f t="shared" si="319"/>
        <v>0</v>
      </c>
      <c r="J3116" s="421">
        <f t="shared" si="320"/>
        <v>0</v>
      </c>
      <c r="K3116" s="422">
        <f t="shared" si="313"/>
        <v>0</v>
      </c>
    </row>
    <row r="3117" spans="2:13" ht="15" customHeight="1" x14ac:dyDescent="0.25">
      <c r="B3117" s="389"/>
      <c r="C3117" s="423"/>
      <c r="D3117" s="421">
        <f t="shared" si="314"/>
        <v>0</v>
      </c>
      <c r="E3117" s="421">
        <f t="shared" si="315"/>
        <v>0</v>
      </c>
      <c r="F3117" s="421">
        <f t="shared" si="316"/>
        <v>0</v>
      </c>
      <c r="G3117" s="421">
        <f t="shared" si="317"/>
        <v>0</v>
      </c>
      <c r="H3117" s="421">
        <f t="shared" si="318"/>
        <v>0</v>
      </c>
      <c r="I3117" s="421">
        <f t="shared" si="319"/>
        <v>0</v>
      </c>
      <c r="J3117" s="421">
        <f t="shared" si="320"/>
        <v>0</v>
      </c>
      <c r="K3117" s="424">
        <f t="shared" si="313"/>
        <v>0</v>
      </c>
    </row>
    <row r="3118" spans="2:13" ht="15" customHeight="1" thickBot="1" x14ac:dyDescent="0.3"/>
    <row r="3119" spans="2:13" ht="15" customHeight="1" thickBot="1" x14ac:dyDescent="0.3">
      <c r="B3119" s="432"/>
      <c r="C3119" s="411"/>
      <c r="D3119" s="407" t="s">
        <v>548</v>
      </c>
      <c r="E3119" s="408" t="s">
        <v>549</v>
      </c>
      <c r="F3119" s="408" t="s">
        <v>550</v>
      </c>
      <c r="G3119" s="408" t="s">
        <v>551</v>
      </c>
      <c r="H3119" s="408" t="s">
        <v>552</v>
      </c>
      <c r="I3119" s="408" t="s">
        <v>553</v>
      </c>
      <c r="J3119" s="408" t="s">
        <v>554</v>
      </c>
      <c r="K3119" s="408" t="s">
        <v>555</v>
      </c>
      <c r="M3119" s="426"/>
    </row>
    <row r="3120" spans="2:13" ht="15" customHeight="1" thickBot="1" x14ac:dyDescent="0.3">
      <c r="B3120" s="414" t="s">
        <v>556</v>
      </c>
      <c r="C3120" s="415" t="s">
        <v>620</v>
      </c>
      <c r="D3120" s="416">
        <f>IF(ISERROR(VLOOKUP(B3119,'MD Usage'!$A$1:$W$5000,3,FALSE)),0,VLOOKUP(B3119,'MD Usage'!$A$1:$W$5000,3,FALSE))</f>
        <v>0</v>
      </c>
      <c r="E3120" s="416">
        <f>IF(ISERROR(VLOOKUP(B3119,'MD Usage'!$A$1:$W$5000,5,FALSE)),0,VLOOKUP(B3119,'MD Usage'!$A$1:$W$5000,5,FALSE))</f>
        <v>0</v>
      </c>
      <c r="F3120" s="416">
        <f>IF(ISERROR(VLOOKUP(B3119,'MD Usage'!$A$1:$W$5000,7,FALSE)),0,VLOOKUP(B3119,'MD Usage'!$A$1:$W$5000,7,FALSE))</f>
        <v>0</v>
      </c>
      <c r="G3120" s="416">
        <f>IF(ISERROR(VLOOKUP(B3119,'MD Usage'!$A$1:$W$5000,9,FALSE)),0,VLOOKUP(B3119,'MD Usage'!$A$1:$W$5000,9,FALSE))</f>
        <v>0</v>
      </c>
      <c r="H3120" s="416">
        <f>IF(ISERROR(VLOOKUP(B3119,'MD Usage'!$A$1:$W$5000,11,FALSE)),0,VLOOKUP(B3119,'MD Usage'!$A$1:$W$5000,11,FALSE))</f>
        <v>0</v>
      </c>
      <c r="I3120" s="416">
        <f>IF(ISERROR(VLOOKUP(B3119,'MD Usage'!A1:R2000,13,FALSE)),0,VLOOKUP(B3119,'MD Usage'!A1:R2000,13,FALSE))</f>
        <v>0</v>
      </c>
      <c r="J3120" s="416">
        <f>IF(ISERROR(VLOOKUP(B3119,'MD Usage'!A1:R2000,15,FALSE)),0,VLOOKUP(B3119,'MD Usage'!A1:R2000,15,FALSE))</f>
        <v>0</v>
      </c>
      <c r="K3120" s="418">
        <f t="shared" ref="K3120:K3126" si="321">SUM(D3120:J3120)</f>
        <v>0</v>
      </c>
    </row>
    <row r="3121" spans="2:13" ht="15" customHeight="1" x14ac:dyDescent="0.25">
      <c r="B3121" s="419"/>
      <c r="C3121" s="420"/>
      <c r="D3121" s="421">
        <f>$D$3120*C3121</f>
        <v>0</v>
      </c>
      <c r="E3121" s="421">
        <f>$E$3120*C3121</f>
        <v>0</v>
      </c>
      <c r="F3121" s="421">
        <f>$F$3120*C3121</f>
        <v>0</v>
      </c>
      <c r="G3121" s="421">
        <f>$G$3120*C3121</f>
        <v>0</v>
      </c>
      <c r="H3121" s="421">
        <f>$H$3120*C3121</f>
        <v>0</v>
      </c>
      <c r="I3121" s="421">
        <f>$I$3120*C3121</f>
        <v>0</v>
      </c>
      <c r="J3121" s="421">
        <f>$J$3120*C3121</f>
        <v>0</v>
      </c>
      <c r="K3121" s="422">
        <f t="shared" si="321"/>
        <v>0</v>
      </c>
    </row>
    <row r="3122" spans="2:13" ht="15" customHeight="1" x14ac:dyDescent="0.25">
      <c r="B3122" s="389"/>
      <c r="C3122" s="423"/>
      <c r="D3122" s="421">
        <f>$D$3120*C3122</f>
        <v>0</v>
      </c>
      <c r="E3122" s="421">
        <f>$E$3120*C3122</f>
        <v>0</v>
      </c>
      <c r="F3122" s="421">
        <f>$F$3120*C3122</f>
        <v>0</v>
      </c>
      <c r="G3122" s="421">
        <f>$G$3120*C3122</f>
        <v>0</v>
      </c>
      <c r="H3122" s="421">
        <f>$H$3120*C3122</f>
        <v>0</v>
      </c>
      <c r="I3122" s="421">
        <f>$I$3120*C3122</f>
        <v>0</v>
      </c>
      <c r="J3122" s="421">
        <f>$J$3120*C3122</f>
        <v>0</v>
      </c>
      <c r="K3122" s="424">
        <f t="shared" si="321"/>
        <v>0</v>
      </c>
    </row>
    <row r="3123" spans="2:13" ht="15" customHeight="1" x14ac:dyDescent="0.25">
      <c r="B3123" s="389"/>
      <c r="C3123" s="423"/>
      <c r="D3123" s="421">
        <f>$D$3120*C3123</f>
        <v>0</v>
      </c>
      <c r="E3123" s="421">
        <f>$E$3120*C3123</f>
        <v>0</v>
      </c>
      <c r="F3123" s="421">
        <f>$F$3120*C3123</f>
        <v>0</v>
      </c>
      <c r="G3123" s="421">
        <f>$G$3120*C3123</f>
        <v>0</v>
      </c>
      <c r="H3123" s="421">
        <f>$H$3120*C3123</f>
        <v>0</v>
      </c>
      <c r="I3123" s="421">
        <f>$I$3120*C3123</f>
        <v>0</v>
      </c>
      <c r="J3123" s="421">
        <f>$J$3120*C3123</f>
        <v>0</v>
      </c>
      <c r="K3123" s="422">
        <f t="shared" si="321"/>
        <v>0</v>
      </c>
    </row>
    <row r="3124" spans="2:13" ht="15" customHeight="1" x14ac:dyDescent="0.25">
      <c r="B3124" s="389"/>
      <c r="C3124" s="423"/>
      <c r="D3124" s="421">
        <f>$D$3120*C3124</f>
        <v>0</v>
      </c>
      <c r="E3124" s="421">
        <f>$E$3120*C3124</f>
        <v>0</v>
      </c>
      <c r="F3124" s="421">
        <f>$F$3120*C3124</f>
        <v>0</v>
      </c>
      <c r="G3124" s="421">
        <f>$G$3120*C3124</f>
        <v>0</v>
      </c>
      <c r="H3124" s="421">
        <f>$H$3120*C3124</f>
        <v>0</v>
      </c>
      <c r="I3124" s="421">
        <f>$I$3120*C3124</f>
        <v>0</v>
      </c>
      <c r="J3124" s="421">
        <f>$J$3120*C3124</f>
        <v>0</v>
      </c>
      <c r="K3124" s="424">
        <f t="shared" si="321"/>
        <v>0</v>
      </c>
    </row>
    <row r="3125" spans="2:13" ht="15" customHeight="1" x14ac:dyDescent="0.25">
      <c r="B3125" s="419"/>
      <c r="C3125" s="420"/>
      <c r="D3125" s="421">
        <f>$D$2633*C3125</f>
        <v>0</v>
      </c>
      <c r="E3125" s="421">
        <f>$E$2633*C3125</f>
        <v>0</v>
      </c>
      <c r="F3125" s="421">
        <f>$F$2633*C3125</f>
        <v>0</v>
      </c>
      <c r="G3125" s="421">
        <f>$G$2633*C3125</f>
        <v>0</v>
      </c>
      <c r="H3125" s="421">
        <f>$H$2633*C3125</f>
        <v>0</v>
      </c>
      <c r="I3125" s="421">
        <f>$I$2633*C3125</f>
        <v>0</v>
      </c>
      <c r="J3125" s="421">
        <f>$J$2633*C3125</f>
        <v>0</v>
      </c>
      <c r="K3125" s="422">
        <f t="shared" si="321"/>
        <v>0</v>
      </c>
    </row>
    <row r="3126" spans="2:13" ht="15" customHeight="1" x14ac:dyDescent="0.25">
      <c r="B3126" s="389"/>
      <c r="C3126" s="423"/>
      <c r="D3126" s="421">
        <f>$D$2633*C3126</f>
        <v>0</v>
      </c>
      <c r="E3126" s="421">
        <f>$E$2633*C3126</f>
        <v>0</v>
      </c>
      <c r="F3126" s="421">
        <f>$F$2633*C3126</f>
        <v>0</v>
      </c>
      <c r="G3126" s="421">
        <f>$G$2633*C3126</f>
        <v>0</v>
      </c>
      <c r="H3126" s="421">
        <f>$H$2633*C3126</f>
        <v>0</v>
      </c>
      <c r="I3126" s="421">
        <f>$I$2633*C3126</f>
        <v>0</v>
      </c>
      <c r="J3126" s="421">
        <f>$J$2633*C3126</f>
        <v>0</v>
      </c>
      <c r="K3126" s="424">
        <f t="shared" si="321"/>
        <v>0</v>
      </c>
    </row>
    <row r="3127" spans="2:13" ht="15" customHeight="1" thickBot="1" x14ac:dyDescent="0.3"/>
    <row r="3128" spans="2:13" ht="15" customHeight="1" thickBot="1" x14ac:dyDescent="0.3">
      <c r="B3128" s="432"/>
      <c r="C3128" s="411"/>
      <c r="D3128" s="407" t="s">
        <v>548</v>
      </c>
      <c r="E3128" s="408" t="s">
        <v>549</v>
      </c>
      <c r="F3128" s="408" t="s">
        <v>550</v>
      </c>
      <c r="G3128" s="408" t="s">
        <v>551</v>
      </c>
      <c r="H3128" s="408" t="s">
        <v>552</v>
      </c>
      <c r="I3128" s="408" t="s">
        <v>553</v>
      </c>
      <c r="J3128" s="408" t="s">
        <v>554</v>
      </c>
      <c r="K3128" s="408" t="s">
        <v>555</v>
      </c>
      <c r="M3128" s="426"/>
    </row>
    <row r="3129" spans="2:13" ht="15" customHeight="1" thickBot="1" x14ac:dyDescent="0.3">
      <c r="B3129" s="414" t="s">
        <v>556</v>
      </c>
      <c r="C3129" s="415" t="s">
        <v>620</v>
      </c>
      <c r="D3129" s="416">
        <f>IF(ISERROR(VLOOKUP(B3128,'MD Usage'!$A$1:$W$5000,3,FALSE)),0,VLOOKUP(B3128,'MD Usage'!$A$1:$W$5000,3,FALSE))</f>
        <v>0</v>
      </c>
      <c r="E3129" s="416">
        <f>IF(ISERROR(VLOOKUP(B3128,'MD Usage'!$A$1:$W$5000,5,FALSE)),0,VLOOKUP(B3128,'MD Usage'!$A$1:$W$5000,5,FALSE))</f>
        <v>0</v>
      </c>
      <c r="F3129" s="416">
        <f>IF(ISERROR(VLOOKUP(B3128,'MD Usage'!$A$1:$W$5000,7,FALSE)),0,VLOOKUP(B3128,'MD Usage'!$A$1:$W$5000,7,FALSE))</f>
        <v>0</v>
      </c>
      <c r="G3129" s="416">
        <f>IF(ISERROR(VLOOKUP(B3128,'MD Usage'!$A$1:$W$5000,9,FALSE)),0,VLOOKUP(B3128,'MD Usage'!$A$1:$W$5000,9,FALSE))</f>
        <v>0</v>
      </c>
      <c r="H3129" s="416">
        <f>IF(ISERROR(VLOOKUP(B3128,'MD Usage'!$A$1:$W$5000,11,FALSE)),0,VLOOKUP(B3128,'MD Usage'!$A$1:$W$5000,11,FALSE))</f>
        <v>0</v>
      </c>
      <c r="I3129" s="416">
        <f>IF(ISERROR(VLOOKUP(B3128,'MD Usage'!A1:R2000,13,FALSE)),0,VLOOKUP(B3128,'MD Usage'!A1:R2000,13,FALSE))</f>
        <v>0</v>
      </c>
      <c r="J3129" s="416">
        <f>IF(ISERROR(VLOOKUP(B3128,'MD Usage'!A1:R2000,15,FALSE)),0,VLOOKUP(B3128,'MD Usage'!A1:R2000,15,FALSE))</f>
        <v>0</v>
      </c>
      <c r="K3129" s="418">
        <f t="shared" ref="K3129:K3135" si="322">SUM(D3129:J3129)</f>
        <v>0</v>
      </c>
    </row>
    <row r="3130" spans="2:13" ht="15" customHeight="1" x14ac:dyDescent="0.25">
      <c r="B3130" s="419"/>
      <c r="C3130" s="420"/>
      <c r="D3130" s="421">
        <f>$D$3129*C3130</f>
        <v>0</v>
      </c>
      <c r="E3130" s="421">
        <f>$E$3129*C3130</f>
        <v>0</v>
      </c>
      <c r="F3130" s="421">
        <f>$F$3129*C3130</f>
        <v>0</v>
      </c>
      <c r="G3130" s="421">
        <f>$G$3129*C3130</f>
        <v>0</v>
      </c>
      <c r="H3130" s="421">
        <f>$H$3129*C3130</f>
        <v>0</v>
      </c>
      <c r="I3130" s="421">
        <f>$I$3129*C3130</f>
        <v>0</v>
      </c>
      <c r="J3130" s="421">
        <f t="shared" ref="J3130:J3135" si="323">$J$2633*C3130</f>
        <v>0</v>
      </c>
      <c r="K3130" s="422">
        <f t="shared" si="322"/>
        <v>0</v>
      </c>
    </row>
    <row r="3131" spans="2:13" ht="15" customHeight="1" x14ac:dyDescent="0.25">
      <c r="B3131" s="389"/>
      <c r="C3131" s="423"/>
      <c r="D3131" s="421">
        <f>$D$3129*C3131</f>
        <v>0</v>
      </c>
      <c r="E3131" s="421">
        <f>$E$3129*C3131</f>
        <v>0</v>
      </c>
      <c r="F3131" s="421">
        <f>$F$3129*C3131</f>
        <v>0</v>
      </c>
      <c r="G3131" s="421">
        <f>$G$3129*C3131</f>
        <v>0</v>
      </c>
      <c r="H3131" s="421">
        <f>$H$3129*C3131</f>
        <v>0</v>
      </c>
      <c r="I3131" s="421">
        <f>$I$3129*C3131</f>
        <v>0</v>
      </c>
      <c r="J3131" s="421">
        <f t="shared" si="323"/>
        <v>0</v>
      </c>
      <c r="K3131" s="424">
        <f t="shared" si="322"/>
        <v>0</v>
      </c>
    </row>
    <row r="3132" spans="2:13" ht="15" customHeight="1" x14ac:dyDescent="0.25">
      <c r="B3132" s="389"/>
      <c r="C3132" s="423"/>
      <c r="D3132" s="421">
        <f>$D$3129*C3132</f>
        <v>0</v>
      </c>
      <c r="E3132" s="421">
        <f>$E$3129*C3132</f>
        <v>0</v>
      </c>
      <c r="F3132" s="421">
        <f>$F$3129*C3132</f>
        <v>0</v>
      </c>
      <c r="G3132" s="421">
        <f>$G$3129*C3132</f>
        <v>0</v>
      </c>
      <c r="H3132" s="421">
        <f>$H$3129*C3132</f>
        <v>0</v>
      </c>
      <c r="I3132" s="421">
        <f>$I$3129*C3132</f>
        <v>0</v>
      </c>
      <c r="J3132" s="421">
        <f t="shared" si="323"/>
        <v>0</v>
      </c>
      <c r="K3132" s="422">
        <f t="shared" si="322"/>
        <v>0</v>
      </c>
    </row>
    <row r="3133" spans="2:13" ht="15" customHeight="1" x14ac:dyDescent="0.25">
      <c r="B3133" s="389"/>
      <c r="C3133" s="423"/>
      <c r="D3133" s="421">
        <f>$D$3129*C3133</f>
        <v>0</v>
      </c>
      <c r="E3133" s="421">
        <f>$E$3129*C3133</f>
        <v>0</v>
      </c>
      <c r="F3133" s="421">
        <f>$F$3129*C3133</f>
        <v>0</v>
      </c>
      <c r="G3133" s="421">
        <f>$G$3129*C3133</f>
        <v>0</v>
      </c>
      <c r="H3133" s="421">
        <f>$H$3129*C3133</f>
        <v>0</v>
      </c>
      <c r="I3133" s="421">
        <f>$I$3129*C3133</f>
        <v>0</v>
      </c>
      <c r="J3133" s="421">
        <f t="shared" si="323"/>
        <v>0</v>
      </c>
      <c r="K3133" s="424">
        <f t="shared" si="322"/>
        <v>0</v>
      </c>
    </row>
    <row r="3134" spans="2:13" ht="15" customHeight="1" x14ac:dyDescent="0.25">
      <c r="B3134" s="419"/>
      <c r="C3134" s="420"/>
      <c r="D3134" s="421">
        <f>$D$2633*C3134</f>
        <v>0</v>
      </c>
      <c r="E3134" s="421">
        <f>$E$2633*C3134</f>
        <v>0</v>
      </c>
      <c r="F3134" s="421">
        <f>$F$2633*C3134</f>
        <v>0</v>
      </c>
      <c r="G3134" s="421">
        <f>$G$2633*C3134</f>
        <v>0</v>
      </c>
      <c r="H3134" s="421">
        <f>$H$2633*C3134</f>
        <v>0</v>
      </c>
      <c r="I3134" s="421">
        <f>$I$2633*C3134</f>
        <v>0</v>
      </c>
      <c r="J3134" s="421">
        <f t="shared" si="323"/>
        <v>0</v>
      </c>
      <c r="K3134" s="422">
        <f t="shared" si="322"/>
        <v>0</v>
      </c>
    </row>
    <row r="3135" spans="2:13" ht="15" customHeight="1" x14ac:dyDescent="0.25">
      <c r="B3135" s="389"/>
      <c r="C3135" s="423"/>
      <c r="D3135" s="421">
        <f>$D$2633*C3135</f>
        <v>0</v>
      </c>
      <c r="E3135" s="421">
        <f>$E$2633*C3135</f>
        <v>0</v>
      </c>
      <c r="F3135" s="421">
        <f>$F$2633*C3135</f>
        <v>0</v>
      </c>
      <c r="G3135" s="421">
        <f>$G$2633*C3135</f>
        <v>0</v>
      </c>
      <c r="H3135" s="421">
        <f>$H$2633*C3135</f>
        <v>0</v>
      </c>
      <c r="I3135" s="421">
        <f>$I$2633*C3135</f>
        <v>0</v>
      </c>
      <c r="J3135" s="421">
        <f t="shared" si="323"/>
        <v>0</v>
      </c>
      <c r="K3135" s="424">
        <f t="shared" si="322"/>
        <v>0</v>
      </c>
    </row>
    <row r="3136" spans="2:13" ht="15" customHeight="1" thickBot="1" x14ac:dyDescent="0.3"/>
    <row r="3137" spans="2:13" ht="15" customHeight="1" thickBot="1" x14ac:dyDescent="0.3">
      <c r="B3137" s="432"/>
      <c r="C3137" s="411"/>
      <c r="D3137" s="407" t="s">
        <v>548</v>
      </c>
      <c r="E3137" s="408" t="s">
        <v>549</v>
      </c>
      <c r="F3137" s="408" t="s">
        <v>550</v>
      </c>
      <c r="G3137" s="408" t="s">
        <v>551</v>
      </c>
      <c r="H3137" s="408" t="s">
        <v>552</v>
      </c>
      <c r="I3137" s="408" t="s">
        <v>553</v>
      </c>
      <c r="J3137" s="408" t="s">
        <v>554</v>
      </c>
      <c r="K3137" s="408" t="s">
        <v>555</v>
      </c>
      <c r="M3137" s="426"/>
    </row>
    <row r="3138" spans="2:13" ht="15" customHeight="1" thickBot="1" x14ac:dyDescent="0.3">
      <c r="B3138" s="414" t="s">
        <v>556</v>
      </c>
      <c r="C3138" s="415" t="s">
        <v>620</v>
      </c>
      <c r="D3138" s="416">
        <f>IF(ISERROR(VLOOKUP(B3137,'MD Usage'!$A$1:$W$5000,3,FALSE)),0,VLOOKUP(B3137,'MD Usage'!$A$1:$W$5000,3,FALSE))</f>
        <v>0</v>
      </c>
      <c r="E3138" s="416">
        <f>IF(ISERROR(VLOOKUP(B3137,'MD Usage'!$A$1:$W$5000,5,FALSE)),0,VLOOKUP(B3137,'MD Usage'!$A$1:$W$5000,5,FALSE))</f>
        <v>0</v>
      </c>
      <c r="F3138" s="416">
        <f>IF(ISERROR(VLOOKUP(B3137,'MD Usage'!$A$1:$W$5000,7,FALSE)),0,VLOOKUP(B3137,'MD Usage'!$A$1:$W$5000,7,FALSE))</f>
        <v>0</v>
      </c>
      <c r="G3138" s="416">
        <f>IF(ISERROR(VLOOKUP(B3137,'MD Usage'!$A$1:$W$5000,9,FALSE)),0,VLOOKUP(B3137,'MD Usage'!$A$1:$W$5000,9,FALSE))</f>
        <v>0</v>
      </c>
      <c r="H3138" s="416">
        <f>IF(ISERROR(VLOOKUP(B3137,'MD Usage'!$A$1:$W$5000,11,FALSE)),0,VLOOKUP(B3137,'MD Usage'!$A$1:$W$5000,11,FALSE))</f>
        <v>0</v>
      </c>
      <c r="I3138" s="416">
        <f>IF(ISERROR(VLOOKUP(B3137,'MD Usage'!A1:R2000,13,FALSE)),0,VLOOKUP(B3137,'MD Usage'!A1:R2000,13,FALSE))</f>
        <v>0</v>
      </c>
      <c r="J3138" s="416">
        <f>IF(ISERROR(VLOOKUP(B3137,'MD Usage'!A1:R2000,15,FALSE)),0,VLOOKUP(B3137,'MD Usage'!A1:R2000,15,FALSE))</f>
        <v>0</v>
      </c>
      <c r="K3138" s="418">
        <f t="shared" ref="K3138:K3144" si="324">SUM(D3138:J3138)</f>
        <v>0</v>
      </c>
    </row>
    <row r="3139" spans="2:13" ht="15" customHeight="1" x14ac:dyDescent="0.25">
      <c r="B3139" s="419"/>
      <c r="C3139" s="420"/>
      <c r="D3139" s="421">
        <f t="shared" ref="D3139:D3144" si="325">$D$3138*C3139</f>
        <v>0</v>
      </c>
      <c r="E3139" s="421">
        <f t="shared" ref="E3139:E3144" si="326">$E$3138*C3139</f>
        <v>0</v>
      </c>
      <c r="F3139" s="421">
        <f t="shared" ref="F3139:F3144" si="327">$F$3138*C3139</f>
        <v>0</v>
      </c>
      <c r="G3139" s="421">
        <f t="shared" ref="G3139:G3144" si="328">$G$3138*C3139</f>
        <v>0</v>
      </c>
      <c r="H3139" s="421">
        <f t="shared" ref="H3139:H3144" si="329">$H$3138*C3139</f>
        <v>0</v>
      </c>
      <c r="I3139" s="421">
        <f t="shared" ref="I3139:I3144" si="330">$I$3138*C3139</f>
        <v>0</v>
      </c>
      <c r="J3139" s="421">
        <f t="shared" ref="J3139:J3144" si="331">$J$3138*C3139</f>
        <v>0</v>
      </c>
      <c r="K3139" s="422">
        <f t="shared" si="324"/>
        <v>0</v>
      </c>
    </row>
    <row r="3140" spans="2:13" ht="15" customHeight="1" x14ac:dyDescent="0.25">
      <c r="B3140" s="389"/>
      <c r="C3140" s="423"/>
      <c r="D3140" s="421">
        <f t="shared" si="325"/>
        <v>0</v>
      </c>
      <c r="E3140" s="421">
        <f t="shared" si="326"/>
        <v>0</v>
      </c>
      <c r="F3140" s="421">
        <f t="shared" si="327"/>
        <v>0</v>
      </c>
      <c r="G3140" s="421">
        <f t="shared" si="328"/>
        <v>0</v>
      </c>
      <c r="H3140" s="421">
        <f t="shared" si="329"/>
        <v>0</v>
      </c>
      <c r="I3140" s="421">
        <f t="shared" si="330"/>
        <v>0</v>
      </c>
      <c r="J3140" s="421">
        <f t="shared" si="331"/>
        <v>0</v>
      </c>
      <c r="K3140" s="424">
        <f t="shared" si="324"/>
        <v>0</v>
      </c>
    </row>
    <row r="3141" spans="2:13" ht="15" customHeight="1" x14ac:dyDescent="0.25">
      <c r="B3141" s="389"/>
      <c r="C3141" s="423"/>
      <c r="D3141" s="421">
        <f t="shared" si="325"/>
        <v>0</v>
      </c>
      <c r="E3141" s="421">
        <f t="shared" si="326"/>
        <v>0</v>
      </c>
      <c r="F3141" s="421">
        <f t="shared" si="327"/>
        <v>0</v>
      </c>
      <c r="G3141" s="421">
        <f t="shared" si="328"/>
        <v>0</v>
      </c>
      <c r="H3141" s="421">
        <f t="shared" si="329"/>
        <v>0</v>
      </c>
      <c r="I3141" s="421">
        <f t="shared" si="330"/>
        <v>0</v>
      </c>
      <c r="J3141" s="421">
        <f t="shared" si="331"/>
        <v>0</v>
      </c>
      <c r="K3141" s="422">
        <f t="shared" si="324"/>
        <v>0</v>
      </c>
    </row>
    <row r="3142" spans="2:13" ht="15" customHeight="1" x14ac:dyDescent="0.25">
      <c r="B3142" s="389"/>
      <c r="C3142" s="423"/>
      <c r="D3142" s="421">
        <f t="shared" si="325"/>
        <v>0</v>
      </c>
      <c r="E3142" s="421">
        <f t="shared" si="326"/>
        <v>0</v>
      </c>
      <c r="F3142" s="421">
        <f t="shared" si="327"/>
        <v>0</v>
      </c>
      <c r="G3142" s="421">
        <f t="shared" si="328"/>
        <v>0</v>
      </c>
      <c r="H3142" s="421">
        <f t="shared" si="329"/>
        <v>0</v>
      </c>
      <c r="I3142" s="421">
        <f t="shared" si="330"/>
        <v>0</v>
      </c>
      <c r="J3142" s="421">
        <f t="shared" si="331"/>
        <v>0</v>
      </c>
      <c r="K3142" s="424">
        <f t="shared" si="324"/>
        <v>0</v>
      </c>
    </row>
    <row r="3143" spans="2:13" ht="15" customHeight="1" x14ac:dyDescent="0.25">
      <c r="B3143" s="419"/>
      <c r="C3143" s="420"/>
      <c r="D3143" s="421">
        <f t="shared" si="325"/>
        <v>0</v>
      </c>
      <c r="E3143" s="421">
        <f t="shared" si="326"/>
        <v>0</v>
      </c>
      <c r="F3143" s="421">
        <f t="shared" si="327"/>
        <v>0</v>
      </c>
      <c r="G3143" s="421">
        <f t="shared" si="328"/>
        <v>0</v>
      </c>
      <c r="H3143" s="421">
        <f t="shared" si="329"/>
        <v>0</v>
      </c>
      <c r="I3143" s="421">
        <f t="shared" si="330"/>
        <v>0</v>
      </c>
      <c r="J3143" s="421">
        <f t="shared" si="331"/>
        <v>0</v>
      </c>
      <c r="K3143" s="422">
        <f t="shared" si="324"/>
        <v>0</v>
      </c>
    </row>
    <row r="3144" spans="2:13" ht="15" customHeight="1" x14ac:dyDescent="0.25">
      <c r="B3144" s="389"/>
      <c r="C3144" s="423"/>
      <c r="D3144" s="421">
        <f t="shared" si="325"/>
        <v>0</v>
      </c>
      <c r="E3144" s="421">
        <f t="shared" si="326"/>
        <v>0</v>
      </c>
      <c r="F3144" s="421">
        <f t="shared" si="327"/>
        <v>0</v>
      </c>
      <c r="G3144" s="421">
        <f t="shared" si="328"/>
        <v>0</v>
      </c>
      <c r="H3144" s="421">
        <f t="shared" si="329"/>
        <v>0</v>
      </c>
      <c r="I3144" s="421">
        <f t="shared" si="330"/>
        <v>0</v>
      </c>
      <c r="J3144" s="421">
        <f t="shared" si="331"/>
        <v>0</v>
      </c>
      <c r="K3144" s="424">
        <f t="shared" si="324"/>
        <v>0</v>
      </c>
    </row>
    <row r="3145" spans="2:13" ht="15" customHeight="1" thickBot="1" x14ac:dyDescent="0.3"/>
    <row r="3146" spans="2:13" ht="15" customHeight="1" thickBot="1" x14ac:dyDescent="0.3">
      <c r="B3146" s="414"/>
      <c r="C3146" s="411"/>
      <c r="D3146" s="407" t="s">
        <v>548</v>
      </c>
      <c r="E3146" s="408" t="s">
        <v>549</v>
      </c>
      <c r="F3146" s="408" t="s">
        <v>550</v>
      </c>
      <c r="G3146" s="408" t="s">
        <v>551</v>
      </c>
      <c r="H3146" s="408" t="s">
        <v>552</v>
      </c>
      <c r="I3146" s="408" t="s">
        <v>553</v>
      </c>
      <c r="J3146" s="408" t="s">
        <v>554</v>
      </c>
      <c r="K3146" s="408" t="s">
        <v>555</v>
      </c>
      <c r="M3146" s="426"/>
    </row>
    <row r="3147" spans="2:13" ht="15" customHeight="1" thickBot="1" x14ac:dyDescent="0.3">
      <c r="B3147" s="414" t="s">
        <v>556</v>
      </c>
      <c r="C3147" s="415" t="s">
        <v>620</v>
      </c>
      <c r="D3147" s="416">
        <f>IF(ISERROR(VLOOKUP(B3146,'MD Usage'!$A$1:$W$5000,3,FALSE)),0,VLOOKUP(B3146,'MD Usage'!$A$1:$W$5000,3,FALSE))</f>
        <v>0</v>
      </c>
      <c r="E3147" s="416">
        <f>IF(ISERROR(VLOOKUP(B3146,'MD Usage'!$A$1:$W$5000,5,FALSE)),0,VLOOKUP(B3146,'MD Usage'!$A$1:$W$5000,5,FALSE))</f>
        <v>0</v>
      </c>
      <c r="F3147" s="416">
        <f>IF(ISERROR(VLOOKUP(B3146,'MD Usage'!$A$1:$W$5000,7,FALSE)),0,VLOOKUP(B3146,'MD Usage'!$A$1:$W$5000,7,FALSE))</f>
        <v>0</v>
      </c>
      <c r="G3147" s="416">
        <f>IF(ISERROR(VLOOKUP(B3146,'MD Usage'!$A$1:$W$5000,9,FALSE)),0,VLOOKUP(B3146,'MD Usage'!$A$1:$W$5000,9,FALSE))</f>
        <v>0</v>
      </c>
      <c r="H3147" s="416">
        <f>IF(ISERROR(VLOOKUP(B3146,'MD Usage'!$A$1:$W$5000,11,FALSE)),0,VLOOKUP(B3146,'MD Usage'!$A$1:$W$5000,11,FALSE))</f>
        <v>0</v>
      </c>
      <c r="I3147" s="416">
        <f>IF(ISERROR(VLOOKUP(B3146,'MD Usage'!A1:R2000,13,FALSE)),0,VLOOKUP(B3146,'MD Usage'!A1:R2000,13,FALSE))</f>
        <v>0</v>
      </c>
      <c r="J3147" s="416">
        <f>IF(ISERROR(VLOOKUP(B3146,'MD Usage'!A1:R2000,15,FALSE)),0,VLOOKUP(B3146,'MD Usage'!A1:R2000,15,FALSE))</f>
        <v>0</v>
      </c>
      <c r="K3147" s="418">
        <f t="shared" ref="K3147:K3153" si="332">SUM(D3147:J3147)</f>
        <v>0</v>
      </c>
    </row>
    <row r="3148" spans="2:13" ht="15" customHeight="1" x14ac:dyDescent="0.25">
      <c r="B3148" s="419"/>
      <c r="C3148" s="420"/>
      <c r="D3148" s="421">
        <f>$D$3147*C3148</f>
        <v>0</v>
      </c>
      <c r="E3148" s="421">
        <f>$E$3147*C3148</f>
        <v>0</v>
      </c>
      <c r="F3148" s="421">
        <f>$F$3147*C3148</f>
        <v>0</v>
      </c>
      <c r="G3148" s="421">
        <f t="shared" ref="G3148:G3153" si="333">$G$3147*C3148</f>
        <v>0</v>
      </c>
      <c r="H3148" s="421">
        <f t="shared" ref="H3148:H3153" si="334">$H$3147*C3148</f>
        <v>0</v>
      </c>
      <c r="I3148" s="421">
        <f t="shared" ref="I3148:I3153" si="335">$I$3147*C3148</f>
        <v>0</v>
      </c>
      <c r="J3148" s="421">
        <f t="shared" ref="J3148:J3153" si="336">$J$3147*C3148</f>
        <v>0</v>
      </c>
      <c r="K3148" s="422">
        <f t="shared" si="332"/>
        <v>0</v>
      </c>
    </row>
    <row r="3149" spans="2:13" ht="15" customHeight="1" x14ac:dyDescent="0.25">
      <c r="B3149" s="389"/>
      <c r="C3149" s="423"/>
      <c r="D3149" s="421">
        <f>$D$3147*C3149</f>
        <v>0</v>
      </c>
      <c r="E3149" s="421">
        <f>$E$3147*C3149</f>
        <v>0</v>
      </c>
      <c r="F3149" s="421">
        <f>$F$3147*C3149</f>
        <v>0</v>
      </c>
      <c r="G3149" s="421">
        <f t="shared" si="333"/>
        <v>0</v>
      </c>
      <c r="H3149" s="421">
        <f t="shared" si="334"/>
        <v>0</v>
      </c>
      <c r="I3149" s="421">
        <f t="shared" si="335"/>
        <v>0</v>
      </c>
      <c r="J3149" s="421">
        <f t="shared" si="336"/>
        <v>0</v>
      </c>
      <c r="K3149" s="424">
        <f t="shared" si="332"/>
        <v>0</v>
      </c>
    </row>
    <row r="3150" spans="2:13" ht="15" customHeight="1" x14ac:dyDescent="0.25">
      <c r="B3150" s="389"/>
      <c r="C3150" s="423"/>
      <c r="D3150" s="421">
        <f>$D$3147*C3150</f>
        <v>0</v>
      </c>
      <c r="E3150" s="421">
        <f>$E$3147*C3150</f>
        <v>0</v>
      </c>
      <c r="F3150" s="421">
        <f>$F$3147*C3150</f>
        <v>0</v>
      </c>
      <c r="G3150" s="421">
        <f t="shared" si="333"/>
        <v>0</v>
      </c>
      <c r="H3150" s="421">
        <f t="shared" si="334"/>
        <v>0</v>
      </c>
      <c r="I3150" s="421">
        <f t="shared" si="335"/>
        <v>0</v>
      </c>
      <c r="J3150" s="421">
        <f t="shared" si="336"/>
        <v>0</v>
      </c>
      <c r="K3150" s="422">
        <f t="shared" si="332"/>
        <v>0</v>
      </c>
    </row>
    <row r="3151" spans="2:13" ht="15" customHeight="1" x14ac:dyDescent="0.25">
      <c r="B3151" s="389"/>
      <c r="C3151" s="423"/>
      <c r="D3151" s="421">
        <f>$D$3147*C3151</f>
        <v>0</v>
      </c>
      <c r="E3151" s="421">
        <f>$E$3147*C3151</f>
        <v>0</v>
      </c>
      <c r="F3151" s="421">
        <f>$F$3147*C3151</f>
        <v>0</v>
      </c>
      <c r="G3151" s="421">
        <f t="shared" si="333"/>
        <v>0</v>
      </c>
      <c r="H3151" s="421">
        <f t="shared" si="334"/>
        <v>0</v>
      </c>
      <c r="I3151" s="421">
        <f t="shared" si="335"/>
        <v>0</v>
      </c>
      <c r="J3151" s="421">
        <f t="shared" si="336"/>
        <v>0</v>
      </c>
      <c r="K3151" s="424">
        <f t="shared" si="332"/>
        <v>0</v>
      </c>
    </row>
    <row r="3152" spans="2:13" ht="15" customHeight="1" x14ac:dyDescent="0.25">
      <c r="B3152" s="419"/>
      <c r="C3152" s="420"/>
      <c r="D3152" s="421">
        <f>$D$2633*C3152</f>
        <v>0</v>
      </c>
      <c r="E3152" s="421">
        <f>$E$2633*C3152</f>
        <v>0</v>
      </c>
      <c r="F3152" s="421">
        <f>$F$2633*C3152</f>
        <v>0</v>
      </c>
      <c r="G3152" s="421">
        <f t="shared" si="333"/>
        <v>0</v>
      </c>
      <c r="H3152" s="421">
        <f t="shared" si="334"/>
        <v>0</v>
      </c>
      <c r="I3152" s="421">
        <f t="shared" si="335"/>
        <v>0</v>
      </c>
      <c r="J3152" s="421">
        <f t="shared" si="336"/>
        <v>0</v>
      </c>
      <c r="K3152" s="422">
        <f t="shared" si="332"/>
        <v>0</v>
      </c>
    </row>
    <row r="3153" spans="2:13" ht="15" customHeight="1" x14ac:dyDescent="0.25">
      <c r="B3153" s="389"/>
      <c r="C3153" s="423"/>
      <c r="D3153" s="421">
        <f>$D$2633*C3153</f>
        <v>0</v>
      </c>
      <c r="E3153" s="421">
        <f>$E$2633*C3153</f>
        <v>0</v>
      </c>
      <c r="F3153" s="421">
        <f>$F$2633*C3153</f>
        <v>0</v>
      </c>
      <c r="G3153" s="421">
        <f t="shared" si="333"/>
        <v>0</v>
      </c>
      <c r="H3153" s="421">
        <f t="shared" si="334"/>
        <v>0</v>
      </c>
      <c r="I3153" s="421">
        <f t="shared" si="335"/>
        <v>0</v>
      </c>
      <c r="J3153" s="421">
        <f t="shared" si="336"/>
        <v>0</v>
      </c>
      <c r="K3153" s="424">
        <f t="shared" si="332"/>
        <v>0</v>
      </c>
    </row>
    <row r="3154" spans="2:13" ht="15" customHeight="1" thickBot="1" x14ac:dyDescent="0.3"/>
    <row r="3155" spans="2:13" ht="15" customHeight="1" thickBot="1" x14ac:dyDescent="0.3">
      <c r="B3155" s="414"/>
      <c r="C3155" s="411"/>
      <c r="D3155" s="407" t="s">
        <v>548</v>
      </c>
      <c r="E3155" s="408" t="s">
        <v>549</v>
      </c>
      <c r="F3155" s="408" t="s">
        <v>550</v>
      </c>
      <c r="G3155" s="408" t="s">
        <v>551</v>
      </c>
      <c r="H3155" s="408" t="s">
        <v>552</v>
      </c>
      <c r="I3155" s="408" t="s">
        <v>553</v>
      </c>
      <c r="J3155" s="408" t="s">
        <v>554</v>
      </c>
      <c r="K3155" s="408" t="s">
        <v>555</v>
      </c>
      <c r="M3155" s="426"/>
    </row>
    <row r="3156" spans="2:13" ht="15" customHeight="1" thickBot="1" x14ac:dyDescent="0.3">
      <c r="B3156" s="414" t="s">
        <v>556</v>
      </c>
      <c r="C3156" s="415" t="s">
        <v>620</v>
      </c>
      <c r="D3156" s="416">
        <f>IF(ISERROR(VLOOKUP(B3155,'MD Usage'!$A$1:$W$5000,3,FALSE)),0,VLOOKUP(B3155,'MD Usage'!$A$1:$W$5000,3,FALSE))</f>
        <v>0</v>
      </c>
      <c r="E3156" s="416">
        <f>IF(ISERROR(VLOOKUP(B3155,'MD Usage'!$A$1:$W$5000,5,FALSE)),0,VLOOKUP(B3155,'MD Usage'!$A$1:$W$5000,5,FALSE))</f>
        <v>0</v>
      </c>
      <c r="F3156" s="416">
        <f>IF(ISERROR(VLOOKUP(B3155,'MD Usage'!$A$1:$W$5000,7,FALSE)),0,VLOOKUP(B3155,'MD Usage'!$A$1:$W$5000,7,FALSE))</f>
        <v>0</v>
      </c>
      <c r="G3156" s="416">
        <f>IF(ISERROR(VLOOKUP(B3155,'MD Usage'!$A$1:$W$5000,9,FALSE)),0,VLOOKUP(B3155,'MD Usage'!$A$1:$W$5000,9,FALSE))</f>
        <v>0</v>
      </c>
      <c r="H3156" s="416">
        <f>IF(ISERROR(VLOOKUP(B3155,'MD Usage'!$A$1:$W$5000,11,FALSE)),0,VLOOKUP(B3155,'MD Usage'!$A$1:$W$5000,11,FALSE))</f>
        <v>0</v>
      </c>
      <c r="I3156" s="416">
        <f>IF(ISERROR(VLOOKUP(B3155,'MD Usage'!A1:R2000,13,FALSE)),0,VLOOKUP(B3155,'MD Usage'!A1:R2000,13,FALSE))</f>
        <v>0</v>
      </c>
      <c r="J3156" s="416">
        <f>IF(ISERROR(VLOOKUP(B3155,'MD Usage'!A1:R2000,15,FALSE)),0,VLOOKUP(B3155,'MD Usage'!A1:R2000,15,FALSE))</f>
        <v>0</v>
      </c>
      <c r="K3156" s="418">
        <f t="shared" ref="K3156:K3162" si="337">SUM(D3156:J3156)</f>
        <v>0</v>
      </c>
    </row>
    <row r="3157" spans="2:13" ht="15" customHeight="1" x14ac:dyDescent="0.25">
      <c r="B3157" s="419"/>
      <c r="C3157" s="420"/>
      <c r="D3157" s="421">
        <f t="shared" ref="D3157:D3162" si="338">$D$3156*C3157</f>
        <v>0</v>
      </c>
      <c r="E3157" s="421">
        <f t="shared" ref="E3157:E3162" si="339">$E$3156*C3157</f>
        <v>0</v>
      </c>
      <c r="F3157" s="421">
        <f t="shared" ref="F3157:F3162" si="340">$F$3156*C3157</f>
        <v>0</v>
      </c>
      <c r="G3157" s="421">
        <f t="shared" ref="G3157:G3162" si="341">$G$3156*C3157</f>
        <v>0</v>
      </c>
      <c r="H3157" s="421">
        <f t="shared" ref="H3157:H3162" si="342">$H$3156*C3157</f>
        <v>0</v>
      </c>
      <c r="I3157" s="421">
        <f t="shared" ref="I3157:I3162" si="343">$I$3156*C3157</f>
        <v>0</v>
      </c>
      <c r="J3157" s="421">
        <f t="shared" ref="J3157:J3162" si="344">$J$3156*C3157</f>
        <v>0</v>
      </c>
      <c r="K3157" s="422">
        <f t="shared" si="337"/>
        <v>0</v>
      </c>
    </row>
    <row r="3158" spans="2:13" ht="15" customHeight="1" x14ac:dyDescent="0.25">
      <c r="B3158" s="389"/>
      <c r="C3158" s="423"/>
      <c r="D3158" s="421">
        <f t="shared" si="338"/>
        <v>0</v>
      </c>
      <c r="E3158" s="421">
        <f t="shared" si="339"/>
        <v>0</v>
      </c>
      <c r="F3158" s="421">
        <f t="shared" si="340"/>
        <v>0</v>
      </c>
      <c r="G3158" s="421">
        <f t="shared" si="341"/>
        <v>0</v>
      </c>
      <c r="H3158" s="421">
        <f t="shared" si="342"/>
        <v>0</v>
      </c>
      <c r="I3158" s="421">
        <f t="shared" si="343"/>
        <v>0</v>
      </c>
      <c r="J3158" s="421">
        <f t="shared" si="344"/>
        <v>0</v>
      </c>
      <c r="K3158" s="424">
        <f t="shared" si="337"/>
        <v>0</v>
      </c>
    </row>
    <row r="3159" spans="2:13" ht="15" customHeight="1" x14ac:dyDescent="0.25">
      <c r="B3159" s="389"/>
      <c r="C3159" s="423"/>
      <c r="D3159" s="421">
        <f t="shared" si="338"/>
        <v>0</v>
      </c>
      <c r="E3159" s="421">
        <f t="shared" si="339"/>
        <v>0</v>
      </c>
      <c r="F3159" s="421">
        <f t="shared" si="340"/>
        <v>0</v>
      </c>
      <c r="G3159" s="421">
        <f t="shared" si="341"/>
        <v>0</v>
      </c>
      <c r="H3159" s="421">
        <f t="shared" si="342"/>
        <v>0</v>
      </c>
      <c r="I3159" s="421">
        <f t="shared" si="343"/>
        <v>0</v>
      </c>
      <c r="J3159" s="421">
        <f t="shared" si="344"/>
        <v>0</v>
      </c>
      <c r="K3159" s="422">
        <f t="shared" si="337"/>
        <v>0</v>
      </c>
    </row>
    <row r="3160" spans="2:13" ht="15" customHeight="1" x14ac:dyDescent="0.25">
      <c r="B3160" s="389"/>
      <c r="C3160" s="423"/>
      <c r="D3160" s="421">
        <f t="shared" si="338"/>
        <v>0</v>
      </c>
      <c r="E3160" s="421">
        <f t="shared" si="339"/>
        <v>0</v>
      </c>
      <c r="F3160" s="421">
        <f t="shared" si="340"/>
        <v>0</v>
      </c>
      <c r="G3160" s="421">
        <f t="shared" si="341"/>
        <v>0</v>
      </c>
      <c r="H3160" s="421">
        <f t="shared" si="342"/>
        <v>0</v>
      </c>
      <c r="I3160" s="421">
        <f t="shared" si="343"/>
        <v>0</v>
      </c>
      <c r="J3160" s="421">
        <f t="shared" si="344"/>
        <v>0</v>
      </c>
      <c r="K3160" s="424">
        <f t="shared" si="337"/>
        <v>0</v>
      </c>
    </row>
    <row r="3161" spans="2:13" ht="15" customHeight="1" x14ac:dyDescent="0.25">
      <c r="B3161" s="419"/>
      <c r="C3161" s="420"/>
      <c r="D3161" s="421">
        <f t="shared" si="338"/>
        <v>0</v>
      </c>
      <c r="E3161" s="421">
        <f t="shared" si="339"/>
        <v>0</v>
      </c>
      <c r="F3161" s="421">
        <f t="shared" si="340"/>
        <v>0</v>
      </c>
      <c r="G3161" s="421">
        <f t="shared" si="341"/>
        <v>0</v>
      </c>
      <c r="H3161" s="421">
        <f t="shared" si="342"/>
        <v>0</v>
      </c>
      <c r="I3161" s="421">
        <f t="shared" si="343"/>
        <v>0</v>
      </c>
      <c r="J3161" s="421">
        <f t="shared" si="344"/>
        <v>0</v>
      </c>
      <c r="K3161" s="422">
        <f t="shared" si="337"/>
        <v>0</v>
      </c>
    </row>
    <row r="3162" spans="2:13" ht="15" customHeight="1" x14ac:dyDescent="0.25">
      <c r="B3162" s="389"/>
      <c r="C3162" s="423"/>
      <c r="D3162" s="421">
        <f t="shared" si="338"/>
        <v>0</v>
      </c>
      <c r="E3162" s="421">
        <f t="shared" si="339"/>
        <v>0</v>
      </c>
      <c r="F3162" s="421">
        <f t="shared" si="340"/>
        <v>0</v>
      </c>
      <c r="G3162" s="421">
        <f t="shared" si="341"/>
        <v>0</v>
      </c>
      <c r="H3162" s="421">
        <f t="shared" si="342"/>
        <v>0</v>
      </c>
      <c r="I3162" s="421">
        <f t="shared" si="343"/>
        <v>0</v>
      </c>
      <c r="J3162" s="421">
        <f t="shared" si="344"/>
        <v>0</v>
      </c>
      <c r="K3162" s="424">
        <f t="shared" si="337"/>
        <v>0</v>
      </c>
    </row>
    <row r="3163" spans="2:13" ht="15" customHeight="1" thickBot="1" x14ac:dyDescent="0.3"/>
    <row r="3164" spans="2:13" ht="15" customHeight="1" thickBot="1" x14ac:dyDescent="0.3">
      <c r="B3164" s="432"/>
      <c r="C3164" s="411"/>
      <c r="D3164" s="407" t="s">
        <v>548</v>
      </c>
      <c r="E3164" s="408" t="s">
        <v>549</v>
      </c>
      <c r="F3164" s="408" t="s">
        <v>550</v>
      </c>
      <c r="G3164" s="408" t="s">
        <v>551</v>
      </c>
      <c r="H3164" s="408" t="s">
        <v>552</v>
      </c>
      <c r="I3164" s="408" t="s">
        <v>553</v>
      </c>
      <c r="J3164" s="408" t="s">
        <v>554</v>
      </c>
      <c r="K3164" s="408" t="s">
        <v>555</v>
      </c>
      <c r="M3164" s="426"/>
    </row>
    <row r="3165" spans="2:13" ht="15" customHeight="1" thickBot="1" x14ac:dyDescent="0.3">
      <c r="B3165" s="414" t="s">
        <v>556</v>
      </c>
      <c r="C3165" s="415" t="s">
        <v>620</v>
      </c>
      <c r="D3165" s="416">
        <f>IF(ISERROR(VLOOKUP(B3164,'MD Usage'!$A$1:$W$5000,3,FALSE)),0,VLOOKUP(B3164,'MD Usage'!$A$1:$W$5000,3,FALSE))</f>
        <v>0</v>
      </c>
      <c r="E3165" s="416">
        <f>IF(ISERROR(VLOOKUP(B3164,'MD Usage'!$A$1:$W$5000,5,FALSE)),0,VLOOKUP(B3164,'MD Usage'!$A$1:$W$5000,5,FALSE))</f>
        <v>0</v>
      </c>
      <c r="F3165" s="416">
        <f>IF(ISERROR(VLOOKUP(B3164,'MD Usage'!$A$1:$W$5000,7,FALSE)),0,VLOOKUP(B3164,'MD Usage'!$A$1:$W$5000,7,FALSE))</f>
        <v>0</v>
      </c>
      <c r="G3165" s="416">
        <f>IF(ISERROR(VLOOKUP(B3164,'MD Usage'!$A$1:$W$5000,9,FALSE)),0,VLOOKUP(B3164,'MD Usage'!$A$1:$W$5000,9,FALSE))</f>
        <v>0</v>
      </c>
      <c r="H3165" s="416">
        <f>IF(ISERROR(VLOOKUP(B3164,'MD Usage'!$A$1:$W$5000,11,FALSE)),0,VLOOKUP(B3164,'MD Usage'!$A$1:$W$5000,11,FALSE))</f>
        <v>0</v>
      </c>
      <c r="I3165" s="416">
        <f>IF(ISERROR(VLOOKUP(B3164,'MD Usage'!A1:R2000,13,FALSE)),0,VLOOKUP(B3164,'MD Usage'!A1:R2000,13,FALSE))</f>
        <v>0</v>
      </c>
      <c r="J3165" s="416">
        <f>IF(ISERROR(VLOOKUP(B3164,'MD Usage'!A1:R2000,15,FALSE)),0,VLOOKUP(B3164,'MD Usage'!A1:R2000,15,FALSE))</f>
        <v>0</v>
      </c>
      <c r="K3165" s="418">
        <f t="shared" ref="K3165:K3171" si="345">SUM(D3165:J3165)</f>
        <v>0</v>
      </c>
    </row>
    <row r="3166" spans="2:13" ht="15" customHeight="1" x14ac:dyDescent="0.25">
      <c r="B3166" s="419"/>
      <c r="C3166" s="420"/>
      <c r="D3166" s="421">
        <f>$D$3165*C3166</f>
        <v>0</v>
      </c>
      <c r="E3166" s="421">
        <f>$E$3165*C3166</f>
        <v>0</v>
      </c>
      <c r="F3166" s="421">
        <f>$F$3165*C3166</f>
        <v>0</v>
      </c>
      <c r="G3166" s="421">
        <f>$G$3165*C3166</f>
        <v>0</v>
      </c>
      <c r="H3166" s="421">
        <f>$H$3165*C3166</f>
        <v>0</v>
      </c>
      <c r="I3166" s="421">
        <f>$I$3165*C3166</f>
        <v>0</v>
      </c>
      <c r="J3166" s="421">
        <f>$J$3165*C3166</f>
        <v>0</v>
      </c>
      <c r="K3166" s="422">
        <f t="shared" si="345"/>
        <v>0</v>
      </c>
    </row>
    <row r="3167" spans="2:13" ht="15" customHeight="1" x14ac:dyDescent="0.25">
      <c r="B3167" s="389"/>
      <c r="C3167" s="423"/>
      <c r="D3167" s="421">
        <f>$D$3165*C3167</f>
        <v>0</v>
      </c>
      <c r="E3167" s="421">
        <f>$E$3165*C3167</f>
        <v>0</v>
      </c>
      <c r="F3167" s="421">
        <f>$F$3165*C3167</f>
        <v>0</v>
      </c>
      <c r="G3167" s="421">
        <f>$G$3165*C3167</f>
        <v>0</v>
      </c>
      <c r="H3167" s="421">
        <f>$H$3165*C3167</f>
        <v>0</v>
      </c>
      <c r="I3167" s="421">
        <f>$I$3165*C3167</f>
        <v>0</v>
      </c>
      <c r="J3167" s="421">
        <f>$J$3165*C3167</f>
        <v>0</v>
      </c>
      <c r="K3167" s="424">
        <f t="shared" si="345"/>
        <v>0</v>
      </c>
    </row>
    <row r="3168" spans="2:13" ht="15" customHeight="1" x14ac:dyDescent="0.25">
      <c r="B3168" s="389"/>
      <c r="C3168" s="423"/>
      <c r="D3168" s="421">
        <f>$D$2633*C3168</f>
        <v>0</v>
      </c>
      <c r="E3168" s="421">
        <f>$E$2633*C3168</f>
        <v>0</v>
      </c>
      <c r="F3168" s="421">
        <f>$F$2633*C3168</f>
        <v>0</v>
      </c>
      <c r="G3168" s="421">
        <f>$G$2633*C3168</f>
        <v>0</v>
      </c>
      <c r="H3168" s="421">
        <f>$H$2633*C3168</f>
        <v>0</v>
      </c>
      <c r="I3168" s="421">
        <f>$I$2633*C3168</f>
        <v>0</v>
      </c>
      <c r="J3168" s="421">
        <f>$J$2633*C3168</f>
        <v>0</v>
      </c>
      <c r="K3168" s="422">
        <f t="shared" si="345"/>
        <v>0</v>
      </c>
    </row>
    <row r="3169" spans="2:13" ht="15" customHeight="1" x14ac:dyDescent="0.25">
      <c r="B3169" s="389"/>
      <c r="C3169" s="423"/>
      <c r="D3169" s="421">
        <f>$D$2633*C3169</f>
        <v>0</v>
      </c>
      <c r="E3169" s="421">
        <f>$E$2633*C3169</f>
        <v>0</v>
      </c>
      <c r="F3169" s="421">
        <f>$F$2633*C3169</f>
        <v>0</v>
      </c>
      <c r="G3169" s="421">
        <f>$G$2633*C3169</f>
        <v>0</v>
      </c>
      <c r="H3169" s="421">
        <f>$H$2633*C3169</f>
        <v>0</v>
      </c>
      <c r="I3169" s="421">
        <f>$I$2633*C3169</f>
        <v>0</v>
      </c>
      <c r="J3169" s="421">
        <f>$J$2633*C3169</f>
        <v>0</v>
      </c>
      <c r="K3169" s="424">
        <f t="shared" si="345"/>
        <v>0</v>
      </c>
    </row>
    <row r="3170" spans="2:13" ht="15" customHeight="1" x14ac:dyDescent="0.25">
      <c r="B3170" s="419"/>
      <c r="C3170" s="420"/>
      <c r="D3170" s="421">
        <f>$D$2633*C3170</f>
        <v>0</v>
      </c>
      <c r="E3170" s="421">
        <f>$E$2633*C3170</f>
        <v>0</v>
      </c>
      <c r="F3170" s="421">
        <f>$F$2633*C3170</f>
        <v>0</v>
      </c>
      <c r="G3170" s="421">
        <f>$G$2633*C3170</f>
        <v>0</v>
      </c>
      <c r="H3170" s="421">
        <f>$H$2633*C3170</f>
        <v>0</v>
      </c>
      <c r="I3170" s="421">
        <f>$I$2633*C3170</f>
        <v>0</v>
      </c>
      <c r="J3170" s="421">
        <f>$J$2633*C3170</f>
        <v>0</v>
      </c>
      <c r="K3170" s="422">
        <f t="shared" si="345"/>
        <v>0</v>
      </c>
    </row>
    <row r="3171" spans="2:13" ht="15" customHeight="1" x14ac:dyDescent="0.25">
      <c r="B3171" s="389"/>
      <c r="C3171" s="423"/>
      <c r="D3171" s="421">
        <f>$D$2633*C3171</f>
        <v>0</v>
      </c>
      <c r="E3171" s="421">
        <f>$E$2633*C3171</f>
        <v>0</v>
      </c>
      <c r="F3171" s="421">
        <f>$F$2633*C3171</f>
        <v>0</v>
      </c>
      <c r="G3171" s="421">
        <f>$G$2633*C3171</f>
        <v>0</v>
      </c>
      <c r="H3171" s="421">
        <f>$H$2633*C3171</f>
        <v>0</v>
      </c>
      <c r="I3171" s="421">
        <f>$I$2633*C3171</f>
        <v>0</v>
      </c>
      <c r="J3171" s="421">
        <f>$J$2633*C3171</f>
        <v>0</v>
      </c>
      <c r="K3171" s="424">
        <f t="shared" si="345"/>
        <v>0</v>
      </c>
    </row>
    <row r="3172" spans="2:13" ht="15" customHeight="1" thickBot="1" x14ac:dyDescent="0.3"/>
    <row r="3173" spans="2:13" ht="15" customHeight="1" thickBot="1" x14ac:dyDescent="0.3">
      <c r="B3173" s="432"/>
      <c r="C3173" s="411"/>
      <c r="D3173" s="407" t="s">
        <v>548</v>
      </c>
      <c r="E3173" s="408" t="s">
        <v>549</v>
      </c>
      <c r="F3173" s="408" t="s">
        <v>550</v>
      </c>
      <c r="G3173" s="408" t="s">
        <v>551</v>
      </c>
      <c r="H3173" s="408" t="s">
        <v>552</v>
      </c>
      <c r="I3173" s="408" t="s">
        <v>553</v>
      </c>
      <c r="J3173" s="408" t="s">
        <v>554</v>
      </c>
      <c r="K3173" s="408" t="s">
        <v>555</v>
      </c>
      <c r="M3173" s="426"/>
    </row>
    <row r="3174" spans="2:13" ht="15" customHeight="1" thickBot="1" x14ac:dyDescent="0.3">
      <c r="B3174" s="414" t="s">
        <v>556</v>
      </c>
      <c r="C3174" s="415" t="s">
        <v>620</v>
      </c>
      <c r="D3174" s="416">
        <f>IF(ISERROR(VLOOKUP(B3173,'MD Usage'!$A$1:$W$5000,3,FALSE)),0,VLOOKUP(B3173,'MD Usage'!$A$1:$W$5000,3,FALSE))</f>
        <v>0</v>
      </c>
      <c r="E3174" s="416">
        <f>IF(ISERROR(VLOOKUP(B3173,'MD Usage'!$A$1:$W$5000,5,FALSE)),0,VLOOKUP(B3173,'MD Usage'!$A$1:$W$5000,5,FALSE))</f>
        <v>0</v>
      </c>
      <c r="F3174" s="416">
        <f>IF(ISERROR(VLOOKUP(B3173,'MD Usage'!$A$1:$W$5000,7,FALSE)),0,VLOOKUP(B3173,'MD Usage'!$A$1:$W$5000,7,FALSE))</f>
        <v>0</v>
      </c>
      <c r="G3174" s="416">
        <f>IF(ISERROR(VLOOKUP(B3173,'MD Usage'!$A$1:$W$5000,9,FALSE)),0,VLOOKUP(B3173,'MD Usage'!$A$1:$W$5000,9,FALSE))</f>
        <v>0</v>
      </c>
      <c r="H3174" s="416">
        <f>IF(ISERROR(VLOOKUP(B3173,'MD Usage'!$A$1:$W$5000,11,FALSE)),0,VLOOKUP(B3173,'MD Usage'!$A$1:$W$5000,11,FALSE))</f>
        <v>0</v>
      </c>
      <c r="I3174" s="416">
        <f>IF(ISERROR(VLOOKUP(B3173,'MD Usage'!A1:R2000,13,FALSE)),0,VLOOKUP(B3173,'MD Usage'!A1:R2000,13,FALSE))</f>
        <v>0</v>
      </c>
      <c r="J3174" s="416">
        <f>IF(ISERROR(VLOOKUP(B3173,'MD Usage'!A1:R2000,15,FALSE)),0,VLOOKUP(B3173,'MD Usage'!A1:R2000,15,FALSE))</f>
        <v>0</v>
      </c>
      <c r="K3174" s="418">
        <f t="shared" ref="K3174:K3180" si="346">SUM(D3174:J3174)</f>
        <v>0</v>
      </c>
    </row>
    <row r="3175" spans="2:13" ht="15" customHeight="1" x14ac:dyDescent="0.25">
      <c r="B3175" s="419"/>
      <c r="C3175" s="420"/>
      <c r="D3175" s="421">
        <f>$D$3174*C3175</f>
        <v>0</v>
      </c>
      <c r="E3175" s="421">
        <f>$E$3174*C3175</f>
        <v>0</v>
      </c>
      <c r="F3175" s="421">
        <f>$F$3174*C3175</f>
        <v>0</v>
      </c>
      <c r="G3175" s="421">
        <f>$G$3174*C3175</f>
        <v>0</v>
      </c>
      <c r="H3175" s="421">
        <f>$H$3174*C3175</f>
        <v>0</v>
      </c>
      <c r="I3175" s="421">
        <f>$I$3174*C3175</f>
        <v>0</v>
      </c>
      <c r="J3175" s="421">
        <f>$J$3174*C3175</f>
        <v>0</v>
      </c>
      <c r="K3175" s="422">
        <f t="shared" si="346"/>
        <v>0</v>
      </c>
    </row>
    <row r="3176" spans="2:13" ht="15" customHeight="1" x14ac:dyDescent="0.25">
      <c r="B3176" s="389"/>
      <c r="C3176" s="423"/>
      <c r="D3176" s="421">
        <f>$D$3174*C3176</f>
        <v>0</v>
      </c>
      <c r="E3176" s="421">
        <f>$E$3174*C3176</f>
        <v>0</v>
      </c>
      <c r="F3176" s="421">
        <f>$F$3174*C3176</f>
        <v>0</v>
      </c>
      <c r="G3176" s="421">
        <f>$G$3174*C3176</f>
        <v>0</v>
      </c>
      <c r="H3176" s="421">
        <f>$H$3174*C3176</f>
        <v>0</v>
      </c>
      <c r="I3176" s="421">
        <f>$I$3174*C3176</f>
        <v>0</v>
      </c>
      <c r="J3176" s="421">
        <f>$J$3174*C3176</f>
        <v>0</v>
      </c>
      <c r="K3176" s="424">
        <f t="shared" si="346"/>
        <v>0</v>
      </c>
    </row>
    <row r="3177" spans="2:13" ht="15" customHeight="1" x14ac:dyDescent="0.25">
      <c r="B3177" s="389"/>
      <c r="C3177" s="423"/>
      <c r="D3177" s="421">
        <f>$D$2633*C3177</f>
        <v>0</v>
      </c>
      <c r="E3177" s="421">
        <f>$E$2633*C3177</f>
        <v>0</v>
      </c>
      <c r="F3177" s="421">
        <f>$F$2633*C3177</f>
        <v>0</v>
      </c>
      <c r="G3177" s="421">
        <f>$G$2633*C3177</f>
        <v>0</v>
      </c>
      <c r="H3177" s="421">
        <f>$H$2633*C3177</f>
        <v>0</v>
      </c>
      <c r="I3177" s="421">
        <f>$I$2633*C3177</f>
        <v>0</v>
      </c>
      <c r="J3177" s="421">
        <f>$J$2633*C3177</f>
        <v>0</v>
      </c>
      <c r="K3177" s="422">
        <f t="shared" si="346"/>
        <v>0</v>
      </c>
    </row>
    <row r="3178" spans="2:13" ht="15" customHeight="1" x14ac:dyDescent="0.25">
      <c r="B3178" s="389"/>
      <c r="C3178" s="423"/>
      <c r="D3178" s="421">
        <f>$D$2633*C3178</f>
        <v>0</v>
      </c>
      <c r="E3178" s="421">
        <f>$E$2633*C3178</f>
        <v>0</v>
      </c>
      <c r="F3178" s="421">
        <f>$F$2633*C3178</f>
        <v>0</v>
      </c>
      <c r="G3178" s="421">
        <f>$G$2633*C3178</f>
        <v>0</v>
      </c>
      <c r="H3178" s="421">
        <f>$H$2633*C3178</f>
        <v>0</v>
      </c>
      <c r="I3178" s="421">
        <f>$I$2633*C3178</f>
        <v>0</v>
      </c>
      <c r="J3178" s="421">
        <f>$J$2633*C3178</f>
        <v>0</v>
      </c>
      <c r="K3178" s="424">
        <f t="shared" si="346"/>
        <v>0</v>
      </c>
    </row>
    <row r="3179" spans="2:13" ht="15" customHeight="1" x14ac:dyDescent="0.25">
      <c r="B3179" s="419"/>
      <c r="C3179" s="420"/>
      <c r="D3179" s="421">
        <f>$D$2633*C3179</f>
        <v>0</v>
      </c>
      <c r="E3179" s="421">
        <f>$E$2633*C3179</f>
        <v>0</v>
      </c>
      <c r="F3179" s="421">
        <f>$F$2633*C3179</f>
        <v>0</v>
      </c>
      <c r="G3179" s="421">
        <f>$G$2633*C3179</f>
        <v>0</v>
      </c>
      <c r="H3179" s="421">
        <f>$H$2633*C3179</f>
        <v>0</v>
      </c>
      <c r="I3179" s="421">
        <f>$I$2633*C3179</f>
        <v>0</v>
      </c>
      <c r="J3179" s="421">
        <f>$J$2633*C3179</f>
        <v>0</v>
      </c>
      <c r="K3179" s="422">
        <f t="shared" si="346"/>
        <v>0</v>
      </c>
    </row>
    <row r="3180" spans="2:13" ht="15" customHeight="1" x14ac:dyDescent="0.25">
      <c r="B3180" s="389"/>
      <c r="C3180" s="423"/>
      <c r="D3180" s="421">
        <f>$D$2633*C3180</f>
        <v>0</v>
      </c>
      <c r="E3180" s="421">
        <f>$E$2633*C3180</f>
        <v>0</v>
      </c>
      <c r="F3180" s="421">
        <f>$F$2633*C3180</f>
        <v>0</v>
      </c>
      <c r="G3180" s="421">
        <f>$G$2633*C3180</f>
        <v>0</v>
      </c>
      <c r="H3180" s="421">
        <f>$H$2633*C3180</f>
        <v>0</v>
      </c>
      <c r="I3180" s="421">
        <f>$I$2633*C3180</f>
        <v>0</v>
      </c>
      <c r="J3180" s="421">
        <f>$J$2633*C3180</f>
        <v>0</v>
      </c>
      <c r="K3180" s="424">
        <f t="shared" si="346"/>
        <v>0</v>
      </c>
    </row>
    <row r="3181" spans="2:13" ht="15" customHeight="1" thickBot="1" x14ac:dyDescent="0.3"/>
    <row r="3182" spans="2:13" ht="15" customHeight="1" thickBot="1" x14ac:dyDescent="0.3">
      <c r="B3182" s="432"/>
      <c r="C3182" s="411"/>
      <c r="D3182" s="407" t="s">
        <v>548</v>
      </c>
      <c r="E3182" s="408" t="s">
        <v>549</v>
      </c>
      <c r="F3182" s="408" t="s">
        <v>550</v>
      </c>
      <c r="G3182" s="408" t="s">
        <v>551</v>
      </c>
      <c r="H3182" s="408" t="s">
        <v>552</v>
      </c>
      <c r="I3182" s="408" t="s">
        <v>553</v>
      </c>
      <c r="J3182" s="408" t="s">
        <v>554</v>
      </c>
      <c r="K3182" s="408" t="s">
        <v>555</v>
      </c>
      <c r="M3182" s="426"/>
    </row>
    <row r="3183" spans="2:13" ht="15" customHeight="1" thickBot="1" x14ac:dyDescent="0.3">
      <c r="B3183" s="414" t="s">
        <v>556</v>
      </c>
      <c r="C3183" s="415" t="s">
        <v>620</v>
      </c>
      <c r="D3183" s="416">
        <f>IF(ISERROR(VLOOKUP(B3182,'MD Usage'!$A$1:$W$5000,3,FALSE)),0,VLOOKUP(B3182,'MD Usage'!$A$1:$W$5000,3,FALSE))</f>
        <v>0</v>
      </c>
      <c r="E3183" s="416">
        <f>IF(ISERROR(VLOOKUP(B3182,'MD Usage'!$A$1:$W$5000,5,FALSE)),0,VLOOKUP(B3182,'MD Usage'!$A$1:$W$5000,5,FALSE))</f>
        <v>0</v>
      </c>
      <c r="F3183" s="416">
        <f>IF(ISERROR(VLOOKUP(B3182,'MD Usage'!$A$1:$W$5000,7,FALSE)),0,VLOOKUP(B3182,'MD Usage'!$A$1:$W$5000,7,FALSE))</f>
        <v>0</v>
      </c>
      <c r="G3183" s="416">
        <f>IF(ISERROR(VLOOKUP(B3182,'MD Usage'!$A$1:$W$5000,9,FALSE)),0,VLOOKUP(B3182,'MD Usage'!$A$1:$W$5000,9,FALSE))</f>
        <v>0</v>
      </c>
      <c r="H3183" s="416">
        <f>IF(ISERROR(VLOOKUP(B3182,'MD Usage'!$A$1:$W$5000,11,FALSE)),0,VLOOKUP(B3182,'MD Usage'!$A$1:$W$5000,11,FALSE))</f>
        <v>0</v>
      </c>
      <c r="I3183" s="416">
        <f>IF(ISERROR(VLOOKUP(B3182,'MD Usage'!A1:R2000,13,FALSE)),0,VLOOKUP(B3182,'MD Usage'!A1:R2000,13,FALSE))</f>
        <v>0</v>
      </c>
      <c r="J3183" s="416">
        <f>IF(ISERROR(VLOOKUP(B3182,'MD Usage'!A1:R2000,15,FALSE)),0,VLOOKUP(B3182,'MD Usage'!A1:R2000,15,FALSE))</f>
        <v>0</v>
      </c>
      <c r="K3183" s="418">
        <f t="shared" ref="K3183:K3189" si="347">SUM(D3183:J3183)</f>
        <v>0</v>
      </c>
    </row>
    <row r="3184" spans="2:13" ht="15" customHeight="1" x14ac:dyDescent="0.25">
      <c r="B3184" s="419"/>
      <c r="C3184" s="420"/>
      <c r="D3184" s="421">
        <f>$D$3183*C3184</f>
        <v>0</v>
      </c>
      <c r="E3184" s="421">
        <f>$E$3183*C3184</f>
        <v>0</v>
      </c>
      <c r="F3184" s="421">
        <f>$F$3183*C3184</f>
        <v>0</v>
      </c>
      <c r="G3184" s="421">
        <f>$G$3183*C3184</f>
        <v>0</v>
      </c>
      <c r="H3184" s="421">
        <f>$H$3183*C3184</f>
        <v>0</v>
      </c>
      <c r="I3184" s="421">
        <f>$I$3183*C3184</f>
        <v>0</v>
      </c>
      <c r="J3184" s="421">
        <f>$J$3183*C3184</f>
        <v>0</v>
      </c>
      <c r="K3184" s="422">
        <f t="shared" si="347"/>
        <v>0</v>
      </c>
    </row>
    <row r="3185" spans="2:11" ht="15" customHeight="1" x14ac:dyDescent="0.25">
      <c r="B3185" s="389"/>
      <c r="C3185" s="423"/>
      <c r="D3185" s="421">
        <f>$D$3183*C3185</f>
        <v>0</v>
      </c>
      <c r="E3185" s="421">
        <f>$E$3183*C3185</f>
        <v>0</v>
      </c>
      <c r="F3185" s="421">
        <f>$F$3183*C3185</f>
        <v>0</v>
      </c>
      <c r="G3185" s="421">
        <f>$G$3183*C3185</f>
        <v>0</v>
      </c>
      <c r="H3185" s="421">
        <f>$H$3183*C3185</f>
        <v>0</v>
      </c>
      <c r="I3185" s="421">
        <f>$I$3183*C3185</f>
        <v>0</v>
      </c>
      <c r="J3185" s="421">
        <f>$J$3183*C3185</f>
        <v>0</v>
      </c>
      <c r="K3185" s="424">
        <f t="shared" si="347"/>
        <v>0</v>
      </c>
    </row>
    <row r="3186" spans="2:11" ht="15" customHeight="1" x14ac:dyDescent="0.25">
      <c r="B3186" s="389"/>
      <c r="C3186" s="423"/>
      <c r="D3186" s="421">
        <f>$D$2633*C3186</f>
        <v>0</v>
      </c>
      <c r="E3186" s="421">
        <f>$E$2633*C3186</f>
        <v>0</v>
      </c>
      <c r="F3186" s="421">
        <f>$F$2633*C3186</f>
        <v>0</v>
      </c>
      <c r="G3186" s="421">
        <f>$G$2633*C3186</f>
        <v>0</v>
      </c>
      <c r="H3186" s="421">
        <f>$H$2633*C3186</f>
        <v>0</v>
      </c>
      <c r="I3186" s="421">
        <f>$I$2633*C3186</f>
        <v>0</v>
      </c>
      <c r="J3186" s="421">
        <f>$J$2633*C3186</f>
        <v>0</v>
      </c>
      <c r="K3186" s="422">
        <f t="shared" si="347"/>
        <v>0</v>
      </c>
    </row>
    <row r="3187" spans="2:11" ht="15" customHeight="1" x14ac:dyDescent="0.25">
      <c r="B3187" s="389"/>
      <c r="C3187" s="423"/>
      <c r="D3187" s="421">
        <f>$D$2633*C3187</f>
        <v>0</v>
      </c>
      <c r="E3187" s="421">
        <f>$E$2633*C3187</f>
        <v>0</v>
      </c>
      <c r="F3187" s="421">
        <f>$F$2633*C3187</f>
        <v>0</v>
      </c>
      <c r="G3187" s="421">
        <f>$G$2633*C3187</f>
        <v>0</v>
      </c>
      <c r="H3187" s="421">
        <f>$H$2633*C3187</f>
        <v>0</v>
      </c>
      <c r="I3187" s="421">
        <f>$I$2633*C3187</f>
        <v>0</v>
      </c>
      <c r="J3187" s="421">
        <f>$J$2633*C3187</f>
        <v>0</v>
      </c>
      <c r="K3187" s="424">
        <f t="shared" si="347"/>
        <v>0</v>
      </c>
    </row>
    <row r="3188" spans="2:11" ht="15" customHeight="1" x14ac:dyDescent="0.25">
      <c r="B3188" s="419"/>
      <c r="C3188" s="420"/>
      <c r="D3188" s="421">
        <f>$D$2633*C3188</f>
        <v>0</v>
      </c>
      <c r="E3188" s="421">
        <f>$E$2633*C3188</f>
        <v>0</v>
      </c>
      <c r="F3188" s="421">
        <f>$F$2633*C3188</f>
        <v>0</v>
      </c>
      <c r="G3188" s="421">
        <f>$G$2633*C3188</f>
        <v>0</v>
      </c>
      <c r="H3188" s="421">
        <f>$H$2633*C3188</f>
        <v>0</v>
      </c>
      <c r="I3188" s="421">
        <f>$I$2633*C3188</f>
        <v>0</v>
      </c>
      <c r="J3188" s="421">
        <f>$J$2633*C3188</f>
        <v>0</v>
      </c>
      <c r="K3188" s="422">
        <f t="shared" si="347"/>
        <v>0</v>
      </c>
    </row>
    <row r="3189" spans="2:11" ht="15" customHeight="1" x14ac:dyDescent="0.25">
      <c r="B3189" s="389"/>
      <c r="C3189" s="423"/>
      <c r="D3189" s="421">
        <f>$D$2633*C3189</f>
        <v>0</v>
      </c>
      <c r="E3189" s="421">
        <f>$E$2633*C3189</f>
        <v>0</v>
      </c>
      <c r="F3189" s="421">
        <f>$F$2633*C3189</f>
        <v>0</v>
      </c>
      <c r="G3189" s="421">
        <f>$G$2633*C3189</f>
        <v>0</v>
      </c>
      <c r="H3189" s="421">
        <f>$H$2633*C3189</f>
        <v>0</v>
      </c>
      <c r="I3189" s="421">
        <f>$I$2633*C3189</f>
        <v>0</v>
      </c>
      <c r="J3189" s="421">
        <f>$J$2633*C3189</f>
        <v>0</v>
      </c>
      <c r="K3189" s="424">
        <f t="shared" si="347"/>
        <v>0</v>
      </c>
    </row>
    <row r="3190" spans="2:11" ht="15" customHeight="1" thickBot="1" x14ac:dyDescent="0.3"/>
    <row r="3191" spans="2:11" ht="15" customHeight="1" thickBot="1" x14ac:dyDescent="0.3">
      <c r="B3191" s="414"/>
      <c r="C3191" s="411"/>
      <c r="D3191" s="407" t="s">
        <v>548</v>
      </c>
      <c r="E3191" s="408" t="s">
        <v>549</v>
      </c>
      <c r="F3191" s="408" t="s">
        <v>550</v>
      </c>
      <c r="G3191" s="408" t="s">
        <v>551</v>
      </c>
      <c r="H3191" s="408" t="s">
        <v>552</v>
      </c>
      <c r="I3191" s="408" t="s">
        <v>553</v>
      </c>
      <c r="J3191" s="408" t="s">
        <v>554</v>
      </c>
      <c r="K3191" s="408" t="s">
        <v>555</v>
      </c>
    </row>
    <row r="3192" spans="2:11" ht="15" customHeight="1" thickBot="1" x14ac:dyDescent="0.3">
      <c r="B3192" s="414" t="s">
        <v>556</v>
      </c>
      <c r="C3192" s="415" t="s">
        <v>620</v>
      </c>
      <c r="D3192" s="416">
        <f>IF(ISERROR(VLOOKUP(B3191,'MD Usage'!$A$1:$W$5000,3,FALSE)),0,VLOOKUP(B3191,'MD Usage'!$A$1:$W$5000,3,FALSE))</f>
        <v>0</v>
      </c>
      <c r="E3192" s="416">
        <f>IF(ISERROR(VLOOKUP(B3191,'MD Usage'!$A$1:$W$5000,5,FALSE)),0,VLOOKUP(B3191,'MD Usage'!$A$1:$W$5000,5,FALSE))</f>
        <v>0</v>
      </c>
      <c r="F3192" s="416">
        <f>IF(ISERROR(VLOOKUP(B3191,'MD Usage'!$A$1:$W$5000,7,FALSE)),0,VLOOKUP(B3191,'MD Usage'!$A$1:$W$5000,7,FALSE))</f>
        <v>0</v>
      </c>
      <c r="G3192" s="416">
        <f>IF(ISERROR(VLOOKUP(B3191,'MD Usage'!$A$1:$W$5000,9,FALSE)),0,VLOOKUP(B3191,'MD Usage'!$A$1:$W$5000,9,FALSE))</f>
        <v>0</v>
      </c>
      <c r="H3192" s="416">
        <f>IF(ISERROR(VLOOKUP(B3191,'MD Usage'!$A$1:$W$5000,11,FALSE)),0,VLOOKUP(B3191,'MD Usage'!$A$1:$W$5000,11,FALSE))</f>
        <v>0</v>
      </c>
      <c r="I3192" s="416">
        <f>IF(ISERROR(VLOOKUP(B3191,'MD Usage'!A1:R2000,13,FALSE)),0,VLOOKUP(B3191,'MD Usage'!A1:R2000,13,FALSE))</f>
        <v>0</v>
      </c>
      <c r="J3192" s="416">
        <f>IF(ISERROR(VLOOKUP(B3191,'MD Usage'!A1:R2000,15,FALSE)),0,VLOOKUP(B3191,'MD Usage'!A1:R2000,15,FALSE))</f>
        <v>0</v>
      </c>
      <c r="K3192" s="418">
        <f t="shared" ref="K3192:K3198" si="348">SUM(D3192:J3192)</f>
        <v>0</v>
      </c>
    </row>
    <row r="3193" spans="2:11" ht="15" customHeight="1" x14ac:dyDescent="0.25">
      <c r="B3193" s="419"/>
      <c r="C3193" s="420"/>
      <c r="D3193" s="421">
        <f t="shared" ref="D3193:D3198" si="349">$D$2633*C3193</f>
        <v>0</v>
      </c>
      <c r="E3193" s="421">
        <f t="shared" ref="E3193:E3198" si="350">$E$2633*C3193</f>
        <v>0</v>
      </c>
      <c r="F3193" s="421">
        <f t="shared" ref="F3193:F3198" si="351">$F$2633*C3193</f>
        <v>0</v>
      </c>
      <c r="G3193" s="421">
        <f t="shared" ref="G3193:G3198" si="352">$G$2633*C3193</f>
        <v>0</v>
      </c>
      <c r="H3193" s="421">
        <f t="shared" ref="H3193:H3198" si="353">$H$2633*C3193</f>
        <v>0</v>
      </c>
      <c r="I3193" s="421">
        <f t="shared" ref="I3193:I3198" si="354">$I$2633*C3193</f>
        <v>0</v>
      </c>
      <c r="J3193" s="421">
        <f t="shared" ref="J3193:J3198" si="355">$J$2633*C3193</f>
        <v>0</v>
      </c>
      <c r="K3193" s="422">
        <f t="shared" si="348"/>
        <v>0</v>
      </c>
    </row>
    <row r="3194" spans="2:11" ht="15" customHeight="1" x14ac:dyDescent="0.25">
      <c r="B3194" s="389"/>
      <c r="C3194" s="423"/>
      <c r="D3194" s="421">
        <f t="shared" si="349"/>
        <v>0</v>
      </c>
      <c r="E3194" s="421">
        <f t="shared" si="350"/>
        <v>0</v>
      </c>
      <c r="F3194" s="421">
        <f t="shared" si="351"/>
        <v>0</v>
      </c>
      <c r="G3194" s="421">
        <f t="shared" si="352"/>
        <v>0</v>
      </c>
      <c r="H3194" s="421">
        <f t="shared" si="353"/>
        <v>0</v>
      </c>
      <c r="I3194" s="421">
        <f t="shared" si="354"/>
        <v>0</v>
      </c>
      <c r="J3194" s="421">
        <f t="shared" si="355"/>
        <v>0</v>
      </c>
      <c r="K3194" s="424">
        <f t="shared" si="348"/>
        <v>0</v>
      </c>
    </row>
    <row r="3195" spans="2:11" ht="15" customHeight="1" x14ac:dyDescent="0.25">
      <c r="B3195" s="389"/>
      <c r="C3195" s="423"/>
      <c r="D3195" s="421">
        <f t="shared" si="349"/>
        <v>0</v>
      </c>
      <c r="E3195" s="421">
        <f t="shared" si="350"/>
        <v>0</v>
      </c>
      <c r="F3195" s="421">
        <f t="shared" si="351"/>
        <v>0</v>
      </c>
      <c r="G3195" s="421">
        <f t="shared" si="352"/>
        <v>0</v>
      </c>
      <c r="H3195" s="421">
        <f t="shared" si="353"/>
        <v>0</v>
      </c>
      <c r="I3195" s="421">
        <f t="shared" si="354"/>
        <v>0</v>
      </c>
      <c r="J3195" s="421">
        <f t="shared" si="355"/>
        <v>0</v>
      </c>
      <c r="K3195" s="422">
        <f t="shared" si="348"/>
        <v>0</v>
      </c>
    </row>
    <row r="3196" spans="2:11" ht="15" customHeight="1" x14ac:dyDescent="0.25">
      <c r="B3196" s="389"/>
      <c r="C3196" s="423"/>
      <c r="D3196" s="421">
        <f t="shared" si="349"/>
        <v>0</v>
      </c>
      <c r="E3196" s="421">
        <f t="shared" si="350"/>
        <v>0</v>
      </c>
      <c r="F3196" s="421">
        <f t="shared" si="351"/>
        <v>0</v>
      </c>
      <c r="G3196" s="421">
        <f t="shared" si="352"/>
        <v>0</v>
      </c>
      <c r="H3196" s="421">
        <f t="shared" si="353"/>
        <v>0</v>
      </c>
      <c r="I3196" s="421">
        <f t="shared" si="354"/>
        <v>0</v>
      </c>
      <c r="J3196" s="421">
        <f t="shared" si="355"/>
        <v>0</v>
      </c>
      <c r="K3196" s="424">
        <f t="shared" si="348"/>
        <v>0</v>
      </c>
    </row>
    <row r="3197" spans="2:11" ht="15" customHeight="1" x14ac:dyDescent="0.25">
      <c r="B3197" s="419"/>
      <c r="C3197" s="420"/>
      <c r="D3197" s="421">
        <f t="shared" si="349"/>
        <v>0</v>
      </c>
      <c r="E3197" s="421">
        <f t="shared" si="350"/>
        <v>0</v>
      </c>
      <c r="F3197" s="421">
        <f t="shared" si="351"/>
        <v>0</v>
      </c>
      <c r="G3197" s="421">
        <f t="shared" si="352"/>
        <v>0</v>
      </c>
      <c r="H3197" s="421">
        <f t="shared" si="353"/>
        <v>0</v>
      </c>
      <c r="I3197" s="421">
        <f t="shared" si="354"/>
        <v>0</v>
      </c>
      <c r="J3197" s="421">
        <f t="shared" si="355"/>
        <v>0</v>
      </c>
      <c r="K3197" s="422">
        <f t="shared" si="348"/>
        <v>0</v>
      </c>
    </row>
    <row r="3198" spans="2:11" ht="15" customHeight="1" x14ac:dyDescent="0.25">
      <c r="B3198" s="389"/>
      <c r="C3198" s="423"/>
      <c r="D3198" s="421">
        <f t="shared" si="349"/>
        <v>0</v>
      </c>
      <c r="E3198" s="421">
        <f t="shared" si="350"/>
        <v>0</v>
      </c>
      <c r="F3198" s="421">
        <f t="shared" si="351"/>
        <v>0</v>
      </c>
      <c r="G3198" s="421">
        <f t="shared" si="352"/>
        <v>0</v>
      </c>
      <c r="H3198" s="421">
        <f t="shared" si="353"/>
        <v>0</v>
      </c>
      <c r="I3198" s="421">
        <f t="shared" si="354"/>
        <v>0</v>
      </c>
      <c r="J3198" s="421">
        <f t="shared" si="355"/>
        <v>0</v>
      </c>
      <c r="K3198" s="424">
        <f t="shared" si="348"/>
        <v>0</v>
      </c>
    </row>
    <row r="3199" spans="2:11" ht="15" customHeight="1" thickBot="1" x14ac:dyDescent="0.3"/>
    <row r="3200" spans="2:11" ht="15" customHeight="1" thickBot="1" x14ac:dyDescent="0.3">
      <c r="B3200" s="414"/>
      <c r="C3200" s="411"/>
      <c r="D3200" s="407" t="s">
        <v>548</v>
      </c>
      <c r="E3200" s="408" t="s">
        <v>549</v>
      </c>
      <c r="F3200" s="408" t="s">
        <v>550</v>
      </c>
      <c r="G3200" s="408" t="s">
        <v>551</v>
      </c>
      <c r="H3200" s="408" t="s">
        <v>552</v>
      </c>
      <c r="I3200" s="408" t="s">
        <v>553</v>
      </c>
      <c r="J3200" s="408" t="s">
        <v>554</v>
      </c>
      <c r="K3200" s="408" t="s">
        <v>555</v>
      </c>
    </row>
    <row r="3201" spans="2:11" ht="15" customHeight="1" thickBot="1" x14ac:dyDescent="0.3">
      <c r="B3201" s="414" t="s">
        <v>556</v>
      </c>
      <c r="C3201" s="415" t="s">
        <v>620</v>
      </c>
      <c r="D3201" s="416">
        <f>IF(ISERROR(VLOOKUP(B3200,'MD Usage'!$A$1:$W$5000,3,FALSE)),0,VLOOKUP(B3200,'MD Usage'!$A$1:$W$5000,3,FALSE))</f>
        <v>0</v>
      </c>
      <c r="E3201" s="416">
        <f>IF(ISERROR(VLOOKUP(B3200,'MD Usage'!$A$1:$W$5000,5,FALSE)),0,VLOOKUP(B3200,'MD Usage'!$A$1:$W$5000,5,FALSE))</f>
        <v>0</v>
      </c>
      <c r="F3201" s="416">
        <f>IF(ISERROR(VLOOKUP(B3200,'MD Usage'!$A$1:$W$5000,7,FALSE)),0,VLOOKUP(B3200,'MD Usage'!$A$1:$W$5000,7,FALSE))</f>
        <v>0</v>
      </c>
      <c r="G3201" s="416">
        <f>IF(ISERROR(VLOOKUP(B3200,'MD Usage'!$A$1:$W$5000,9,FALSE)),0,VLOOKUP(B3200,'MD Usage'!$A$1:$W$5000,9,FALSE))</f>
        <v>0</v>
      </c>
      <c r="H3201" s="416">
        <f>IF(ISERROR(VLOOKUP(B3200,'MD Usage'!$A$1:$W$5000,11,FALSE)),0,VLOOKUP(B3200,'MD Usage'!$A$1:$W$5000,11,FALSE))</f>
        <v>0</v>
      </c>
      <c r="I3201" s="416">
        <f>IF(ISERROR(VLOOKUP(B3200,'MD Usage'!A1:R2000,13,FALSE)),0,VLOOKUP(B3200,'MD Usage'!A1:R2000,13,FALSE))</f>
        <v>0</v>
      </c>
      <c r="J3201" s="416">
        <f>IF(ISERROR(VLOOKUP(B3200,'MD Usage'!A1:R2000,15,FALSE)),0,VLOOKUP(B3200,'MD Usage'!A1:R2000,15,FALSE))</f>
        <v>0</v>
      </c>
      <c r="K3201" s="418">
        <f t="shared" ref="K3201:K3207" si="356">SUM(D3201:J3201)</f>
        <v>0</v>
      </c>
    </row>
    <row r="3202" spans="2:11" ht="15" customHeight="1" x14ac:dyDescent="0.25">
      <c r="B3202" s="419"/>
      <c r="C3202" s="420"/>
      <c r="D3202" s="421">
        <f t="shared" ref="D3202:D3207" si="357">$D$2633*C3202</f>
        <v>0</v>
      </c>
      <c r="E3202" s="421">
        <f t="shared" ref="E3202:E3207" si="358">$E$2633*C3202</f>
        <v>0</v>
      </c>
      <c r="F3202" s="421">
        <f t="shared" ref="F3202:F3207" si="359">$F$2633*C3202</f>
        <v>0</v>
      </c>
      <c r="G3202" s="421">
        <f t="shared" ref="G3202:G3207" si="360">$G$2633*C3202</f>
        <v>0</v>
      </c>
      <c r="H3202" s="421">
        <f t="shared" ref="H3202:H3207" si="361">$H$2633*C3202</f>
        <v>0</v>
      </c>
      <c r="I3202" s="421">
        <f t="shared" ref="I3202:I3207" si="362">$I$2633*C3202</f>
        <v>0</v>
      </c>
      <c r="J3202" s="421">
        <f t="shared" ref="J3202:J3207" si="363">$J$2633*C3202</f>
        <v>0</v>
      </c>
      <c r="K3202" s="422">
        <f t="shared" si="356"/>
        <v>0</v>
      </c>
    </row>
    <row r="3203" spans="2:11" ht="15" customHeight="1" x14ac:dyDescent="0.25">
      <c r="B3203" s="389"/>
      <c r="C3203" s="423"/>
      <c r="D3203" s="421">
        <f t="shared" si="357"/>
        <v>0</v>
      </c>
      <c r="E3203" s="421">
        <f t="shared" si="358"/>
        <v>0</v>
      </c>
      <c r="F3203" s="421">
        <f t="shared" si="359"/>
        <v>0</v>
      </c>
      <c r="G3203" s="421">
        <f t="shared" si="360"/>
        <v>0</v>
      </c>
      <c r="H3203" s="421">
        <f t="shared" si="361"/>
        <v>0</v>
      </c>
      <c r="I3203" s="421">
        <f t="shared" si="362"/>
        <v>0</v>
      </c>
      <c r="J3203" s="421">
        <f t="shared" si="363"/>
        <v>0</v>
      </c>
      <c r="K3203" s="424">
        <f t="shared" si="356"/>
        <v>0</v>
      </c>
    </row>
    <row r="3204" spans="2:11" ht="15" customHeight="1" x14ac:dyDescent="0.25">
      <c r="B3204" s="389"/>
      <c r="C3204" s="423"/>
      <c r="D3204" s="421">
        <f t="shared" si="357"/>
        <v>0</v>
      </c>
      <c r="E3204" s="421">
        <f t="shared" si="358"/>
        <v>0</v>
      </c>
      <c r="F3204" s="421">
        <f t="shared" si="359"/>
        <v>0</v>
      </c>
      <c r="G3204" s="421">
        <f t="shared" si="360"/>
        <v>0</v>
      </c>
      <c r="H3204" s="421">
        <f t="shared" si="361"/>
        <v>0</v>
      </c>
      <c r="I3204" s="421">
        <f t="shared" si="362"/>
        <v>0</v>
      </c>
      <c r="J3204" s="421">
        <f t="shared" si="363"/>
        <v>0</v>
      </c>
      <c r="K3204" s="422">
        <f t="shared" si="356"/>
        <v>0</v>
      </c>
    </row>
    <row r="3205" spans="2:11" ht="15" customHeight="1" x14ac:dyDescent="0.25">
      <c r="B3205" s="389"/>
      <c r="C3205" s="423"/>
      <c r="D3205" s="421">
        <f t="shared" si="357"/>
        <v>0</v>
      </c>
      <c r="E3205" s="421">
        <f t="shared" si="358"/>
        <v>0</v>
      </c>
      <c r="F3205" s="421">
        <f t="shared" si="359"/>
        <v>0</v>
      </c>
      <c r="G3205" s="421">
        <f t="shared" si="360"/>
        <v>0</v>
      </c>
      <c r="H3205" s="421">
        <f t="shared" si="361"/>
        <v>0</v>
      </c>
      <c r="I3205" s="421">
        <f t="shared" si="362"/>
        <v>0</v>
      </c>
      <c r="J3205" s="421">
        <f t="shared" si="363"/>
        <v>0</v>
      </c>
      <c r="K3205" s="424">
        <f t="shared" si="356"/>
        <v>0</v>
      </c>
    </row>
    <row r="3206" spans="2:11" ht="15" customHeight="1" x14ac:dyDescent="0.25">
      <c r="B3206" s="419"/>
      <c r="C3206" s="420"/>
      <c r="D3206" s="421">
        <f t="shared" si="357"/>
        <v>0</v>
      </c>
      <c r="E3206" s="421">
        <f t="shared" si="358"/>
        <v>0</v>
      </c>
      <c r="F3206" s="421">
        <f t="shared" si="359"/>
        <v>0</v>
      </c>
      <c r="G3206" s="421">
        <f t="shared" si="360"/>
        <v>0</v>
      </c>
      <c r="H3206" s="421">
        <f t="shared" si="361"/>
        <v>0</v>
      </c>
      <c r="I3206" s="421">
        <f t="shared" si="362"/>
        <v>0</v>
      </c>
      <c r="J3206" s="421">
        <f t="shared" si="363"/>
        <v>0</v>
      </c>
      <c r="K3206" s="422">
        <f t="shared" si="356"/>
        <v>0</v>
      </c>
    </row>
    <row r="3207" spans="2:11" ht="15" customHeight="1" x14ac:dyDescent="0.25">
      <c r="B3207" s="389"/>
      <c r="C3207" s="423"/>
      <c r="D3207" s="421">
        <f t="shared" si="357"/>
        <v>0</v>
      </c>
      <c r="E3207" s="421">
        <f t="shared" si="358"/>
        <v>0</v>
      </c>
      <c r="F3207" s="421">
        <f t="shared" si="359"/>
        <v>0</v>
      </c>
      <c r="G3207" s="421">
        <f t="shared" si="360"/>
        <v>0</v>
      </c>
      <c r="H3207" s="421">
        <f t="shared" si="361"/>
        <v>0</v>
      </c>
      <c r="I3207" s="421">
        <f t="shared" si="362"/>
        <v>0</v>
      </c>
      <c r="J3207" s="421">
        <f t="shared" si="363"/>
        <v>0</v>
      </c>
      <c r="K3207" s="424">
        <f t="shared" si="356"/>
        <v>0</v>
      </c>
    </row>
    <row r="3208" spans="2:11" ht="15" customHeight="1" thickBot="1" x14ac:dyDescent="0.3"/>
    <row r="3209" spans="2:11" ht="15" customHeight="1" thickBot="1" x14ac:dyDescent="0.3">
      <c r="B3209" s="414"/>
      <c r="C3209" s="411"/>
      <c r="D3209" s="407" t="s">
        <v>548</v>
      </c>
      <c r="E3209" s="408" t="s">
        <v>549</v>
      </c>
      <c r="F3209" s="408" t="s">
        <v>550</v>
      </c>
      <c r="G3209" s="408" t="s">
        <v>551</v>
      </c>
      <c r="H3209" s="408" t="s">
        <v>552</v>
      </c>
      <c r="I3209" s="408" t="s">
        <v>553</v>
      </c>
      <c r="J3209" s="408" t="s">
        <v>554</v>
      </c>
      <c r="K3209" s="408" t="s">
        <v>555</v>
      </c>
    </row>
    <row r="3210" spans="2:11" ht="15" customHeight="1" thickBot="1" x14ac:dyDescent="0.3">
      <c r="B3210" s="414" t="s">
        <v>556</v>
      </c>
      <c r="C3210" s="415" t="s">
        <v>620</v>
      </c>
      <c r="D3210" s="416">
        <f>IF(ISERROR(VLOOKUP(B3209,'MD Usage'!$A$1:$W$5000,3,FALSE)),0,VLOOKUP(B3209,'MD Usage'!$A$1:$W$5000,3,FALSE))</f>
        <v>0</v>
      </c>
      <c r="E3210" s="416">
        <f>IF(ISERROR(VLOOKUP(B3209,'MD Usage'!$A$1:$W$5000,5,FALSE)),0,VLOOKUP(B3209,'MD Usage'!$A$1:$W$5000,5,FALSE))</f>
        <v>0</v>
      </c>
      <c r="F3210" s="416">
        <f>IF(ISERROR(VLOOKUP(B3209,'MD Usage'!$A$1:$W$5000,7,FALSE)),0,VLOOKUP(B3209,'MD Usage'!$A$1:$W$5000,7,FALSE))</f>
        <v>0</v>
      </c>
      <c r="G3210" s="416">
        <f>IF(ISERROR(VLOOKUP(B3209,'MD Usage'!$A$1:$W$5000,9,FALSE)),0,VLOOKUP(B3209,'MD Usage'!$A$1:$W$5000,9,FALSE))</f>
        <v>0</v>
      </c>
      <c r="H3210" s="416">
        <f>IF(ISERROR(VLOOKUP(B3209,'MD Usage'!$A$1:$W$5000,11,FALSE)),0,VLOOKUP(B3209,'MD Usage'!$A$1:$W$5000,11,FALSE))</f>
        <v>0</v>
      </c>
      <c r="I3210" s="416">
        <f>IF(ISERROR(VLOOKUP(B3209,'MD Usage'!A1:R2000,13,FALSE)),0,VLOOKUP(B3209,'MD Usage'!A1:R2000,13,FALSE))</f>
        <v>0</v>
      </c>
      <c r="J3210" s="416">
        <f>IF(ISERROR(VLOOKUP(B3209,'MD Usage'!A1:R2000,15,FALSE)),0,VLOOKUP(B3209,'MD Usage'!A1:R2000,15,FALSE))</f>
        <v>0</v>
      </c>
      <c r="K3210" s="418">
        <f t="shared" ref="K3210:K3216" si="364">SUM(D3210:J3210)</f>
        <v>0</v>
      </c>
    </row>
    <row r="3211" spans="2:11" ht="15" customHeight="1" x14ac:dyDescent="0.25">
      <c r="B3211" s="419"/>
      <c r="C3211" s="420"/>
      <c r="D3211" s="421">
        <f t="shared" ref="D3211:D3216" si="365">$D$2633*C3211</f>
        <v>0</v>
      </c>
      <c r="E3211" s="421">
        <f t="shared" ref="E3211:E3216" si="366">$E$2633*C3211</f>
        <v>0</v>
      </c>
      <c r="F3211" s="421">
        <f t="shared" ref="F3211:F3216" si="367">$F$2633*C3211</f>
        <v>0</v>
      </c>
      <c r="G3211" s="421">
        <f t="shared" ref="G3211:G3216" si="368">$G$2633*C3211</f>
        <v>0</v>
      </c>
      <c r="H3211" s="421">
        <f t="shared" ref="H3211:H3216" si="369">$H$2633*C3211</f>
        <v>0</v>
      </c>
      <c r="I3211" s="421">
        <f t="shared" ref="I3211:I3216" si="370">$I$2633*C3211</f>
        <v>0</v>
      </c>
      <c r="J3211" s="421">
        <f t="shared" ref="J3211:J3216" si="371">$J$2633*C3211</f>
        <v>0</v>
      </c>
      <c r="K3211" s="422">
        <f t="shared" si="364"/>
        <v>0</v>
      </c>
    </row>
    <row r="3212" spans="2:11" ht="15" customHeight="1" x14ac:dyDescent="0.25">
      <c r="B3212" s="389"/>
      <c r="C3212" s="423"/>
      <c r="D3212" s="421">
        <f t="shared" si="365"/>
        <v>0</v>
      </c>
      <c r="E3212" s="421">
        <f t="shared" si="366"/>
        <v>0</v>
      </c>
      <c r="F3212" s="421">
        <f t="shared" si="367"/>
        <v>0</v>
      </c>
      <c r="G3212" s="421">
        <f t="shared" si="368"/>
        <v>0</v>
      </c>
      <c r="H3212" s="421">
        <f t="shared" si="369"/>
        <v>0</v>
      </c>
      <c r="I3212" s="421">
        <f t="shared" si="370"/>
        <v>0</v>
      </c>
      <c r="J3212" s="421">
        <f t="shared" si="371"/>
        <v>0</v>
      </c>
      <c r="K3212" s="424">
        <f t="shared" si="364"/>
        <v>0</v>
      </c>
    </row>
    <row r="3213" spans="2:11" ht="15" customHeight="1" x14ac:dyDescent="0.25">
      <c r="B3213" s="389"/>
      <c r="C3213" s="423"/>
      <c r="D3213" s="421">
        <f t="shared" si="365"/>
        <v>0</v>
      </c>
      <c r="E3213" s="421">
        <f t="shared" si="366"/>
        <v>0</v>
      </c>
      <c r="F3213" s="421">
        <f t="shared" si="367"/>
        <v>0</v>
      </c>
      <c r="G3213" s="421">
        <f t="shared" si="368"/>
        <v>0</v>
      </c>
      <c r="H3213" s="421">
        <f t="shared" si="369"/>
        <v>0</v>
      </c>
      <c r="I3213" s="421">
        <f t="shared" si="370"/>
        <v>0</v>
      </c>
      <c r="J3213" s="421">
        <f t="shared" si="371"/>
        <v>0</v>
      </c>
      <c r="K3213" s="422">
        <f t="shared" si="364"/>
        <v>0</v>
      </c>
    </row>
    <row r="3214" spans="2:11" ht="15" customHeight="1" x14ac:dyDescent="0.25">
      <c r="B3214" s="389"/>
      <c r="C3214" s="423"/>
      <c r="D3214" s="421">
        <f t="shared" si="365"/>
        <v>0</v>
      </c>
      <c r="E3214" s="421">
        <f t="shared" si="366"/>
        <v>0</v>
      </c>
      <c r="F3214" s="421">
        <f t="shared" si="367"/>
        <v>0</v>
      </c>
      <c r="G3214" s="421">
        <f t="shared" si="368"/>
        <v>0</v>
      </c>
      <c r="H3214" s="421">
        <f t="shared" si="369"/>
        <v>0</v>
      </c>
      <c r="I3214" s="421">
        <f t="shared" si="370"/>
        <v>0</v>
      </c>
      <c r="J3214" s="421">
        <f t="shared" si="371"/>
        <v>0</v>
      </c>
      <c r="K3214" s="424">
        <f t="shared" si="364"/>
        <v>0</v>
      </c>
    </row>
    <row r="3215" spans="2:11" ht="15" customHeight="1" x14ac:dyDescent="0.25">
      <c r="B3215" s="419"/>
      <c r="C3215" s="420"/>
      <c r="D3215" s="421">
        <f t="shared" si="365"/>
        <v>0</v>
      </c>
      <c r="E3215" s="421">
        <f t="shared" si="366"/>
        <v>0</v>
      </c>
      <c r="F3215" s="421">
        <f t="shared" si="367"/>
        <v>0</v>
      </c>
      <c r="G3215" s="421">
        <f t="shared" si="368"/>
        <v>0</v>
      </c>
      <c r="H3215" s="421">
        <f t="shared" si="369"/>
        <v>0</v>
      </c>
      <c r="I3215" s="421">
        <f t="shared" si="370"/>
        <v>0</v>
      </c>
      <c r="J3215" s="421">
        <f t="shared" si="371"/>
        <v>0</v>
      </c>
      <c r="K3215" s="422">
        <f t="shared" si="364"/>
        <v>0</v>
      </c>
    </row>
    <row r="3216" spans="2:11" ht="15" customHeight="1" x14ac:dyDescent="0.25">
      <c r="B3216" s="389"/>
      <c r="C3216" s="423"/>
      <c r="D3216" s="421">
        <f t="shared" si="365"/>
        <v>0</v>
      </c>
      <c r="E3216" s="421">
        <f t="shared" si="366"/>
        <v>0</v>
      </c>
      <c r="F3216" s="421">
        <f t="shared" si="367"/>
        <v>0</v>
      </c>
      <c r="G3216" s="421">
        <f t="shared" si="368"/>
        <v>0</v>
      </c>
      <c r="H3216" s="421">
        <f t="shared" si="369"/>
        <v>0</v>
      </c>
      <c r="I3216" s="421">
        <f t="shared" si="370"/>
        <v>0</v>
      </c>
      <c r="J3216" s="421">
        <f t="shared" si="371"/>
        <v>0</v>
      </c>
      <c r="K3216" s="424">
        <f t="shared" si="364"/>
        <v>0</v>
      </c>
    </row>
    <row r="3217" spans="2:11" ht="15" customHeight="1" thickBot="1" x14ac:dyDescent="0.3"/>
    <row r="3218" spans="2:11" ht="15" customHeight="1" thickBot="1" x14ac:dyDescent="0.3">
      <c r="B3218" s="414"/>
      <c r="C3218" s="411"/>
      <c r="D3218" s="407" t="s">
        <v>548</v>
      </c>
      <c r="E3218" s="408" t="s">
        <v>549</v>
      </c>
      <c r="F3218" s="408" t="s">
        <v>550</v>
      </c>
      <c r="G3218" s="408" t="s">
        <v>551</v>
      </c>
      <c r="H3218" s="408" t="s">
        <v>552</v>
      </c>
      <c r="I3218" s="408" t="s">
        <v>553</v>
      </c>
      <c r="J3218" s="408" t="s">
        <v>554</v>
      </c>
      <c r="K3218" s="408" t="s">
        <v>555</v>
      </c>
    </row>
    <row r="3219" spans="2:11" ht="15" customHeight="1" thickBot="1" x14ac:dyDescent="0.3">
      <c r="B3219" s="414" t="s">
        <v>556</v>
      </c>
      <c r="C3219" s="415" t="s">
        <v>620</v>
      </c>
      <c r="D3219" s="416">
        <f>IF(ISERROR(VLOOKUP(B3218,'MD Usage'!$A$1:$W$5000,3,FALSE)),0,VLOOKUP(B3218,'MD Usage'!$A$1:$W$5000,3,FALSE))</f>
        <v>0</v>
      </c>
      <c r="E3219" s="416">
        <f>IF(ISERROR(VLOOKUP(B3218,'MD Usage'!$A$1:$W$5000,5,FALSE)),0,VLOOKUP(B3218,'MD Usage'!$A$1:$W$5000,5,FALSE))</f>
        <v>0</v>
      </c>
      <c r="F3219" s="416">
        <f>IF(ISERROR(VLOOKUP(B3218,'MD Usage'!$A$1:$W$5000,7,FALSE)),0,VLOOKUP(B3218,'MD Usage'!$A$1:$W$5000,7,FALSE))</f>
        <v>0</v>
      </c>
      <c r="G3219" s="416">
        <f>IF(ISERROR(VLOOKUP(B3218,'MD Usage'!$A$1:$W$5000,9,FALSE)),0,VLOOKUP(B3218,'MD Usage'!$A$1:$W$5000,9,FALSE))</f>
        <v>0</v>
      </c>
      <c r="H3219" s="416">
        <f>IF(ISERROR(VLOOKUP(B3218,'MD Usage'!$A$1:$W$5000,11,FALSE)),0,VLOOKUP(B3218,'MD Usage'!$A$1:$W$5000,11,FALSE))</f>
        <v>0</v>
      </c>
      <c r="I3219" s="416">
        <f>IF(ISERROR(VLOOKUP(B3218,'MD Usage'!A1:R2000,13,FALSE)),0,VLOOKUP(B3218,'MD Usage'!A1:R2000,13,FALSE))</f>
        <v>0</v>
      </c>
      <c r="J3219" s="416">
        <f>IF(ISERROR(VLOOKUP(B3218,'MD Usage'!A1:R2000,15,FALSE)),0,VLOOKUP(B3218,'MD Usage'!A1:R2000,15,FALSE))</f>
        <v>0</v>
      </c>
      <c r="K3219" s="418">
        <f t="shared" ref="K3219:K3225" si="372">SUM(D3219:J3219)</f>
        <v>0</v>
      </c>
    </row>
    <row r="3220" spans="2:11" ht="15" customHeight="1" x14ac:dyDescent="0.25">
      <c r="B3220" s="419"/>
      <c r="C3220" s="420"/>
      <c r="D3220" s="421">
        <f t="shared" ref="D3220:D3225" si="373">$D$2633*C3220</f>
        <v>0</v>
      </c>
      <c r="E3220" s="421">
        <f t="shared" ref="E3220:E3225" si="374">$E$2633*C3220</f>
        <v>0</v>
      </c>
      <c r="F3220" s="421">
        <f t="shared" ref="F3220:F3225" si="375">$F$2633*C3220</f>
        <v>0</v>
      </c>
      <c r="G3220" s="421">
        <f t="shared" ref="G3220:G3225" si="376">$G$2633*C3220</f>
        <v>0</v>
      </c>
      <c r="H3220" s="421">
        <f t="shared" ref="H3220:H3225" si="377">$H$2633*C3220</f>
        <v>0</v>
      </c>
      <c r="I3220" s="421">
        <f t="shared" ref="I3220:I3225" si="378">$I$2633*C3220</f>
        <v>0</v>
      </c>
      <c r="J3220" s="421">
        <f t="shared" ref="J3220:J3225" si="379">$J$2633*C3220</f>
        <v>0</v>
      </c>
      <c r="K3220" s="422">
        <f t="shared" si="372"/>
        <v>0</v>
      </c>
    </row>
    <row r="3221" spans="2:11" ht="15" customHeight="1" x14ac:dyDescent="0.25">
      <c r="B3221" s="389"/>
      <c r="C3221" s="423"/>
      <c r="D3221" s="421">
        <f t="shared" si="373"/>
        <v>0</v>
      </c>
      <c r="E3221" s="421">
        <f t="shared" si="374"/>
        <v>0</v>
      </c>
      <c r="F3221" s="421">
        <f t="shared" si="375"/>
        <v>0</v>
      </c>
      <c r="G3221" s="421">
        <f t="shared" si="376"/>
        <v>0</v>
      </c>
      <c r="H3221" s="421">
        <f t="shared" si="377"/>
        <v>0</v>
      </c>
      <c r="I3221" s="421">
        <f t="shared" si="378"/>
        <v>0</v>
      </c>
      <c r="J3221" s="421">
        <f t="shared" si="379"/>
        <v>0</v>
      </c>
      <c r="K3221" s="424">
        <f t="shared" si="372"/>
        <v>0</v>
      </c>
    </row>
    <row r="3222" spans="2:11" ht="15" customHeight="1" x14ac:dyDescent="0.25">
      <c r="B3222" s="389"/>
      <c r="C3222" s="423"/>
      <c r="D3222" s="421">
        <f t="shared" si="373"/>
        <v>0</v>
      </c>
      <c r="E3222" s="421">
        <f t="shared" si="374"/>
        <v>0</v>
      </c>
      <c r="F3222" s="421">
        <f t="shared" si="375"/>
        <v>0</v>
      </c>
      <c r="G3222" s="421">
        <f t="shared" si="376"/>
        <v>0</v>
      </c>
      <c r="H3222" s="421">
        <f t="shared" si="377"/>
        <v>0</v>
      </c>
      <c r="I3222" s="421">
        <f t="shared" si="378"/>
        <v>0</v>
      </c>
      <c r="J3222" s="421">
        <f t="shared" si="379"/>
        <v>0</v>
      </c>
      <c r="K3222" s="422">
        <f t="shared" si="372"/>
        <v>0</v>
      </c>
    </row>
    <row r="3223" spans="2:11" ht="15" customHeight="1" x14ac:dyDescent="0.25">
      <c r="B3223" s="389"/>
      <c r="C3223" s="423"/>
      <c r="D3223" s="421">
        <f t="shared" si="373"/>
        <v>0</v>
      </c>
      <c r="E3223" s="421">
        <f t="shared" si="374"/>
        <v>0</v>
      </c>
      <c r="F3223" s="421">
        <f t="shared" si="375"/>
        <v>0</v>
      </c>
      <c r="G3223" s="421">
        <f t="shared" si="376"/>
        <v>0</v>
      </c>
      <c r="H3223" s="421">
        <f t="shared" si="377"/>
        <v>0</v>
      </c>
      <c r="I3223" s="421">
        <f t="shared" si="378"/>
        <v>0</v>
      </c>
      <c r="J3223" s="421">
        <f t="shared" si="379"/>
        <v>0</v>
      </c>
      <c r="K3223" s="424">
        <f t="shared" si="372"/>
        <v>0</v>
      </c>
    </row>
    <row r="3224" spans="2:11" ht="15" customHeight="1" x14ac:dyDescent="0.25">
      <c r="B3224" s="419"/>
      <c r="C3224" s="420"/>
      <c r="D3224" s="421">
        <f t="shared" si="373"/>
        <v>0</v>
      </c>
      <c r="E3224" s="421">
        <f t="shared" si="374"/>
        <v>0</v>
      </c>
      <c r="F3224" s="421">
        <f t="shared" si="375"/>
        <v>0</v>
      </c>
      <c r="G3224" s="421">
        <f t="shared" si="376"/>
        <v>0</v>
      </c>
      <c r="H3224" s="421">
        <f t="shared" si="377"/>
        <v>0</v>
      </c>
      <c r="I3224" s="421">
        <f t="shared" si="378"/>
        <v>0</v>
      </c>
      <c r="J3224" s="421">
        <f t="shared" si="379"/>
        <v>0</v>
      </c>
      <c r="K3224" s="422">
        <f t="shared" si="372"/>
        <v>0</v>
      </c>
    </row>
    <row r="3225" spans="2:11" ht="15" customHeight="1" x14ac:dyDescent="0.25">
      <c r="B3225" s="389"/>
      <c r="C3225" s="423"/>
      <c r="D3225" s="421">
        <f t="shared" si="373"/>
        <v>0</v>
      </c>
      <c r="E3225" s="421">
        <f t="shared" si="374"/>
        <v>0</v>
      </c>
      <c r="F3225" s="421">
        <f t="shared" si="375"/>
        <v>0</v>
      </c>
      <c r="G3225" s="421">
        <f t="shared" si="376"/>
        <v>0</v>
      </c>
      <c r="H3225" s="421">
        <f t="shared" si="377"/>
        <v>0</v>
      </c>
      <c r="I3225" s="421">
        <f t="shared" si="378"/>
        <v>0</v>
      </c>
      <c r="J3225" s="421">
        <f t="shared" si="379"/>
        <v>0</v>
      </c>
      <c r="K3225" s="424">
        <f t="shared" si="372"/>
        <v>0</v>
      </c>
    </row>
    <row r="3226" spans="2:11" ht="15" customHeight="1" thickBot="1" x14ac:dyDescent="0.3"/>
    <row r="3227" spans="2:11" ht="15" customHeight="1" thickBot="1" x14ac:dyDescent="0.3">
      <c r="B3227" s="414"/>
      <c r="C3227" s="411"/>
      <c r="D3227" s="407" t="s">
        <v>548</v>
      </c>
      <c r="E3227" s="408" t="s">
        <v>549</v>
      </c>
      <c r="F3227" s="408" t="s">
        <v>550</v>
      </c>
      <c r="G3227" s="408" t="s">
        <v>551</v>
      </c>
      <c r="H3227" s="408" t="s">
        <v>552</v>
      </c>
      <c r="I3227" s="408" t="s">
        <v>553</v>
      </c>
      <c r="J3227" s="408" t="s">
        <v>554</v>
      </c>
      <c r="K3227" s="408" t="s">
        <v>555</v>
      </c>
    </row>
    <row r="3228" spans="2:11" ht="15" customHeight="1" thickBot="1" x14ac:dyDescent="0.3">
      <c r="B3228" s="414" t="s">
        <v>556</v>
      </c>
      <c r="C3228" s="415" t="s">
        <v>620</v>
      </c>
      <c r="D3228" s="416">
        <f>IF(ISERROR(VLOOKUP(B3227,'MD Usage'!$A$1:$W$5000,3,FALSE)),0,VLOOKUP(B3227,'MD Usage'!$A$1:$W$5000,3,FALSE))</f>
        <v>0</v>
      </c>
      <c r="E3228" s="416">
        <f>IF(ISERROR(VLOOKUP(B3227,'MD Usage'!$A$1:$W$5000,5,FALSE)),0,VLOOKUP(B3227,'MD Usage'!$A$1:$W$5000,5,FALSE))</f>
        <v>0</v>
      </c>
      <c r="F3228" s="416">
        <f>IF(ISERROR(VLOOKUP(B3227,'MD Usage'!$A$1:$W$5000,7,FALSE)),0,VLOOKUP(B3227,'MD Usage'!$A$1:$W$5000,7,FALSE))</f>
        <v>0</v>
      </c>
      <c r="G3228" s="416">
        <f>IF(ISERROR(VLOOKUP(B3227,'MD Usage'!$A$1:$W$5000,9,FALSE)),0,VLOOKUP(B3227,'MD Usage'!$A$1:$W$5000,9,FALSE))</f>
        <v>0</v>
      </c>
      <c r="H3228" s="416">
        <f>IF(ISERROR(VLOOKUP(B3227,'MD Usage'!$A$1:$W$5000,11,FALSE)),0,VLOOKUP(B3227,'MD Usage'!$A$1:$W$5000,11,FALSE))</f>
        <v>0</v>
      </c>
      <c r="I3228" s="416">
        <f>IF(ISERROR(VLOOKUP(B3227,'MD Usage'!A1:R2000,13,FALSE)),0,VLOOKUP(B3227,'MD Usage'!A1:R2000,13,FALSE))</f>
        <v>0</v>
      </c>
      <c r="J3228" s="416">
        <f>IF(ISERROR(VLOOKUP(B3227,'MD Usage'!A1:R2000,15,FALSE)),0,VLOOKUP(B3227,'MD Usage'!A1:R2000,15,FALSE))</f>
        <v>0</v>
      </c>
      <c r="K3228" s="418">
        <f t="shared" ref="K3228:K3234" si="380">SUM(D3228:J3228)</f>
        <v>0</v>
      </c>
    </row>
    <row r="3229" spans="2:11" ht="15" customHeight="1" x14ac:dyDescent="0.25">
      <c r="B3229" s="419"/>
      <c r="C3229" s="420"/>
      <c r="D3229" s="421">
        <f t="shared" ref="D3229:D3234" si="381">$D$2633*C3229</f>
        <v>0</v>
      </c>
      <c r="E3229" s="421">
        <f t="shared" ref="E3229:E3234" si="382">$E$2633*C3229</f>
        <v>0</v>
      </c>
      <c r="F3229" s="421">
        <f t="shared" ref="F3229:F3234" si="383">$F$2633*C3229</f>
        <v>0</v>
      </c>
      <c r="G3229" s="421">
        <f t="shared" ref="G3229:G3234" si="384">$G$2633*C3229</f>
        <v>0</v>
      </c>
      <c r="H3229" s="421">
        <f t="shared" ref="H3229:H3234" si="385">$H$2633*C3229</f>
        <v>0</v>
      </c>
      <c r="I3229" s="421">
        <f t="shared" ref="I3229:I3234" si="386">$I$2633*C3229</f>
        <v>0</v>
      </c>
      <c r="J3229" s="421">
        <f t="shared" ref="J3229:J3234" si="387">$J$2633*C3229</f>
        <v>0</v>
      </c>
      <c r="K3229" s="422">
        <f t="shared" si="380"/>
        <v>0</v>
      </c>
    </row>
    <row r="3230" spans="2:11" ht="15" customHeight="1" x14ac:dyDescent="0.25">
      <c r="B3230" s="389"/>
      <c r="C3230" s="423"/>
      <c r="D3230" s="421">
        <f t="shared" si="381"/>
        <v>0</v>
      </c>
      <c r="E3230" s="421">
        <f t="shared" si="382"/>
        <v>0</v>
      </c>
      <c r="F3230" s="421">
        <f t="shared" si="383"/>
        <v>0</v>
      </c>
      <c r="G3230" s="421">
        <f t="shared" si="384"/>
        <v>0</v>
      </c>
      <c r="H3230" s="421">
        <f t="shared" si="385"/>
        <v>0</v>
      </c>
      <c r="I3230" s="421">
        <f t="shared" si="386"/>
        <v>0</v>
      </c>
      <c r="J3230" s="421">
        <f t="shared" si="387"/>
        <v>0</v>
      </c>
      <c r="K3230" s="424">
        <f t="shared" si="380"/>
        <v>0</v>
      </c>
    </row>
    <row r="3231" spans="2:11" ht="15" customHeight="1" x14ac:dyDescent="0.25">
      <c r="B3231" s="389"/>
      <c r="C3231" s="423"/>
      <c r="D3231" s="421">
        <f t="shared" si="381"/>
        <v>0</v>
      </c>
      <c r="E3231" s="421">
        <f t="shared" si="382"/>
        <v>0</v>
      </c>
      <c r="F3231" s="421">
        <f t="shared" si="383"/>
        <v>0</v>
      </c>
      <c r="G3231" s="421">
        <f t="shared" si="384"/>
        <v>0</v>
      </c>
      <c r="H3231" s="421">
        <f t="shared" si="385"/>
        <v>0</v>
      </c>
      <c r="I3231" s="421">
        <f t="shared" si="386"/>
        <v>0</v>
      </c>
      <c r="J3231" s="421">
        <f t="shared" si="387"/>
        <v>0</v>
      </c>
      <c r="K3231" s="422">
        <f t="shared" si="380"/>
        <v>0</v>
      </c>
    </row>
    <row r="3232" spans="2:11" ht="15" customHeight="1" x14ac:dyDescent="0.25">
      <c r="B3232" s="389"/>
      <c r="C3232" s="423"/>
      <c r="D3232" s="421">
        <f t="shared" si="381"/>
        <v>0</v>
      </c>
      <c r="E3232" s="421">
        <f t="shared" si="382"/>
        <v>0</v>
      </c>
      <c r="F3232" s="421">
        <f t="shared" si="383"/>
        <v>0</v>
      </c>
      <c r="G3232" s="421">
        <f t="shared" si="384"/>
        <v>0</v>
      </c>
      <c r="H3232" s="421">
        <f t="shared" si="385"/>
        <v>0</v>
      </c>
      <c r="I3232" s="421">
        <f t="shared" si="386"/>
        <v>0</v>
      </c>
      <c r="J3232" s="421">
        <f t="shared" si="387"/>
        <v>0</v>
      </c>
      <c r="K3232" s="424">
        <f t="shared" si="380"/>
        <v>0</v>
      </c>
    </row>
    <row r="3233" spans="2:11" ht="15" customHeight="1" x14ac:dyDescent="0.25">
      <c r="B3233" s="419"/>
      <c r="C3233" s="420"/>
      <c r="D3233" s="421">
        <f t="shared" si="381"/>
        <v>0</v>
      </c>
      <c r="E3233" s="421">
        <f t="shared" si="382"/>
        <v>0</v>
      </c>
      <c r="F3233" s="421">
        <f t="shared" si="383"/>
        <v>0</v>
      </c>
      <c r="G3233" s="421">
        <f t="shared" si="384"/>
        <v>0</v>
      </c>
      <c r="H3233" s="421">
        <f t="shared" si="385"/>
        <v>0</v>
      </c>
      <c r="I3233" s="421">
        <f t="shared" si="386"/>
        <v>0</v>
      </c>
      <c r="J3233" s="421">
        <f t="shared" si="387"/>
        <v>0</v>
      </c>
      <c r="K3233" s="422">
        <f t="shared" si="380"/>
        <v>0</v>
      </c>
    </row>
    <row r="3234" spans="2:11" ht="15" customHeight="1" x14ac:dyDescent="0.25">
      <c r="B3234" s="389"/>
      <c r="C3234" s="423"/>
      <c r="D3234" s="421">
        <f t="shared" si="381"/>
        <v>0</v>
      </c>
      <c r="E3234" s="421">
        <f t="shared" si="382"/>
        <v>0</v>
      </c>
      <c r="F3234" s="421">
        <f t="shared" si="383"/>
        <v>0</v>
      </c>
      <c r="G3234" s="421">
        <f t="shared" si="384"/>
        <v>0</v>
      </c>
      <c r="H3234" s="421">
        <f t="shared" si="385"/>
        <v>0</v>
      </c>
      <c r="I3234" s="421">
        <f t="shared" si="386"/>
        <v>0</v>
      </c>
      <c r="J3234" s="421">
        <f t="shared" si="387"/>
        <v>0</v>
      </c>
      <c r="K3234" s="424">
        <f t="shared" si="380"/>
        <v>0</v>
      </c>
    </row>
    <row r="3235" spans="2:11" ht="15" customHeight="1" thickBot="1" x14ac:dyDescent="0.3"/>
    <row r="3236" spans="2:11" ht="15" customHeight="1" thickBot="1" x14ac:dyDescent="0.3">
      <c r="B3236" s="414"/>
      <c r="C3236" s="411"/>
      <c r="D3236" s="407" t="s">
        <v>548</v>
      </c>
      <c r="E3236" s="408" t="s">
        <v>549</v>
      </c>
      <c r="F3236" s="408" t="s">
        <v>550</v>
      </c>
      <c r="G3236" s="408" t="s">
        <v>551</v>
      </c>
      <c r="H3236" s="408" t="s">
        <v>552</v>
      </c>
      <c r="I3236" s="408" t="s">
        <v>553</v>
      </c>
      <c r="J3236" s="408" t="s">
        <v>554</v>
      </c>
      <c r="K3236" s="408" t="s">
        <v>555</v>
      </c>
    </row>
    <row r="3237" spans="2:11" ht="15" customHeight="1" thickBot="1" x14ac:dyDescent="0.3">
      <c r="B3237" s="414" t="s">
        <v>556</v>
      </c>
      <c r="C3237" s="415" t="s">
        <v>620</v>
      </c>
      <c r="D3237" s="416">
        <f>IF(ISERROR(VLOOKUP(B3236,'MD Usage'!$A$1:$W$5000,3,FALSE)),0,VLOOKUP(B3236,'MD Usage'!$A$1:$W$5000,3,FALSE))</f>
        <v>0</v>
      </c>
      <c r="E3237" s="416">
        <f>IF(ISERROR(VLOOKUP(B3236,'MD Usage'!$A$1:$W$5000,5,FALSE)),0,VLOOKUP(B3236,'MD Usage'!$A$1:$W$5000,5,FALSE))</f>
        <v>0</v>
      </c>
      <c r="F3237" s="416">
        <f>IF(ISERROR(VLOOKUP(B3236,'MD Usage'!$A$1:$W$5000,7,FALSE)),0,VLOOKUP(B3236,'MD Usage'!$A$1:$W$5000,7,FALSE))</f>
        <v>0</v>
      </c>
      <c r="G3237" s="416">
        <f>IF(ISERROR(VLOOKUP(B3236,'MD Usage'!$A$1:$W$5000,9,FALSE)),0,VLOOKUP(B3236,'MD Usage'!$A$1:$W$5000,9,FALSE))</f>
        <v>0</v>
      </c>
      <c r="H3237" s="416">
        <f>IF(ISERROR(VLOOKUP(B3236,'MD Usage'!$A$1:$W$5000,11,FALSE)),0,VLOOKUP(B3236,'MD Usage'!$A$1:$W$5000,11,FALSE))</f>
        <v>0</v>
      </c>
      <c r="I3237" s="416">
        <f>IF(ISERROR(VLOOKUP(B3236,'MD Usage'!A1:R2000,13,FALSE)),0,VLOOKUP(B3236,'MD Usage'!A1:R2000,13,FALSE))</f>
        <v>0</v>
      </c>
      <c r="J3237" s="416">
        <f>IF(ISERROR(VLOOKUP(B3236,'MD Usage'!A1:R2000,15,FALSE)),0,VLOOKUP(B3236,'MD Usage'!A1:R2000,15,FALSE))</f>
        <v>0</v>
      </c>
      <c r="K3237" s="418">
        <f t="shared" ref="K3237:K3243" si="388">SUM(D3237:J3237)</f>
        <v>0</v>
      </c>
    </row>
    <row r="3238" spans="2:11" ht="15" customHeight="1" x14ac:dyDescent="0.25">
      <c r="B3238" s="419"/>
      <c r="C3238" s="420"/>
      <c r="D3238" s="421">
        <f t="shared" ref="D3238:D3243" si="389">$D$2633*C3238</f>
        <v>0</v>
      </c>
      <c r="E3238" s="421">
        <f t="shared" ref="E3238:E3243" si="390">$E$2633*C3238</f>
        <v>0</v>
      </c>
      <c r="F3238" s="421">
        <f t="shared" ref="F3238:F3243" si="391">$F$2633*C3238</f>
        <v>0</v>
      </c>
      <c r="G3238" s="421">
        <f t="shared" ref="G3238:G3243" si="392">$G$2633*C3238</f>
        <v>0</v>
      </c>
      <c r="H3238" s="421">
        <f t="shared" ref="H3238:H3243" si="393">$H$2633*C3238</f>
        <v>0</v>
      </c>
      <c r="I3238" s="421">
        <f t="shared" ref="I3238:I3243" si="394">$I$2633*C3238</f>
        <v>0</v>
      </c>
      <c r="J3238" s="421">
        <f t="shared" ref="J3238:J3243" si="395">$J$2633*C3238</f>
        <v>0</v>
      </c>
      <c r="K3238" s="422">
        <f t="shared" si="388"/>
        <v>0</v>
      </c>
    </row>
    <row r="3239" spans="2:11" ht="15" customHeight="1" x14ac:dyDescent="0.25">
      <c r="B3239" s="389"/>
      <c r="C3239" s="423"/>
      <c r="D3239" s="421">
        <f t="shared" si="389"/>
        <v>0</v>
      </c>
      <c r="E3239" s="421">
        <f t="shared" si="390"/>
        <v>0</v>
      </c>
      <c r="F3239" s="421">
        <f t="shared" si="391"/>
        <v>0</v>
      </c>
      <c r="G3239" s="421">
        <f t="shared" si="392"/>
        <v>0</v>
      </c>
      <c r="H3239" s="421">
        <f t="shared" si="393"/>
        <v>0</v>
      </c>
      <c r="I3239" s="421">
        <f t="shared" si="394"/>
        <v>0</v>
      </c>
      <c r="J3239" s="421">
        <f t="shared" si="395"/>
        <v>0</v>
      </c>
      <c r="K3239" s="424">
        <f t="shared" si="388"/>
        <v>0</v>
      </c>
    </row>
    <row r="3240" spans="2:11" ht="15" customHeight="1" x14ac:dyDescent="0.25">
      <c r="B3240" s="389"/>
      <c r="C3240" s="423"/>
      <c r="D3240" s="421">
        <f t="shared" si="389"/>
        <v>0</v>
      </c>
      <c r="E3240" s="421">
        <f t="shared" si="390"/>
        <v>0</v>
      </c>
      <c r="F3240" s="421">
        <f t="shared" si="391"/>
        <v>0</v>
      </c>
      <c r="G3240" s="421">
        <f t="shared" si="392"/>
        <v>0</v>
      </c>
      <c r="H3240" s="421">
        <f t="shared" si="393"/>
        <v>0</v>
      </c>
      <c r="I3240" s="421">
        <f t="shared" si="394"/>
        <v>0</v>
      </c>
      <c r="J3240" s="421">
        <f t="shared" si="395"/>
        <v>0</v>
      </c>
      <c r="K3240" s="422">
        <f t="shared" si="388"/>
        <v>0</v>
      </c>
    </row>
    <row r="3241" spans="2:11" ht="15" customHeight="1" x14ac:dyDescent="0.25">
      <c r="B3241" s="389"/>
      <c r="C3241" s="423"/>
      <c r="D3241" s="421">
        <f t="shared" si="389"/>
        <v>0</v>
      </c>
      <c r="E3241" s="421">
        <f t="shared" si="390"/>
        <v>0</v>
      </c>
      <c r="F3241" s="421">
        <f t="shared" si="391"/>
        <v>0</v>
      </c>
      <c r="G3241" s="421">
        <f t="shared" si="392"/>
        <v>0</v>
      </c>
      <c r="H3241" s="421">
        <f t="shared" si="393"/>
        <v>0</v>
      </c>
      <c r="I3241" s="421">
        <f t="shared" si="394"/>
        <v>0</v>
      </c>
      <c r="J3241" s="421">
        <f t="shared" si="395"/>
        <v>0</v>
      </c>
      <c r="K3241" s="424">
        <f t="shared" si="388"/>
        <v>0</v>
      </c>
    </row>
    <row r="3242" spans="2:11" ht="15" customHeight="1" x14ac:dyDescent="0.25">
      <c r="B3242" s="419"/>
      <c r="C3242" s="420"/>
      <c r="D3242" s="421">
        <f t="shared" si="389"/>
        <v>0</v>
      </c>
      <c r="E3242" s="421">
        <f t="shared" si="390"/>
        <v>0</v>
      </c>
      <c r="F3242" s="421">
        <f t="shared" si="391"/>
        <v>0</v>
      </c>
      <c r="G3242" s="421">
        <f t="shared" si="392"/>
        <v>0</v>
      </c>
      <c r="H3242" s="421">
        <f t="shared" si="393"/>
        <v>0</v>
      </c>
      <c r="I3242" s="421">
        <f t="shared" si="394"/>
        <v>0</v>
      </c>
      <c r="J3242" s="421">
        <f t="shared" si="395"/>
        <v>0</v>
      </c>
      <c r="K3242" s="422">
        <f t="shared" si="388"/>
        <v>0</v>
      </c>
    </row>
    <row r="3243" spans="2:11" ht="15" customHeight="1" x14ac:dyDescent="0.25">
      <c r="B3243" s="389"/>
      <c r="C3243" s="423"/>
      <c r="D3243" s="421">
        <f t="shared" si="389"/>
        <v>0</v>
      </c>
      <c r="E3243" s="421">
        <f t="shared" si="390"/>
        <v>0</v>
      </c>
      <c r="F3243" s="421">
        <f t="shared" si="391"/>
        <v>0</v>
      </c>
      <c r="G3243" s="421">
        <f t="shared" si="392"/>
        <v>0</v>
      </c>
      <c r="H3243" s="421">
        <f t="shared" si="393"/>
        <v>0</v>
      </c>
      <c r="I3243" s="421">
        <f t="shared" si="394"/>
        <v>0</v>
      </c>
      <c r="J3243" s="421">
        <f t="shared" si="395"/>
        <v>0</v>
      </c>
      <c r="K3243" s="424">
        <f t="shared" si="388"/>
        <v>0</v>
      </c>
    </row>
    <row r="3244" spans="2:11" ht="15" customHeight="1" thickBot="1" x14ac:dyDescent="0.3"/>
    <row r="3245" spans="2:11" ht="15" customHeight="1" thickBot="1" x14ac:dyDescent="0.3">
      <c r="B3245" s="414"/>
      <c r="C3245" s="411"/>
      <c r="D3245" s="407" t="s">
        <v>548</v>
      </c>
      <c r="E3245" s="408" t="s">
        <v>549</v>
      </c>
      <c r="F3245" s="408" t="s">
        <v>550</v>
      </c>
      <c r="G3245" s="408" t="s">
        <v>551</v>
      </c>
      <c r="H3245" s="408" t="s">
        <v>552</v>
      </c>
      <c r="I3245" s="408" t="s">
        <v>553</v>
      </c>
      <c r="J3245" s="408" t="s">
        <v>554</v>
      </c>
      <c r="K3245" s="408" t="s">
        <v>555</v>
      </c>
    </row>
    <row r="3246" spans="2:11" ht="15" customHeight="1" thickBot="1" x14ac:dyDescent="0.3">
      <c r="B3246" s="414" t="s">
        <v>556</v>
      </c>
      <c r="C3246" s="415" t="s">
        <v>620</v>
      </c>
      <c r="D3246" s="416">
        <f>IF(ISERROR(VLOOKUP(B3245,'MD Usage'!$A$1:$W$5000,3,FALSE)),0,VLOOKUP(B3245,'MD Usage'!$A$1:$W$5000,3,FALSE))</f>
        <v>0</v>
      </c>
      <c r="E3246" s="416">
        <f>IF(ISERROR(VLOOKUP(B3245,'MD Usage'!$A$1:$W$5000,5,FALSE)),0,VLOOKUP(B3245,'MD Usage'!$A$1:$W$5000,5,FALSE))</f>
        <v>0</v>
      </c>
      <c r="F3246" s="416">
        <f>IF(ISERROR(VLOOKUP(B3245,'MD Usage'!$A$1:$W$5000,7,FALSE)),0,VLOOKUP(B3245,'MD Usage'!$A$1:$W$5000,7,FALSE))</f>
        <v>0</v>
      </c>
      <c r="G3246" s="416">
        <f>IF(ISERROR(VLOOKUP(B3245,'MD Usage'!$A$1:$W$5000,9,FALSE)),0,VLOOKUP(B3245,'MD Usage'!$A$1:$W$5000,9,FALSE))</f>
        <v>0</v>
      </c>
      <c r="H3246" s="416">
        <f>IF(ISERROR(VLOOKUP(B3245,'MD Usage'!$A$1:$W$5000,11,FALSE)),0,VLOOKUP(B3245,'MD Usage'!$A$1:$W$5000,11,FALSE))</f>
        <v>0</v>
      </c>
      <c r="I3246" s="416">
        <f>IF(ISERROR(VLOOKUP(B3245,'MD Usage'!A1:R2000,13,FALSE)),0,VLOOKUP(B3245,'MD Usage'!A1:R2000,13,FALSE))</f>
        <v>0</v>
      </c>
      <c r="J3246" s="416">
        <f>IF(ISERROR(VLOOKUP(B3245,'MD Usage'!A1:R2000,15,FALSE)),0,VLOOKUP(B3245,'MD Usage'!A1:R2000,15,FALSE))</f>
        <v>0</v>
      </c>
      <c r="K3246" s="418">
        <f t="shared" ref="K3246:K3252" si="396">SUM(D3246:J3246)</f>
        <v>0</v>
      </c>
    </row>
    <row r="3247" spans="2:11" ht="15" customHeight="1" x14ac:dyDescent="0.25">
      <c r="B3247" s="419"/>
      <c r="C3247" s="420"/>
      <c r="D3247" s="421">
        <f t="shared" ref="D3247:D3252" si="397">$D$2633*C3247</f>
        <v>0</v>
      </c>
      <c r="E3247" s="421">
        <f t="shared" ref="E3247:E3252" si="398">$E$2633*C3247</f>
        <v>0</v>
      </c>
      <c r="F3247" s="421">
        <f t="shared" ref="F3247:F3252" si="399">$F$2633*C3247</f>
        <v>0</v>
      </c>
      <c r="G3247" s="421">
        <f t="shared" ref="G3247:G3252" si="400">$G$2633*C3247</f>
        <v>0</v>
      </c>
      <c r="H3247" s="421">
        <f t="shared" ref="H3247:H3252" si="401">$H$2633*C3247</f>
        <v>0</v>
      </c>
      <c r="I3247" s="421">
        <f t="shared" ref="I3247:I3252" si="402">$I$2633*C3247</f>
        <v>0</v>
      </c>
      <c r="J3247" s="421">
        <f t="shared" ref="J3247:J3252" si="403">$J$2633*C3247</f>
        <v>0</v>
      </c>
      <c r="K3247" s="422">
        <f t="shared" si="396"/>
        <v>0</v>
      </c>
    </row>
    <row r="3248" spans="2:11" ht="15" customHeight="1" x14ac:dyDescent="0.25">
      <c r="B3248" s="389"/>
      <c r="C3248" s="423"/>
      <c r="D3248" s="421">
        <f t="shared" si="397"/>
        <v>0</v>
      </c>
      <c r="E3248" s="421">
        <f t="shared" si="398"/>
        <v>0</v>
      </c>
      <c r="F3248" s="421">
        <f t="shared" si="399"/>
        <v>0</v>
      </c>
      <c r="G3248" s="421">
        <f t="shared" si="400"/>
        <v>0</v>
      </c>
      <c r="H3248" s="421">
        <f t="shared" si="401"/>
        <v>0</v>
      </c>
      <c r="I3248" s="421">
        <f t="shared" si="402"/>
        <v>0</v>
      </c>
      <c r="J3248" s="421">
        <f t="shared" si="403"/>
        <v>0</v>
      </c>
      <c r="K3248" s="424">
        <f t="shared" si="396"/>
        <v>0</v>
      </c>
    </row>
    <row r="3249" spans="2:11" ht="15" customHeight="1" x14ac:dyDescent="0.25">
      <c r="B3249" s="389"/>
      <c r="C3249" s="423"/>
      <c r="D3249" s="421">
        <f t="shared" si="397"/>
        <v>0</v>
      </c>
      <c r="E3249" s="421">
        <f t="shared" si="398"/>
        <v>0</v>
      </c>
      <c r="F3249" s="421">
        <f t="shared" si="399"/>
        <v>0</v>
      </c>
      <c r="G3249" s="421">
        <f t="shared" si="400"/>
        <v>0</v>
      </c>
      <c r="H3249" s="421">
        <f t="shared" si="401"/>
        <v>0</v>
      </c>
      <c r="I3249" s="421">
        <f t="shared" si="402"/>
        <v>0</v>
      </c>
      <c r="J3249" s="421">
        <f t="shared" si="403"/>
        <v>0</v>
      </c>
      <c r="K3249" s="422">
        <f t="shared" si="396"/>
        <v>0</v>
      </c>
    </row>
    <row r="3250" spans="2:11" ht="15" customHeight="1" x14ac:dyDescent="0.25">
      <c r="B3250" s="389"/>
      <c r="C3250" s="423"/>
      <c r="D3250" s="421">
        <f t="shared" si="397"/>
        <v>0</v>
      </c>
      <c r="E3250" s="421">
        <f t="shared" si="398"/>
        <v>0</v>
      </c>
      <c r="F3250" s="421">
        <f t="shared" si="399"/>
        <v>0</v>
      </c>
      <c r="G3250" s="421">
        <f t="shared" si="400"/>
        <v>0</v>
      </c>
      <c r="H3250" s="421">
        <f t="shared" si="401"/>
        <v>0</v>
      </c>
      <c r="I3250" s="421">
        <f t="shared" si="402"/>
        <v>0</v>
      </c>
      <c r="J3250" s="421">
        <f t="shared" si="403"/>
        <v>0</v>
      </c>
      <c r="K3250" s="424">
        <f t="shared" si="396"/>
        <v>0</v>
      </c>
    </row>
    <row r="3251" spans="2:11" ht="15" customHeight="1" x14ac:dyDescent="0.25">
      <c r="B3251" s="419"/>
      <c r="C3251" s="420"/>
      <c r="D3251" s="421">
        <f t="shared" si="397"/>
        <v>0</v>
      </c>
      <c r="E3251" s="421">
        <f t="shared" si="398"/>
        <v>0</v>
      </c>
      <c r="F3251" s="421">
        <f t="shared" si="399"/>
        <v>0</v>
      </c>
      <c r="G3251" s="421">
        <f t="shared" si="400"/>
        <v>0</v>
      </c>
      <c r="H3251" s="421">
        <f t="shared" si="401"/>
        <v>0</v>
      </c>
      <c r="I3251" s="421">
        <f t="shared" si="402"/>
        <v>0</v>
      </c>
      <c r="J3251" s="421">
        <f t="shared" si="403"/>
        <v>0</v>
      </c>
      <c r="K3251" s="422">
        <f t="shared" si="396"/>
        <v>0</v>
      </c>
    </row>
    <row r="3252" spans="2:11" ht="15" customHeight="1" x14ac:dyDescent="0.25">
      <c r="B3252" s="389"/>
      <c r="C3252" s="423"/>
      <c r="D3252" s="421">
        <f t="shared" si="397"/>
        <v>0</v>
      </c>
      <c r="E3252" s="421">
        <f t="shared" si="398"/>
        <v>0</v>
      </c>
      <c r="F3252" s="421">
        <f t="shared" si="399"/>
        <v>0</v>
      </c>
      <c r="G3252" s="421">
        <f t="shared" si="400"/>
        <v>0</v>
      </c>
      <c r="H3252" s="421">
        <f t="shared" si="401"/>
        <v>0</v>
      </c>
      <c r="I3252" s="421">
        <f t="shared" si="402"/>
        <v>0</v>
      </c>
      <c r="J3252" s="421">
        <f t="shared" si="403"/>
        <v>0</v>
      </c>
      <c r="K3252" s="424">
        <f t="shared" si="396"/>
        <v>0</v>
      </c>
    </row>
    <row r="3253" spans="2:11" ht="15" customHeight="1" thickBot="1" x14ac:dyDescent="0.3"/>
    <row r="3254" spans="2:11" ht="15" customHeight="1" thickBot="1" x14ac:dyDescent="0.3">
      <c r="B3254" s="414"/>
      <c r="C3254" s="411"/>
      <c r="D3254" s="407" t="s">
        <v>548</v>
      </c>
      <c r="E3254" s="408" t="s">
        <v>549</v>
      </c>
      <c r="F3254" s="408" t="s">
        <v>550</v>
      </c>
      <c r="G3254" s="408" t="s">
        <v>551</v>
      </c>
      <c r="H3254" s="408" t="s">
        <v>552</v>
      </c>
      <c r="I3254" s="408" t="s">
        <v>553</v>
      </c>
      <c r="J3254" s="408" t="s">
        <v>554</v>
      </c>
      <c r="K3254" s="408" t="s">
        <v>555</v>
      </c>
    </row>
    <row r="3255" spans="2:11" ht="15" customHeight="1" thickBot="1" x14ac:dyDescent="0.3">
      <c r="B3255" s="414" t="s">
        <v>556</v>
      </c>
      <c r="C3255" s="415" t="s">
        <v>620</v>
      </c>
      <c r="D3255" s="416">
        <f>IF(ISERROR(VLOOKUP(B3254,'MD Usage'!$A$1:$W$5000,3,FALSE)),0,VLOOKUP(B3254,'MD Usage'!$A$1:$W$5000,3,FALSE))</f>
        <v>0</v>
      </c>
      <c r="E3255" s="416">
        <f>IF(ISERROR(VLOOKUP(B3254,'MD Usage'!$A$1:$W$5000,5,FALSE)),0,VLOOKUP(B3254,'MD Usage'!$A$1:$W$5000,5,FALSE))</f>
        <v>0</v>
      </c>
      <c r="F3255" s="416">
        <f>IF(ISERROR(VLOOKUP(B3254,'MD Usage'!$A$1:$W$5000,7,FALSE)),0,VLOOKUP(B3254,'MD Usage'!$A$1:$W$5000,7,FALSE))</f>
        <v>0</v>
      </c>
      <c r="G3255" s="416">
        <f>IF(ISERROR(VLOOKUP(B3254,'MD Usage'!$A$1:$W$5000,9,FALSE)),0,VLOOKUP(B3254,'MD Usage'!$A$1:$W$5000,9,FALSE))</f>
        <v>0</v>
      </c>
      <c r="H3255" s="416">
        <f>IF(ISERROR(VLOOKUP(B3254,'MD Usage'!$A$1:$W$5000,11,FALSE)),0,VLOOKUP(B3254,'MD Usage'!$A$1:$W$5000,11,FALSE))</f>
        <v>0</v>
      </c>
      <c r="I3255" s="416">
        <f>IF(ISERROR(VLOOKUP(B3254,'MD Usage'!A1:R2000,13,FALSE)),0,VLOOKUP(B3254,'MD Usage'!A1:R2000,13,FALSE))</f>
        <v>0</v>
      </c>
      <c r="J3255" s="416">
        <f>IF(ISERROR(VLOOKUP(B3254,'MD Usage'!A1:R2000,15,FALSE)),0,VLOOKUP(B3254,'MD Usage'!A1:R2000,15,FALSE))</f>
        <v>0</v>
      </c>
      <c r="K3255" s="418">
        <f t="shared" ref="K3255:K3261" si="404">SUM(D3255:J3255)</f>
        <v>0</v>
      </c>
    </row>
    <row r="3256" spans="2:11" ht="15" customHeight="1" x14ac:dyDescent="0.25">
      <c r="B3256" s="419"/>
      <c r="C3256" s="420"/>
      <c r="D3256" s="421">
        <f t="shared" ref="D3256:D3261" si="405">$D$2633*C3256</f>
        <v>0</v>
      </c>
      <c r="E3256" s="421">
        <f t="shared" ref="E3256:E3261" si="406">$E$2633*C3256</f>
        <v>0</v>
      </c>
      <c r="F3256" s="421">
        <f t="shared" ref="F3256:F3261" si="407">$F$2633*C3256</f>
        <v>0</v>
      </c>
      <c r="G3256" s="421">
        <f t="shared" ref="G3256:G3261" si="408">$G$2633*C3256</f>
        <v>0</v>
      </c>
      <c r="H3256" s="421">
        <f t="shared" ref="H3256:H3261" si="409">$H$2633*C3256</f>
        <v>0</v>
      </c>
      <c r="I3256" s="421">
        <f t="shared" ref="I3256:I3261" si="410">$I$2633*C3256</f>
        <v>0</v>
      </c>
      <c r="J3256" s="421">
        <f t="shared" ref="J3256:J3261" si="411">$J$2633*C3256</f>
        <v>0</v>
      </c>
      <c r="K3256" s="422">
        <f t="shared" si="404"/>
        <v>0</v>
      </c>
    </row>
    <row r="3257" spans="2:11" ht="15" customHeight="1" x14ac:dyDescent="0.25">
      <c r="B3257" s="389"/>
      <c r="C3257" s="423"/>
      <c r="D3257" s="421">
        <f t="shared" si="405"/>
        <v>0</v>
      </c>
      <c r="E3257" s="421">
        <f t="shared" si="406"/>
        <v>0</v>
      </c>
      <c r="F3257" s="421">
        <f t="shared" si="407"/>
        <v>0</v>
      </c>
      <c r="G3257" s="421">
        <f t="shared" si="408"/>
        <v>0</v>
      </c>
      <c r="H3257" s="421">
        <f t="shared" si="409"/>
        <v>0</v>
      </c>
      <c r="I3257" s="421">
        <f t="shared" si="410"/>
        <v>0</v>
      </c>
      <c r="J3257" s="421">
        <f t="shared" si="411"/>
        <v>0</v>
      </c>
      <c r="K3257" s="424">
        <f t="shared" si="404"/>
        <v>0</v>
      </c>
    </row>
    <row r="3258" spans="2:11" ht="15" customHeight="1" x14ac:dyDescent="0.25">
      <c r="B3258" s="389"/>
      <c r="C3258" s="423"/>
      <c r="D3258" s="421">
        <f t="shared" si="405"/>
        <v>0</v>
      </c>
      <c r="E3258" s="421">
        <f t="shared" si="406"/>
        <v>0</v>
      </c>
      <c r="F3258" s="421">
        <f t="shared" si="407"/>
        <v>0</v>
      </c>
      <c r="G3258" s="421">
        <f t="shared" si="408"/>
        <v>0</v>
      </c>
      <c r="H3258" s="421">
        <f t="shared" si="409"/>
        <v>0</v>
      </c>
      <c r="I3258" s="421">
        <f t="shared" si="410"/>
        <v>0</v>
      </c>
      <c r="J3258" s="421">
        <f t="shared" si="411"/>
        <v>0</v>
      </c>
      <c r="K3258" s="422">
        <f t="shared" si="404"/>
        <v>0</v>
      </c>
    </row>
    <row r="3259" spans="2:11" ht="15" customHeight="1" x14ac:dyDescent="0.25">
      <c r="B3259" s="389"/>
      <c r="C3259" s="423"/>
      <c r="D3259" s="421">
        <f t="shared" si="405"/>
        <v>0</v>
      </c>
      <c r="E3259" s="421">
        <f t="shared" si="406"/>
        <v>0</v>
      </c>
      <c r="F3259" s="421">
        <f t="shared" si="407"/>
        <v>0</v>
      </c>
      <c r="G3259" s="421">
        <f t="shared" si="408"/>
        <v>0</v>
      </c>
      <c r="H3259" s="421">
        <f t="shared" si="409"/>
        <v>0</v>
      </c>
      <c r="I3259" s="421">
        <f t="shared" si="410"/>
        <v>0</v>
      </c>
      <c r="J3259" s="421">
        <f t="shared" si="411"/>
        <v>0</v>
      </c>
      <c r="K3259" s="424">
        <f t="shared" si="404"/>
        <v>0</v>
      </c>
    </row>
    <row r="3260" spans="2:11" ht="15" customHeight="1" x14ac:dyDescent="0.25">
      <c r="B3260" s="419"/>
      <c r="C3260" s="420"/>
      <c r="D3260" s="421">
        <f t="shared" si="405"/>
        <v>0</v>
      </c>
      <c r="E3260" s="421">
        <f t="shared" si="406"/>
        <v>0</v>
      </c>
      <c r="F3260" s="421">
        <f t="shared" si="407"/>
        <v>0</v>
      </c>
      <c r="G3260" s="421">
        <f t="shared" si="408"/>
        <v>0</v>
      </c>
      <c r="H3260" s="421">
        <f t="shared" si="409"/>
        <v>0</v>
      </c>
      <c r="I3260" s="421">
        <f t="shared" si="410"/>
        <v>0</v>
      </c>
      <c r="J3260" s="421">
        <f t="shared" si="411"/>
        <v>0</v>
      </c>
      <c r="K3260" s="422">
        <f t="shared" si="404"/>
        <v>0</v>
      </c>
    </row>
    <row r="3261" spans="2:11" ht="15" customHeight="1" x14ac:dyDescent="0.25">
      <c r="B3261" s="389"/>
      <c r="C3261" s="423"/>
      <c r="D3261" s="421">
        <f t="shared" si="405"/>
        <v>0</v>
      </c>
      <c r="E3261" s="421">
        <f t="shared" si="406"/>
        <v>0</v>
      </c>
      <c r="F3261" s="421">
        <f t="shared" si="407"/>
        <v>0</v>
      </c>
      <c r="G3261" s="421">
        <f t="shared" si="408"/>
        <v>0</v>
      </c>
      <c r="H3261" s="421">
        <f t="shared" si="409"/>
        <v>0</v>
      </c>
      <c r="I3261" s="421">
        <f t="shared" si="410"/>
        <v>0</v>
      </c>
      <c r="J3261" s="421">
        <f t="shared" si="411"/>
        <v>0</v>
      </c>
      <c r="K3261" s="424">
        <f t="shared" si="404"/>
        <v>0</v>
      </c>
    </row>
    <row r="3262" spans="2:11" ht="15" customHeight="1" thickBot="1" x14ac:dyDescent="0.3"/>
    <row r="3263" spans="2:11" ht="15" customHeight="1" thickBot="1" x14ac:dyDescent="0.3">
      <c r="B3263" s="414"/>
      <c r="C3263" s="411"/>
      <c r="D3263" s="407" t="s">
        <v>548</v>
      </c>
      <c r="E3263" s="408" t="s">
        <v>549</v>
      </c>
      <c r="F3263" s="408" t="s">
        <v>550</v>
      </c>
      <c r="G3263" s="408" t="s">
        <v>551</v>
      </c>
      <c r="H3263" s="408" t="s">
        <v>552</v>
      </c>
      <c r="I3263" s="408" t="s">
        <v>553</v>
      </c>
      <c r="J3263" s="408" t="s">
        <v>554</v>
      </c>
      <c r="K3263" s="408" t="s">
        <v>555</v>
      </c>
    </row>
    <row r="3264" spans="2:11" ht="15" customHeight="1" thickBot="1" x14ac:dyDescent="0.3">
      <c r="B3264" s="414" t="s">
        <v>556</v>
      </c>
      <c r="C3264" s="415" t="s">
        <v>620</v>
      </c>
      <c r="D3264" s="416">
        <f>IF(ISERROR(VLOOKUP(B3263,'MD Usage'!$A$1:$W$5000,3,FALSE)),0,VLOOKUP(B3263,'MD Usage'!$A$1:$W$5000,3,FALSE))</f>
        <v>0</v>
      </c>
      <c r="E3264" s="416">
        <f>IF(ISERROR(VLOOKUP(B3263,'MD Usage'!$A$1:$W$5000,5,FALSE)),0,VLOOKUP(B3263,'MD Usage'!$A$1:$W$5000,5,FALSE))</f>
        <v>0</v>
      </c>
      <c r="F3264" s="416">
        <f>IF(ISERROR(VLOOKUP(B3263,'MD Usage'!$A$1:$W$5000,7,FALSE)),0,VLOOKUP(B3263,'MD Usage'!$A$1:$W$5000,7,FALSE))</f>
        <v>0</v>
      </c>
      <c r="G3264" s="416">
        <f>IF(ISERROR(VLOOKUP(B3263,'MD Usage'!$A$1:$W$5000,9,FALSE)),0,VLOOKUP(B3263,'MD Usage'!$A$1:$W$5000,9,FALSE))</f>
        <v>0</v>
      </c>
      <c r="H3264" s="416">
        <f>IF(ISERROR(VLOOKUP(B3263,'MD Usage'!$A$1:$W$5000,11,FALSE)),0,VLOOKUP(B3263,'MD Usage'!$A$1:$W$5000,11,FALSE))</f>
        <v>0</v>
      </c>
      <c r="I3264" s="416">
        <f>IF(ISERROR(VLOOKUP(B3263,'MD Usage'!A1:R2000,13,FALSE)),0,VLOOKUP(B3263,'MD Usage'!A1:R2000,13,FALSE))</f>
        <v>0</v>
      </c>
      <c r="J3264" s="416">
        <f>IF(ISERROR(VLOOKUP(B3263,'MD Usage'!A1:R2000,15,FALSE)),0,VLOOKUP(B3263,'MD Usage'!A1:R2000,15,FALSE))</f>
        <v>0</v>
      </c>
      <c r="K3264" s="418">
        <f t="shared" ref="K3264:K3270" si="412">SUM(D3264:J3264)</f>
        <v>0</v>
      </c>
    </row>
    <row r="3265" spans="2:11" ht="15" customHeight="1" x14ac:dyDescent="0.25">
      <c r="B3265" s="419"/>
      <c r="C3265" s="420"/>
      <c r="D3265" s="421">
        <f t="shared" ref="D3265:D3270" si="413">$D$2633*C3265</f>
        <v>0</v>
      </c>
      <c r="E3265" s="421">
        <f t="shared" ref="E3265:E3270" si="414">$E$2633*C3265</f>
        <v>0</v>
      </c>
      <c r="F3265" s="421">
        <f t="shared" ref="F3265:F3270" si="415">$F$2633*C3265</f>
        <v>0</v>
      </c>
      <c r="G3265" s="421">
        <f t="shared" ref="G3265:G3270" si="416">$G$2633*C3265</f>
        <v>0</v>
      </c>
      <c r="H3265" s="421">
        <f t="shared" ref="H3265:H3270" si="417">$H$2633*C3265</f>
        <v>0</v>
      </c>
      <c r="I3265" s="421">
        <f t="shared" ref="I3265:I3270" si="418">$I$2633*C3265</f>
        <v>0</v>
      </c>
      <c r="J3265" s="421">
        <f t="shared" ref="J3265:J3270" si="419">$J$2633*C3265</f>
        <v>0</v>
      </c>
      <c r="K3265" s="422">
        <f t="shared" si="412"/>
        <v>0</v>
      </c>
    </row>
    <row r="3266" spans="2:11" ht="15" customHeight="1" x14ac:dyDescent="0.25">
      <c r="B3266" s="389"/>
      <c r="C3266" s="423"/>
      <c r="D3266" s="421">
        <f t="shared" si="413"/>
        <v>0</v>
      </c>
      <c r="E3266" s="421">
        <f t="shared" si="414"/>
        <v>0</v>
      </c>
      <c r="F3266" s="421">
        <f t="shared" si="415"/>
        <v>0</v>
      </c>
      <c r="G3266" s="421">
        <f t="shared" si="416"/>
        <v>0</v>
      </c>
      <c r="H3266" s="421">
        <f t="shared" si="417"/>
        <v>0</v>
      </c>
      <c r="I3266" s="421">
        <f t="shared" si="418"/>
        <v>0</v>
      </c>
      <c r="J3266" s="421">
        <f t="shared" si="419"/>
        <v>0</v>
      </c>
      <c r="K3266" s="424">
        <f t="shared" si="412"/>
        <v>0</v>
      </c>
    </row>
    <row r="3267" spans="2:11" ht="15" customHeight="1" x14ac:dyDescent="0.25">
      <c r="B3267" s="389"/>
      <c r="C3267" s="423"/>
      <c r="D3267" s="421">
        <f t="shared" si="413"/>
        <v>0</v>
      </c>
      <c r="E3267" s="421">
        <f t="shared" si="414"/>
        <v>0</v>
      </c>
      <c r="F3267" s="421">
        <f t="shared" si="415"/>
        <v>0</v>
      </c>
      <c r="G3267" s="421">
        <f t="shared" si="416"/>
        <v>0</v>
      </c>
      <c r="H3267" s="421">
        <f t="shared" si="417"/>
        <v>0</v>
      </c>
      <c r="I3267" s="421">
        <f t="shared" si="418"/>
        <v>0</v>
      </c>
      <c r="J3267" s="421">
        <f t="shared" si="419"/>
        <v>0</v>
      </c>
      <c r="K3267" s="422">
        <f t="shared" si="412"/>
        <v>0</v>
      </c>
    </row>
    <row r="3268" spans="2:11" ht="15" customHeight="1" x14ac:dyDescent="0.25">
      <c r="B3268" s="389"/>
      <c r="C3268" s="423"/>
      <c r="D3268" s="421">
        <f t="shared" si="413"/>
        <v>0</v>
      </c>
      <c r="E3268" s="421">
        <f t="shared" si="414"/>
        <v>0</v>
      </c>
      <c r="F3268" s="421">
        <f t="shared" si="415"/>
        <v>0</v>
      </c>
      <c r="G3268" s="421">
        <f t="shared" si="416"/>
        <v>0</v>
      </c>
      <c r="H3268" s="421">
        <f t="shared" si="417"/>
        <v>0</v>
      </c>
      <c r="I3268" s="421">
        <f t="shared" si="418"/>
        <v>0</v>
      </c>
      <c r="J3268" s="421">
        <f t="shared" si="419"/>
        <v>0</v>
      </c>
      <c r="K3268" s="424">
        <f t="shared" si="412"/>
        <v>0</v>
      </c>
    </row>
    <row r="3269" spans="2:11" ht="15" customHeight="1" x14ac:dyDescent="0.25">
      <c r="B3269" s="419"/>
      <c r="C3269" s="420"/>
      <c r="D3269" s="421">
        <f t="shared" si="413"/>
        <v>0</v>
      </c>
      <c r="E3269" s="421">
        <f t="shared" si="414"/>
        <v>0</v>
      </c>
      <c r="F3269" s="421">
        <f t="shared" si="415"/>
        <v>0</v>
      </c>
      <c r="G3269" s="421">
        <f t="shared" si="416"/>
        <v>0</v>
      </c>
      <c r="H3269" s="421">
        <f t="shared" si="417"/>
        <v>0</v>
      </c>
      <c r="I3269" s="421">
        <f t="shared" si="418"/>
        <v>0</v>
      </c>
      <c r="J3269" s="421">
        <f t="shared" si="419"/>
        <v>0</v>
      </c>
      <c r="K3269" s="422">
        <f t="shared" si="412"/>
        <v>0</v>
      </c>
    </row>
    <row r="3270" spans="2:11" ht="15" customHeight="1" x14ac:dyDescent="0.25">
      <c r="B3270" s="389"/>
      <c r="C3270" s="423"/>
      <c r="D3270" s="421">
        <f t="shared" si="413"/>
        <v>0</v>
      </c>
      <c r="E3270" s="421">
        <f t="shared" si="414"/>
        <v>0</v>
      </c>
      <c r="F3270" s="421">
        <f t="shared" si="415"/>
        <v>0</v>
      </c>
      <c r="G3270" s="421">
        <f t="shared" si="416"/>
        <v>0</v>
      </c>
      <c r="H3270" s="421">
        <f t="shared" si="417"/>
        <v>0</v>
      </c>
      <c r="I3270" s="421">
        <f t="shared" si="418"/>
        <v>0</v>
      </c>
      <c r="J3270" s="421">
        <f t="shared" si="419"/>
        <v>0</v>
      </c>
      <c r="K3270" s="424">
        <f t="shared" si="412"/>
        <v>0</v>
      </c>
    </row>
    <row r="3271" spans="2:11" ht="15" customHeight="1" thickBot="1" x14ac:dyDescent="0.3"/>
    <row r="3272" spans="2:11" ht="15" customHeight="1" thickBot="1" x14ac:dyDescent="0.3">
      <c r="B3272" s="414"/>
      <c r="C3272" s="411"/>
      <c r="D3272" s="407" t="s">
        <v>548</v>
      </c>
      <c r="E3272" s="408" t="s">
        <v>549</v>
      </c>
      <c r="F3272" s="408" t="s">
        <v>550</v>
      </c>
      <c r="G3272" s="408" t="s">
        <v>551</v>
      </c>
      <c r="H3272" s="408" t="s">
        <v>552</v>
      </c>
      <c r="I3272" s="408" t="s">
        <v>553</v>
      </c>
      <c r="J3272" s="408" t="s">
        <v>554</v>
      </c>
      <c r="K3272" s="408" t="s">
        <v>555</v>
      </c>
    </row>
    <row r="3273" spans="2:11" ht="15" customHeight="1" thickBot="1" x14ac:dyDescent="0.3">
      <c r="B3273" s="414" t="s">
        <v>556</v>
      </c>
      <c r="C3273" s="415" t="s">
        <v>620</v>
      </c>
      <c r="D3273" s="416">
        <f>IF(ISERROR(VLOOKUP(B3272,'MD Usage'!$A$1:$W$5000,3,FALSE)),0,VLOOKUP(B3272,'MD Usage'!$A$1:$W$5000,3,FALSE))</f>
        <v>0</v>
      </c>
      <c r="E3273" s="416">
        <f>IF(ISERROR(VLOOKUP(B3272,'MD Usage'!$A$1:$W$5000,5,FALSE)),0,VLOOKUP(B3272,'MD Usage'!$A$1:$W$5000,5,FALSE))</f>
        <v>0</v>
      </c>
      <c r="F3273" s="416">
        <f>IF(ISERROR(VLOOKUP(B3272,'MD Usage'!$A$1:$W$5000,7,FALSE)),0,VLOOKUP(B3272,'MD Usage'!$A$1:$W$5000,7,FALSE))</f>
        <v>0</v>
      </c>
      <c r="G3273" s="416">
        <f>IF(ISERROR(VLOOKUP(B3272,'MD Usage'!$A$1:$W$5000,9,FALSE)),0,VLOOKUP(B3272,'MD Usage'!$A$1:$W$5000,9,FALSE))</f>
        <v>0</v>
      </c>
      <c r="H3273" s="416">
        <f>IF(ISERROR(VLOOKUP(B3272,'MD Usage'!$A$1:$W$5000,11,FALSE)),0,VLOOKUP(B3272,'MD Usage'!$A$1:$W$5000,11,FALSE))</f>
        <v>0</v>
      </c>
      <c r="I3273" s="416">
        <f>IF(ISERROR(VLOOKUP(B3272,'MD Usage'!A1:R2000,13,FALSE)),0,VLOOKUP(B3272,'MD Usage'!A1:R2000,13,FALSE))</f>
        <v>0</v>
      </c>
      <c r="J3273" s="416">
        <f>IF(ISERROR(VLOOKUP(B3272,'MD Usage'!A1:R2000,15,FALSE)),0,VLOOKUP(B3272,'MD Usage'!A1:R2000,15,FALSE))</f>
        <v>0</v>
      </c>
      <c r="K3273" s="418">
        <f t="shared" ref="K3273:K3279" si="420">SUM(D3273:J3273)</f>
        <v>0</v>
      </c>
    </row>
    <row r="3274" spans="2:11" ht="15" customHeight="1" x14ac:dyDescent="0.25">
      <c r="B3274" s="419"/>
      <c r="C3274" s="420"/>
      <c r="D3274" s="421">
        <f t="shared" ref="D3274:D3279" si="421">$D$2633*C3274</f>
        <v>0</v>
      </c>
      <c r="E3274" s="421">
        <f t="shared" ref="E3274:E3279" si="422">$E$2633*C3274</f>
        <v>0</v>
      </c>
      <c r="F3274" s="421">
        <f t="shared" ref="F3274:F3279" si="423">$F$2633*C3274</f>
        <v>0</v>
      </c>
      <c r="G3274" s="421">
        <f t="shared" ref="G3274:G3279" si="424">$G$2633*C3274</f>
        <v>0</v>
      </c>
      <c r="H3274" s="421">
        <f t="shared" ref="H3274:H3279" si="425">$H$2633*C3274</f>
        <v>0</v>
      </c>
      <c r="I3274" s="421">
        <f t="shared" ref="I3274:I3279" si="426">$I$2633*C3274</f>
        <v>0</v>
      </c>
      <c r="J3274" s="421">
        <f t="shared" ref="J3274:J3279" si="427">$J$2633*C3274</f>
        <v>0</v>
      </c>
      <c r="K3274" s="422">
        <f t="shared" si="420"/>
        <v>0</v>
      </c>
    </row>
    <row r="3275" spans="2:11" ht="15" customHeight="1" x14ac:dyDescent="0.25">
      <c r="B3275" s="389"/>
      <c r="C3275" s="423"/>
      <c r="D3275" s="421">
        <f t="shared" si="421"/>
        <v>0</v>
      </c>
      <c r="E3275" s="421">
        <f t="shared" si="422"/>
        <v>0</v>
      </c>
      <c r="F3275" s="421">
        <f t="shared" si="423"/>
        <v>0</v>
      </c>
      <c r="G3275" s="421">
        <f t="shared" si="424"/>
        <v>0</v>
      </c>
      <c r="H3275" s="421">
        <f t="shared" si="425"/>
        <v>0</v>
      </c>
      <c r="I3275" s="421">
        <f t="shared" si="426"/>
        <v>0</v>
      </c>
      <c r="J3275" s="421">
        <f t="shared" si="427"/>
        <v>0</v>
      </c>
      <c r="K3275" s="424">
        <f t="shared" si="420"/>
        <v>0</v>
      </c>
    </row>
    <row r="3276" spans="2:11" ht="15" customHeight="1" x14ac:dyDescent="0.25">
      <c r="B3276" s="389"/>
      <c r="C3276" s="423"/>
      <c r="D3276" s="421">
        <f t="shared" si="421"/>
        <v>0</v>
      </c>
      <c r="E3276" s="421">
        <f t="shared" si="422"/>
        <v>0</v>
      </c>
      <c r="F3276" s="421">
        <f t="shared" si="423"/>
        <v>0</v>
      </c>
      <c r="G3276" s="421">
        <f t="shared" si="424"/>
        <v>0</v>
      </c>
      <c r="H3276" s="421">
        <f t="shared" si="425"/>
        <v>0</v>
      </c>
      <c r="I3276" s="421">
        <f t="shared" si="426"/>
        <v>0</v>
      </c>
      <c r="J3276" s="421">
        <f t="shared" si="427"/>
        <v>0</v>
      </c>
      <c r="K3276" s="422">
        <f t="shared" si="420"/>
        <v>0</v>
      </c>
    </row>
    <row r="3277" spans="2:11" ht="15" customHeight="1" x14ac:dyDescent="0.25">
      <c r="B3277" s="389"/>
      <c r="C3277" s="423"/>
      <c r="D3277" s="421">
        <f t="shared" si="421"/>
        <v>0</v>
      </c>
      <c r="E3277" s="421">
        <f t="shared" si="422"/>
        <v>0</v>
      </c>
      <c r="F3277" s="421">
        <f t="shared" si="423"/>
        <v>0</v>
      </c>
      <c r="G3277" s="421">
        <f t="shared" si="424"/>
        <v>0</v>
      </c>
      <c r="H3277" s="421">
        <f t="shared" si="425"/>
        <v>0</v>
      </c>
      <c r="I3277" s="421">
        <f t="shared" si="426"/>
        <v>0</v>
      </c>
      <c r="J3277" s="421">
        <f t="shared" si="427"/>
        <v>0</v>
      </c>
      <c r="K3277" s="424">
        <f t="shared" si="420"/>
        <v>0</v>
      </c>
    </row>
    <row r="3278" spans="2:11" ht="15" customHeight="1" x14ac:dyDescent="0.25">
      <c r="B3278" s="419"/>
      <c r="C3278" s="420"/>
      <c r="D3278" s="421">
        <f t="shared" si="421"/>
        <v>0</v>
      </c>
      <c r="E3278" s="421">
        <f t="shared" si="422"/>
        <v>0</v>
      </c>
      <c r="F3278" s="421">
        <f t="shared" si="423"/>
        <v>0</v>
      </c>
      <c r="G3278" s="421">
        <f t="shared" si="424"/>
        <v>0</v>
      </c>
      <c r="H3278" s="421">
        <f t="shared" si="425"/>
        <v>0</v>
      </c>
      <c r="I3278" s="421">
        <f t="shared" si="426"/>
        <v>0</v>
      </c>
      <c r="J3278" s="421">
        <f t="shared" si="427"/>
        <v>0</v>
      </c>
      <c r="K3278" s="422">
        <f t="shared" si="420"/>
        <v>0</v>
      </c>
    </row>
    <row r="3279" spans="2:11" ht="15" customHeight="1" x14ac:dyDescent="0.25">
      <c r="B3279" s="389"/>
      <c r="C3279" s="423"/>
      <c r="D3279" s="421">
        <f t="shared" si="421"/>
        <v>0</v>
      </c>
      <c r="E3279" s="421">
        <f t="shared" si="422"/>
        <v>0</v>
      </c>
      <c r="F3279" s="421">
        <f t="shared" si="423"/>
        <v>0</v>
      </c>
      <c r="G3279" s="421">
        <f t="shared" si="424"/>
        <v>0</v>
      </c>
      <c r="H3279" s="421">
        <f t="shared" si="425"/>
        <v>0</v>
      </c>
      <c r="I3279" s="421">
        <f t="shared" si="426"/>
        <v>0</v>
      </c>
      <c r="J3279" s="421">
        <f t="shared" si="427"/>
        <v>0</v>
      </c>
      <c r="K3279" s="424">
        <f t="shared" si="420"/>
        <v>0</v>
      </c>
    </row>
    <row r="3280" spans="2:11" ht="15" customHeight="1" thickBot="1" x14ac:dyDescent="0.3"/>
    <row r="3281" spans="2:11" ht="15" customHeight="1" thickBot="1" x14ac:dyDescent="0.3">
      <c r="B3281" s="414"/>
      <c r="C3281" s="411"/>
      <c r="D3281" s="407" t="s">
        <v>548</v>
      </c>
      <c r="E3281" s="408" t="s">
        <v>549</v>
      </c>
      <c r="F3281" s="408" t="s">
        <v>550</v>
      </c>
      <c r="G3281" s="408" t="s">
        <v>551</v>
      </c>
      <c r="H3281" s="408" t="s">
        <v>552</v>
      </c>
      <c r="I3281" s="408" t="s">
        <v>553</v>
      </c>
      <c r="J3281" s="408" t="s">
        <v>554</v>
      </c>
      <c r="K3281" s="408" t="s">
        <v>555</v>
      </c>
    </row>
    <row r="3282" spans="2:11" ht="15" customHeight="1" thickBot="1" x14ac:dyDescent="0.3">
      <c r="B3282" s="414" t="s">
        <v>556</v>
      </c>
      <c r="C3282" s="415" t="s">
        <v>620</v>
      </c>
      <c r="D3282" s="416">
        <f>IF(ISERROR(VLOOKUP(B3281,'MD Usage'!$A$1:$W$5000,3,FALSE)),0,VLOOKUP(B3281,'MD Usage'!$A$1:$W$5000,3,FALSE))</f>
        <v>0</v>
      </c>
      <c r="E3282" s="416">
        <f>IF(ISERROR(VLOOKUP(B3281,'MD Usage'!$A$1:$W$5000,5,FALSE)),0,VLOOKUP(B3281,'MD Usage'!$A$1:$W$5000,5,FALSE))</f>
        <v>0</v>
      </c>
      <c r="F3282" s="416">
        <f>IF(ISERROR(VLOOKUP(B3281,'MD Usage'!$A$1:$W$5000,7,FALSE)),0,VLOOKUP(B3281,'MD Usage'!$A$1:$W$5000,7,FALSE))</f>
        <v>0</v>
      </c>
      <c r="G3282" s="416">
        <f>IF(ISERROR(VLOOKUP(B3281,'MD Usage'!$A$1:$W$5000,9,FALSE)),0,VLOOKUP(B3281,'MD Usage'!$A$1:$W$5000,9,FALSE))</f>
        <v>0</v>
      </c>
      <c r="H3282" s="416">
        <f>IF(ISERROR(VLOOKUP(B3281,'MD Usage'!$A$1:$W$5000,11,FALSE)),0,VLOOKUP(B3281,'MD Usage'!$A$1:$W$5000,11,FALSE))</f>
        <v>0</v>
      </c>
      <c r="I3282" s="416">
        <f>IF(ISERROR(VLOOKUP(B3281,'MD Usage'!A1:R2000,13,FALSE)),0,VLOOKUP(B3281,'MD Usage'!A1:R2000,13,FALSE))</f>
        <v>0</v>
      </c>
      <c r="J3282" s="416">
        <f>IF(ISERROR(VLOOKUP(B3281,'MD Usage'!A1:R2000,15,FALSE)),0,VLOOKUP(B3281,'MD Usage'!A1:R2000,15,FALSE))</f>
        <v>0</v>
      </c>
      <c r="K3282" s="418">
        <f t="shared" ref="K3282:K3288" si="428">SUM(D3282:J3282)</f>
        <v>0</v>
      </c>
    </row>
    <row r="3283" spans="2:11" ht="15" customHeight="1" x14ac:dyDescent="0.25">
      <c r="B3283" s="419"/>
      <c r="C3283" s="420"/>
      <c r="D3283" s="421">
        <f t="shared" ref="D3283:D3288" si="429">$D$2633*C3283</f>
        <v>0</v>
      </c>
      <c r="E3283" s="421">
        <f t="shared" ref="E3283:E3288" si="430">$E$2633*C3283</f>
        <v>0</v>
      </c>
      <c r="F3283" s="421">
        <f t="shared" ref="F3283:F3288" si="431">$F$2633*C3283</f>
        <v>0</v>
      </c>
      <c r="G3283" s="421">
        <f t="shared" ref="G3283:G3288" si="432">$G$2633*C3283</f>
        <v>0</v>
      </c>
      <c r="H3283" s="421">
        <f t="shared" ref="H3283:H3288" si="433">$H$2633*C3283</f>
        <v>0</v>
      </c>
      <c r="I3283" s="421">
        <f t="shared" ref="I3283:I3288" si="434">$I$2633*C3283</f>
        <v>0</v>
      </c>
      <c r="J3283" s="421">
        <f t="shared" ref="J3283:J3288" si="435">$J$2633*C3283</f>
        <v>0</v>
      </c>
      <c r="K3283" s="422">
        <f t="shared" si="428"/>
        <v>0</v>
      </c>
    </row>
    <row r="3284" spans="2:11" ht="15" customHeight="1" x14ac:dyDescent="0.25">
      <c r="B3284" s="389"/>
      <c r="C3284" s="423"/>
      <c r="D3284" s="421">
        <f t="shared" si="429"/>
        <v>0</v>
      </c>
      <c r="E3284" s="421">
        <f t="shared" si="430"/>
        <v>0</v>
      </c>
      <c r="F3284" s="421">
        <f t="shared" si="431"/>
        <v>0</v>
      </c>
      <c r="G3284" s="421">
        <f t="shared" si="432"/>
        <v>0</v>
      </c>
      <c r="H3284" s="421">
        <f t="shared" si="433"/>
        <v>0</v>
      </c>
      <c r="I3284" s="421">
        <f t="shared" si="434"/>
        <v>0</v>
      </c>
      <c r="J3284" s="421">
        <f t="shared" si="435"/>
        <v>0</v>
      </c>
      <c r="K3284" s="424">
        <f t="shared" si="428"/>
        <v>0</v>
      </c>
    </row>
    <row r="3285" spans="2:11" ht="15" customHeight="1" x14ac:dyDescent="0.25">
      <c r="B3285" s="389"/>
      <c r="C3285" s="423"/>
      <c r="D3285" s="421">
        <f t="shared" si="429"/>
        <v>0</v>
      </c>
      <c r="E3285" s="421">
        <f t="shared" si="430"/>
        <v>0</v>
      </c>
      <c r="F3285" s="421">
        <f t="shared" si="431"/>
        <v>0</v>
      </c>
      <c r="G3285" s="421">
        <f t="shared" si="432"/>
        <v>0</v>
      </c>
      <c r="H3285" s="421">
        <f t="shared" si="433"/>
        <v>0</v>
      </c>
      <c r="I3285" s="421">
        <f t="shared" si="434"/>
        <v>0</v>
      </c>
      <c r="J3285" s="421">
        <f t="shared" si="435"/>
        <v>0</v>
      </c>
      <c r="K3285" s="422">
        <f t="shared" si="428"/>
        <v>0</v>
      </c>
    </row>
    <row r="3286" spans="2:11" ht="15" customHeight="1" x14ac:dyDescent="0.25">
      <c r="B3286" s="389"/>
      <c r="C3286" s="423"/>
      <c r="D3286" s="421">
        <f t="shared" si="429"/>
        <v>0</v>
      </c>
      <c r="E3286" s="421">
        <f t="shared" si="430"/>
        <v>0</v>
      </c>
      <c r="F3286" s="421">
        <f t="shared" si="431"/>
        <v>0</v>
      </c>
      <c r="G3286" s="421">
        <f t="shared" si="432"/>
        <v>0</v>
      </c>
      <c r="H3286" s="421">
        <f t="shared" si="433"/>
        <v>0</v>
      </c>
      <c r="I3286" s="421">
        <f t="shared" si="434"/>
        <v>0</v>
      </c>
      <c r="J3286" s="421">
        <f t="shared" si="435"/>
        <v>0</v>
      </c>
      <c r="K3286" s="424">
        <f t="shared" si="428"/>
        <v>0</v>
      </c>
    </row>
    <row r="3287" spans="2:11" ht="15" customHeight="1" x14ac:dyDescent="0.25">
      <c r="B3287" s="419"/>
      <c r="C3287" s="420"/>
      <c r="D3287" s="421">
        <f t="shared" si="429"/>
        <v>0</v>
      </c>
      <c r="E3287" s="421">
        <f t="shared" si="430"/>
        <v>0</v>
      </c>
      <c r="F3287" s="421">
        <f t="shared" si="431"/>
        <v>0</v>
      </c>
      <c r="G3287" s="421">
        <f t="shared" si="432"/>
        <v>0</v>
      </c>
      <c r="H3287" s="421">
        <f t="shared" si="433"/>
        <v>0</v>
      </c>
      <c r="I3287" s="421">
        <f t="shared" si="434"/>
        <v>0</v>
      </c>
      <c r="J3287" s="421">
        <f t="shared" si="435"/>
        <v>0</v>
      </c>
      <c r="K3287" s="422">
        <f t="shared" si="428"/>
        <v>0</v>
      </c>
    </row>
    <row r="3288" spans="2:11" ht="15" customHeight="1" x14ac:dyDescent="0.25">
      <c r="B3288" s="389"/>
      <c r="C3288" s="423"/>
      <c r="D3288" s="421">
        <f t="shared" si="429"/>
        <v>0</v>
      </c>
      <c r="E3288" s="421">
        <f t="shared" si="430"/>
        <v>0</v>
      </c>
      <c r="F3288" s="421">
        <f t="shared" si="431"/>
        <v>0</v>
      </c>
      <c r="G3288" s="421">
        <f t="shared" si="432"/>
        <v>0</v>
      </c>
      <c r="H3288" s="421">
        <f t="shared" si="433"/>
        <v>0</v>
      </c>
      <c r="I3288" s="421">
        <f t="shared" si="434"/>
        <v>0</v>
      </c>
      <c r="J3288" s="421">
        <f t="shared" si="435"/>
        <v>0</v>
      </c>
      <c r="K3288" s="424">
        <f t="shared" si="428"/>
        <v>0</v>
      </c>
    </row>
    <row r="3289" spans="2:11" ht="15" customHeight="1" thickBot="1" x14ac:dyDescent="0.3"/>
    <row r="3290" spans="2:11" ht="15" customHeight="1" thickBot="1" x14ac:dyDescent="0.3">
      <c r="B3290" s="414"/>
      <c r="C3290" s="411"/>
      <c r="D3290" s="407" t="s">
        <v>548</v>
      </c>
      <c r="E3290" s="408" t="s">
        <v>549</v>
      </c>
      <c r="F3290" s="408" t="s">
        <v>550</v>
      </c>
      <c r="G3290" s="408" t="s">
        <v>551</v>
      </c>
      <c r="H3290" s="408" t="s">
        <v>552</v>
      </c>
      <c r="I3290" s="408" t="s">
        <v>553</v>
      </c>
      <c r="J3290" s="408" t="s">
        <v>554</v>
      </c>
      <c r="K3290" s="408" t="s">
        <v>555</v>
      </c>
    </row>
    <row r="3291" spans="2:11" ht="15" customHeight="1" thickBot="1" x14ac:dyDescent="0.3">
      <c r="B3291" s="414" t="s">
        <v>556</v>
      </c>
      <c r="C3291" s="415" t="s">
        <v>620</v>
      </c>
      <c r="D3291" s="416">
        <f>IF(ISERROR(VLOOKUP(B3290,'MD Usage'!$A$1:$W$5000,3,FALSE)),0,VLOOKUP(B3290,'MD Usage'!$A$1:$W$5000,3,FALSE))</f>
        <v>0</v>
      </c>
      <c r="E3291" s="416">
        <f>IF(ISERROR(VLOOKUP(B3290,'MD Usage'!$A$1:$W$5000,5,FALSE)),0,VLOOKUP(B3290,'MD Usage'!$A$1:$W$5000,5,FALSE))</f>
        <v>0</v>
      </c>
      <c r="F3291" s="416">
        <f>IF(ISERROR(VLOOKUP(B3290,'MD Usage'!$A$1:$W$5000,7,FALSE)),0,VLOOKUP(B3290,'MD Usage'!$A$1:$W$5000,7,FALSE))</f>
        <v>0</v>
      </c>
      <c r="G3291" s="416">
        <f>IF(ISERROR(VLOOKUP(B3290,'MD Usage'!$A$1:$W$5000,9,FALSE)),0,VLOOKUP(B3290,'MD Usage'!$A$1:$W$5000,9,FALSE))</f>
        <v>0</v>
      </c>
      <c r="H3291" s="416">
        <f>IF(ISERROR(VLOOKUP(B3290,'MD Usage'!$A$1:$W$5000,11,FALSE)),0,VLOOKUP(B3290,'MD Usage'!$A$1:$W$5000,11,FALSE))</f>
        <v>0</v>
      </c>
      <c r="I3291" s="416">
        <f>IF(ISERROR(VLOOKUP(B3290,'MD Usage'!A1:R2000,13,FALSE)),0,VLOOKUP(B3290,'MD Usage'!A1:R2000,13,FALSE))</f>
        <v>0</v>
      </c>
      <c r="J3291" s="416">
        <f>IF(ISERROR(VLOOKUP(B3290,'MD Usage'!A1:R2000,15,FALSE)),0,VLOOKUP(B3290,'MD Usage'!A1:R2000,15,FALSE))</f>
        <v>0</v>
      </c>
      <c r="K3291" s="418">
        <f t="shared" ref="K3291:K3297" si="436">SUM(D3291:J3291)</f>
        <v>0</v>
      </c>
    </row>
    <row r="3292" spans="2:11" ht="15" customHeight="1" x14ac:dyDescent="0.25">
      <c r="B3292" s="419"/>
      <c r="C3292" s="420"/>
      <c r="D3292" s="421">
        <f t="shared" ref="D3292:D3297" si="437">$D$2633*C3292</f>
        <v>0</v>
      </c>
      <c r="E3292" s="421">
        <f t="shared" ref="E3292:E3297" si="438">$E$2633*C3292</f>
        <v>0</v>
      </c>
      <c r="F3292" s="421">
        <f t="shared" ref="F3292:F3297" si="439">$F$2633*C3292</f>
        <v>0</v>
      </c>
      <c r="G3292" s="421">
        <f t="shared" ref="G3292:G3297" si="440">$G$2633*C3292</f>
        <v>0</v>
      </c>
      <c r="H3292" s="421">
        <f t="shared" ref="H3292:H3297" si="441">$H$2633*C3292</f>
        <v>0</v>
      </c>
      <c r="I3292" s="421">
        <f t="shared" ref="I3292:I3297" si="442">$I$2633*C3292</f>
        <v>0</v>
      </c>
      <c r="J3292" s="421">
        <f t="shared" ref="J3292:J3297" si="443">$J$2633*C3292</f>
        <v>0</v>
      </c>
      <c r="K3292" s="422">
        <f t="shared" si="436"/>
        <v>0</v>
      </c>
    </row>
    <row r="3293" spans="2:11" ht="15" customHeight="1" x14ac:dyDescent="0.25">
      <c r="B3293" s="389"/>
      <c r="C3293" s="423"/>
      <c r="D3293" s="421">
        <f t="shared" si="437"/>
        <v>0</v>
      </c>
      <c r="E3293" s="421">
        <f t="shared" si="438"/>
        <v>0</v>
      </c>
      <c r="F3293" s="421">
        <f t="shared" si="439"/>
        <v>0</v>
      </c>
      <c r="G3293" s="421">
        <f t="shared" si="440"/>
        <v>0</v>
      </c>
      <c r="H3293" s="421">
        <f t="shared" si="441"/>
        <v>0</v>
      </c>
      <c r="I3293" s="421">
        <f t="shared" si="442"/>
        <v>0</v>
      </c>
      <c r="J3293" s="421">
        <f t="shared" si="443"/>
        <v>0</v>
      </c>
      <c r="K3293" s="424">
        <f t="shared" si="436"/>
        <v>0</v>
      </c>
    </row>
    <row r="3294" spans="2:11" ht="15" customHeight="1" x14ac:dyDescent="0.25">
      <c r="B3294" s="389"/>
      <c r="C3294" s="423"/>
      <c r="D3294" s="421">
        <f t="shared" si="437"/>
        <v>0</v>
      </c>
      <c r="E3294" s="421">
        <f t="shared" si="438"/>
        <v>0</v>
      </c>
      <c r="F3294" s="421">
        <f t="shared" si="439"/>
        <v>0</v>
      </c>
      <c r="G3294" s="421">
        <f t="shared" si="440"/>
        <v>0</v>
      </c>
      <c r="H3294" s="421">
        <f t="shared" si="441"/>
        <v>0</v>
      </c>
      <c r="I3294" s="421">
        <f t="shared" si="442"/>
        <v>0</v>
      </c>
      <c r="J3294" s="421">
        <f t="shared" si="443"/>
        <v>0</v>
      </c>
      <c r="K3294" s="422">
        <f t="shared" si="436"/>
        <v>0</v>
      </c>
    </row>
    <row r="3295" spans="2:11" ht="15" customHeight="1" x14ac:dyDescent="0.25">
      <c r="B3295" s="389"/>
      <c r="C3295" s="423"/>
      <c r="D3295" s="421">
        <f t="shared" si="437"/>
        <v>0</v>
      </c>
      <c r="E3295" s="421">
        <f t="shared" si="438"/>
        <v>0</v>
      </c>
      <c r="F3295" s="421">
        <f t="shared" si="439"/>
        <v>0</v>
      </c>
      <c r="G3295" s="421">
        <f t="shared" si="440"/>
        <v>0</v>
      </c>
      <c r="H3295" s="421">
        <f t="shared" si="441"/>
        <v>0</v>
      </c>
      <c r="I3295" s="421">
        <f t="shared" si="442"/>
        <v>0</v>
      </c>
      <c r="J3295" s="421">
        <f t="shared" si="443"/>
        <v>0</v>
      </c>
      <c r="K3295" s="424">
        <f t="shared" si="436"/>
        <v>0</v>
      </c>
    </row>
    <row r="3296" spans="2:11" ht="15" customHeight="1" x14ac:dyDescent="0.25">
      <c r="B3296" s="419"/>
      <c r="C3296" s="420"/>
      <c r="D3296" s="421">
        <f t="shared" si="437"/>
        <v>0</v>
      </c>
      <c r="E3296" s="421">
        <f t="shared" si="438"/>
        <v>0</v>
      </c>
      <c r="F3296" s="421">
        <f t="shared" si="439"/>
        <v>0</v>
      </c>
      <c r="G3296" s="421">
        <f t="shared" si="440"/>
        <v>0</v>
      </c>
      <c r="H3296" s="421">
        <f t="shared" si="441"/>
        <v>0</v>
      </c>
      <c r="I3296" s="421">
        <f t="shared" si="442"/>
        <v>0</v>
      </c>
      <c r="J3296" s="421">
        <f t="shared" si="443"/>
        <v>0</v>
      </c>
      <c r="K3296" s="422">
        <f t="shared" si="436"/>
        <v>0</v>
      </c>
    </row>
    <row r="3297" spans="2:11" ht="15" customHeight="1" x14ac:dyDescent="0.25">
      <c r="B3297" s="389"/>
      <c r="C3297" s="423"/>
      <c r="D3297" s="421">
        <f t="shared" si="437"/>
        <v>0</v>
      </c>
      <c r="E3297" s="421">
        <f t="shared" si="438"/>
        <v>0</v>
      </c>
      <c r="F3297" s="421">
        <f t="shared" si="439"/>
        <v>0</v>
      </c>
      <c r="G3297" s="421">
        <f t="shared" si="440"/>
        <v>0</v>
      </c>
      <c r="H3297" s="421">
        <f t="shared" si="441"/>
        <v>0</v>
      </c>
      <c r="I3297" s="421">
        <f t="shared" si="442"/>
        <v>0</v>
      </c>
      <c r="J3297" s="421">
        <f t="shared" si="443"/>
        <v>0</v>
      </c>
      <c r="K3297" s="424">
        <f t="shared" si="436"/>
        <v>0</v>
      </c>
    </row>
    <row r="3298" spans="2:11" ht="15" customHeight="1" thickBot="1" x14ac:dyDescent="0.3"/>
    <row r="3299" spans="2:11" ht="15" customHeight="1" thickBot="1" x14ac:dyDescent="0.3">
      <c r="B3299" s="414"/>
      <c r="C3299" s="411"/>
      <c r="D3299" s="407" t="s">
        <v>548</v>
      </c>
      <c r="E3299" s="408" t="s">
        <v>549</v>
      </c>
      <c r="F3299" s="408" t="s">
        <v>550</v>
      </c>
      <c r="G3299" s="408" t="s">
        <v>551</v>
      </c>
      <c r="H3299" s="408" t="s">
        <v>552</v>
      </c>
      <c r="I3299" s="408" t="s">
        <v>553</v>
      </c>
      <c r="J3299" s="408" t="s">
        <v>554</v>
      </c>
      <c r="K3299" s="408" t="s">
        <v>555</v>
      </c>
    </row>
    <row r="3300" spans="2:11" ht="15" customHeight="1" thickBot="1" x14ac:dyDescent="0.3">
      <c r="B3300" s="414" t="s">
        <v>556</v>
      </c>
      <c r="C3300" s="415" t="s">
        <v>620</v>
      </c>
      <c r="D3300" s="416">
        <f>IF(ISERROR(VLOOKUP(B3299,'MD Usage'!$A$1:$W$5000,3,FALSE)),0,VLOOKUP(B3299,'MD Usage'!$A$1:$W$5000,3,FALSE))</f>
        <v>0</v>
      </c>
      <c r="E3300" s="416">
        <f>IF(ISERROR(VLOOKUP(B3299,'MD Usage'!$A$1:$W$5000,5,FALSE)),0,VLOOKUP(B3299,'MD Usage'!$A$1:$W$5000,5,FALSE))</f>
        <v>0</v>
      </c>
      <c r="F3300" s="416">
        <f>IF(ISERROR(VLOOKUP(B3299,'MD Usage'!$A$1:$W$5000,7,FALSE)),0,VLOOKUP(B3299,'MD Usage'!$A$1:$W$5000,7,FALSE))</f>
        <v>0</v>
      </c>
      <c r="G3300" s="416">
        <f>IF(ISERROR(VLOOKUP(B3299,'MD Usage'!$A$1:$W$5000,9,FALSE)),0,VLOOKUP(B3299,'MD Usage'!$A$1:$W$5000,9,FALSE))</f>
        <v>0</v>
      </c>
      <c r="H3300" s="416">
        <f>IF(ISERROR(VLOOKUP(B3299,'MD Usage'!$A$1:$W$5000,11,FALSE)),0,VLOOKUP(B3299,'MD Usage'!$A$1:$W$5000,11,FALSE))</f>
        <v>0</v>
      </c>
      <c r="I3300" s="416">
        <f>IF(ISERROR(VLOOKUP(B3299,'MD Usage'!A1:R2000,13,FALSE)),0,VLOOKUP(B3299,'MD Usage'!A1:R2000,13,FALSE))</f>
        <v>0</v>
      </c>
      <c r="J3300" s="416">
        <f>IF(ISERROR(VLOOKUP(B3299,'MD Usage'!A1:R2000,15,FALSE)),0,VLOOKUP(B3299,'MD Usage'!A1:R2000,15,FALSE))</f>
        <v>0</v>
      </c>
      <c r="K3300" s="418">
        <f t="shared" ref="K3300:K3306" si="444">SUM(D3300:J3300)</f>
        <v>0</v>
      </c>
    </row>
    <row r="3301" spans="2:11" ht="15" customHeight="1" x14ac:dyDescent="0.25">
      <c r="B3301" s="419"/>
      <c r="C3301" s="420"/>
      <c r="D3301" s="421">
        <f t="shared" ref="D3301:D3306" si="445">$D$2633*C3301</f>
        <v>0</v>
      </c>
      <c r="E3301" s="421">
        <f t="shared" ref="E3301:E3306" si="446">$E$2633*C3301</f>
        <v>0</v>
      </c>
      <c r="F3301" s="421">
        <f t="shared" ref="F3301:F3306" si="447">$F$2633*C3301</f>
        <v>0</v>
      </c>
      <c r="G3301" s="421">
        <f t="shared" ref="G3301:G3306" si="448">$G$2633*C3301</f>
        <v>0</v>
      </c>
      <c r="H3301" s="421">
        <f t="shared" ref="H3301:H3306" si="449">$H$2633*C3301</f>
        <v>0</v>
      </c>
      <c r="I3301" s="421">
        <f t="shared" ref="I3301:I3306" si="450">$I$2633*C3301</f>
        <v>0</v>
      </c>
      <c r="J3301" s="421">
        <f t="shared" ref="J3301:J3306" si="451">$J$2633*C3301</f>
        <v>0</v>
      </c>
      <c r="K3301" s="422">
        <f t="shared" si="444"/>
        <v>0</v>
      </c>
    </row>
    <row r="3302" spans="2:11" ht="15" customHeight="1" x14ac:dyDescent="0.25">
      <c r="B3302" s="389"/>
      <c r="C3302" s="423"/>
      <c r="D3302" s="421">
        <f t="shared" si="445"/>
        <v>0</v>
      </c>
      <c r="E3302" s="421">
        <f t="shared" si="446"/>
        <v>0</v>
      </c>
      <c r="F3302" s="421">
        <f t="shared" si="447"/>
        <v>0</v>
      </c>
      <c r="G3302" s="421">
        <f t="shared" si="448"/>
        <v>0</v>
      </c>
      <c r="H3302" s="421">
        <f t="shared" si="449"/>
        <v>0</v>
      </c>
      <c r="I3302" s="421">
        <f t="shared" si="450"/>
        <v>0</v>
      </c>
      <c r="J3302" s="421">
        <f t="shared" si="451"/>
        <v>0</v>
      </c>
      <c r="K3302" s="424">
        <f t="shared" si="444"/>
        <v>0</v>
      </c>
    </row>
    <row r="3303" spans="2:11" ht="15" customHeight="1" x14ac:dyDescent="0.25">
      <c r="B3303" s="389"/>
      <c r="C3303" s="423"/>
      <c r="D3303" s="421">
        <f t="shared" si="445"/>
        <v>0</v>
      </c>
      <c r="E3303" s="421">
        <f t="shared" si="446"/>
        <v>0</v>
      </c>
      <c r="F3303" s="421">
        <f t="shared" si="447"/>
        <v>0</v>
      </c>
      <c r="G3303" s="421">
        <f t="shared" si="448"/>
        <v>0</v>
      </c>
      <c r="H3303" s="421">
        <f t="shared" si="449"/>
        <v>0</v>
      </c>
      <c r="I3303" s="421">
        <f t="shared" si="450"/>
        <v>0</v>
      </c>
      <c r="J3303" s="421">
        <f t="shared" si="451"/>
        <v>0</v>
      </c>
      <c r="K3303" s="422">
        <f t="shared" si="444"/>
        <v>0</v>
      </c>
    </row>
    <row r="3304" spans="2:11" ht="15" customHeight="1" x14ac:dyDescent="0.25">
      <c r="B3304" s="389"/>
      <c r="C3304" s="423"/>
      <c r="D3304" s="421">
        <f t="shared" si="445"/>
        <v>0</v>
      </c>
      <c r="E3304" s="421">
        <f t="shared" si="446"/>
        <v>0</v>
      </c>
      <c r="F3304" s="421">
        <f t="shared" si="447"/>
        <v>0</v>
      </c>
      <c r="G3304" s="421">
        <f t="shared" si="448"/>
        <v>0</v>
      </c>
      <c r="H3304" s="421">
        <f t="shared" si="449"/>
        <v>0</v>
      </c>
      <c r="I3304" s="421">
        <f t="shared" si="450"/>
        <v>0</v>
      </c>
      <c r="J3304" s="421">
        <f t="shared" si="451"/>
        <v>0</v>
      </c>
      <c r="K3304" s="424">
        <f t="shared" si="444"/>
        <v>0</v>
      </c>
    </row>
    <row r="3305" spans="2:11" ht="15" customHeight="1" x14ac:dyDescent="0.25">
      <c r="B3305" s="419"/>
      <c r="C3305" s="420"/>
      <c r="D3305" s="421">
        <f t="shared" si="445"/>
        <v>0</v>
      </c>
      <c r="E3305" s="421">
        <f t="shared" si="446"/>
        <v>0</v>
      </c>
      <c r="F3305" s="421">
        <f t="shared" si="447"/>
        <v>0</v>
      </c>
      <c r="G3305" s="421">
        <f t="shared" si="448"/>
        <v>0</v>
      </c>
      <c r="H3305" s="421">
        <f t="shared" si="449"/>
        <v>0</v>
      </c>
      <c r="I3305" s="421">
        <f t="shared" si="450"/>
        <v>0</v>
      </c>
      <c r="J3305" s="421">
        <f t="shared" si="451"/>
        <v>0</v>
      </c>
      <c r="K3305" s="422">
        <f t="shared" si="444"/>
        <v>0</v>
      </c>
    </row>
    <row r="3306" spans="2:11" ht="15" customHeight="1" x14ac:dyDescent="0.25">
      <c r="B3306" s="389"/>
      <c r="C3306" s="423"/>
      <c r="D3306" s="421">
        <f t="shared" si="445"/>
        <v>0</v>
      </c>
      <c r="E3306" s="421">
        <f t="shared" si="446"/>
        <v>0</v>
      </c>
      <c r="F3306" s="421">
        <f t="shared" si="447"/>
        <v>0</v>
      </c>
      <c r="G3306" s="421">
        <f t="shared" si="448"/>
        <v>0</v>
      </c>
      <c r="H3306" s="421">
        <f t="shared" si="449"/>
        <v>0</v>
      </c>
      <c r="I3306" s="421">
        <f t="shared" si="450"/>
        <v>0</v>
      </c>
      <c r="J3306" s="421">
        <f t="shared" si="451"/>
        <v>0</v>
      </c>
      <c r="K3306" s="424">
        <f t="shared" si="444"/>
        <v>0</v>
      </c>
    </row>
    <row r="3307" spans="2:11" ht="15" customHeight="1" thickBot="1" x14ac:dyDescent="0.3"/>
    <row r="3308" spans="2:11" ht="15" customHeight="1" thickBot="1" x14ac:dyDescent="0.3">
      <c r="B3308" s="414"/>
      <c r="C3308" s="411"/>
      <c r="D3308" s="407" t="s">
        <v>548</v>
      </c>
      <c r="E3308" s="408" t="s">
        <v>549</v>
      </c>
      <c r="F3308" s="408" t="s">
        <v>550</v>
      </c>
      <c r="G3308" s="408" t="s">
        <v>551</v>
      </c>
      <c r="H3308" s="408" t="s">
        <v>552</v>
      </c>
      <c r="I3308" s="408" t="s">
        <v>553</v>
      </c>
      <c r="J3308" s="408" t="s">
        <v>554</v>
      </c>
      <c r="K3308" s="408" t="s">
        <v>555</v>
      </c>
    </row>
    <row r="3309" spans="2:11" ht="15" customHeight="1" thickBot="1" x14ac:dyDescent="0.3">
      <c r="B3309" s="414" t="s">
        <v>556</v>
      </c>
      <c r="C3309" s="415" t="s">
        <v>620</v>
      </c>
      <c r="D3309" s="416">
        <f>IF(ISERROR(VLOOKUP(B3308,'MD Usage'!$A$1:$W$5000,3,FALSE)),0,VLOOKUP(B3308,'MD Usage'!$A$1:$W$5000,3,FALSE))</f>
        <v>0</v>
      </c>
      <c r="E3309" s="416">
        <f>IF(ISERROR(VLOOKUP(B3308,'MD Usage'!$A$1:$W$5000,5,FALSE)),0,VLOOKUP(B3308,'MD Usage'!$A$1:$W$5000,5,FALSE))</f>
        <v>0</v>
      </c>
      <c r="F3309" s="416">
        <f>IF(ISERROR(VLOOKUP(B3308,'MD Usage'!$A$1:$W$5000,7,FALSE)),0,VLOOKUP(B3308,'MD Usage'!$A$1:$W$5000,7,FALSE))</f>
        <v>0</v>
      </c>
      <c r="G3309" s="416">
        <f>IF(ISERROR(VLOOKUP(B3308,'MD Usage'!$A$1:$W$5000,9,FALSE)),0,VLOOKUP(B3308,'MD Usage'!$A$1:$W$5000,9,FALSE))</f>
        <v>0</v>
      </c>
      <c r="H3309" s="416">
        <f>IF(ISERROR(VLOOKUP(B3308,'MD Usage'!$A$1:$W$5000,11,FALSE)),0,VLOOKUP(B3308,'MD Usage'!$A$1:$W$5000,11,FALSE))</f>
        <v>0</v>
      </c>
      <c r="I3309" s="416">
        <f>IF(ISERROR(VLOOKUP(B3308,'MD Usage'!A1:R2000,13,FALSE)),0,VLOOKUP(B3308,'MD Usage'!A1:R2000,13,FALSE))</f>
        <v>0</v>
      </c>
      <c r="J3309" s="416">
        <f>IF(ISERROR(VLOOKUP(B3308,'MD Usage'!A1:R2000,15,FALSE)),0,VLOOKUP(B3308,'MD Usage'!A1:R2000,15,FALSE))</f>
        <v>0</v>
      </c>
      <c r="K3309" s="418">
        <f t="shared" ref="K3309:K3315" si="452">SUM(D3309:J3309)</f>
        <v>0</v>
      </c>
    </row>
    <row r="3310" spans="2:11" ht="15" customHeight="1" x14ac:dyDescent="0.25">
      <c r="B3310" s="419"/>
      <c r="C3310" s="420"/>
      <c r="D3310" s="421">
        <f t="shared" ref="D3310:D3315" si="453">$D$2633*C3310</f>
        <v>0</v>
      </c>
      <c r="E3310" s="421">
        <f t="shared" ref="E3310:E3315" si="454">$E$2633*C3310</f>
        <v>0</v>
      </c>
      <c r="F3310" s="421">
        <f t="shared" ref="F3310:F3315" si="455">$F$2633*C3310</f>
        <v>0</v>
      </c>
      <c r="G3310" s="421">
        <f t="shared" ref="G3310:G3315" si="456">$G$2633*C3310</f>
        <v>0</v>
      </c>
      <c r="H3310" s="421">
        <f t="shared" ref="H3310:H3315" si="457">$H$2633*C3310</f>
        <v>0</v>
      </c>
      <c r="I3310" s="421">
        <f t="shared" ref="I3310:I3315" si="458">$I$2633*C3310</f>
        <v>0</v>
      </c>
      <c r="J3310" s="421">
        <f t="shared" ref="J3310:J3315" si="459">$J$2633*C3310</f>
        <v>0</v>
      </c>
      <c r="K3310" s="422">
        <f t="shared" si="452"/>
        <v>0</v>
      </c>
    </row>
    <row r="3311" spans="2:11" ht="15" customHeight="1" x14ac:dyDescent="0.25">
      <c r="B3311" s="389"/>
      <c r="C3311" s="423"/>
      <c r="D3311" s="421">
        <f t="shared" si="453"/>
        <v>0</v>
      </c>
      <c r="E3311" s="421">
        <f t="shared" si="454"/>
        <v>0</v>
      </c>
      <c r="F3311" s="421">
        <f t="shared" si="455"/>
        <v>0</v>
      </c>
      <c r="G3311" s="421">
        <f t="shared" si="456"/>
        <v>0</v>
      </c>
      <c r="H3311" s="421">
        <f t="shared" si="457"/>
        <v>0</v>
      </c>
      <c r="I3311" s="421">
        <f t="shared" si="458"/>
        <v>0</v>
      </c>
      <c r="J3311" s="421">
        <f t="shared" si="459"/>
        <v>0</v>
      </c>
      <c r="K3311" s="424">
        <f t="shared" si="452"/>
        <v>0</v>
      </c>
    </row>
    <row r="3312" spans="2:11" ht="15" customHeight="1" x14ac:dyDescent="0.25">
      <c r="B3312" s="389"/>
      <c r="C3312" s="423"/>
      <c r="D3312" s="421">
        <f t="shared" si="453"/>
        <v>0</v>
      </c>
      <c r="E3312" s="421">
        <f t="shared" si="454"/>
        <v>0</v>
      </c>
      <c r="F3312" s="421">
        <f t="shared" si="455"/>
        <v>0</v>
      </c>
      <c r="G3312" s="421">
        <f t="shared" si="456"/>
        <v>0</v>
      </c>
      <c r="H3312" s="421">
        <f t="shared" si="457"/>
        <v>0</v>
      </c>
      <c r="I3312" s="421">
        <f t="shared" si="458"/>
        <v>0</v>
      </c>
      <c r="J3312" s="421">
        <f t="shared" si="459"/>
        <v>0</v>
      </c>
      <c r="K3312" s="422">
        <f t="shared" si="452"/>
        <v>0</v>
      </c>
    </row>
    <row r="3313" spans="2:11" ht="15" customHeight="1" x14ac:dyDescent="0.25">
      <c r="B3313" s="389"/>
      <c r="C3313" s="423"/>
      <c r="D3313" s="421">
        <f t="shared" si="453"/>
        <v>0</v>
      </c>
      <c r="E3313" s="421">
        <f t="shared" si="454"/>
        <v>0</v>
      </c>
      <c r="F3313" s="421">
        <f t="shared" si="455"/>
        <v>0</v>
      </c>
      <c r="G3313" s="421">
        <f t="shared" si="456"/>
        <v>0</v>
      </c>
      <c r="H3313" s="421">
        <f t="shared" si="457"/>
        <v>0</v>
      </c>
      <c r="I3313" s="421">
        <f t="shared" si="458"/>
        <v>0</v>
      </c>
      <c r="J3313" s="421">
        <f t="shared" si="459"/>
        <v>0</v>
      </c>
      <c r="K3313" s="424">
        <f t="shared" si="452"/>
        <v>0</v>
      </c>
    </row>
    <row r="3314" spans="2:11" ht="15" customHeight="1" x14ac:dyDescent="0.25">
      <c r="B3314" s="419"/>
      <c r="C3314" s="420"/>
      <c r="D3314" s="421">
        <f t="shared" si="453"/>
        <v>0</v>
      </c>
      <c r="E3314" s="421">
        <f t="shared" si="454"/>
        <v>0</v>
      </c>
      <c r="F3314" s="421">
        <f t="shared" si="455"/>
        <v>0</v>
      </c>
      <c r="G3314" s="421">
        <f t="shared" si="456"/>
        <v>0</v>
      </c>
      <c r="H3314" s="421">
        <f t="shared" si="457"/>
        <v>0</v>
      </c>
      <c r="I3314" s="421">
        <f t="shared" si="458"/>
        <v>0</v>
      </c>
      <c r="J3314" s="421">
        <f t="shared" si="459"/>
        <v>0</v>
      </c>
      <c r="K3314" s="422">
        <f t="shared" si="452"/>
        <v>0</v>
      </c>
    </row>
    <row r="3315" spans="2:11" ht="15" customHeight="1" x14ac:dyDescent="0.25">
      <c r="B3315" s="389"/>
      <c r="C3315" s="423"/>
      <c r="D3315" s="421">
        <f t="shared" si="453"/>
        <v>0</v>
      </c>
      <c r="E3315" s="421">
        <f t="shared" si="454"/>
        <v>0</v>
      </c>
      <c r="F3315" s="421">
        <f t="shared" si="455"/>
        <v>0</v>
      </c>
      <c r="G3315" s="421">
        <f t="shared" si="456"/>
        <v>0</v>
      </c>
      <c r="H3315" s="421">
        <f t="shared" si="457"/>
        <v>0</v>
      </c>
      <c r="I3315" s="421">
        <f t="shared" si="458"/>
        <v>0</v>
      </c>
      <c r="J3315" s="421">
        <f t="shared" si="459"/>
        <v>0</v>
      </c>
      <c r="K3315" s="424">
        <f t="shared" si="452"/>
        <v>0</v>
      </c>
    </row>
    <row r="3316" spans="2:11" ht="15" customHeight="1" thickBot="1" x14ac:dyDescent="0.3"/>
    <row r="3317" spans="2:11" ht="15" customHeight="1" thickBot="1" x14ac:dyDescent="0.3">
      <c r="B3317" s="414"/>
      <c r="C3317" s="411"/>
      <c r="D3317" s="407" t="s">
        <v>548</v>
      </c>
      <c r="E3317" s="408" t="s">
        <v>549</v>
      </c>
      <c r="F3317" s="408" t="s">
        <v>550</v>
      </c>
      <c r="G3317" s="408" t="s">
        <v>551</v>
      </c>
      <c r="H3317" s="408" t="s">
        <v>552</v>
      </c>
      <c r="I3317" s="408" t="s">
        <v>553</v>
      </c>
      <c r="J3317" s="408" t="s">
        <v>554</v>
      </c>
      <c r="K3317" s="408" t="s">
        <v>555</v>
      </c>
    </row>
    <row r="3318" spans="2:11" ht="15" customHeight="1" thickBot="1" x14ac:dyDescent="0.3">
      <c r="B3318" s="414" t="s">
        <v>556</v>
      </c>
      <c r="C3318" s="415" t="s">
        <v>620</v>
      </c>
      <c r="D3318" s="416">
        <f>IF(ISERROR(VLOOKUP(B3317,'MD Usage'!$A$1:$W$5000,3,FALSE)),0,VLOOKUP(B3317,'MD Usage'!$A$1:$W$5000,3,FALSE))</f>
        <v>0</v>
      </c>
      <c r="E3318" s="416">
        <f>IF(ISERROR(VLOOKUP(B3317,'MD Usage'!$A$1:$W$5000,5,FALSE)),0,VLOOKUP(B3317,'MD Usage'!$A$1:$W$5000,5,FALSE))</f>
        <v>0</v>
      </c>
      <c r="F3318" s="416">
        <f>IF(ISERROR(VLOOKUP(B3317,'MD Usage'!$A$1:$W$5000,7,FALSE)),0,VLOOKUP(B3317,'MD Usage'!$A$1:$W$5000,7,FALSE))</f>
        <v>0</v>
      </c>
      <c r="G3318" s="416">
        <f>IF(ISERROR(VLOOKUP(B3317,'MD Usage'!$A$1:$W$5000,9,FALSE)),0,VLOOKUP(B3317,'MD Usage'!$A$1:$W$5000,9,FALSE))</f>
        <v>0</v>
      </c>
      <c r="H3318" s="416">
        <f>IF(ISERROR(VLOOKUP(B3317,'MD Usage'!$A$1:$W$5000,11,FALSE)),0,VLOOKUP(B3317,'MD Usage'!$A$1:$W$5000,11,FALSE))</f>
        <v>0</v>
      </c>
      <c r="I3318" s="416">
        <f>IF(ISERROR(VLOOKUP(B3317,'MD Usage'!A1:R2000,13,FALSE)),0,VLOOKUP(B3317,'MD Usage'!A1:R2000,13,FALSE))</f>
        <v>0</v>
      </c>
      <c r="J3318" s="416">
        <f>IF(ISERROR(VLOOKUP(B3317,'MD Usage'!A1:R2000,15,FALSE)),0,VLOOKUP(B3317,'MD Usage'!A1:R2000,15,FALSE))</f>
        <v>0</v>
      </c>
      <c r="K3318" s="418">
        <f t="shared" ref="K3318:K3324" si="460">SUM(D3318:J3318)</f>
        <v>0</v>
      </c>
    </row>
    <row r="3319" spans="2:11" ht="15" customHeight="1" x14ac:dyDescent="0.25">
      <c r="B3319" s="419"/>
      <c r="C3319" s="420"/>
      <c r="D3319" s="421">
        <f t="shared" ref="D3319:D3324" si="461">$D$2633*C3319</f>
        <v>0</v>
      </c>
      <c r="E3319" s="421">
        <f t="shared" ref="E3319:E3324" si="462">$E$2633*C3319</f>
        <v>0</v>
      </c>
      <c r="F3319" s="421">
        <f t="shared" ref="F3319:F3324" si="463">$F$2633*C3319</f>
        <v>0</v>
      </c>
      <c r="G3319" s="421">
        <f t="shared" ref="G3319:G3324" si="464">$G$2633*C3319</f>
        <v>0</v>
      </c>
      <c r="H3319" s="421">
        <f t="shared" ref="H3319:H3324" si="465">$H$2633*C3319</f>
        <v>0</v>
      </c>
      <c r="I3319" s="421">
        <f t="shared" ref="I3319:I3324" si="466">$I$2633*C3319</f>
        <v>0</v>
      </c>
      <c r="J3319" s="421">
        <f t="shared" ref="J3319:J3324" si="467">$J$2633*C3319</f>
        <v>0</v>
      </c>
      <c r="K3319" s="422">
        <f t="shared" si="460"/>
        <v>0</v>
      </c>
    </row>
    <row r="3320" spans="2:11" ht="15" customHeight="1" x14ac:dyDescent="0.25">
      <c r="B3320" s="389"/>
      <c r="C3320" s="423"/>
      <c r="D3320" s="421">
        <f t="shared" si="461"/>
        <v>0</v>
      </c>
      <c r="E3320" s="421">
        <f t="shared" si="462"/>
        <v>0</v>
      </c>
      <c r="F3320" s="421">
        <f t="shared" si="463"/>
        <v>0</v>
      </c>
      <c r="G3320" s="421">
        <f t="shared" si="464"/>
        <v>0</v>
      </c>
      <c r="H3320" s="421">
        <f t="shared" si="465"/>
        <v>0</v>
      </c>
      <c r="I3320" s="421">
        <f t="shared" si="466"/>
        <v>0</v>
      </c>
      <c r="J3320" s="421">
        <f t="shared" si="467"/>
        <v>0</v>
      </c>
      <c r="K3320" s="424">
        <f t="shared" si="460"/>
        <v>0</v>
      </c>
    </row>
    <row r="3321" spans="2:11" ht="15" customHeight="1" x14ac:dyDescent="0.25">
      <c r="B3321" s="389"/>
      <c r="C3321" s="423"/>
      <c r="D3321" s="421">
        <f t="shared" si="461"/>
        <v>0</v>
      </c>
      <c r="E3321" s="421">
        <f t="shared" si="462"/>
        <v>0</v>
      </c>
      <c r="F3321" s="421">
        <f t="shared" si="463"/>
        <v>0</v>
      </c>
      <c r="G3321" s="421">
        <f t="shared" si="464"/>
        <v>0</v>
      </c>
      <c r="H3321" s="421">
        <f t="shared" si="465"/>
        <v>0</v>
      </c>
      <c r="I3321" s="421">
        <f t="shared" si="466"/>
        <v>0</v>
      </c>
      <c r="J3321" s="421">
        <f t="shared" si="467"/>
        <v>0</v>
      </c>
      <c r="K3321" s="422">
        <f t="shared" si="460"/>
        <v>0</v>
      </c>
    </row>
    <row r="3322" spans="2:11" ht="15" customHeight="1" x14ac:dyDescent="0.25">
      <c r="B3322" s="389"/>
      <c r="C3322" s="423"/>
      <c r="D3322" s="421">
        <f t="shared" si="461"/>
        <v>0</v>
      </c>
      <c r="E3322" s="421">
        <f t="shared" si="462"/>
        <v>0</v>
      </c>
      <c r="F3322" s="421">
        <f t="shared" si="463"/>
        <v>0</v>
      </c>
      <c r="G3322" s="421">
        <f t="shared" si="464"/>
        <v>0</v>
      </c>
      <c r="H3322" s="421">
        <f t="shared" si="465"/>
        <v>0</v>
      </c>
      <c r="I3322" s="421">
        <f t="shared" si="466"/>
        <v>0</v>
      </c>
      <c r="J3322" s="421">
        <f t="shared" si="467"/>
        <v>0</v>
      </c>
      <c r="K3322" s="424">
        <f t="shared" si="460"/>
        <v>0</v>
      </c>
    </row>
    <row r="3323" spans="2:11" ht="15" customHeight="1" x14ac:dyDescent="0.25">
      <c r="B3323" s="419"/>
      <c r="C3323" s="420"/>
      <c r="D3323" s="421">
        <f t="shared" si="461"/>
        <v>0</v>
      </c>
      <c r="E3323" s="421">
        <f t="shared" si="462"/>
        <v>0</v>
      </c>
      <c r="F3323" s="421">
        <f t="shared" si="463"/>
        <v>0</v>
      </c>
      <c r="G3323" s="421">
        <f t="shared" si="464"/>
        <v>0</v>
      </c>
      <c r="H3323" s="421">
        <f t="shared" si="465"/>
        <v>0</v>
      </c>
      <c r="I3323" s="421">
        <f t="shared" si="466"/>
        <v>0</v>
      </c>
      <c r="J3323" s="421">
        <f t="shared" si="467"/>
        <v>0</v>
      </c>
      <c r="K3323" s="422">
        <f t="shared" si="460"/>
        <v>0</v>
      </c>
    </row>
    <row r="3324" spans="2:11" ht="15" customHeight="1" x14ac:dyDescent="0.25">
      <c r="B3324" s="389"/>
      <c r="C3324" s="423"/>
      <c r="D3324" s="421">
        <f t="shared" si="461"/>
        <v>0</v>
      </c>
      <c r="E3324" s="421">
        <f t="shared" si="462"/>
        <v>0</v>
      </c>
      <c r="F3324" s="421">
        <f t="shared" si="463"/>
        <v>0</v>
      </c>
      <c r="G3324" s="421">
        <f t="shared" si="464"/>
        <v>0</v>
      </c>
      <c r="H3324" s="421">
        <f t="shared" si="465"/>
        <v>0</v>
      </c>
      <c r="I3324" s="421">
        <f t="shared" si="466"/>
        <v>0</v>
      </c>
      <c r="J3324" s="421">
        <f t="shared" si="467"/>
        <v>0</v>
      </c>
      <c r="K3324" s="424">
        <f t="shared" si="460"/>
        <v>0</v>
      </c>
    </row>
    <row r="3325" spans="2:11" ht="15" customHeight="1" thickBot="1" x14ac:dyDescent="0.3"/>
    <row r="3326" spans="2:11" ht="15" customHeight="1" thickBot="1" x14ac:dyDescent="0.3">
      <c r="B3326" s="414"/>
      <c r="C3326" s="411"/>
      <c r="D3326" s="407" t="s">
        <v>548</v>
      </c>
      <c r="E3326" s="408" t="s">
        <v>549</v>
      </c>
      <c r="F3326" s="408" t="s">
        <v>550</v>
      </c>
      <c r="G3326" s="408" t="s">
        <v>551</v>
      </c>
      <c r="H3326" s="408" t="s">
        <v>552</v>
      </c>
      <c r="I3326" s="408" t="s">
        <v>553</v>
      </c>
      <c r="J3326" s="408" t="s">
        <v>554</v>
      </c>
      <c r="K3326" s="408" t="s">
        <v>555</v>
      </c>
    </row>
    <row r="3327" spans="2:11" ht="15" customHeight="1" thickBot="1" x14ac:dyDescent="0.3">
      <c r="B3327" s="414" t="s">
        <v>556</v>
      </c>
      <c r="C3327" s="415" t="s">
        <v>620</v>
      </c>
      <c r="D3327" s="416">
        <f>IF(ISERROR(VLOOKUP(B3326,'MD Usage'!$A$1:$W$5000,3,FALSE)),0,VLOOKUP(B3326,'MD Usage'!$A$1:$W$5000,3,FALSE))</f>
        <v>0</v>
      </c>
      <c r="E3327" s="416">
        <f>IF(ISERROR(VLOOKUP(B3326,'MD Usage'!$A$1:$W$5000,5,FALSE)),0,VLOOKUP(B3326,'MD Usage'!$A$1:$W$5000,5,FALSE))</f>
        <v>0</v>
      </c>
      <c r="F3327" s="416">
        <f>IF(ISERROR(VLOOKUP(B3326,'MD Usage'!$A$1:$W$5000,7,FALSE)),0,VLOOKUP(B3326,'MD Usage'!$A$1:$W$5000,7,FALSE))</f>
        <v>0</v>
      </c>
      <c r="G3327" s="416">
        <f>IF(ISERROR(VLOOKUP(B3326,'MD Usage'!$A$1:$W$5000,9,FALSE)),0,VLOOKUP(B3326,'MD Usage'!$A$1:$W$5000,9,FALSE))</f>
        <v>0</v>
      </c>
      <c r="H3327" s="416">
        <f>IF(ISERROR(VLOOKUP(B3326,'MD Usage'!$A$1:$W$5000,11,FALSE)),0,VLOOKUP(B3326,'MD Usage'!$A$1:$W$5000,11,FALSE))</f>
        <v>0</v>
      </c>
      <c r="I3327" s="416">
        <f>IF(ISERROR(VLOOKUP(B3326,'MD Usage'!A1:R2000,13,FALSE)),0,VLOOKUP(B3326,'MD Usage'!A1:R2000,13,FALSE))</f>
        <v>0</v>
      </c>
      <c r="J3327" s="416">
        <f>IF(ISERROR(VLOOKUP(B3326,'MD Usage'!A1:R2000,15,FALSE)),0,VLOOKUP(B3326,'MD Usage'!A1:R2000,15,FALSE))</f>
        <v>0</v>
      </c>
      <c r="K3327" s="418">
        <f t="shared" ref="K3327:K3333" si="468">SUM(D3327:J3327)</f>
        <v>0</v>
      </c>
    </row>
    <row r="3328" spans="2:11" ht="15" customHeight="1" x14ac:dyDescent="0.25">
      <c r="B3328" s="419"/>
      <c r="C3328" s="420"/>
      <c r="D3328" s="421">
        <f t="shared" ref="D3328:D3333" si="469">$D$2633*C3328</f>
        <v>0</v>
      </c>
      <c r="E3328" s="421">
        <f t="shared" ref="E3328:E3333" si="470">$E$2633*C3328</f>
        <v>0</v>
      </c>
      <c r="F3328" s="421">
        <f t="shared" ref="F3328:F3333" si="471">$F$2633*C3328</f>
        <v>0</v>
      </c>
      <c r="G3328" s="421">
        <f t="shared" ref="G3328:G3333" si="472">$G$2633*C3328</f>
        <v>0</v>
      </c>
      <c r="H3328" s="421">
        <f t="shared" ref="H3328:H3333" si="473">$H$2633*C3328</f>
        <v>0</v>
      </c>
      <c r="I3328" s="421">
        <f t="shared" ref="I3328:I3333" si="474">$I$2633*C3328</f>
        <v>0</v>
      </c>
      <c r="J3328" s="421">
        <f t="shared" ref="J3328:J3333" si="475">$J$2633*C3328</f>
        <v>0</v>
      </c>
      <c r="K3328" s="422">
        <f t="shared" si="468"/>
        <v>0</v>
      </c>
    </row>
    <row r="3329" spans="2:11" ht="15" customHeight="1" x14ac:dyDescent="0.25">
      <c r="B3329" s="389"/>
      <c r="C3329" s="423"/>
      <c r="D3329" s="421">
        <f t="shared" si="469"/>
        <v>0</v>
      </c>
      <c r="E3329" s="421">
        <f t="shared" si="470"/>
        <v>0</v>
      </c>
      <c r="F3329" s="421">
        <f t="shared" si="471"/>
        <v>0</v>
      </c>
      <c r="G3329" s="421">
        <f t="shared" si="472"/>
        <v>0</v>
      </c>
      <c r="H3329" s="421">
        <f t="shared" si="473"/>
        <v>0</v>
      </c>
      <c r="I3329" s="421">
        <f t="shared" si="474"/>
        <v>0</v>
      </c>
      <c r="J3329" s="421">
        <f t="shared" si="475"/>
        <v>0</v>
      </c>
      <c r="K3329" s="424">
        <f t="shared" si="468"/>
        <v>0</v>
      </c>
    </row>
    <row r="3330" spans="2:11" ht="15" customHeight="1" x14ac:dyDescent="0.25">
      <c r="B3330" s="389"/>
      <c r="C3330" s="423"/>
      <c r="D3330" s="421">
        <f t="shared" si="469"/>
        <v>0</v>
      </c>
      <c r="E3330" s="421">
        <f t="shared" si="470"/>
        <v>0</v>
      </c>
      <c r="F3330" s="421">
        <f t="shared" si="471"/>
        <v>0</v>
      </c>
      <c r="G3330" s="421">
        <f t="shared" si="472"/>
        <v>0</v>
      </c>
      <c r="H3330" s="421">
        <f t="shared" si="473"/>
        <v>0</v>
      </c>
      <c r="I3330" s="421">
        <f t="shared" si="474"/>
        <v>0</v>
      </c>
      <c r="J3330" s="421">
        <f t="shared" si="475"/>
        <v>0</v>
      </c>
      <c r="K3330" s="422">
        <f t="shared" si="468"/>
        <v>0</v>
      </c>
    </row>
    <row r="3331" spans="2:11" ht="15" customHeight="1" x14ac:dyDescent="0.25">
      <c r="B3331" s="389"/>
      <c r="C3331" s="423"/>
      <c r="D3331" s="421">
        <f t="shared" si="469"/>
        <v>0</v>
      </c>
      <c r="E3331" s="421">
        <f t="shared" si="470"/>
        <v>0</v>
      </c>
      <c r="F3331" s="421">
        <f t="shared" si="471"/>
        <v>0</v>
      </c>
      <c r="G3331" s="421">
        <f t="shared" si="472"/>
        <v>0</v>
      </c>
      <c r="H3331" s="421">
        <f t="shared" si="473"/>
        <v>0</v>
      </c>
      <c r="I3331" s="421">
        <f t="shared" si="474"/>
        <v>0</v>
      </c>
      <c r="J3331" s="421">
        <f t="shared" si="475"/>
        <v>0</v>
      </c>
      <c r="K3331" s="424">
        <f t="shared" si="468"/>
        <v>0</v>
      </c>
    </row>
    <row r="3332" spans="2:11" ht="15" customHeight="1" x14ac:dyDescent="0.25">
      <c r="B3332" s="419"/>
      <c r="C3332" s="420"/>
      <c r="D3332" s="421">
        <f t="shared" si="469"/>
        <v>0</v>
      </c>
      <c r="E3332" s="421">
        <f t="shared" si="470"/>
        <v>0</v>
      </c>
      <c r="F3332" s="421">
        <f t="shared" si="471"/>
        <v>0</v>
      </c>
      <c r="G3332" s="421">
        <f t="shared" si="472"/>
        <v>0</v>
      </c>
      <c r="H3332" s="421">
        <f t="shared" si="473"/>
        <v>0</v>
      </c>
      <c r="I3332" s="421">
        <f t="shared" si="474"/>
        <v>0</v>
      </c>
      <c r="J3332" s="421">
        <f t="shared" si="475"/>
        <v>0</v>
      </c>
      <c r="K3332" s="422">
        <f t="shared" si="468"/>
        <v>0</v>
      </c>
    </row>
    <row r="3333" spans="2:11" ht="15" customHeight="1" x14ac:dyDescent="0.25">
      <c r="B3333" s="389"/>
      <c r="C3333" s="423"/>
      <c r="D3333" s="421">
        <f t="shared" si="469"/>
        <v>0</v>
      </c>
      <c r="E3333" s="421">
        <f t="shared" si="470"/>
        <v>0</v>
      </c>
      <c r="F3333" s="421">
        <f t="shared" si="471"/>
        <v>0</v>
      </c>
      <c r="G3333" s="421">
        <f t="shared" si="472"/>
        <v>0</v>
      </c>
      <c r="H3333" s="421">
        <f t="shared" si="473"/>
        <v>0</v>
      </c>
      <c r="I3333" s="421">
        <f t="shared" si="474"/>
        <v>0</v>
      </c>
      <c r="J3333" s="421">
        <f t="shared" si="475"/>
        <v>0</v>
      </c>
      <c r="K3333" s="424">
        <f t="shared" si="468"/>
        <v>0</v>
      </c>
    </row>
    <row r="3334" spans="2:11" ht="15" customHeight="1" thickBot="1" x14ac:dyDescent="0.3"/>
    <row r="3335" spans="2:11" ht="15" customHeight="1" thickBot="1" x14ac:dyDescent="0.3">
      <c r="B3335" s="414"/>
      <c r="C3335" s="411"/>
      <c r="D3335" s="407" t="s">
        <v>548</v>
      </c>
      <c r="E3335" s="408" t="s">
        <v>549</v>
      </c>
      <c r="F3335" s="408" t="s">
        <v>550</v>
      </c>
      <c r="G3335" s="408" t="s">
        <v>551</v>
      </c>
      <c r="H3335" s="408" t="s">
        <v>552</v>
      </c>
      <c r="I3335" s="408" t="s">
        <v>553</v>
      </c>
      <c r="J3335" s="408" t="s">
        <v>554</v>
      </c>
      <c r="K3335" s="408" t="s">
        <v>555</v>
      </c>
    </row>
    <row r="3336" spans="2:11" ht="15" customHeight="1" thickBot="1" x14ac:dyDescent="0.3">
      <c r="B3336" s="414" t="s">
        <v>556</v>
      </c>
      <c r="C3336" s="415" t="s">
        <v>620</v>
      </c>
      <c r="D3336" s="416">
        <f>IF(ISERROR(VLOOKUP(B3335,'MD Usage'!$A$1:$W$5000,3,FALSE)),0,VLOOKUP(B3335,'MD Usage'!$A$1:$W$5000,3,FALSE))</f>
        <v>0</v>
      </c>
      <c r="E3336" s="416">
        <f>IF(ISERROR(VLOOKUP(B3335,'MD Usage'!$A$1:$W$5000,5,FALSE)),0,VLOOKUP(B3335,'MD Usage'!$A$1:$W$5000,5,FALSE))</f>
        <v>0</v>
      </c>
      <c r="F3336" s="416">
        <f>IF(ISERROR(VLOOKUP(B3335,'MD Usage'!$A$1:$W$5000,7,FALSE)),0,VLOOKUP(B3335,'MD Usage'!$A$1:$W$5000,7,FALSE))</f>
        <v>0</v>
      </c>
      <c r="G3336" s="416">
        <f>IF(ISERROR(VLOOKUP(B3335,'MD Usage'!$A$1:$W$5000,9,FALSE)),0,VLOOKUP(B3335,'MD Usage'!$A$1:$W$5000,9,FALSE))</f>
        <v>0</v>
      </c>
      <c r="H3336" s="416">
        <f>IF(ISERROR(VLOOKUP(B3335,'MD Usage'!$A$1:$W$5000,11,FALSE)),0,VLOOKUP(B3335,'MD Usage'!$A$1:$W$5000,11,FALSE))</f>
        <v>0</v>
      </c>
      <c r="I3336" s="416">
        <f>IF(ISERROR(VLOOKUP(B3335,'MD Usage'!A1:R2000,13,FALSE)),0,VLOOKUP(B3335,'MD Usage'!A1:R2000,13,FALSE))</f>
        <v>0</v>
      </c>
      <c r="J3336" s="416">
        <f>IF(ISERROR(VLOOKUP(B3335,'MD Usage'!A1:R2000,15,FALSE)),0,VLOOKUP(B3335,'MD Usage'!A1:R2000,15,FALSE))</f>
        <v>0</v>
      </c>
      <c r="K3336" s="418">
        <f t="shared" ref="K3336:K3342" si="476">SUM(D3336:J3336)</f>
        <v>0</v>
      </c>
    </row>
    <row r="3337" spans="2:11" ht="15" customHeight="1" x14ac:dyDescent="0.25">
      <c r="B3337" s="419"/>
      <c r="C3337" s="420"/>
      <c r="D3337" s="421">
        <f t="shared" ref="D3337:D3342" si="477">$D$2633*C3337</f>
        <v>0</v>
      </c>
      <c r="E3337" s="421">
        <f t="shared" ref="E3337:E3342" si="478">$E$2633*C3337</f>
        <v>0</v>
      </c>
      <c r="F3337" s="421">
        <f t="shared" ref="F3337:F3342" si="479">$F$2633*C3337</f>
        <v>0</v>
      </c>
      <c r="G3337" s="421">
        <f t="shared" ref="G3337:G3342" si="480">$G$2633*C3337</f>
        <v>0</v>
      </c>
      <c r="H3337" s="421">
        <f t="shared" ref="H3337:H3342" si="481">$H$2633*C3337</f>
        <v>0</v>
      </c>
      <c r="I3337" s="421">
        <f t="shared" ref="I3337:I3342" si="482">$I$2633*C3337</f>
        <v>0</v>
      </c>
      <c r="J3337" s="421">
        <f t="shared" ref="J3337:J3342" si="483">$J$2633*C3337</f>
        <v>0</v>
      </c>
      <c r="K3337" s="422">
        <f t="shared" si="476"/>
        <v>0</v>
      </c>
    </row>
    <row r="3338" spans="2:11" ht="15" customHeight="1" x14ac:dyDescent="0.25">
      <c r="B3338" s="389"/>
      <c r="C3338" s="423"/>
      <c r="D3338" s="421">
        <f t="shared" si="477"/>
        <v>0</v>
      </c>
      <c r="E3338" s="421">
        <f t="shared" si="478"/>
        <v>0</v>
      </c>
      <c r="F3338" s="421">
        <f t="shared" si="479"/>
        <v>0</v>
      </c>
      <c r="G3338" s="421">
        <f t="shared" si="480"/>
        <v>0</v>
      </c>
      <c r="H3338" s="421">
        <f t="shared" si="481"/>
        <v>0</v>
      </c>
      <c r="I3338" s="421">
        <f t="shared" si="482"/>
        <v>0</v>
      </c>
      <c r="J3338" s="421">
        <f t="shared" si="483"/>
        <v>0</v>
      </c>
      <c r="K3338" s="424">
        <f t="shared" si="476"/>
        <v>0</v>
      </c>
    </row>
    <row r="3339" spans="2:11" ht="15" customHeight="1" x14ac:dyDescent="0.25">
      <c r="B3339" s="389"/>
      <c r="C3339" s="423"/>
      <c r="D3339" s="421">
        <f t="shared" si="477"/>
        <v>0</v>
      </c>
      <c r="E3339" s="421">
        <f t="shared" si="478"/>
        <v>0</v>
      </c>
      <c r="F3339" s="421">
        <f t="shared" si="479"/>
        <v>0</v>
      </c>
      <c r="G3339" s="421">
        <f t="shared" si="480"/>
        <v>0</v>
      </c>
      <c r="H3339" s="421">
        <f t="shared" si="481"/>
        <v>0</v>
      </c>
      <c r="I3339" s="421">
        <f t="shared" si="482"/>
        <v>0</v>
      </c>
      <c r="J3339" s="421">
        <f t="shared" si="483"/>
        <v>0</v>
      </c>
      <c r="K3339" s="422">
        <f t="shared" si="476"/>
        <v>0</v>
      </c>
    </row>
    <row r="3340" spans="2:11" ht="15" customHeight="1" x14ac:dyDescent="0.25">
      <c r="B3340" s="389"/>
      <c r="C3340" s="423"/>
      <c r="D3340" s="421">
        <f t="shared" si="477"/>
        <v>0</v>
      </c>
      <c r="E3340" s="421">
        <f t="shared" si="478"/>
        <v>0</v>
      </c>
      <c r="F3340" s="421">
        <f t="shared" si="479"/>
        <v>0</v>
      </c>
      <c r="G3340" s="421">
        <f t="shared" si="480"/>
        <v>0</v>
      </c>
      <c r="H3340" s="421">
        <f t="shared" si="481"/>
        <v>0</v>
      </c>
      <c r="I3340" s="421">
        <f t="shared" si="482"/>
        <v>0</v>
      </c>
      <c r="J3340" s="421">
        <f t="shared" si="483"/>
        <v>0</v>
      </c>
      <c r="K3340" s="424">
        <f t="shared" si="476"/>
        <v>0</v>
      </c>
    </row>
    <row r="3341" spans="2:11" ht="15" customHeight="1" x14ac:dyDescent="0.25">
      <c r="B3341" s="419"/>
      <c r="C3341" s="420"/>
      <c r="D3341" s="421">
        <f t="shared" si="477"/>
        <v>0</v>
      </c>
      <c r="E3341" s="421">
        <f t="shared" si="478"/>
        <v>0</v>
      </c>
      <c r="F3341" s="421">
        <f t="shared" si="479"/>
        <v>0</v>
      </c>
      <c r="G3341" s="421">
        <f t="shared" si="480"/>
        <v>0</v>
      </c>
      <c r="H3341" s="421">
        <f t="shared" si="481"/>
        <v>0</v>
      </c>
      <c r="I3341" s="421">
        <f t="shared" si="482"/>
        <v>0</v>
      </c>
      <c r="J3341" s="421">
        <f t="shared" si="483"/>
        <v>0</v>
      </c>
      <c r="K3341" s="422">
        <f t="shared" si="476"/>
        <v>0</v>
      </c>
    </row>
    <row r="3342" spans="2:11" ht="15" customHeight="1" x14ac:dyDescent="0.25">
      <c r="B3342" s="389"/>
      <c r="C3342" s="423"/>
      <c r="D3342" s="421">
        <f t="shared" si="477"/>
        <v>0</v>
      </c>
      <c r="E3342" s="421">
        <f t="shared" si="478"/>
        <v>0</v>
      </c>
      <c r="F3342" s="421">
        <f t="shared" si="479"/>
        <v>0</v>
      </c>
      <c r="G3342" s="421">
        <f t="shared" si="480"/>
        <v>0</v>
      </c>
      <c r="H3342" s="421">
        <f t="shared" si="481"/>
        <v>0</v>
      </c>
      <c r="I3342" s="421">
        <f t="shared" si="482"/>
        <v>0</v>
      </c>
      <c r="J3342" s="421">
        <f t="shared" si="483"/>
        <v>0</v>
      </c>
      <c r="K3342" s="424">
        <f t="shared" si="476"/>
        <v>0</v>
      </c>
    </row>
    <row r="3343" spans="2:11" ht="15" customHeight="1" thickBot="1" x14ac:dyDescent="0.3"/>
    <row r="3344" spans="2:11" ht="15" customHeight="1" thickBot="1" x14ac:dyDescent="0.3">
      <c r="B3344" s="414"/>
      <c r="C3344" s="411"/>
      <c r="D3344" s="407" t="s">
        <v>548</v>
      </c>
      <c r="E3344" s="408" t="s">
        <v>549</v>
      </c>
      <c r="F3344" s="408" t="s">
        <v>550</v>
      </c>
      <c r="G3344" s="408" t="s">
        <v>551</v>
      </c>
      <c r="H3344" s="408" t="s">
        <v>552</v>
      </c>
      <c r="I3344" s="408" t="s">
        <v>553</v>
      </c>
      <c r="J3344" s="408" t="s">
        <v>554</v>
      </c>
      <c r="K3344" s="408" t="s">
        <v>555</v>
      </c>
    </row>
    <row r="3345" spans="2:11" ht="15" customHeight="1" thickBot="1" x14ac:dyDescent="0.3">
      <c r="B3345" s="414" t="s">
        <v>556</v>
      </c>
      <c r="C3345" s="415" t="s">
        <v>620</v>
      </c>
      <c r="D3345" s="416">
        <f>IF(ISERROR(VLOOKUP(B3344,'MD Usage'!$A$1:$W$5000,3,FALSE)),0,VLOOKUP(B3344,'MD Usage'!$A$1:$W$5000,3,FALSE))</f>
        <v>0</v>
      </c>
      <c r="E3345" s="416">
        <f>IF(ISERROR(VLOOKUP(B3344,'MD Usage'!$A$1:$W$5000,5,FALSE)),0,VLOOKUP(B3344,'MD Usage'!$A$1:$W$5000,5,FALSE))</f>
        <v>0</v>
      </c>
      <c r="F3345" s="416">
        <f>IF(ISERROR(VLOOKUP(B3344,'MD Usage'!$A$1:$W$5000,7,FALSE)),0,VLOOKUP(B3344,'MD Usage'!$A$1:$W$5000,7,FALSE))</f>
        <v>0</v>
      </c>
      <c r="G3345" s="416">
        <f>IF(ISERROR(VLOOKUP(B3344,'MD Usage'!$A$1:$W$5000,9,FALSE)),0,VLOOKUP(B3344,'MD Usage'!$A$1:$W$5000,9,FALSE))</f>
        <v>0</v>
      </c>
      <c r="H3345" s="416">
        <f>IF(ISERROR(VLOOKUP(B3344,'MD Usage'!$A$1:$W$5000,11,FALSE)),0,VLOOKUP(B3344,'MD Usage'!$A$1:$W$5000,11,FALSE))</f>
        <v>0</v>
      </c>
      <c r="I3345" s="416">
        <f>IF(ISERROR(VLOOKUP(B3344,'MD Usage'!A1:R2000,13,FALSE)),0,VLOOKUP(B3344,'MD Usage'!A1:R2000,13,FALSE))</f>
        <v>0</v>
      </c>
      <c r="J3345" s="416">
        <f>IF(ISERROR(VLOOKUP(B3344,'MD Usage'!A1:R2000,15,FALSE)),0,VLOOKUP(B3344,'MD Usage'!A1:R2000,15,FALSE))</f>
        <v>0</v>
      </c>
      <c r="K3345" s="418">
        <f t="shared" ref="K3345:K3351" si="484">SUM(D3345:J3345)</f>
        <v>0</v>
      </c>
    </row>
    <row r="3346" spans="2:11" ht="15" customHeight="1" x14ac:dyDescent="0.25">
      <c r="B3346" s="419"/>
      <c r="C3346" s="420"/>
      <c r="D3346" s="421">
        <f t="shared" ref="D3346:D3351" si="485">$D$2633*C3346</f>
        <v>0</v>
      </c>
      <c r="E3346" s="421">
        <f t="shared" ref="E3346:E3351" si="486">$E$2633*C3346</f>
        <v>0</v>
      </c>
      <c r="F3346" s="421">
        <f t="shared" ref="F3346:F3351" si="487">$F$2633*C3346</f>
        <v>0</v>
      </c>
      <c r="G3346" s="421">
        <f t="shared" ref="G3346:G3351" si="488">$G$2633*C3346</f>
        <v>0</v>
      </c>
      <c r="H3346" s="421">
        <f t="shared" ref="H3346:H3351" si="489">$H$2633*C3346</f>
        <v>0</v>
      </c>
      <c r="I3346" s="421">
        <f t="shared" ref="I3346:I3351" si="490">$I$2633*C3346</f>
        <v>0</v>
      </c>
      <c r="J3346" s="421">
        <f t="shared" ref="J3346:J3351" si="491">$J$2633*C3346</f>
        <v>0</v>
      </c>
      <c r="K3346" s="422">
        <f t="shared" si="484"/>
        <v>0</v>
      </c>
    </row>
    <row r="3347" spans="2:11" ht="15" customHeight="1" x14ac:dyDescent="0.25">
      <c r="B3347" s="389"/>
      <c r="C3347" s="423"/>
      <c r="D3347" s="421">
        <f t="shared" si="485"/>
        <v>0</v>
      </c>
      <c r="E3347" s="421">
        <f t="shared" si="486"/>
        <v>0</v>
      </c>
      <c r="F3347" s="421">
        <f t="shared" si="487"/>
        <v>0</v>
      </c>
      <c r="G3347" s="421">
        <f t="shared" si="488"/>
        <v>0</v>
      </c>
      <c r="H3347" s="421">
        <f t="shared" si="489"/>
        <v>0</v>
      </c>
      <c r="I3347" s="421">
        <f t="shared" si="490"/>
        <v>0</v>
      </c>
      <c r="J3347" s="421">
        <f t="shared" si="491"/>
        <v>0</v>
      </c>
      <c r="K3347" s="424">
        <f t="shared" si="484"/>
        <v>0</v>
      </c>
    </row>
    <row r="3348" spans="2:11" ht="15" customHeight="1" x14ac:dyDescent="0.25">
      <c r="B3348" s="389"/>
      <c r="C3348" s="423"/>
      <c r="D3348" s="421">
        <f t="shared" si="485"/>
        <v>0</v>
      </c>
      <c r="E3348" s="421">
        <f t="shared" si="486"/>
        <v>0</v>
      </c>
      <c r="F3348" s="421">
        <f t="shared" si="487"/>
        <v>0</v>
      </c>
      <c r="G3348" s="421">
        <f t="shared" si="488"/>
        <v>0</v>
      </c>
      <c r="H3348" s="421">
        <f t="shared" si="489"/>
        <v>0</v>
      </c>
      <c r="I3348" s="421">
        <f t="shared" si="490"/>
        <v>0</v>
      </c>
      <c r="J3348" s="421">
        <f t="shared" si="491"/>
        <v>0</v>
      </c>
      <c r="K3348" s="422">
        <f t="shared" si="484"/>
        <v>0</v>
      </c>
    </row>
    <row r="3349" spans="2:11" ht="15" customHeight="1" x14ac:dyDescent="0.25">
      <c r="B3349" s="389"/>
      <c r="C3349" s="423"/>
      <c r="D3349" s="421">
        <f t="shared" si="485"/>
        <v>0</v>
      </c>
      <c r="E3349" s="421">
        <f t="shared" si="486"/>
        <v>0</v>
      </c>
      <c r="F3349" s="421">
        <f t="shared" si="487"/>
        <v>0</v>
      </c>
      <c r="G3349" s="421">
        <f t="shared" si="488"/>
        <v>0</v>
      </c>
      <c r="H3349" s="421">
        <f t="shared" si="489"/>
        <v>0</v>
      </c>
      <c r="I3349" s="421">
        <f t="shared" si="490"/>
        <v>0</v>
      </c>
      <c r="J3349" s="421">
        <f t="shared" si="491"/>
        <v>0</v>
      </c>
      <c r="K3349" s="424">
        <f t="shared" si="484"/>
        <v>0</v>
      </c>
    </row>
    <row r="3350" spans="2:11" ht="15" customHeight="1" x14ac:dyDescent="0.25">
      <c r="B3350" s="419"/>
      <c r="C3350" s="420"/>
      <c r="D3350" s="421">
        <f t="shared" si="485"/>
        <v>0</v>
      </c>
      <c r="E3350" s="421">
        <f t="shared" si="486"/>
        <v>0</v>
      </c>
      <c r="F3350" s="421">
        <f t="shared" si="487"/>
        <v>0</v>
      </c>
      <c r="G3350" s="421">
        <f t="shared" si="488"/>
        <v>0</v>
      </c>
      <c r="H3350" s="421">
        <f t="shared" si="489"/>
        <v>0</v>
      </c>
      <c r="I3350" s="421">
        <f t="shared" si="490"/>
        <v>0</v>
      </c>
      <c r="J3350" s="421">
        <f t="shared" si="491"/>
        <v>0</v>
      </c>
      <c r="K3350" s="422">
        <f t="shared" si="484"/>
        <v>0</v>
      </c>
    </row>
    <row r="3351" spans="2:11" ht="15" customHeight="1" x14ac:dyDescent="0.25">
      <c r="B3351" s="389"/>
      <c r="C3351" s="423"/>
      <c r="D3351" s="421">
        <f t="shared" si="485"/>
        <v>0</v>
      </c>
      <c r="E3351" s="421">
        <f t="shared" si="486"/>
        <v>0</v>
      </c>
      <c r="F3351" s="421">
        <f t="shared" si="487"/>
        <v>0</v>
      </c>
      <c r="G3351" s="421">
        <f t="shared" si="488"/>
        <v>0</v>
      </c>
      <c r="H3351" s="421">
        <f t="shared" si="489"/>
        <v>0</v>
      </c>
      <c r="I3351" s="421">
        <f t="shared" si="490"/>
        <v>0</v>
      </c>
      <c r="J3351" s="421">
        <f t="shared" si="491"/>
        <v>0</v>
      </c>
      <c r="K3351" s="424">
        <f t="shared" si="484"/>
        <v>0</v>
      </c>
    </row>
    <row r="3352" spans="2:11" ht="15" customHeight="1" thickBot="1" x14ac:dyDescent="0.3"/>
    <row r="3353" spans="2:11" ht="15" customHeight="1" thickBot="1" x14ac:dyDescent="0.3">
      <c r="B3353" s="414"/>
      <c r="C3353" s="411"/>
      <c r="D3353" s="407" t="s">
        <v>548</v>
      </c>
      <c r="E3353" s="408" t="s">
        <v>549</v>
      </c>
      <c r="F3353" s="408" t="s">
        <v>550</v>
      </c>
      <c r="G3353" s="408" t="s">
        <v>551</v>
      </c>
      <c r="H3353" s="408" t="s">
        <v>552</v>
      </c>
      <c r="I3353" s="408" t="s">
        <v>553</v>
      </c>
      <c r="J3353" s="408" t="s">
        <v>554</v>
      </c>
      <c r="K3353" s="408" t="s">
        <v>555</v>
      </c>
    </row>
    <row r="3354" spans="2:11" ht="15" customHeight="1" thickBot="1" x14ac:dyDescent="0.3">
      <c r="B3354" s="414" t="s">
        <v>556</v>
      </c>
      <c r="C3354" s="415" t="s">
        <v>620</v>
      </c>
      <c r="D3354" s="416">
        <f>IF(ISERROR(VLOOKUP(B3353,'MD Usage'!$A$1:$W$5000,3,FALSE)),0,VLOOKUP(B3353,'MD Usage'!$A$1:$W$5000,3,FALSE))</f>
        <v>0</v>
      </c>
      <c r="E3354" s="416">
        <f>IF(ISERROR(VLOOKUP(B3353,'MD Usage'!$A$1:$W$5000,5,FALSE)),0,VLOOKUP(B3353,'MD Usage'!$A$1:$W$5000,5,FALSE))</f>
        <v>0</v>
      </c>
      <c r="F3354" s="416">
        <f>IF(ISERROR(VLOOKUP(B3353,'MD Usage'!$A$1:$W$5000,7,FALSE)),0,VLOOKUP(B3353,'MD Usage'!$A$1:$W$5000,7,FALSE))</f>
        <v>0</v>
      </c>
      <c r="G3354" s="416">
        <f>IF(ISERROR(VLOOKUP(B3353,'MD Usage'!$A$1:$W$5000,9,FALSE)),0,VLOOKUP(B3353,'MD Usage'!$A$1:$W$5000,9,FALSE))</f>
        <v>0</v>
      </c>
      <c r="H3354" s="416">
        <f>IF(ISERROR(VLOOKUP(B3353,'MD Usage'!$A$1:$W$5000,11,FALSE)),0,VLOOKUP(B3353,'MD Usage'!$A$1:$W$5000,11,FALSE))</f>
        <v>0</v>
      </c>
      <c r="I3354" s="416">
        <f>IF(ISERROR(VLOOKUP(B3353,'MD Usage'!A1:R2000,13,FALSE)),0,VLOOKUP(B3353,'MD Usage'!A1:R2000,13,FALSE))</f>
        <v>0</v>
      </c>
      <c r="J3354" s="416">
        <f>IF(ISERROR(VLOOKUP(B3353,'MD Usage'!A1:R2000,15,FALSE)),0,VLOOKUP(B3353,'MD Usage'!A1:R2000,15,FALSE))</f>
        <v>0</v>
      </c>
      <c r="K3354" s="418">
        <f t="shared" ref="K3354:K3360" si="492">SUM(D3354:J3354)</f>
        <v>0</v>
      </c>
    </row>
    <row r="3355" spans="2:11" ht="15" customHeight="1" x14ac:dyDescent="0.25">
      <c r="B3355" s="419"/>
      <c r="C3355" s="420"/>
      <c r="D3355" s="421">
        <f t="shared" ref="D3355:D3360" si="493">$D$2633*C3355</f>
        <v>0</v>
      </c>
      <c r="E3355" s="421">
        <f t="shared" ref="E3355:E3360" si="494">$E$2633*C3355</f>
        <v>0</v>
      </c>
      <c r="F3355" s="421">
        <f t="shared" ref="F3355:F3360" si="495">$F$2633*C3355</f>
        <v>0</v>
      </c>
      <c r="G3355" s="421">
        <f t="shared" ref="G3355:G3360" si="496">$G$2633*C3355</f>
        <v>0</v>
      </c>
      <c r="H3355" s="421">
        <f t="shared" ref="H3355:H3360" si="497">$H$2633*C3355</f>
        <v>0</v>
      </c>
      <c r="I3355" s="421">
        <f t="shared" ref="I3355:I3360" si="498">$I$2633*C3355</f>
        <v>0</v>
      </c>
      <c r="J3355" s="421">
        <f t="shared" ref="J3355:J3360" si="499">$J$2633*C3355</f>
        <v>0</v>
      </c>
      <c r="K3355" s="422">
        <f t="shared" si="492"/>
        <v>0</v>
      </c>
    </row>
    <row r="3356" spans="2:11" ht="15" customHeight="1" x14ac:dyDescent="0.25">
      <c r="B3356" s="389"/>
      <c r="C3356" s="423"/>
      <c r="D3356" s="421">
        <f t="shared" si="493"/>
        <v>0</v>
      </c>
      <c r="E3356" s="421">
        <f t="shared" si="494"/>
        <v>0</v>
      </c>
      <c r="F3356" s="421">
        <f t="shared" si="495"/>
        <v>0</v>
      </c>
      <c r="G3356" s="421">
        <f t="shared" si="496"/>
        <v>0</v>
      </c>
      <c r="H3356" s="421">
        <f t="shared" si="497"/>
        <v>0</v>
      </c>
      <c r="I3356" s="421">
        <f t="shared" si="498"/>
        <v>0</v>
      </c>
      <c r="J3356" s="421">
        <f t="shared" si="499"/>
        <v>0</v>
      </c>
      <c r="K3356" s="424">
        <f t="shared" si="492"/>
        <v>0</v>
      </c>
    </row>
    <row r="3357" spans="2:11" ht="15" customHeight="1" x14ac:dyDescent="0.25">
      <c r="B3357" s="389"/>
      <c r="C3357" s="423"/>
      <c r="D3357" s="421">
        <f t="shared" si="493"/>
        <v>0</v>
      </c>
      <c r="E3357" s="421">
        <f t="shared" si="494"/>
        <v>0</v>
      </c>
      <c r="F3357" s="421">
        <f t="shared" si="495"/>
        <v>0</v>
      </c>
      <c r="G3357" s="421">
        <f t="shared" si="496"/>
        <v>0</v>
      </c>
      <c r="H3357" s="421">
        <f t="shared" si="497"/>
        <v>0</v>
      </c>
      <c r="I3357" s="421">
        <f t="shared" si="498"/>
        <v>0</v>
      </c>
      <c r="J3357" s="421">
        <f t="shared" si="499"/>
        <v>0</v>
      </c>
      <c r="K3357" s="422">
        <f t="shared" si="492"/>
        <v>0</v>
      </c>
    </row>
    <row r="3358" spans="2:11" ht="15" customHeight="1" x14ac:dyDescent="0.25">
      <c r="B3358" s="389"/>
      <c r="C3358" s="423"/>
      <c r="D3358" s="421">
        <f t="shared" si="493"/>
        <v>0</v>
      </c>
      <c r="E3358" s="421">
        <f t="shared" si="494"/>
        <v>0</v>
      </c>
      <c r="F3358" s="421">
        <f t="shared" si="495"/>
        <v>0</v>
      </c>
      <c r="G3358" s="421">
        <f t="shared" si="496"/>
        <v>0</v>
      </c>
      <c r="H3358" s="421">
        <f t="shared" si="497"/>
        <v>0</v>
      </c>
      <c r="I3358" s="421">
        <f t="shared" si="498"/>
        <v>0</v>
      </c>
      <c r="J3358" s="421">
        <f t="shared" si="499"/>
        <v>0</v>
      </c>
      <c r="K3358" s="424">
        <f t="shared" si="492"/>
        <v>0</v>
      </c>
    </row>
    <row r="3359" spans="2:11" ht="15" customHeight="1" x14ac:dyDescent="0.25">
      <c r="B3359" s="419"/>
      <c r="C3359" s="420"/>
      <c r="D3359" s="421">
        <f t="shared" si="493"/>
        <v>0</v>
      </c>
      <c r="E3359" s="421">
        <f t="shared" si="494"/>
        <v>0</v>
      </c>
      <c r="F3359" s="421">
        <f t="shared" si="495"/>
        <v>0</v>
      </c>
      <c r="G3359" s="421">
        <f t="shared" si="496"/>
        <v>0</v>
      </c>
      <c r="H3359" s="421">
        <f t="shared" si="497"/>
        <v>0</v>
      </c>
      <c r="I3359" s="421">
        <f t="shared" si="498"/>
        <v>0</v>
      </c>
      <c r="J3359" s="421">
        <f t="shared" si="499"/>
        <v>0</v>
      </c>
      <c r="K3359" s="422">
        <f t="shared" si="492"/>
        <v>0</v>
      </c>
    </row>
    <row r="3360" spans="2:11" ht="15" customHeight="1" x14ac:dyDescent="0.25">
      <c r="B3360" s="389"/>
      <c r="C3360" s="423"/>
      <c r="D3360" s="421">
        <f t="shared" si="493"/>
        <v>0</v>
      </c>
      <c r="E3360" s="421">
        <f t="shared" si="494"/>
        <v>0</v>
      </c>
      <c r="F3360" s="421">
        <f t="shared" si="495"/>
        <v>0</v>
      </c>
      <c r="G3360" s="421">
        <f t="shared" si="496"/>
        <v>0</v>
      </c>
      <c r="H3360" s="421">
        <f t="shared" si="497"/>
        <v>0</v>
      </c>
      <c r="I3360" s="421">
        <f t="shared" si="498"/>
        <v>0</v>
      </c>
      <c r="J3360" s="421">
        <f t="shared" si="499"/>
        <v>0</v>
      </c>
      <c r="K3360" s="424">
        <f t="shared" si="492"/>
        <v>0</v>
      </c>
    </row>
  </sheetData>
  <mergeCells count="8">
    <mergeCell ref="A925:Q925"/>
    <mergeCell ref="A1271:W1271"/>
    <mergeCell ref="A3:P3"/>
    <mergeCell ref="A196:V196"/>
    <mergeCell ref="A380:S380"/>
    <mergeCell ref="A515:S515"/>
    <mergeCell ref="A810:V810"/>
    <mergeCell ref="A875:Q875"/>
  </mergeCells>
  <dataValidations count="1">
    <dataValidation allowBlank="1" showInputMessage="1" showErrorMessage="1" sqref="B2385:B2386 B1745:B1746 B1754:B1755 B1762:B1763 B1769:B1770 B1778:B1779 B1786:B1787 B1795:B1796 B1804:B1805 B1811:B1812 B1819:B1820 B1829:B1830 B1850:B1851 B1857:B1858 B1864:B1865 B1872:B1873 B1879:B1880 B1886:B1887 B1894:B1895 B1901:B1902 B1908:B1909 B1915:B1916 B1922:B1923 B1929:B1930 B1950:B1951 B2063:B2064 B2070:B2071 B2084:B2085 B2099:B2100 B2107:B2108 B2114:B2115 B2180:B2181 B2187:B2188 B2194:B2195 B2201:B2202 B2208:B2209 B2215:B2216 B2222:B2223 B2257:B2258 B2264:B2265 B2271:B2272 B2278:B2279 B2292:B2293 B2299:B2300 B2306:B2307 B2313:B2314 B2320:B2321 B2327:B2328 B2632:B2633 B2650:B2651 B2657:B2658 B2706:B2707 B2713:B2714 B2720:B2721 B2727:B2728 B2734:B2735 B2488:B2489 B2483:B2484 B2478:B2479 B2473:B2474 B2468:B2469 B2463:B2464 B2756:B2757 B2765:B2766 B2774:B2775 B2783:B2784 B2861:B2862 B1936:B1937 B1943:B1944 M2734 B2741:B2742 B2055:B2056 B2046:B2047 B2015:B2016 B2008:B2009 B2001:B2002 B1986:B1987 B1979:B1980 B1972:B1973 B1965:B1966 B1957:B1958 B2029:B2030 B2022:B2023 B1993:B1994 B2623:B2624 B2614:B2615 B2568:B2569 B2563:B2564 B2558:B2559 B2553:B2554 B2548:B2549 B2543:B2544 B2538:B2539 B2533:B2534 B2528:B2529 B2423:B2424 B2418:B2419 B2413:B2414 B2408:B2409 B2403:B2404 B2398:B2399 B2393:B2394 M2868 B2882:B2883 B2889:B2890 B2895:B2896 B2902:B2903 B2909:B2910 B2915:B2916 B2922:B2923 B2929:B2930 B1836:B1837 B1843:B1844 B2334:B2335 B2371:B2372 B2378:B2379 B2604:B2605 B2595:B2596 B2586:B2587 B2577:B2578 B2641:B2642 B2077:B2078 B2123:B2124 B2250:B2251 B2236:B2237 B2229:B2230 B2243:B2244 B2285:B2286 B2458:B2459 B2453:B2454 B2448:B2449 B2443:B2444 B2438:B2439 B2433:B2434 B2428:B2429 B2523:B2524 B2518:B2519 B2513:B2514 B2508:B2509 B2503:B2504 B2498:B2499 B2493:B2494 B2699:B2700 B2692:B2693 B2685:B2686 B2678:B2679 B2671:B2672 B2664:B2665 B2936:B2937 B2793:B2794 B2802:B2803 B2809:B2810 B2817:B2818 B2826:B2827 B2835:B2836 B2844:B2845 B2853:B2854 B2130:B2131 B2140:B2141 B2150:B2151 B2160:B2161 B2170:B2171 B2342:B2343 B2349:B2350 B2357:B2358 B2364:B2365 B2092:B2093 B2875:B2876 M2915 M2929 M2936 B2868:B2869 M2882 M1819 M2902 M2889 M1843 M1795 M1754 M1864 M1769 M2140 M1804 M1836 B2039 M1857 M1850 M2046 M1654 M1669 M1729 M1693 M1685 M1563 M1661 B1191:B1192 B1135:B1136 B1048:B1049 B1006:B1007 B912:B913 B876:B877 B860:B861 B820:B821 B803:B804 B755:B756 B603:B604 B558:B559 B537:B538 B530:B531 B516:B517 B1497:B1498 B1504:B1505 B1490:B1491 B1476:B1477 B1483:B1484 B1462:B1463 B1469:B1470 B1348:B1349 B1355:B1356 B1333:B1334 B1340:B1341 B1318:B1319 B1325:B1326 B1303:B1304 B1310:B1311 B1288:B1289 B1295:B1296 B1273:B1274 B1280:B1281 B1258:B1259 B1265:B1266 B1243:B1244 B1250:B1251 B1228:B1229 B1235:B1236 B1213:B1214 B1220:B1221 B1198:B1199 B1205:B1206 B1184:B1185 B1427:B1428 B1420:B1421 B1413:B1414 B1406:B1407 B1399:B1400 B1392:B1393 B1385:B1386 B1378:B1379 B1371:B1372 B1364:B1365 B1177:B1178 B1170:B1171 B1163:B1164 B1156:B1157 B1149:B1150 B1434:B1435 B1142:B1143 B1128:B1129 B1119:B1120 B1110:B1111 B1101:B1102 B1092:B1093 B1083:B1084 B1076:B1077 B1069:B1070 B1062:B1063 B1055:B1056 B1041:B1042 B1034:B1035 B1027:B1028 B1020:B1021 B1013:B1014 B998:B999 B990:B991 B983:B984 B976:B977 B969:B970 B962:B963 B955:B956 B948:B949 B940:B941 B933:B934 B926:B927 B919:B920 B905:B906 B898:B899 B891:B892 B884:B885 B868:B869 B853:B854 B845:B846 B837:B838 B829:B830 B811:B812 B795:B796 B787:B788 B779:B780 B771:B772 B763:B764 B747:B748 B740:B741 B733:B734 B726:B727 B719:B720 B712:B713 B705:B706 B698:B699 B691:B692 B682:B683 B674:B675 B666:B667 B659:B660 B652:B653 B645:B646 M638 B631:B632 B624:B625 B617:B618 B610:B611 B595:B596 B587:B588 B579:B580 B572:B573 B565:B566 B551:B552 B544:B545 B523:B524 B1588:B1589 B1654:B1655 B1639:B1640 B1623:B1624 B1609:B1610 B1570:B1571 B1647:B1648 B1631:B1632 B1616:B1617 B1602:B1603 B1595:B1596 B1579:B1580 M1678 B1448:B1449 B1685:B1686 B1678:B1679 B1669:B1670 B1527:B1528 B1738:B1739 B1729:B1730 B1722:B1723 B1715:B1716 B1708:B1709 B1701:B1702 B1693:B1694 B1661:B1662 B1563:B1564 B1556:B1557 B1549:B1550 B1542:B1543 B1535:B1536 B1518:B1519 B1511:B1512 B1455:B1456 B1441:B1442 B509:B510 B502:B503 B495:B496 B488:B489 B481:B482 B474:B475 B467:B468 B460:B461 M2413 B445:B446 B437:B438 B430:B431 B423:B424 B416:B417 B409:B410 B402:B403 B395:B396 B388:B389 M1957 M2299 M2349 M2271 M2187 M2327 M2313 M2371 M2236 M2342 M2257 M2334 M2215 M2292 M2364 M2180 M2208 M2875 M2853 M1198 M516 M1041 M1205 M523 M530 M1055 B638:B639 M795 M969 M1191 M811 M544 M1184 M610 M868 M1135 M884 M1076 M2099 M2861 M2114 M2084 M1872 M1993 M1483 M1469 M1518 M1527 M1511 M1535 M1542 M509 M2909 B2943:B2944 B2953:B2954 B2962:B2963 B2972:B2973 B2982:B2983 B2992:B2993 B3002:B3003 B3011:B3012 B3020:B3021 B3029:B3030 B3038:B3039 B3047:B3048 B3056:B3057 B3065:B3066 B3074:B3075 B3083:B3084 B3092:B3093 B3101:B3102 B3110:B3111 B3119:B3120 B3128:B3129 B3137:B3138 B3146:B3147 B3155:B3156 B3164:B3165 B3173:B3174 B3182:B3183 B3191:B3192 B3200:B3201 B3209:B3210 B3218:B3219 B3227:B3228 B3236:B3237 B3245:B3246 B3254:B3255 B3263:B3264 B3272:B3273 B3281:B3282 B3290:B3291 B3299:B3300 B3308:B3309 B3317:B3318 B3326:B3327 B3335:B3336 B3344:B3345 B3353:B3354 M1886 M2107 M1258 M1265 M2895 M1556 M2070 M2720 M2741 M2727 M2713 B2748:B2749 M402 M395 M437 M2685 M2706 M495 M2528 M474 M502 M2558 M1762 M2650 M445 M467 M2692 M2699 M2664 M2393 M2403 M2443 B452:B453" xr:uid="{A830BE9A-E3BC-461C-974E-67047718E1CF}"/>
  </dataValidations>
  <hyperlinks>
    <hyperlink ref="C1" location="Recipes!B3" display="APPS" xr:uid="{223DE2F2-46F9-47AF-8C23-FAB16A36374C}"/>
    <hyperlink ref="D1" location="Recipes!B116" display="H/H" xr:uid="{80ACD02F-C125-4559-AA11-B8FFA424B4C5}"/>
    <hyperlink ref="E1" location="Recipes!B196" display="SALADS" xr:uid="{A7C48390-6EE3-4D68-83FB-50EA6CF72DEC}"/>
    <hyperlink ref="F1" location="Recipes!B408" display="SOUPS" xr:uid="{4F36724B-B33B-46FC-9544-31D73DF2AA14}"/>
    <hyperlink ref="G1" location="Recipes!B485" display="PIZZAS" xr:uid="{4DA4B99F-E7DD-44E3-AFFC-611345E5C938}"/>
    <hyperlink ref="H1" location="Recipes!B673" display="LUNCH" xr:uid="{44B70DF8-5DFE-410E-8062-A45E1D572053}"/>
    <hyperlink ref="I1" location="Recipes!B870" display="SANDS" xr:uid="{9227E493-0BB3-40E9-85AC-AA06B8F2EA4A}"/>
    <hyperlink ref="J1" location="Recipes!B912" display="PASTAS" xr:uid="{309499D1-67D2-41F1-9F42-5961ED10B93D}"/>
    <hyperlink ref="K1" location="Recipes!B1427" display="ENTREES" xr:uid="{87EE86B9-EE72-4BBF-9738-2962011EDCDA}"/>
    <hyperlink ref="N1" location="Recipes!B1647" display="EXTRAS" xr:uid="{4E033C0A-5C47-411D-A7F0-A50DE548A8CC}"/>
    <hyperlink ref="O1" location="Recipes!B1761" display="PROMO" xr:uid="{A99B783C-8C92-45A2-B84C-165D9CF862CA}"/>
    <hyperlink ref="P1" location="Recipes!B1241" display="GF" xr:uid="{743FE4A5-FA2D-4871-95E7-381081F42785}"/>
    <hyperlink ref="Q1" location="Recipes!B2266" display="SPECIALS" xr:uid="{FF1248F3-74AF-4165-A8F7-F4A846614058}"/>
  </hyperlinks>
  <pageMargins left="0.7" right="0.7" top="0.75" bottom="0.75" header="0.3" footer="0.3"/>
  <pageSetup scale="39" fitToHeight="0" orientation="portrait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22FD-2860-437E-A84D-25B357D36C19}">
  <sheetPr codeName="Sheet29">
    <pageSetUpPr fitToPage="1"/>
  </sheetPr>
  <dimension ref="A1:Z181"/>
  <sheetViews>
    <sheetView showGridLines="0" zoomScaleNormal="100" zoomScaleSheetLayoutView="100" workbookViewId="0">
      <selection activeCell="N13" sqref="N13"/>
    </sheetView>
  </sheetViews>
  <sheetFormatPr defaultRowHeight="15" customHeight="1" x14ac:dyDescent="0.35"/>
  <cols>
    <col min="1" max="1" width="20.85546875" style="454" customWidth="1"/>
    <col min="2" max="2" width="13" style="454" customWidth="1"/>
    <col min="3" max="3" width="10.85546875" style="454" customWidth="1"/>
    <col min="4" max="4" width="10.28515625" style="454" customWidth="1"/>
    <col min="5" max="5" width="12.42578125" style="454" bestFit="1" customWidth="1"/>
    <col min="6" max="6" width="21.5703125" style="467" bestFit="1" customWidth="1"/>
    <col min="7" max="7" width="13.5703125" style="468" customWidth="1"/>
    <col min="8" max="8" width="10.7109375" style="454" customWidth="1"/>
    <col min="9" max="16384" width="9.140625" style="454"/>
  </cols>
  <sheetData>
    <row r="1" spans="1:26" ht="24" customHeight="1" x14ac:dyDescent="0.35">
      <c r="F1" s="454"/>
      <c r="G1" s="454"/>
    </row>
    <row r="2" spans="1:26" ht="21" x14ac:dyDescent="0.35">
      <c r="B2" s="455" t="s">
        <v>548</v>
      </c>
      <c r="C2" s="455" t="s">
        <v>549</v>
      </c>
      <c r="D2" s="455" t="s">
        <v>550</v>
      </c>
      <c r="E2" s="455" t="s">
        <v>551</v>
      </c>
      <c r="F2" s="455" t="s">
        <v>552</v>
      </c>
      <c r="G2" s="455" t="s">
        <v>553</v>
      </c>
      <c r="H2" s="455" t="s">
        <v>554</v>
      </c>
      <c r="N2" s="454" t="s">
        <v>1951</v>
      </c>
      <c r="P2" s="454" t="s">
        <v>1952</v>
      </c>
      <c r="R2" s="454" t="s">
        <v>1953</v>
      </c>
      <c r="T2" s="454" t="s">
        <v>1954</v>
      </c>
      <c r="V2" s="454" t="s">
        <v>1955</v>
      </c>
      <c r="X2" s="454" t="s">
        <v>1956</v>
      </c>
      <c r="Z2" s="454" t="s">
        <v>1957</v>
      </c>
    </row>
    <row r="3" spans="1:26" ht="21" hidden="1" x14ac:dyDescent="0.35">
      <c r="A3" s="454" t="s">
        <v>556</v>
      </c>
      <c r="F3" s="454"/>
      <c r="G3" s="454"/>
    </row>
    <row r="4" spans="1:26" customFormat="1" x14ac:dyDescent="0.25">
      <c r="A4" s="383" t="s">
        <v>788</v>
      </c>
      <c r="B4" s="456">
        <f>('Daily Product Breakdown'!B11)*5</f>
        <v>0</v>
      </c>
      <c r="C4" s="457">
        <f>('Daily Product Breakdown'!C11)*5</f>
        <v>0</v>
      </c>
      <c r="D4" s="456">
        <f>('Daily Product Breakdown'!D11)*5</f>
        <v>5</v>
      </c>
      <c r="E4" s="385">
        <f>('Daily Product Breakdown'!E$11)*5</f>
        <v>0</v>
      </c>
      <c r="F4" s="384">
        <f>('Daily Product Breakdown'!F11)*5</f>
        <v>5</v>
      </c>
      <c r="G4" s="385">
        <f>('Daily Product Breakdown'!G11)*5</f>
        <v>20</v>
      </c>
      <c r="H4" s="384">
        <f>'Daily Product Breakdown'!H11*5</f>
        <v>5</v>
      </c>
      <c r="M4" t="s">
        <v>1958</v>
      </c>
      <c r="N4" s="814">
        <f>SUM(B4:B6)/16</f>
        <v>1.5</v>
      </c>
      <c r="P4" s="814">
        <f>SUM(C4:C6)/16</f>
        <v>1.5</v>
      </c>
      <c r="R4" s="814">
        <f>SUM(D4:D6)/16</f>
        <v>1.8125</v>
      </c>
      <c r="T4" s="814">
        <f>SUM(E4:E6)/16</f>
        <v>0</v>
      </c>
      <c r="V4" s="814">
        <f>SUM(F4:F6)/16</f>
        <v>6.3125</v>
      </c>
      <c r="X4" s="814">
        <f>SUM(G4:G6)/16</f>
        <v>10.25</v>
      </c>
      <c r="Z4" s="814">
        <f>SUM(H4:H6)/16/2</f>
        <v>2.65625</v>
      </c>
    </row>
    <row r="5" spans="1:26" customFormat="1" hidden="1" x14ac:dyDescent="0.25">
      <c r="A5" s="383"/>
      <c r="B5" s="456"/>
      <c r="C5" s="457"/>
      <c r="D5" s="384"/>
      <c r="E5" s="385"/>
      <c r="F5" s="384"/>
      <c r="G5" s="385"/>
      <c r="H5" s="384"/>
    </row>
    <row r="6" spans="1:26" customFormat="1" x14ac:dyDescent="0.25">
      <c r="A6" s="383" t="s">
        <v>789</v>
      </c>
      <c r="B6" s="456">
        <f>('Daily Product Breakdown'!B13)*8</f>
        <v>24</v>
      </c>
      <c r="C6" s="457">
        <f>('Daily Product Breakdown'!C13)*8</f>
        <v>24</v>
      </c>
      <c r="D6" s="384">
        <f>('Daily Product Breakdown'!D13)*8</f>
        <v>24</v>
      </c>
      <c r="E6" s="385">
        <f>('Daily Product Breakdown'!E$13)*8</f>
        <v>0</v>
      </c>
      <c r="F6" s="384">
        <f>('Daily Product Breakdown'!F13)*8</f>
        <v>96</v>
      </c>
      <c r="G6" s="385">
        <f>('Daily Product Breakdown'!G13)*8</f>
        <v>144</v>
      </c>
      <c r="H6" s="384">
        <f>'Daily Product Breakdown'!H13*8</f>
        <v>80</v>
      </c>
      <c r="M6" t="s">
        <v>1959</v>
      </c>
      <c r="N6" s="814">
        <f>SUM(B8:B9)/16</f>
        <v>1.3125</v>
      </c>
      <c r="P6" s="814">
        <f>SUM(C8:C9)/16</f>
        <v>0.8125</v>
      </c>
      <c r="R6" s="814">
        <f>SUM(D8:D9)/16</f>
        <v>0.9375</v>
      </c>
      <c r="T6" s="814">
        <f>SUM(E8:E9)/16</f>
        <v>0.3125</v>
      </c>
      <c r="V6" s="814">
        <f>SUM(F8:F9)/16</f>
        <v>2.875</v>
      </c>
      <c r="X6" s="814">
        <f>SUM(G8:G9)/16</f>
        <v>4.5625</v>
      </c>
      <c r="Z6" s="814">
        <f>SUM(H8:H9)/16/2</f>
        <v>0.78125</v>
      </c>
    </row>
    <row r="7" spans="1:26" customFormat="1" hidden="1" x14ac:dyDescent="0.25">
      <c r="A7" s="383"/>
      <c r="B7" s="456">
        <f>'Daily Product Breakdown'!B12</f>
        <v>0</v>
      </c>
      <c r="C7" s="457">
        <f>'Daily Product Breakdown'!C12+3</f>
        <v>3</v>
      </c>
      <c r="D7" s="384">
        <f>'Daily Product Breakdown'!D12+3</f>
        <v>3</v>
      </c>
      <c r="E7" s="385">
        <f>'Daily Product Breakdown'!E12+4</f>
        <v>4</v>
      </c>
      <c r="F7" s="384">
        <f>'Daily Product Breakdown'!F12+5</f>
        <v>5</v>
      </c>
      <c r="G7" s="385">
        <f>'Daily Product Breakdown'!G12+5</f>
        <v>5</v>
      </c>
      <c r="H7" s="384">
        <f>'Daily Product Breakdown'!H12</f>
        <v>0</v>
      </c>
    </row>
    <row r="8" spans="1:26" customFormat="1" x14ac:dyDescent="0.25">
      <c r="A8" s="383" t="s">
        <v>1839</v>
      </c>
      <c r="B8" s="456">
        <f>('Daily Product Breakdown'!B19)*5</f>
        <v>5</v>
      </c>
      <c r="C8" s="457">
        <f>('Daily Product Breakdown'!C19)*5</f>
        <v>5</v>
      </c>
      <c r="D8" s="384">
        <f>('Daily Product Breakdown'!D19)*5</f>
        <v>15</v>
      </c>
      <c r="E8" s="385">
        <f>('Daily Product Breakdown'!E$19)*5</f>
        <v>5</v>
      </c>
      <c r="F8" s="384">
        <f>('Daily Product Breakdown'!F19)*5</f>
        <v>30</v>
      </c>
      <c r="G8" s="385">
        <f>('Daily Product Breakdown'!G19)*5</f>
        <v>25</v>
      </c>
      <c r="H8" s="384">
        <f>'Daily Product Breakdown'!H19*5</f>
        <v>25</v>
      </c>
      <c r="M8" t="s">
        <v>1960</v>
      </c>
      <c r="N8" s="814">
        <f>SUM(B11:B13)/16</f>
        <v>2.0625</v>
      </c>
      <c r="P8" s="814">
        <f>SUM(C11:C13)/16</f>
        <v>4.125</v>
      </c>
      <c r="R8" s="814">
        <f>SUM(D11:D13)/16</f>
        <v>8.3125</v>
      </c>
      <c r="T8" s="814">
        <f>SUM(E11:E13)/16</f>
        <v>8.625</v>
      </c>
      <c r="V8" s="814">
        <f>SUM(F11:F13)/16</f>
        <v>15.25</v>
      </c>
      <c r="X8" s="814">
        <f>SUM(G11:G13)/16</f>
        <v>22.4375</v>
      </c>
      <c r="Z8" s="814">
        <f>SUM(H11:H13)/16/2</f>
        <v>3.75</v>
      </c>
    </row>
    <row r="9" spans="1:26" customFormat="1" x14ac:dyDescent="0.25">
      <c r="A9" s="383" t="s">
        <v>1840</v>
      </c>
      <c r="B9" s="456">
        <f>('Daily Product Breakdown'!B21)*8</f>
        <v>16</v>
      </c>
      <c r="C9" s="457">
        <f>('Daily Product Breakdown'!C21)*8</f>
        <v>8</v>
      </c>
      <c r="D9" s="384">
        <f>('Daily Product Breakdown'!D21)*8</f>
        <v>0</v>
      </c>
      <c r="E9" s="385">
        <f>('Daily Product Breakdown'!E$21)*8</f>
        <v>0</v>
      </c>
      <c r="F9" s="384">
        <f>('Daily Product Breakdown'!F21)*8</f>
        <v>16</v>
      </c>
      <c r="G9" s="385">
        <f>('Daily Product Breakdown'!G21)*8</f>
        <v>48</v>
      </c>
      <c r="H9" s="384">
        <f>'Daily Product Breakdown'!H21*8</f>
        <v>0</v>
      </c>
      <c r="M9" t="s">
        <v>1961</v>
      </c>
      <c r="N9" s="814">
        <f>SUM(B15:B18)/16</f>
        <v>5.3125</v>
      </c>
      <c r="P9" s="814">
        <f>SUM(C15:C18)/16</f>
        <v>4.25</v>
      </c>
      <c r="R9" s="814">
        <f>SUM(D15:D18)/16</f>
        <v>10.3125</v>
      </c>
      <c r="T9" s="814">
        <f>SUM(E15:E18)/16</f>
        <v>7.125</v>
      </c>
      <c r="V9" s="814">
        <f>SUM(F15:F18)/16</f>
        <v>19.1875</v>
      </c>
      <c r="X9" s="814">
        <f>SUM(G15:G18)/16</f>
        <v>24.375</v>
      </c>
      <c r="Z9" s="814">
        <f>SUM(H15:H18)/16/2</f>
        <v>3.78125</v>
      </c>
    </row>
    <row r="10" spans="1:26" customFormat="1" hidden="1" x14ac:dyDescent="0.25">
      <c r="A10" s="383"/>
      <c r="B10" s="456">
        <f>'Daily Product Breakdown'!B15+3</f>
        <v>4</v>
      </c>
      <c r="C10" s="457">
        <f>'Daily Product Breakdown'!C15+3</f>
        <v>4</v>
      </c>
      <c r="D10" s="384">
        <f>'Daily Product Breakdown'!D15+3</f>
        <v>6</v>
      </c>
      <c r="E10" s="385">
        <f>'Daily Product Breakdown'!E15+4</f>
        <v>6</v>
      </c>
      <c r="F10" s="384">
        <f>'Daily Product Breakdown'!F15+5</f>
        <v>8</v>
      </c>
      <c r="G10" s="385">
        <f>'Daily Product Breakdown'!G15+5</f>
        <v>11</v>
      </c>
      <c r="H10" s="384">
        <f>'Daily Product Breakdown'!H15</f>
        <v>5</v>
      </c>
    </row>
    <row r="11" spans="1:26" customFormat="1" x14ac:dyDescent="0.25">
      <c r="A11" s="383" t="s">
        <v>790</v>
      </c>
      <c r="B11" s="456">
        <f>('Daily Product Breakdown'!B7)*5</f>
        <v>5</v>
      </c>
      <c r="C11" s="457">
        <f>('Daily Product Breakdown'!C7)*5</f>
        <v>0</v>
      </c>
      <c r="D11" s="384">
        <f>('Daily Product Breakdown'!D7)*5</f>
        <v>0</v>
      </c>
      <c r="E11" s="385">
        <f>('Daily Product Breakdown'!E$7)*5</f>
        <v>10</v>
      </c>
      <c r="F11" s="384">
        <f>('Daily Product Breakdown'!F7)*5</f>
        <v>20</v>
      </c>
      <c r="G11" s="385">
        <f>('Daily Product Breakdown'!G7)*5</f>
        <v>15</v>
      </c>
      <c r="H11" s="384">
        <f>'Daily Product Breakdown'!H7*5</f>
        <v>20</v>
      </c>
      <c r="M11" t="s">
        <v>1962</v>
      </c>
      <c r="N11" s="814">
        <f>SUM(B20:B22)/16</f>
        <v>3.125</v>
      </c>
      <c r="P11" s="814">
        <f>SUM(C20:C22)/16</f>
        <v>3</v>
      </c>
      <c r="R11" s="814">
        <f>SUM(D20:D22)/16</f>
        <v>4.375</v>
      </c>
      <c r="T11" s="814">
        <f>SUM(E20:E22)/16</f>
        <v>2.0625</v>
      </c>
      <c r="V11" s="814">
        <f>SUM(F20:F22)/16</f>
        <v>8.5625</v>
      </c>
      <c r="X11" s="814">
        <f>SUM(G20:G22)/16</f>
        <v>16.5</v>
      </c>
      <c r="Z11" s="814">
        <f>SUM(H20:H22)/16/2</f>
        <v>2</v>
      </c>
    </row>
    <row r="12" spans="1:26" customFormat="1" hidden="1" x14ac:dyDescent="0.25">
      <c r="A12" s="383"/>
      <c r="B12" s="456">
        <f>'Daily Product Breakdown'!B17+3</f>
        <v>12</v>
      </c>
      <c r="C12" s="457">
        <f>'Daily Product Breakdown'!C17+3</f>
        <v>10</v>
      </c>
      <c r="D12" s="384">
        <f>'Daily Product Breakdown'!D17+3</f>
        <v>21</v>
      </c>
      <c r="E12" s="385">
        <f>'Daily Product Breakdown'!E17+4</f>
        <v>16</v>
      </c>
      <c r="F12" s="384">
        <f>'Daily Product Breakdown'!F17+5</f>
        <v>40</v>
      </c>
      <c r="G12" s="385">
        <f>'Daily Product Breakdown'!G17+5</f>
        <v>48</v>
      </c>
      <c r="H12" s="384">
        <f>'Daily Product Breakdown'!H17</f>
        <v>12</v>
      </c>
    </row>
    <row r="13" spans="1:26" customFormat="1" x14ac:dyDescent="0.25">
      <c r="A13" s="383" t="s">
        <v>791</v>
      </c>
      <c r="B13" s="456">
        <f>('Daily Product Breakdown'!B9)*8</f>
        <v>16</v>
      </c>
      <c r="C13" s="457">
        <f>('Daily Product Breakdown'!C9)*8</f>
        <v>56</v>
      </c>
      <c r="D13" s="384">
        <f>('Daily Product Breakdown'!D9)*8</f>
        <v>112</v>
      </c>
      <c r="E13" s="385">
        <f>('Daily Product Breakdown'!E$9)*8</f>
        <v>112</v>
      </c>
      <c r="F13" s="384">
        <f>('Daily Product Breakdown'!F9)*8</f>
        <v>184</v>
      </c>
      <c r="G13" s="385">
        <f>('Daily Product Breakdown'!G9)*8</f>
        <v>296</v>
      </c>
      <c r="H13" s="384">
        <f>'Daily Product Breakdown'!H9*8</f>
        <v>88</v>
      </c>
      <c r="M13" t="s">
        <v>1963</v>
      </c>
      <c r="N13" s="814">
        <f>B23/16/2</f>
        <v>0.75</v>
      </c>
      <c r="P13" s="814">
        <f>C23/16/2</f>
        <v>1.375</v>
      </c>
      <c r="R13" s="814">
        <f>D23/16/2</f>
        <v>0</v>
      </c>
      <c r="T13" s="814">
        <f>E23/16/2</f>
        <v>0.75</v>
      </c>
      <c r="V13" s="814">
        <f>F23/16/2</f>
        <v>3.125</v>
      </c>
      <c r="X13" s="814">
        <f>G23/16/2</f>
        <v>3.375</v>
      </c>
      <c r="Z13" s="814">
        <f>H23/16/2.2</f>
        <v>1.1363636363636362</v>
      </c>
    </row>
    <row r="14" spans="1:26" customFormat="1" hidden="1" x14ac:dyDescent="0.25">
      <c r="A14" s="383"/>
      <c r="B14" s="456">
        <f>'Daily Product Breakdown'!B19+3</f>
        <v>4</v>
      </c>
      <c r="C14" s="457">
        <f>'Daily Product Breakdown'!C19+3</f>
        <v>4</v>
      </c>
      <c r="D14" s="384">
        <f>'Daily Product Breakdown'!D19+3</f>
        <v>6</v>
      </c>
      <c r="E14" s="385">
        <f>'Daily Product Breakdown'!E19+4</f>
        <v>5</v>
      </c>
      <c r="F14" s="384">
        <f>'Daily Product Breakdown'!F19+5</f>
        <v>11</v>
      </c>
      <c r="G14" s="385">
        <f>'Daily Product Breakdown'!G19+5</f>
        <v>10</v>
      </c>
      <c r="H14" s="384">
        <f>'Daily Product Breakdown'!H19</f>
        <v>5</v>
      </c>
    </row>
    <row r="15" spans="1:26" customFormat="1" x14ac:dyDescent="0.25">
      <c r="A15" s="383" t="s">
        <v>792</v>
      </c>
      <c r="B15" s="456">
        <f>('Daily Product Breakdown'!B15)*5</f>
        <v>5</v>
      </c>
      <c r="C15" s="457">
        <f>('Daily Product Breakdown'!C15)*5</f>
        <v>5</v>
      </c>
      <c r="D15" s="384">
        <f>('Daily Product Breakdown'!D15)*5</f>
        <v>15</v>
      </c>
      <c r="E15" s="385">
        <f>('Daily Product Breakdown'!E$15)*5</f>
        <v>10</v>
      </c>
      <c r="F15" s="384">
        <f>('Daily Product Breakdown'!F15)*5</f>
        <v>15</v>
      </c>
      <c r="G15" s="385">
        <f>('Daily Product Breakdown'!G15)*5</f>
        <v>30</v>
      </c>
      <c r="H15" s="384">
        <f>'Daily Product Breakdown'!H15*5</f>
        <v>25</v>
      </c>
    </row>
    <row r="16" spans="1:26" customFormat="1" hidden="1" x14ac:dyDescent="0.25">
      <c r="A16" s="383"/>
      <c r="B16" s="456">
        <f>'Daily Product Breakdown'!B21+3</f>
        <v>5</v>
      </c>
      <c r="C16" s="457">
        <f>'Daily Product Breakdown'!C21+3</f>
        <v>4</v>
      </c>
      <c r="D16" s="384">
        <f>'Daily Product Breakdown'!D21+3</f>
        <v>3</v>
      </c>
      <c r="E16" s="385">
        <f>'Daily Product Breakdown'!E21+4</f>
        <v>4</v>
      </c>
      <c r="F16" s="384">
        <f>'Daily Product Breakdown'!F21+5</f>
        <v>7</v>
      </c>
      <c r="G16" s="385">
        <f>'Daily Product Breakdown'!G21+5</f>
        <v>11</v>
      </c>
      <c r="H16" s="384">
        <f>'Daily Product Breakdown'!H21</f>
        <v>0</v>
      </c>
    </row>
    <row r="17" spans="1:10" customFormat="1" hidden="1" x14ac:dyDescent="0.25">
      <c r="A17" s="383"/>
      <c r="B17" s="456">
        <f>'Daily Product Breakdown'!B22+3</f>
        <v>3</v>
      </c>
      <c r="C17" s="457">
        <f>'Daily Product Breakdown'!C22+3</f>
        <v>3</v>
      </c>
      <c r="D17" s="384">
        <f>'Daily Product Breakdown'!D22+3</f>
        <v>3</v>
      </c>
      <c r="E17" s="385">
        <f>'Daily Product Breakdown'!E22+4</f>
        <v>4</v>
      </c>
      <c r="F17" s="384">
        <f>'Daily Product Breakdown'!F22+5</f>
        <v>5</v>
      </c>
      <c r="G17" s="385">
        <f>'Daily Product Breakdown'!G22+5</f>
        <v>5</v>
      </c>
      <c r="H17" s="384">
        <f>'Daily Product Breakdown'!H23</f>
        <v>0</v>
      </c>
    </row>
    <row r="18" spans="1:10" customFormat="1" x14ac:dyDescent="0.25">
      <c r="A18" s="383" t="s">
        <v>793</v>
      </c>
      <c r="B18" s="456">
        <f>('Daily Product Breakdown'!B17)*8</f>
        <v>72</v>
      </c>
      <c r="C18" s="457">
        <f>('Daily Product Breakdown'!C17)*8</f>
        <v>56</v>
      </c>
      <c r="D18" s="456">
        <f>('Daily Product Breakdown'!D17)*8</f>
        <v>144</v>
      </c>
      <c r="E18" s="457">
        <f>('Daily Product Breakdown'!E$17)*8</f>
        <v>96</v>
      </c>
      <c r="F18" s="456">
        <f>('Daily Product Breakdown'!F17)*8</f>
        <v>280</v>
      </c>
      <c r="G18" s="457">
        <f>('Daily Product Breakdown'!G17)*8</f>
        <v>344</v>
      </c>
      <c r="H18" s="384">
        <f>'Daily Product Breakdown'!H17*8</f>
        <v>96</v>
      </c>
    </row>
    <row r="19" spans="1:10" customFormat="1" hidden="1" x14ac:dyDescent="0.25">
      <c r="A19" s="383"/>
      <c r="B19" s="456">
        <f>'Daily Product Breakdown'!B24+3</f>
        <v>3</v>
      </c>
      <c r="C19" s="457">
        <f>'Daily Product Breakdown'!C24+3</f>
        <v>3</v>
      </c>
      <c r="D19" s="384">
        <f>'Daily Product Breakdown'!D24+3</f>
        <v>3</v>
      </c>
      <c r="E19" s="385">
        <f>'Daily Product Breakdown'!E24+4</f>
        <v>4</v>
      </c>
      <c r="F19" s="384">
        <f>'Daily Product Breakdown'!F24+5</f>
        <v>5</v>
      </c>
      <c r="G19" s="385">
        <f>'Daily Product Breakdown'!G24+5</f>
        <v>5</v>
      </c>
      <c r="H19" s="384">
        <f>'Daily Product Breakdown'!H25</f>
        <v>5</v>
      </c>
    </row>
    <row r="20" spans="1:10" customFormat="1" x14ac:dyDescent="0.25">
      <c r="A20" s="383" t="s">
        <v>794</v>
      </c>
      <c r="B20" s="456">
        <f>('Daily Product Breakdown'!B3)*5</f>
        <v>15</v>
      </c>
      <c r="C20" s="457">
        <f>('Daily Product Breakdown'!C3)*5</f>
        <v>5</v>
      </c>
      <c r="D20" s="384">
        <f>('Daily Product Breakdown'!D3)*5</f>
        <v>30</v>
      </c>
      <c r="E20" s="385">
        <f>('Daily Product Breakdown'!E$3)*5</f>
        <v>5</v>
      </c>
      <c r="F20" s="384">
        <f>('Daily Product Breakdown'!F3)*5</f>
        <v>60</v>
      </c>
      <c r="G20" s="385">
        <f>('Daily Product Breakdown'!G3)*5</f>
        <v>70</v>
      </c>
      <c r="H20" s="384">
        <f>'Daily Product Breakdown'!H3*5</f>
        <v>25</v>
      </c>
    </row>
    <row r="21" spans="1:10" customFormat="1" hidden="1" x14ac:dyDescent="0.25">
      <c r="A21" s="383"/>
      <c r="B21" s="456">
        <f>'Daily Product Breakdown'!B26+3</f>
        <v>3</v>
      </c>
      <c r="C21" s="457">
        <f>'Daily Product Breakdown'!C26+3</f>
        <v>3</v>
      </c>
      <c r="D21" s="384">
        <f>TRUNC(1*('Daily Product Breakdown'!D30)*(1/100%))</f>
        <v>0</v>
      </c>
      <c r="E21" s="385">
        <f>'Daily Product Breakdown'!E26+4</f>
        <v>4</v>
      </c>
      <c r="F21" s="384">
        <f>'Daily Product Breakdown'!F26+5</f>
        <v>5</v>
      </c>
      <c r="G21" s="385">
        <f>'Daily Product Breakdown'!G27+5</f>
        <v>18</v>
      </c>
      <c r="H21" s="384">
        <f>'Daily Product Breakdown'!H27</f>
        <v>7</v>
      </c>
    </row>
    <row r="22" spans="1:10" customFormat="1" x14ac:dyDescent="0.25">
      <c r="A22" s="383" t="s">
        <v>795</v>
      </c>
      <c r="B22" s="456">
        <f>('Daily Product Breakdown'!B5)*8</f>
        <v>32</v>
      </c>
      <c r="C22" s="457">
        <f>('Daily Product Breakdown'!C5)*8</f>
        <v>40</v>
      </c>
      <c r="D22" s="384">
        <f>('Daily Product Breakdown'!D5)*8</f>
        <v>40</v>
      </c>
      <c r="E22" s="385">
        <f>('Daily Product Breakdown'!E$5)*8</f>
        <v>24</v>
      </c>
      <c r="F22" s="384">
        <f>('Daily Product Breakdown'!F5)*8</f>
        <v>72</v>
      </c>
      <c r="G22" s="385">
        <f>('Daily Product Breakdown'!G5)*8</f>
        <v>176</v>
      </c>
      <c r="H22" s="384">
        <f>'Daily Product Breakdown'!H5*8</f>
        <v>32</v>
      </c>
    </row>
    <row r="23" spans="1:10" customFormat="1" x14ac:dyDescent="0.25">
      <c r="A23" s="383" t="s">
        <v>796</v>
      </c>
      <c r="B23" s="456">
        <f>('Daily Product Breakdown'!B25)*8</f>
        <v>24</v>
      </c>
      <c r="C23" s="457">
        <f>('Daily Product Breakdown'!C25)*8</f>
        <v>44</v>
      </c>
      <c r="D23" s="458">
        <f>('Daily Product Breakdown'!D25)*8</f>
        <v>0</v>
      </c>
      <c r="E23" s="459">
        <f>('Daily Product Breakdown'!E$5)*8</f>
        <v>24</v>
      </c>
      <c r="F23" s="458">
        <f>('Daily Product Breakdown'!F25)*8</f>
        <v>100</v>
      </c>
      <c r="G23" s="459">
        <f>('Daily Product Breakdown'!G25)*8</f>
        <v>108</v>
      </c>
      <c r="H23" s="458">
        <f>('Daily Product Breakdown'!H25)*8</f>
        <v>40</v>
      </c>
    </row>
    <row r="24" spans="1:10" customFormat="1" x14ac:dyDescent="0.25">
      <c r="A24" s="383" t="s">
        <v>1854</v>
      </c>
      <c r="B24" s="456">
        <f>('Daily Product Breakdown'!B89)/6</f>
        <v>3</v>
      </c>
      <c r="C24" s="457">
        <f>('Daily Product Breakdown'!C89)/6</f>
        <v>1</v>
      </c>
      <c r="D24" s="384">
        <f>('Daily Product Breakdown'!D89)/6</f>
        <v>1</v>
      </c>
      <c r="E24" s="385">
        <f>('Daily Product Breakdown'!E$89)/6</f>
        <v>3</v>
      </c>
      <c r="F24" s="384">
        <f>('Daily Product Breakdown'!F89)/6</f>
        <v>4</v>
      </c>
      <c r="G24" s="385">
        <f>('Daily Product Breakdown'!G89)/6</f>
        <v>12</v>
      </c>
      <c r="H24" s="384">
        <f>'Daily Product Breakdown'!H89/6</f>
        <v>2</v>
      </c>
    </row>
    <row r="25" spans="1:10" ht="21" x14ac:dyDescent="0.35">
      <c r="F25" s="454"/>
      <c r="G25" s="454"/>
    </row>
    <row r="26" spans="1:10" ht="21" customHeight="1" x14ac:dyDescent="0.35">
      <c r="A26"/>
      <c r="B26"/>
      <c r="C26" s="460" t="s">
        <v>1841</v>
      </c>
      <c r="D26"/>
      <c r="E26"/>
      <c r="F26"/>
      <c r="G26"/>
      <c r="H26"/>
      <c r="I26"/>
      <c r="J26"/>
    </row>
    <row r="27" spans="1:10" ht="21" customHeight="1" x14ac:dyDescent="0.35">
      <c r="A27"/>
      <c r="B27" s="461" t="s">
        <v>797</v>
      </c>
      <c r="C27" s="462" t="s">
        <v>798</v>
      </c>
      <c r="D27" s="462" t="s">
        <v>799</v>
      </c>
      <c r="E27" s="462" t="s">
        <v>797</v>
      </c>
      <c r="F27" s="462" t="s">
        <v>800</v>
      </c>
      <c r="G27" s="462" t="s">
        <v>799</v>
      </c>
      <c r="H27" s="462" t="s">
        <v>797</v>
      </c>
      <c r="I27" s="462" t="s">
        <v>927</v>
      </c>
      <c r="J27" s="462" t="s">
        <v>799</v>
      </c>
    </row>
    <row r="28" spans="1:10" ht="21" customHeight="1" x14ac:dyDescent="0.35">
      <c r="A28" s="843" t="s">
        <v>801</v>
      </c>
      <c r="B28" s="844"/>
      <c r="C28" s="846">
        <f>(((SUM(B6:D6)*8)+(SUM(B4:D4)*5))/16)</f>
        <v>37.5625</v>
      </c>
      <c r="D28" s="848">
        <f>(C28-(B28-2))/2</f>
        <v>19.78125</v>
      </c>
      <c r="E28" s="844"/>
      <c r="F28" s="846">
        <f>(((SUM(D6:F6)*8)+(SUM(D4:F4)*5))/16)</f>
        <v>63.125</v>
      </c>
      <c r="G28" s="848">
        <f>(F28-(E28-2))</f>
        <v>65.125</v>
      </c>
      <c r="H28" s="844">
        <v>22</v>
      </c>
      <c r="I28" s="846">
        <f>(((SUM(F6:H6)*8)/16+(SUM(F4:H4)*5)/16))</f>
        <v>169.375</v>
      </c>
      <c r="J28" s="848">
        <f>(I28-(H28-2))</f>
        <v>149.375</v>
      </c>
    </row>
    <row r="29" spans="1:10" ht="21" customHeight="1" x14ac:dyDescent="0.35">
      <c r="A29" s="843"/>
      <c r="B29" s="845"/>
      <c r="C29" s="847"/>
      <c r="D29" s="849"/>
      <c r="E29" s="845"/>
      <c r="F29" s="847"/>
      <c r="G29" s="849"/>
      <c r="H29" s="845"/>
      <c r="I29" s="847"/>
      <c r="J29" s="849"/>
    </row>
    <row r="30" spans="1:10" ht="21" customHeight="1" x14ac:dyDescent="0.35">
      <c r="A30" s="843" t="s">
        <v>1805</v>
      </c>
      <c r="B30" s="844"/>
      <c r="C30" s="846">
        <f>(((SUM(B9:D9)*8)+(SUM(B8:D8)*5))/16)</f>
        <v>19.8125</v>
      </c>
      <c r="D30" s="848">
        <f>(C30-(B30-2))/2</f>
        <v>10.90625</v>
      </c>
      <c r="E30" s="844"/>
      <c r="F30" s="846">
        <f>(((SUM(D9:F9)*8)+(SUM(D8:F8)*5))/16)</f>
        <v>23.625</v>
      </c>
      <c r="G30" s="848">
        <f>(F30-(E30-2))/1.5</f>
        <v>17.083333333333332</v>
      </c>
      <c r="H30" s="844">
        <v>12</v>
      </c>
      <c r="I30" s="846">
        <f>(((SUM(F9:H9)*8)/16+(SUM(F8:H8)*5)/16))</f>
        <v>57</v>
      </c>
      <c r="J30" s="848">
        <f>(I30-(H30-2))/2</f>
        <v>23.5</v>
      </c>
    </row>
    <row r="31" spans="1:10" ht="21" customHeight="1" x14ac:dyDescent="0.35">
      <c r="A31" s="843"/>
      <c r="B31" s="845"/>
      <c r="C31" s="847"/>
      <c r="D31" s="849"/>
      <c r="E31" s="845"/>
      <c r="F31" s="847"/>
      <c r="G31" s="849"/>
      <c r="H31" s="845"/>
      <c r="I31" s="847"/>
      <c r="J31" s="849"/>
    </row>
    <row r="32" spans="1:10" ht="21" customHeight="1" x14ac:dyDescent="0.35">
      <c r="A32" s="383" t="s">
        <v>802</v>
      </c>
      <c r="B32" s="596"/>
      <c r="C32" s="463">
        <f>SUM(B23:D23)-B32-2</f>
        <v>66</v>
      </c>
      <c r="D32" s="598">
        <f>C32-B32/2</f>
        <v>66</v>
      </c>
      <c r="E32" s="797"/>
      <c r="F32" s="463">
        <f>SUM(D23:F23)-E33</f>
        <v>124</v>
      </c>
      <c r="G32" s="598">
        <f>F32-E33-2</f>
        <v>122</v>
      </c>
      <c r="H32" s="596">
        <v>15</v>
      </c>
      <c r="I32" s="463">
        <f>SUM(F23:H23)</f>
        <v>248</v>
      </c>
      <c r="J32" s="598">
        <f>(I32-H32-2)/2</f>
        <v>115.5</v>
      </c>
    </row>
    <row r="33" spans="1:12" ht="21" customHeight="1" x14ac:dyDescent="0.35">
      <c r="A33" s="383" t="s">
        <v>803</v>
      </c>
      <c r="B33" s="596"/>
      <c r="C33" s="463">
        <f>SUM(B11:D11)-B33</f>
        <v>5</v>
      </c>
      <c r="D33" s="598">
        <f>(C33*5)/16/2</f>
        <v>0.78125</v>
      </c>
      <c r="E33" s="596"/>
      <c r="F33" s="463">
        <f>SUM(D11:F11)-E33</f>
        <v>30</v>
      </c>
      <c r="G33" s="598">
        <f>(F33*5)/16/1.5</f>
        <v>6.25</v>
      </c>
      <c r="H33" s="596">
        <v>11</v>
      </c>
      <c r="I33" s="463">
        <f>SUM(F11:H11)</f>
        <v>55</v>
      </c>
      <c r="J33" s="598">
        <f>(I33*5-H33)/16/2</f>
        <v>8.25</v>
      </c>
    </row>
    <row r="34" spans="1:12" ht="21" customHeight="1" x14ac:dyDescent="0.35">
      <c r="A34" s="383" t="s">
        <v>804</v>
      </c>
      <c r="B34" s="596"/>
      <c r="C34" s="463">
        <f>SUM(B13:D13)-B34</f>
        <v>184</v>
      </c>
      <c r="D34" s="598">
        <f>(C34*8)/16/2</f>
        <v>46</v>
      </c>
      <c r="E34" s="596"/>
      <c r="F34" s="463">
        <f>SUM(D13:F13)-E34</f>
        <v>408</v>
      </c>
      <c r="G34" s="598">
        <f>(F34*5)/16/1.5</f>
        <v>85</v>
      </c>
      <c r="H34" s="596">
        <v>44</v>
      </c>
      <c r="I34" s="463">
        <f>SUM(F13:H13)</f>
        <v>568</v>
      </c>
      <c r="J34" s="598">
        <f>(I34*8-H34)/16/2</f>
        <v>140.625</v>
      </c>
    </row>
    <row r="35" spans="1:12" ht="21" customHeight="1" x14ac:dyDescent="0.35">
      <c r="A35" s="383" t="s">
        <v>805</v>
      </c>
      <c r="B35" s="596"/>
      <c r="C35" s="463">
        <f>SUM(B15:D15)-B35</f>
        <v>25</v>
      </c>
      <c r="D35" s="598">
        <f>(C35*5)/16/2</f>
        <v>3.90625</v>
      </c>
      <c r="E35" s="596"/>
      <c r="F35" s="463">
        <f>SUM(D15:F15)-E35</f>
        <v>40</v>
      </c>
      <c r="G35" s="598">
        <f>(F35*5)/16/1.5</f>
        <v>8.3333333333333339</v>
      </c>
      <c r="H35" s="596">
        <v>1</v>
      </c>
      <c r="I35" s="463">
        <f>SUM(F15:H15)</f>
        <v>70</v>
      </c>
      <c r="J35" s="598">
        <f>(I35*5-H35)/16/2</f>
        <v>10.90625</v>
      </c>
    </row>
    <row r="36" spans="1:12" ht="21" customHeight="1" x14ac:dyDescent="0.35">
      <c r="A36" s="383" t="s">
        <v>806</v>
      </c>
      <c r="B36" s="596"/>
      <c r="C36" s="463">
        <f>SUM(B18:D18)-B36</f>
        <v>272</v>
      </c>
      <c r="D36" s="598">
        <f>(C36*8)/16/2</f>
        <v>68</v>
      </c>
      <c r="E36" s="596"/>
      <c r="F36" s="463">
        <f>SUM(D18:F18)-E36</f>
        <v>520</v>
      </c>
      <c r="G36" s="598">
        <f>(F36*8)/16/1.5</f>
        <v>173.33333333333334</v>
      </c>
      <c r="H36" s="596">
        <v>4</v>
      </c>
      <c r="I36" s="463">
        <f>SUM(F18:H18)</f>
        <v>720</v>
      </c>
      <c r="J36" s="598">
        <f>(I36*8-H36)/16/2</f>
        <v>179.875</v>
      </c>
    </row>
    <row r="37" spans="1:12" ht="21" customHeight="1" x14ac:dyDescent="0.35">
      <c r="A37" s="383" t="s">
        <v>807</v>
      </c>
      <c r="B37" s="596"/>
      <c r="C37" s="463">
        <f>SUM(B20:D20)-B37</f>
        <v>50</v>
      </c>
      <c r="D37" s="598">
        <f>(C37*5)/16/2</f>
        <v>7.8125</v>
      </c>
      <c r="E37" s="596"/>
      <c r="F37" s="463">
        <f>SUM(D20:F20)-E37</f>
        <v>95</v>
      </c>
      <c r="G37" s="598">
        <f>(F37*5)/16/1.5</f>
        <v>19.791666666666668</v>
      </c>
      <c r="H37" s="596">
        <v>7</v>
      </c>
      <c r="I37" s="463">
        <f>SUM(F20:H20)</f>
        <v>155</v>
      </c>
      <c r="J37" s="598">
        <f>(I37*5-H37)/16/2</f>
        <v>24</v>
      </c>
    </row>
    <row r="38" spans="1:12" ht="21" customHeight="1" x14ac:dyDescent="0.35">
      <c r="A38" s="383" t="s">
        <v>808</v>
      </c>
      <c r="B38" s="596"/>
      <c r="C38" s="463">
        <f>SUM(B22:D22)-B38</f>
        <v>112</v>
      </c>
      <c r="D38" s="598">
        <f>(C38*8)/16/2</f>
        <v>28</v>
      </c>
      <c r="E38" s="596"/>
      <c r="F38" s="463">
        <f>SUM(D22:F22)-E38</f>
        <v>136</v>
      </c>
      <c r="G38" s="598">
        <f>(F38*8)/16/1.5</f>
        <v>45.333333333333336</v>
      </c>
      <c r="H38" s="597">
        <v>38</v>
      </c>
      <c r="I38" s="463">
        <f>SUM(F22:H22)</f>
        <v>280</v>
      </c>
      <c r="J38" s="598">
        <f>(I38*8-H38)/16/2</f>
        <v>68.8125</v>
      </c>
    </row>
    <row r="39" spans="1:12" ht="21" customHeight="1" x14ac:dyDescent="0.35">
      <c r="A39" s="383" t="s">
        <v>1854</v>
      </c>
      <c r="B39" s="596"/>
      <c r="C39" s="463">
        <f>SUM(B24:D24)</f>
        <v>5</v>
      </c>
      <c r="D39" s="599">
        <f>(C39-B39)</f>
        <v>5</v>
      </c>
      <c r="E39" s="596"/>
      <c r="F39" s="463">
        <f>SUM(D24:F24)</f>
        <v>8</v>
      </c>
      <c r="G39" s="599">
        <f>(F39-E39)</f>
        <v>8</v>
      </c>
      <c r="H39" s="597">
        <v>13</v>
      </c>
      <c r="I39" s="463">
        <f>SUM(F24:H24)</f>
        <v>18</v>
      </c>
      <c r="J39" s="599">
        <f>(I39-H39)</f>
        <v>5</v>
      </c>
    </row>
    <row r="40" spans="1:12" ht="21" customHeight="1" x14ac:dyDescent="0.35">
      <c r="A40"/>
      <c r="B40" t="s">
        <v>1803</v>
      </c>
      <c r="C40" s="464"/>
      <c r="D40" s="465">
        <f>SUM(D28:D38)</f>
        <v>251.1875</v>
      </c>
      <c r="E40" s="465" t="s">
        <v>1804</v>
      </c>
      <c r="F40" s="464"/>
      <c r="G40" s="465">
        <f>SUM(G28:G38)</f>
        <v>542.25</v>
      </c>
      <c r="H40" s="465" t="s">
        <v>809</v>
      </c>
      <c r="I40" s="464"/>
      <c r="J40" s="465">
        <f>SUM(J28:J38)</f>
        <v>720.84375</v>
      </c>
      <c r="L40" s="466">
        <f>(D40+G40+J40)</f>
        <v>1514.28125</v>
      </c>
    </row>
    <row r="41" spans="1:12" ht="21" customHeight="1" thickBot="1" x14ac:dyDescent="0.4">
      <c r="A41"/>
      <c r="B41"/>
      <c r="C41" s="460"/>
      <c r="F41" s="454"/>
      <c r="G41" s="454"/>
    </row>
    <row r="42" spans="1:12" ht="21" customHeight="1" thickBot="1" x14ac:dyDescent="0.4">
      <c r="A42"/>
      <c r="B42"/>
      <c r="E42" s="850" t="s">
        <v>810</v>
      </c>
      <c r="F42" s="851"/>
      <c r="G42" s="851"/>
      <c r="H42" s="851"/>
      <c r="I42" s="852"/>
    </row>
    <row r="43" spans="1:12" ht="21" customHeight="1" thickBot="1" x14ac:dyDescent="0.4">
      <c r="A43"/>
      <c r="B43"/>
      <c r="E43" s="853" t="s">
        <v>811</v>
      </c>
      <c r="F43" s="854"/>
      <c r="G43" s="854"/>
      <c r="H43" s="854"/>
      <c r="I43" s="855"/>
    </row>
    <row r="44" spans="1:12" ht="21" customHeight="1" x14ac:dyDescent="0.35">
      <c r="A44"/>
      <c r="B44"/>
      <c r="F44" s="454"/>
      <c r="G44" s="454"/>
    </row>
    <row r="45" spans="1:12" ht="21" customHeight="1" x14ac:dyDescent="0.35">
      <c r="A45"/>
      <c r="B45"/>
      <c r="F45" s="454"/>
      <c r="G45" s="454"/>
    </row>
    <row r="46" spans="1:12" ht="21" customHeight="1" x14ac:dyDescent="0.35">
      <c r="F46" s="454"/>
      <c r="G46" s="454"/>
    </row>
    <row r="47" spans="1:12" ht="21" customHeight="1" x14ac:dyDescent="0.35">
      <c r="F47" s="454"/>
      <c r="G47" s="454"/>
    </row>
    <row r="48" spans="1:12" ht="21" customHeight="1" x14ac:dyDescent="0.35">
      <c r="F48" s="454"/>
      <c r="G48" s="454"/>
    </row>
    <row r="49" s="454" customFormat="1" ht="21" customHeight="1" x14ac:dyDescent="0.35"/>
    <row r="50" s="454" customFormat="1" ht="21" customHeight="1" x14ac:dyDescent="0.35"/>
    <row r="51" s="454" customFormat="1" ht="21" customHeight="1" x14ac:dyDescent="0.35"/>
    <row r="52" s="454" customFormat="1" ht="21" customHeight="1" x14ac:dyDescent="0.35"/>
    <row r="53" s="454" customFormat="1" ht="21" customHeight="1" x14ac:dyDescent="0.35"/>
    <row r="54" s="454" customFormat="1" ht="21" customHeight="1" x14ac:dyDescent="0.35"/>
    <row r="55" s="454" customFormat="1" ht="21" customHeight="1" x14ac:dyDescent="0.35"/>
    <row r="56" s="454" customFormat="1" ht="21" customHeight="1" x14ac:dyDescent="0.35"/>
    <row r="57" s="454" customFormat="1" ht="21" customHeight="1" x14ac:dyDescent="0.35"/>
    <row r="58" s="454" customFormat="1" ht="21" customHeight="1" x14ac:dyDescent="0.35"/>
    <row r="59" s="454" customFormat="1" ht="21" customHeight="1" x14ac:dyDescent="0.35"/>
    <row r="60" s="454" customFormat="1" ht="21" customHeight="1" x14ac:dyDescent="0.35"/>
    <row r="61" s="454" customFormat="1" ht="21" customHeight="1" x14ac:dyDescent="0.35"/>
    <row r="62" s="454" customFormat="1" ht="21" customHeight="1" x14ac:dyDescent="0.35"/>
    <row r="63" s="454" customFormat="1" ht="21" customHeight="1" x14ac:dyDescent="0.35"/>
    <row r="64" s="454" customFormat="1" ht="21" customHeight="1" x14ac:dyDescent="0.35"/>
    <row r="65" spans="6:7" ht="21" customHeight="1" x14ac:dyDescent="0.35">
      <c r="F65" s="454"/>
      <c r="G65" s="454"/>
    </row>
    <row r="66" spans="6:7" ht="21" customHeight="1" x14ac:dyDescent="0.35">
      <c r="F66" s="454"/>
      <c r="G66" s="454"/>
    </row>
    <row r="67" spans="6:7" ht="21" customHeight="1" x14ac:dyDescent="0.35">
      <c r="F67" s="454"/>
      <c r="G67" s="454"/>
    </row>
    <row r="68" spans="6:7" ht="21" customHeight="1" x14ac:dyDescent="0.35">
      <c r="F68" s="454"/>
      <c r="G68" s="454"/>
    </row>
    <row r="69" spans="6:7" ht="21" customHeight="1" x14ac:dyDescent="0.35">
      <c r="F69" s="454"/>
      <c r="G69" s="454"/>
    </row>
    <row r="70" spans="6:7" ht="21" customHeight="1" x14ac:dyDescent="0.35">
      <c r="F70" s="454"/>
      <c r="G70" s="454"/>
    </row>
    <row r="71" spans="6:7" ht="21" customHeight="1" x14ac:dyDescent="0.35"/>
    <row r="72" spans="6:7" ht="21" customHeight="1" x14ac:dyDescent="0.35"/>
    <row r="73" spans="6:7" ht="21" customHeight="1" x14ac:dyDescent="0.35"/>
    <row r="74" spans="6:7" ht="21" customHeight="1" x14ac:dyDescent="0.35"/>
    <row r="75" spans="6:7" ht="21" customHeight="1" x14ac:dyDescent="0.35"/>
    <row r="76" spans="6:7" ht="21" customHeight="1" x14ac:dyDescent="0.35"/>
    <row r="77" spans="6:7" ht="21" customHeight="1" x14ac:dyDescent="0.35"/>
    <row r="78" spans="6:7" ht="21" customHeight="1" x14ac:dyDescent="0.35"/>
    <row r="79" spans="6:7" ht="21" customHeight="1" x14ac:dyDescent="0.35"/>
    <row r="80" spans="6:7" ht="21" customHeight="1" x14ac:dyDescent="0.35"/>
    <row r="81" ht="21" customHeight="1" x14ac:dyDescent="0.35"/>
    <row r="82" ht="21" customHeight="1" x14ac:dyDescent="0.35"/>
    <row r="83" ht="21" customHeight="1" x14ac:dyDescent="0.35"/>
    <row r="84" ht="21" customHeight="1" x14ac:dyDescent="0.35"/>
    <row r="85" ht="21" customHeight="1" x14ac:dyDescent="0.35"/>
    <row r="86" ht="21" customHeight="1" x14ac:dyDescent="0.35"/>
    <row r="87" ht="21" customHeight="1" x14ac:dyDescent="0.35"/>
    <row r="88" ht="21" customHeight="1" x14ac:dyDescent="0.35"/>
    <row r="89" ht="21" customHeight="1" x14ac:dyDescent="0.35"/>
    <row r="90" ht="21" customHeight="1" x14ac:dyDescent="0.35"/>
    <row r="91" ht="21" customHeight="1" x14ac:dyDescent="0.35"/>
    <row r="92" ht="21" customHeight="1" x14ac:dyDescent="0.35"/>
    <row r="93" ht="21" customHeight="1" x14ac:dyDescent="0.35"/>
    <row r="94" ht="21" customHeight="1" x14ac:dyDescent="0.35"/>
    <row r="95" ht="21" customHeight="1" x14ac:dyDescent="0.35"/>
    <row r="96" ht="21" customHeight="1" x14ac:dyDescent="0.35"/>
    <row r="97" ht="21" customHeight="1" x14ac:dyDescent="0.35"/>
    <row r="98" ht="21" customHeight="1" x14ac:dyDescent="0.35"/>
    <row r="99" ht="21" customHeight="1" x14ac:dyDescent="0.35"/>
    <row r="100" ht="21" customHeight="1" x14ac:dyDescent="0.35"/>
    <row r="101" ht="21" customHeight="1" x14ac:dyDescent="0.35"/>
    <row r="102" ht="21" customHeight="1" x14ac:dyDescent="0.35"/>
    <row r="103" ht="21" customHeight="1" x14ac:dyDescent="0.35"/>
    <row r="104" ht="21" customHeight="1" x14ac:dyDescent="0.35"/>
    <row r="105" ht="21" customHeight="1" x14ac:dyDescent="0.35"/>
    <row r="106" ht="21" customHeight="1" x14ac:dyDescent="0.35"/>
    <row r="107" ht="21" customHeight="1" x14ac:dyDescent="0.35"/>
    <row r="108" ht="21" customHeight="1" x14ac:dyDescent="0.35"/>
    <row r="109" ht="21" customHeight="1" x14ac:dyDescent="0.35"/>
    <row r="110" ht="21" customHeight="1" x14ac:dyDescent="0.35"/>
    <row r="111" ht="21" customHeight="1" x14ac:dyDescent="0.35"/>
    <row r="112" ht="21" customHeight="1" x14ac:dyDescent="0.35"/>
    <row r="113" ht="21" customHeight="1" x14ac:dyDescent="0.35"/>
    <row r="114" ht="21" customHeight="1" x14ac:dyDescent="0.35"/>
    <row r="115" ht="21" customHeight="1" x14ac:dyDescent="0.35"/>
    <row r="116" ht="21" customHeight="1" x14ac:dyDescent="0.35"/>
    <row r="117" ht="21" customHeight="1" x14ac:dyDescent="0.35"/>
    <row r="118" ht="21" customHeight="1" x14ac:dyDescent="0.35"/>
    <row r="119" ht="21" customHeight="1" x14ac:dyDescent="0.35"/>
    <row r="120" ht="21" customHeight="1" x14ac:dyDescent="0.35"/>
    <row r="121" ht="21" customHeight="1" x14ac:dyDescent="0.35"/>
    <row r="122" ht="21" customHeight="1" x14ac:dyDescent="0.35"/>
    <row r="123" ht="21" customHeight="1" x14ac:dyDescent="0.35"/>
    <row r="124" ht="21" customHeight="1" x14ac:dyDescent="0.35"/>
    <row r="125" ht="21" customHeight="1" x14ac:dyDescent="0.35"/>
    <row r="126" ht="21" customHeight="1" x14ac:dyDescent="0.35"/>
    <row r="127" ht="21" customHeight="1" x14ac:dyDescent="0.35"/>
    <row r="128" ht="21" customHeight="1" x14ac:dyDescent="0.35"/>
    <row r="129" ht="21" customHeight="1" x14ac:dyDescent="0.35"/>
    <row r="130" ht="21" customHeight="1" x14ac:dyDescent="0.35"/>
    <row r="131" ht="21" customHeight="1" x14ac:dyDescent="0.35"/>
    <row r="132" ht="21" customHeight="1" x14ac:dyDescent="0.35"/>
    <row r="133" ht="21" customHeight="1" x14ac:dyDescent="0.35"/>
    <row r="134" ht="21" customHeight="1" x14ac:dyDescent="0.35"/>
    <row r="135" ht="21" customHeight="1" x14ac:dyDescent="0.35"/>
    <row r="136" ht="21" customHeight="1" x14ac:dyDescent="0.35"/>
    <row r="137" ht="21" customHeight="1" x14ac:dyDescent="0.35"/>
    <row r="138" ht="21" customHeight="1" x14ac:dyDescent="0.35"/>
    <row r="139" ht="21" customHeight="1" x14ac:dyDescent="0.35"/>
    <row r="140" ht="21" customHeight="1" x14ac:dyDescent="0.35"/>
    <row r="141" ht="21" customHeight="1" x14ac:dyDescent="0.35"/>
    <row r="142" ht="21" customHeight="1" x14ac:dyDescent="0.35"/>
    <row r="143" ht="21" customHeight="1" x14ac:dyDescent="0.35"/>
    <row r="144" ht="21" customHeight="1" x14ac:dyDescent="0.35"/>
    <row r="145" ht="21" customHeight="1" x14ac:dyDescent="0.35"/>
    <row r="146" ht="21" customHeight="1" x14ac:dyDescent="0.35"/>
    <row r="147" ht="21" customHeight="1" x14ac:dyDescent="0.35"/>
    <row r="148" ht="21" customHeight="1" x14ac:dyDescent="0.35"/>
    <row r="149" ht="21" customHeight="1" x14ac:dyDescent="0.35"/>
    <row r="150" ht="21" customHeight="1" x14ac:dyDescent="0.35"/>
    <row r="151" ht="21" customHeight="1" x14ac:dyDescent="0.35"/>
    <row r="152" ht="21" customHeight="1" x14ac:dyDescent="0.35"/>
    <row r="153" ht="21" customHeight="1" x14ac:dyDescent="0.35"/>
    <row r="154" ht="21" customHeight="1" x14ac:dyDescent="0.35"/>
    <row r="155" ht="21" customHeight="1" x14ac:dyDescent="0.35"/>
    <row r="156" ht="21" customHeight="1" x14ac:dyDescent="0.35"/>
    <row r="157" ht="21" customHeight="1" x14ac:dyDescent="0.35"/>
    <row r="158" ht="21" customHeight="1" x14ac:dyDescent="0.35"/>
    <row r="159" ht="21" customHeight="1" x14ac:dyDescent="0.35"/>
    <row r="160" ht="21" customHeight="1" x14ac:dyDescent="0.35"/>
    <row r="161" ht="21" customHeight="1" x14ac:dyDescent="0.35"/>
    <row r="162" ht="21" customHeight="1" x14ac:dyDescent="0.35"/>
    <row r="163" ht="21" customHeight="1" x14ac:dyDescent="0.35"/>
    <row r="164" ht="21" customHeight="1" x14ac:dyDescent="0.35"/>
    <row r="165" ht="21" customHeight="1" x14ac:dyDescent="0.35"/>
    <row r="166" ht="21" customHeight="1" x14ac:dyDescent="0.35"/>
    <row r="167" ht="21" customHeight="1" x14ac:dyDescent="0.35"/>
    <row r="168" ht="21" customHeight="1" x14ac:dyDescent="0.35"/>
    <row r="169" ht="21" customHeight="1" x14ac:dyDescent="0.35"/>
    <row r="170" ht="21" customHeight="1" x14ac:dyDescent="0.35"/>
    <row r="171" ht="21" customHeight="1" x14ac:dyDescent="0.35"/>
    <row r="172" ht="21" customHeight="1" x14ac:dyDescent="0.35"/>
    <row r="173" ht="21" customHeight="1" x14ac:dyDescent="0.35"/>
    <row r="174" ht="21" customHeight="1" x14ac:dyDescent="0.35"/>
    <row r="175" ht="21" customHeight="1" x14ac:dyDescent="0.35"/>
    <row r="176" ht="21" customHeight="1" x14ac:dyDescent="0.35"/>
    <row r="177" ht="21" customHeight="1" x14ac:dyDescent="0.35"/>
    <row r="178" ht="21" customHeight="1" x14ac:dyDescent="0.35"/>
    <row r="179" ht="21" customHeight="1" x14ac:dyDescent="0.35"/>
    <row r="180" ht="21" customHeight="1" x14ac:dyDescent="0.35"/>
    <row r="181" ht="21" customHeight="1" x14ac:dyDescent="0.35"/>
  </sheetData>
  <mergeCells count="22">
    <mergeCell ref="G30:G31"/>
    <mergeCell ref="H30:H31"/>
    <mergeCell ref="I30:I31"/>
    <mergeCell ref="J30:J31"/>
    <mergeCell ref="E42:I42"/>
    <mergeCell ref="E43:I43"/>
    <mergeCell ref="G28:G29"/>
    <mergeCell ref="H28:H29"/>
    <mergeCell ref="I28:I29"/>
    <mergeCell ref="J28:J29"/>
    <mergeCell ref="A30:A31"/>
    <mergeCell ref="B30:B31"/>
    <mergeCell ref="C30:C31"/>
    <mergeCell ref="D30:D31"/>
    <mergeCell ref="E30:E31"/>
    <mergeCell ref="F30:F31"/>
    <mergeCell ref="A28:A29"/>
    <mergeCell ref="B28:B29"/>
    <mergeCell ref="C28:C29"/>
    <mergeCell ref="D28:D29"/>
    <mergeCell ref="E28:E29"/>
    <mergeCell ref="F28:F29"/>
  </mergeCells>
  <printOptions horizontalCentered="1" verticalCentered="1"/>
  <pageMargins left="0" right="0" top="0" bottom="0" header="0" footer="0"/>
  <pageSetup scale="90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934D-2F38-48BF-9604-A99F22D29ADA}">
  <sheetPr codeName="Sheet31"/>
  <dimension ref="A1:G482"/>
  <sheetViews>
    <sheetView view="pageBreakPreview" zoomScale="55" zoomScaleNormal="50" zoomScaleSheetLayoutView="55" workbookViewId="0">
      <selection activeCell="T291" sqref="T291"/>
    </sheetView>
  </sheetViews>
  <sheetFormatPr defaultRowHeight="15" customHeight="1" x14ac:dyDescent="0.35"/>
  <cols>
    <col min="1" max="1" width="35.28515625" style="469" customWidth="1"/>
    <col min="2" max="2" width="13" style="469" customWidth="1"/>
    <col min="3" max="3" width="10.85546875" style="469" customWidth="1"/>
    <col min="4" max="4" width="14.42578125" style="469" bestFit="1" customWidth="1"/>
    <col min="5" max="5" width="17.7109375" style="469" customWidth="1"/>
    <col min="6" max="7" width="13.5703125" style="469" customWidth="1"/>
    <col min="8" max="8" width="10.7109375" style="469" customWidth="1"/>
    <col min="9" max="16384" width="9.140625" style="469"/>
  </cols>
  <sheetData>
    <row r="1" spans="1:7" ht="21.75" thickBot="1" x14ac:dyDescent="0.4">
      <c r="A1" s="803" t="s">
        <v>131</v>
      </c>
      <c r="B1" s="803" t="s">
        <v>132</v>
      </c>
      <c r="C1" s="803" t="s">
        <v>821</v>
      </c>
      <c r="D1" s="803" t="s">
        <v>548</v>
      </c>
      <c r="E1" s="803" t="s">
        <v>834</v>
      </c>
      <c r="F1" s="803" t="s">
        <v>833</v>
      </c>
      <c r="G1" s="803" t="s">
        <v>820</v>
      </c>
    </row>
    <row r="2" spans="1:7" ht="21.75" thickBot="1" x14ac:dyDescent="0.4">
      <c r="A2" s="856" t="s">
        <v>1892</v>
      </c>
      <c r="B2" s="857"/>
      <c r="C2" s="857"/>
      <c r="D2" s="857"/>
      <c r="E2" s="857"/>
      <c r="F2" s="857"/>
      <c r="G2" s="858"/>
    </row>
    <row r="3" spans="1:7" ht="21" x14ac:dyDescent="0.35">
      <c r="A3" s="475" t="s">
        <v>832</v>
      </c>
      <c r="B3" s="476" t="s">
        <v>142</v>
      </c>
      <c r="C3" s="476" t="s">
        <v>830</v>
      </c>
      <c r="D3" s="804">
        <f>('Daily Product Breakdown'!$C$27+'Daily Product Breakdown'!$D$27+'Daily Product Breakdown'!$E$27)</f>
        <v>15</v>
      </c>
      <c r="E3" s="475"/>
      <c r="F3" s="475"/>
      <c r="G3" s="475"/>
    </row>
    <row r="4" spans="1:7" ht="21.75" thickBot="1" x14ac:dyDescent="0.4">
      <c r="A4" s="470" t="s">
        <v>831</v>
      </c>
      <c r="B4" s="471" t="s">
        <v>142</v>
      </c>
      <c r="C4" s="471" t="s">
        <v>830</v>
      </c>
      <c r="D4" s="483">
        <f>('Daily Product Breakdown'!$C$29+'Daily Product Breakdown'!$D$29+'Daily Product Breakdown'!$E$29)</f>
        <v>14</v>
      </c>
      <c r="E4" s="470"/>
      <c r="F4" s="470"/>
      <c r="G4" s="470"/>
    </row>
    <row r="5" spans="1:7" ht="21.75" thickBot="1" x14ac:dyDescent="0.4">
      <c r="A5" s="856" t="s">
        <v>1893</v>
      </c>
      <c r="B5" s="857"/>
      <c r="C5" s="857"/>
      <c r="D5" s="857"/>
      <c r="E5" s="857"/>
      <c r="F5" s="857"/>
      <c r="G5" s="858"/>
    </row>
    <row r="6" spans="1:7" ht="21" x14ac:dyDescent="0.35">
      <c r="A6" s="475" t="s">
        <v>342</v>
      </c>
      <c r="B6" s="476" t="s">
        <v>143</v>
      </c>
      <c r="C6" s="476" t="s">
        <v>818</v>
      </c>
      <c r="D6" s="804">
        <v>5</v>
      </c>
      <c r="E6" s="475"/>
      <c r="F6" s="475"/>
      <c r="G6" s="475"/>
    </row>
    <row r="7" spans="1:7" ht="21" x14ac:dyDescent="0.35">
      <c r="A7" s="472" t="s">
        <v>1894</v>
      </c>
      <c r="B7" s="473" t="s">
        <v>814</v>
      </c>
      <c r="C7" s="473" t="s">
        <v>818</v>
      </c>
      <c r="D7" s="477">
        <v>1</v>
      </c>
      <c r="E7" s="472"/>
      <c r="F7" s="472"/>
      <c r="G7" s="472"/>
    </row>
    <row r="8" spans="1:7" ht="21" x14ac:dyDescent="0.35">
      <c r="A8" s="472" t="s">
        <v>1895</v>
      </c>
      <c r="B8" s="473" t="s">
        <v>814</v>
      </c>
      <c r="C8" s="473" t="s">
        <v>828</v>
      </c>
      <c r="D8" s="480">
        <v>1</v>
      </c>
      <c r="E8" s="472"/>
      <c r="F8" s="472"/>
      <c r="G8" s="472"/>
    </row>
    <row r="9" spans="1:7" ht="21" x14ac:dyDescent="0.35">
      <c r="A9" s="472" t="s">
        <v>825</v>
      </c>
      <c r="B9" s="473" t="s">
        <v>814</v>
      </c>
      <c r="C9" s="473" t="s">
        <v>818</v>
      </c>
      <c r="D9" s="477">
        <v>1</v>
      </c>
      <c r="E9" s="472"/>
      <c r="F9" s="472"/>
      <c r="G9" s="472"/>
    </row>
    <row r="10" spans="1:7" ht="21" x14ac:dyDescent="0.35">
      <c r="A10" s="472" t="s">
        <v>1896</v>
      </c>
      <c r="B10" s="473" t="s">
        <v>816</v>
      </c>
      <c r="C10" s="473" t="s">
        <v>828</v>
      </c>
      <c r="D10" s="477">
        <v>2</v>
      </c>
      <c r="E10" s="472"/>
      <c r="F10" s="472"/>
      <c r="G10" s="472"/>
    </row>
    <row r="11" spans="1:7" ht="21" x14ac:dyDescent="0.35">
      <c r="A11" s="472" t="s">
        <v>819</v>
      </c>
      <c r="B11" s="473" t="s">
        <v>816</v>
      </c>
      <c r="C11" s="473" t="s">
        <v>828</v>
      </c>
      <c r="D11" s="477">
        <v>1</v>
      </c>
      <c r="E11" s="472"/>
      <c r="F11" s="472"/>
      <c r="G11" s="472"/>
    </row>
    <row r="12" spans="1:7" ht="21.75" thickBot="1" x14ac:dyDescent="0.4">
      <c r="A12" s="470" t="s">
        <v>1811</v>
      </c>
      <c r="B12" s="471" t="s">
        <v>816</v>
      </c>
      <c r="C12" s="471" t="s">
        <v>828</v>
      </c>
      <c r="D12" s="483">
        <v>1</v>
      </c>
      <c r="E12" s="470"/>
      <c r="F12" s="470"/>
      <c r="G12" s="470"/>
    </row>
    <row r="13" spans="1:7" ht="21.75" thickBot="1" x14ac:dyDescent="0.4">
      <c r="A13" s="856" t="s">
        <v>1897</v>
      </c>
      <c r="B13" s="857"/>
      <c r="C13" s="857"/>
      <c r="D13" s="857"/>
      <c r="E13" s="857"/>
      <c r="F13" s="857"/>
      <c r="G13" s="858"/>
    </row>
    <row r="14" spans="1:7" ht="21" x14ac:dyDescent="0.35">
      <c r="A14" s="475" t="s">
        <v>123</v>
      </c>
      <c r="B14" s="476" t="s">
        <v>844</v>
      </c>
      <c r="C14" s="476" t="s">
        <v>815</v>
      </c>
      <c r="D14" s="804">
        <f>('Daily Product Breakdown'!$C$173+'Daily Product Breakdown'!$D$173+'Daily Product Breakdown'!$E$173)</f>
        <v>4</v>
      </c>
      <c r="E14" s="475"/>
      <c r="F14" s="475"/>
      <c r="G14" s="475"/>
    </row>
    <row r="15" spans="1:7" ht="21" x14ac:dyDescent="0.35">
      <c r="A15" s="472" t="s">
        <v>123</v>
      </c>
      <c r="B15" s="473" t="s">
        <v>845</v>
      </c>
      <c r="C15" s="473" t="s">
        <v>815</v>
      </c>
      <c r="D15" s="477">
        <f>('Daily Product Breakdown'!$C$43+'Daily Product Breakdown'!$D$43+'Daily Product Breakdown'!$E$43)</f>
        <v>18</v>
      </c>
      <c r="E15" s="472"/>
      <c r="F15" s="472"/>
      <c r="G15" s="472"/>
    </row>
    <row r="16" spans="1:7" ht="21" x14ac:dyDescent="0.35">
      <c r="A16" s="472" t="s">
        <v>376</v>
      </c>
      <c r="B16" s="473" t="s">
        <v>829</v>
      </c>
      <c r="C16" s="473" t="s">
        <v>815</v>
      </c>
      <c r="D16" s="477">
        <f>IF('Daily Product Breakdown'!$B$183+'Daily Product Breakdown'!$C$183&lt; 5,5, 'Daily Product Breakdown'!$B$183+'Daily Product Breakdown'!$C$183)</f>
        <v>5</v>
      </c>
      <c r="E16" s="472"/>
      <c r="F16" s="472"/>
      <c r="G16" s="472"/>
    </row>
    <row r="17" spans="1:7" ht="21" x14ac:dyDescent="0.35">
      <c r="A17" s="479" t="s">
        <v>59</v>
      </c>
      <c r="B17" s="478" t="s">
        <v>143</v>
      </c>
      <c r="C17" s="478" t="s">
        <v>815</v>
      </c>
      <c r="D17" s="477">
        <f>('Daily Product Breakdown'!$B$105+'Daily Product Breakdown'!$C$105)/16</f>
        <v>1.578125</v>
      </c>
      <c r="E17" s="472"/>
      <c r="F17" s="472"/>
      <c r="G17" s="472"/>
    </row>
    <row r="18" spans="1:7" ht="21.75" thickBot="1" x14ac:dyDescent="0.4">
      <c r="A18" s="470" t="s">
        <v>817</v>
      </c>
      <c r="B18" s="471" t="s">
        <v>816</v>
      </c>
      <c r="C18" s="471" t="s">
        <v>815</v>
      </c>
      <c r="D18" s="483">
        <v>1</v>
      </c>
      <c r="E18" s="470"/>
      <c r="F18" s="470"/>
      <c r="G18" s="470"/>
    </row>
    <row r="19" spans="1:7" ht="21.75" thickBot="1" x14ac:dyDescent="0.4">
      <c r="A19" s="856" t="s">
        <v>1876</v>
      </c>
      <c r="B19" s="857"/>
      <c r="C19" s="857"/>
      <c r="D19" s="857"/>
      <c r="E19" s="857"/>
      <c r="F19" s="857"/>
      <c r="G19" s="858"/>
    </row>
    <row r="20" spans="1:7" ht="21" x14ac:dyDescent="0.35">
      <c r="A20" s="475" t="s">
        <v>162</v>
      </c>
      <c r="B20" s="476" t="s">
        <v>829</v>
      </c>
      <c r="C20" s="476" t="s">
        <v>815</v>
      </c>
      <c r="D20" s="804">
        <f>IF('Daily Product Breakdown'!$B$185+'Daily Product Breakdown'!$C$185&lt; 5,5, 'Daily Product Breakdown'!$B$185+'Daily Product Breakdown'!$C$185)</f>
        <v>5</v>
      </c>
      <c r="E20" s="475"/>
      <c r="F20" s="475"/>
      <c r="G20" s="475"/>
    </row>
    <row r="21" spans="1:7" ht="21" x14ac:dyDescent="0.35">
      <c r="A21" s="475" t="s">
        <v>625</v>
      </c>
      <c r="B21" s="476" t="s">
        <v>824</v>
      </c>
      <c r="C21" s="476" t="s">
        <v>815</v>
      </c>
      <c r="D21" s="477">
        <f>IF('Daily Product Breakdown'!$B$181+'Daily Product Breakdown'!$C$181&lt; 30,30, 'Daily Product Breakdown'!$B$181+'Daily Product Breakdown'!$C$181)</f>
        <v>30</v>
      </c>
      <c r="E21" s="475"/>
      <c r="F21" s="472"/>
      <c r="G21" s="475"/>
    </row>
    <row r="22" spans="1:7" ht="21.75" thickBot="1" x14ac:dyDescent="0.4">
      <c r="A22" s="470" t="s">
        <v>827</v>
      </c>
      <c r="B22" s="471" t="s">
        <v>1899</v>
      </c>
      <c r="C22" s="471" t="s">
        <v>815</v>
      </c>
      <c r="D22" s="483">
        <f>IF('Daily Product Breakdown'!$B$49+'Daily Product Breakdown'!$C$49&lt; 6,6, 'Daily Product Breakdown'!$B$49+'Daily Product Breakdown'!$C$49)</f>
        <v>6</v>
      </c>
      <c r="E22" s="470"/>
      <c r="F22" s="470"/>
      <c r="G22" s="470"/>
    </row>
    <row r="23" spans="1:7" ht="21.75" thickBot="1" x14ac:dyDescent="0.4">
      <c r="A23" s="856" t="s">
        <v>1905</v>
      </c>
      <c r="B23" s="857"/>
      <c r="C23" s="857"/>
      <c r="D23" s="857"/>
      <c r="E23" s="857"/>
      <c r="F23" s="857"/>
      <c r="G23" s="858"/>
    </row>
    <row r="24" spans="1:7" ht="21" x14ac:dyDescent="0.35">
      <c r="A24" s="810" t="s">
        <v>1860</v>
      </c>
      <c r="B24" s="476" t="s">
        <v>142</v>
      </c>
      <c r="C24" s="476" t="s">
        <v>828</v>
      </c>
      <c r="D24" s="811">
        <f>IF('Daily Product Breakdown'!$B$175+'Daily Product Breakdown'!$C$175&lt; 6,6, 'Daily Product Breakdown'!$B$175+'Daily Product Breakdown'!$C$175)</f>
        <v>6</v>
      </c>
      <c r="E24" s="811"/>
      <c r="F24" s="811"/>
      <c r="G24" s="811"/>
    </row>
    <row r="25" spans="1:7" ht="21" x14ac:dyDescent="0.35">
      <c r="A25" s="808" t="s">
        <v>1906</v>
      </c>
      <c r="B25" s="473" t="s">
        <v>142</v>
      </c>
      <c r="C25" s="473" t="s">
        <v>828</v>
      </c>
      <c r="D25" s="474">
        <f>IF('Daily Product Breakdown'!$B$149+'Daily Product Breakdown'!$C$149&lt; 6,6, 'Daily Product Breakdown'!$B$149+'Daily Product Breakdown'!$C$149)</f>
        <v>6</v>
      </c>
      <c r="E25" s="474"/>
      <c r="F25" s="474"/>
      <c r="G25" s="474"/>
    </row>
    <row r="26" spans="1:7" ht="21.75" thickBot="1" x14ac:dyDescent="0.4">
      <c r="A26" s="809" t="s">
        <v>583</v>
      </c>
      <c r="B26" s="471" t="s">
        <v>835</v>
      </c>
      <c r="C26" s="471" t="s">
        <v>1910</v>
      </c>
      <c r="D26" s="803">
        <f>IF('Daily Product Breakdown'!$B$91+'Daily Product Breakdown'!$C$91&lt; 8,8, 'Daily Product Breakdown'!$B$91+'Daily Product Breakdown'!$C$91)</f>
        <v>8</v>
      </c>
      <c r="E26" s="803"/>
      <c r="F26" s="803"/>
      <c r="G26" s="803"/>
    </row>
    <row r="27" spans="1:7" ht="21.75" thickBot="1" x14ac:dyDescent="0.4">
      <c r="A27" s="856" t="s">
        <v>1900</v>
      </c>
      <c r="B27" s="857"/>
      <c r="C27" s="857"/>
      <c r="D27" s="857"/>
      <c r="E27" s="857"/>
      <c r="F27" s="857"/>
      <c r="G27" s="858"/>
    </row>
    <row r="28" spans="1:7" ht="21" x14ac:dyDescent="0.35">
      <c r="A28" s="475" t="s">
        <v>1901</v>
      </c>
      <c r="B28" s="859"/>
      <c r="C28" s="860"/>
      <c r="D28" s="861"/>
      <c r="E28" s="475"/>
      <c r="F28" s="475"/>
      <c r="G28" s="475"/>
    </row>
    <row r="29" spans="1:7" ht="21" x14ac:dyDescent="0.35">
      <c r="A29" s="472" t="s">
        <v>1902</v>
      </c>
      <c r="B29" s="862"/>
      <c r="C29" s="863"/>
      <c r="D29" s="864"/>
      <c r="E29" s="472"/>
      <c r="F29" s="472"/>
      <c r="G29" s="472"/>
    </row>
    <row r="30" spans="1:7" ht="21" x14ac:dyDescent="0.35">
      <c r="A30" s="472" t="s">
        <v>1903</v>
      </c>
      <c r="B30" s="862"/>
      <c r="C30" s="863"/>
      <c r="D30" s="864"/>
      <c r="E30" s="472"/>
      <c r="F30" s="472"/>
      <c r="G30" s="472"/>
    </row>
    <row r="31" spans="1:7" ht="21" x14ac:dyDescent="0.35">
      <c r="A31" s="472" t="s">
        <v>1327</v>
      </c>
      <c r="B31" s="862"/>
      <c r="C31" s="863"/>
      <c r="D31" s="864"/>
      <c r="E31" s="472"/>
      <c r="F31" s="472"/>
      <c r="G31" s="472"/>
    </row>
    <row r="32" spans="1:7" ht="21" x14ac:dyDescent="0.35">
      <c r="A32" s="472" t="s">
        <v>813</v>
      </c>
      <c r="B32" s="862"/>
      <c r="C32" s="863"/>
      <c r="D32" s="864"/>
      <c r="E32" s="472"/>
      <c r="F32" s="472"/>
      <c r="G32" s="472"/>
    </row>
    <row r="33" spans="1:7" ht="21" x14ac:dyDescent="0.35">
      <c r="A33" s="472" t="s">
        <v>1904</v>
      </c>
      <c r="B33" s="862"/>
      <c r="C33" s="863"/>
      <c r="D33" s="864"/>
      <c r="E33" s="472"/>
      <c r="F33" s="472"/>
      <c r="G33" s="472"/>
    </row>
    <row r="34" spans="1:7" ht="21" x14ac:dyDescent="0.35">
      <c r="A34" s="472" t="s">
        <v>341</v>
      </c>
      <c r="B34" s="862"/>
      <c r="C34" s="863"/>
      <c r="D34" s="864"/>
      <c r="E34" s="472"/>
      <c r="F34" s="472"/>
      <c r="G34" s="472"/>
    </row>
    <row r="35" spans="1:7" ht="21" x14ac:dyDescent="0.35">
      <c r="A35" s="472" t="s">
        <v>1907</v>
      </c>
      <c r="B35" s="862"/>
      <c r="C35" s="863"/>
      <c r="D35" s="864"/>
      <c r="E35" s="472"/>
      <c r="F35" s="472"/>
      <c r="G35" s="472"/>
    </row>
    <row r="36" spans="1:7" ht="21" x14ac:dyDescent="0.35">
      <c r="A36" s="472" t="s">
        <v>587</v>
      </c>
      <c r="B36" s="862"/>
      <c r="C36" s="863"/>
      <c r="D36" s="864"/>
      <c r="E36" s="472"/>
      <c r="F36" s="472"/>
      <c r="G36" s="472"/>
    </row>
    <row r="37" spans="1:7" ht="21" x14ac:dyDescent="0.35">
      <c r="A37" s="470" t="s">
        <v>1908</v>
      </c>
      <c r="B37" s="862"/>
      <c r="C37" s="863"/>
      <c r="D37" s="864"/>
      <c r="E37" s="470"/>
      <c r="F37" s="472"/>
      <c r="G37" s="470"/>
    </row>
    <row r="38" spans="1:7" ht="21" x14ac:dyDescent="0.35">
      <c r="A38" s="470" t="s">
        <v>1909</v>
      </c>
      <c r="B38" s="862"/>
      <c r="C38" s="863"/>
      <c r="D38" s="864"/>
      <c r="E38" s="470"/>
      <c r="F38" s="472"/>
      <c r="G38" s="470"/>
    </row>
    <row r="39" spans="1:7" ht="21.75" thickBot="1" x14ac:dyDescent="0.4">
      <c r="A39" s="470" t="s">
        <v>588</v>
      </c>
      <c r="B39" s="862"/>
      <c r="C39" s="863"/>
      <c r="D39" s="864"/>
      <c r="E39" s="470"/>
      <c r="F39" s="470"/>
      <c r="G39" s="470"/>
    </row>
    <row r="40" spans="1:7" ht="21" x14ac:dyDescent="0.35">
      <c r="A40" s="865" t="s">
        <v>812</v>
      </c>
      <c r="B40" s="866"/>
      <c r="C40" s="866"/>
      <c r="D40" s="866"/>
      <c r="E40" s="866"/>
      <c r="F40" s="866"/>
      <c r="G40" s="867"/>
    </row>
    <row r="41" spans="1:7" ht="21" x14ac:dyDescent="0.35">
      <c r="A41" s="868"/>
      <c r="B41" s="869"/>
      <c r="C41" s="869"/>
      <c r="D41" s="869"/>
      <c r="E41" s="869"/>
      <c r="F41" s="869"/>
      <c r="G41" s="870"/>
    </row>
    <row r="42" spans="1:7" ht="21.75" thickBot="1" x14ac:dyDescent="0.4">
      <c r="A42" s="871"/>
      <c r="B42" s="872"/>
      <c r="C42" s="872"/>
      <c r="D42" s="872"/>
      <c r="E42" s="872"/>
      <c r="F42" s="872"/>
      <c r="G42" s="873"/>
    </row>
    <row r="43" spans="1:7" ht="21" customHeight="1" thickBot="1" x14ac:dyDescent="0.4">
      <c r="A43" s="803" t="s">
        <v>131</v>
      </c>
      <c r="B43" s="803" t="s">
        <v>132</v>
      </c>
      <c r="C43" s="803" t="s">
        <v>821</v>
      </c>
      <c r="D43" s="803" t="s">
        <v>549</v>
      </c>
      <c r="E43" s="803" t="s">
        <v>834</v>
      </c>
      <c r="F43" s="803" t="s">
        <v>833</v>
      </c>
      <c r="G43" s="803" t="s">
        <v>820</v>
      </c>
    </row>
    <row r="44" spans="1:7" ht="21" customHeight="1" thickBot="1" x14ac:dyDescent="0.4">
      <c r="A44" s="856" t="s">
        <v>1892</v>
      </c>
      <c r="B44" s="857"/>
      <c r="C44" s="857"/>
      <c r="D44" s="857"/>
      <c r="E44" s="857"/>
      <c r="F44" s="857"/>
      <c r="G44" s="858"/>
    </row>
    <row r="45" spans="1:7" ht="21" customHeight="1" x14ac:dyDescent="0.35">
      <c r="A45" s="475" t="s">
        <v>832</v>
      </c>
      <c r="B45" s="476" t="s">
        <v>142</v>
      </c>
      <c r="C45" s="476" t="s">
        <v>830</v>
      </c>
      <c r="D45" s="804">
        <f>('Daily Product Breakdown'!$D$27+'Daily Product Breakdown'!$E$27+'Daily Product Breakdown'!$F$27)</f>
        <v>41</v>
      </c>
      <c r="E45" s="475"/>
      <c r="F45" s="475"/>
      <c r="G45" s="475"/>
    </row>
    <row r="46" spans="1:7" ht="21" customHeight="1" thickBot="1" x14ac:dyDescent="0.4">
      <c r="A46" s="470" t="s">
        <v>831</v>
      </c>
      <c r="B46" s="471" t="s">
        <v>142</v>
      </c>
      <c r="C46" s="471" t="s">
        <v>830</v>
      </c>
      <c r="D46" s="483">
        <f>('Daily Product Breakdown'!$D$29+'Daily Product Breakdown'!$E$29+'Daily Product Breakdown'!$F$29)</f>
        <v>32</v>
      </c>
      <c r="E46" s="470"/>
      <c r="F46" s="470"/>
      <c r="G46" s="470"/>
    </row>
    <row r="47" spans="1:7" ht="21" customHeight="1" thickBot="1" x14ac:dyDescent="0.4">
      <c r="A47" s="856" t="s">
        <v>1893</v>
      </c>
      <c r="B47" s="857"/>
      <c r="C47" s="857"/>
      <c r="D47" s="857"/>
      <c r="E47" s="857"/>
      <c r="F47" s="857"/>
      <c r="G47" s="858"/>
    </row>
    <row r="48" spans="1:7" ht="21" customHeight="1" x14ac:dyDescent="0.35">
      <c r="A48" s="475" t="s">
        <v>342</v>
      </c>
      <c r="B48" s="476" t="s">
        <v>143</v>
      </c>
      <c r="C48" s="476" t="s">
        <v>818</v>
      </c>
      <c r="D48" s="804">
        <v>5</v>
      </c>
      <c r="E48" s="475"/>
      <c r="F48" s="475"/>
      <c r="G48" s="475"/>
    </row>
    <row r="49" spans="1:7" ht="21" customHeight="1" x14ac:dyDescent="0.35">
      <c r="A49" s="472" t="s">
        <v>1894</v>
      </c>
      <c r="B49" s="473" t="s">
        <v>814</v>
      </c>
      <c r="C49" s="473" t="s">
        <v>818</v>
      </c>
      <c r="D49" s="477">
        <v>1</v>
      </c>
      <c r="E49" s="472"/>
      <c r="F49" s="472"/>
      <c r="G49" s="472"/>
    </row>
    <row r="50" spans="1:7" ht="21" customHeight="1" x14ac:dyDescent="0.35">
      <c r="A50" s="472" t="s">
        <v>1895</v>
      </c>
      <c r="B50" s="473" t="s">
        <v>814</v>
      </c>
      <c r="C50" s="473" t="s">
        <v>828</v>
      </c>
      <c r="D50" s="480">
        <v>1</v>
      </c>
      <c r="E50" s="472"/>
      <c r="F50" s="472"/>
      <c r="G50" s="472"/>
    </row>
    <row r="51" spans="1:7" ht="21" customHeight="1" x14ac:dyDescent="0.35">
      <c r="A51" s="472" t="s">
        <v>825</v>
      </c>
      <c r="B51" s="473" t="s">
        <v>814</v>
      </c>
      <c r="C51" s="473" t="s">
        <v>818</v>
      </c>
      <c r="D51" s="477">
        <v>1</v>
      </c>
      <c r="E51" s="472"/>
      <c r="F51" s="472"/>
      <c r="G51" s="472"/>
    </row>
    <row r="52" spans="1:7" ht="21" customHeight="1" x14ac:dyDescent="0.35">
      <c r="A52" s="472" t="s">
        <v>1896</v>
      </c>
      <c r="B52" s="473" t="s">
        <v>816</v>
      </c>
      <c r="C52" s="473" t="s">
        <v>828</v>
      </c>
      <c r="D52" s="477">
        <v>2</v>
      </c>
      <c r="E52" s="472"/>
      <c r="F52" s="472"/>
      <c r="G52" s="472"/>
    </row>
    <row r="53" spans="1:7" ht="21" customHeight="1" x14ac:dyDescent="0.35">
      <c r="A53" s="472" t="s">
        <v>819</v>
      </c>
      <c r="B53" s="473" t="s">
        <v>816</v>
      </c>
      <c r="C53" s="473" t="s">
        <v>828</v>
      </c>
      <c r="D53" s="477">
        <v>1</v>
      </c>
      <c r="E53" s="472"/>
      <c r="F53" s="472"/>
      <c r="G53" s="472"/>
    </row>
    <row r="54" spans="1:7" ht="21" customHeight="1" thickBot="1" x14ac:dyDescent="0.4">
      <c r="A54" s="470" t="s">
        <v>1811</v>
      </c>
      <c r="B54" s="471" t="s">
        <v>816</v>
      </c>
      <c r="C54" s="471" t="s">
        <v>828</v>
      </c>
      <c r="D54" s="483">
        <v>1</v>
      </c>
      <c r="E54" s="470"/>
      <c r="F54" s="470"/>
      <c r="G54" s="470"/>
    </row>
    <row r="55" spans="1:7" ht="21" customHeight="1" thickBot="1" x14ac:dyDescent="0.4">
      <c r="A55" s="856" t="s">
        <v>1897</v>
      </c>
      <c r="B55" s="857"/>
      <c r="C55" s="857"/>
      <c r="D55" s="857"/>
      <c r="E55" s="857"/>
      <c r="F55" s="857"/>
      <c r="G55" s="858"/>
    </row>
    <row r="56" spans="1:7" ht="21" customHeight="1" x14ac:dyDescent="0.35">
      <c r="A56" s="475" t="s">
        <v>123</v>
      </c>
      <c r="B56" s="476" t="s">
        <v>844</v>
      </c>
      <c r="C56" s="476" t="s">
        <v>815</v>
      </c>
      <c r="D56" s="804">
        <f>('Daily Product Breakdown'!$D$173+'Daily Product Breakdown'!$E$173+'Daily Product Breakdown'!$F$173)</f>
        <v>10</v>
      </c>
      <c r="E56" s="475"/>
      <c r="F56" s="475"/>
      <c r="G56" s="475"/>
    </row>
    <row r="57" spans="1:7" ht="21" customHeight="1" x14ac:dyDescent="0.35">
      <c r="A57" s="472" t="s">
        <v>123</v>
      </c>
      <c r="B57" s="473" t="s">
        <v>845</v>
      </c>
      <c r="C57" s="473" t="s">
        <v>815</v>
      </c>
      <c r="D57" s="477">
        <f>('Daily Product Breakdown'!$D$43+'Daily Product Breakdown'!$E$43+'Daily Product Breakdown'!$F$43)</f>
        <v>33</v>
      </c>
      <c r="E57" s="472"/>
      <c r="F57" s="472"/>
      <c r="G57" s="472"/>
    </row>
    <row r="58" spans="1:7" ht="21" customHeight="1" x14ac:dyDescent="0.35">
      <c r="A58" s="472" t="s">
        <v>376</v>
      </c>
      <c r="B58" s="473" t="s">
        <v>829</v>
      </c>
      <c r="C58" s="473" t="s">
        <v>815</v>
      </c>
      <c r="D58" s="477">
        <f>IF('Daily Product Breakdown'!$C$183+'Daily Product Breakdown'!$D$183&lt; 5,5, 'Daily Product Breakdown'!$C$183+'Daily Product Breakdown'!$D$183)</f>
        <v>5</v>
      </c>
      <c r="E58" s="472"/>
      <c r="F58" s="472"/>
      <c r="G58" s="472"/>
    </row>
    <row r="59" spans="1:7" ht="21" customHeight="1" x14ac:dyDescent="0.35">
      <c r="A59" s="479" t="s">
        <v>59</v>
      </c>
      <c r="B59" s="478" t="s">
        <v>1898</v>
      </c>
      <c r="C59" s="478" t="s">
        <v>815</v>
      </c>
      <c r="D59" s="477">
        <f>('Daily Product Breakdown'!$C$105+'Daily Product Breakdown'!$D$105)/16</f>
        <v>2.640625</v>
      </c>
      <c r="E59" s="472"/>
      <c r="F59" s="472"/>
      <c r="G59" s="472"/>
    </row>
    <row r="60" spans="1:7" ht="21" customHeight="1" thickBot="1" x14ac:dyDescent="0.4">
      <c r="A60" s="470" t="s">
        <v>817</v>
      </c>
      <c r="B60" s="471" t="s">
        <v>816</v>
      </c>
      <c r="C60" s="471" t="s">
        <v>815</v>
      </c>
      <c r="D60" s="483">
        <v>1</v>
      </c>
      <c r="E60" s="470"/>
      <c r="F60" s="470"/>
      <c r="G60" s="470"/>
    </row>
    <row r="61" spans="1:7" ht="21" customHeight="1" thickBot="1" x14ac:dyDescent="0.4">
      <c r="A61" s="856" t="s">
        <v>1876</v>
      </c>
      <c r="B61" s="857"/>
      <c r="C61" s="857"/>
      <c r="D61" s="857"/>
      <c r="E61" s="857"/>
      <c r="F61" s="857"/>
      <c r="G61" s="858"/>
    </row>
    <row r="62" spans="1:7" ht="21" customHeight="1" x14ac:dyDescent="0.35">
      <c r="A62" s="475" t="s">
        <v>162</v>
      </c>
      <c r="B62" s="476" t="s">
        <v>829</v>
      </c>
      <c r="C62" s="476" t="s">
        <v>815</v>
      </c>
      <c r="D62" s="804">
        <f>IF('Daily Product Breakdown'!$C$185+'Daily Product Breakdown'!$D$185&lt; 5,5, 'Daily Product Breakdown'!$C$185+'Daily Product Breakdown'!$D$185)</f>
        <v>6</v>
      </c>
      <c r="E62" s="475"/>
      <c r="F62" s="475"/>
      <c r="G62" s="475"/>
    </row>
    <row r="63" spans="1:7" ht="21" customHeight="1" x14ac:dyDescent="0.35">
      <c r="A63" s="475" t="s">
        <v>625</v>
      </c>
      <c r="B63" s="476" t="s">
        <v>824</v>
      </c>
      <c r="C63" s="476" t="s">
        <v>815</v>
      </c>
      <c r="D63" s="477">
        <f>IF('Daily Product Breakdown'!$C$181+'Daily Product Breakdown'!$D$181&lt; 30,30, 'Daily Product Breakdown'!$C$181+'Daily Product Breakdown'!$D$181)</f>
        <v>30</v>
      </c>
      <c r="E63" s="475"/>
      <c r="F63" s="472"/>
      <c r="G63" s="475"/>
    </row>
    <row r="64" spans="1:7" ht="21" customHeight="1" thickBot="1" x14ac:dyDescent="0.4">
      <c r="A64" s="470" t="s">
        <v>827</v>
      </c>
      <c r="B64" s="471" t="s">
        <v>1899</v>
      </c>
      <c r="C64" s="471" t="s">
        <v>815</v>
      </c>
      <c r="D64" s="483">
        <f>IF('Daily Product Breakdown'!$C$49+'Daily Product Breakdown'!$D$49&lt; 6,6, 'Daily Product Breakdown'!$C$49+'Daily Product Breakdown'!$D$49)</f>
        <v>7</v>
      </c>
      <c r="E64" s="470"/>
      <c r="F64" s="470"/>
      <c r="G64" s="470"/>
    </row>
    <row r="65" spans="1:7" ht="21" customHeight="1" thickBot="1" x14ac:dyDescent="0.4">
      <c r="A65" s="856" t="s">
        <v>1905</v>
      </c>
      <c r="B65" s="857"/>
      <c r="C65" s="857"/>
      <c r="D65" s="857"/>
      <c r="E65" s="857"/>
      <c r="F65" s="857"/>
      <c r="G65" s="858"/>
    </row>
    <row r="66" spans="1:7" ht="21" customHeight="1" x14ac:dyDescent="0.35">
      <c r="A66" s="810" t="s">
        <v>1860</v>
      </c>
      <c r="B66" s="476" t="s">
        <v>142</v>
      </c>
      <c r="C66" s="476" t="s">
        <v>828</v>
      </c>
      <c r="D66" s="811">
        <f>IF('Daily Product Breakdown'!$C$175+'Daily Product Breakdown'!$D$175&lt; 6,6, 'Daily Product Breakdown'!$C$175+'Daily Product Breakdown'!$D$175)</f>
        <v>8</v>
      </c>
      <c r="E66" s="811"/>
      <c r="F66" s="811"/>
      <c r="G66" s="811"/>
    </row>
    <row r="67" spans="1:7" ht="21" customHeight="1" x14ac:dyDescent="0.35">
      <c r="A67" s="808" t="s">
        <v>1906</v>
      </c>
      <c r="B67" s="473" t="s">
        <v>142</v>
      </c>
      <c r="C67" s="473" t="s">
        <v>828</v>
      </c>
      <c r="D67" s="474">
        <f>IF('Daily Product Breakdown'!$C$149+'Daily Product Breakdown'!$D$149&lt; 6,6, 'Daily Product Breakdown'!$C$149+'Daily Product Breakdown'!$D$149)</f>
        <v>6</v>
      </c>
      <c r="E67" s="474"/>
      <c r="F67" s="474"/>
      <c r="G67" s="474"/>
    </row>
    <row r="68" spans="1:7" ht="21" customHeight="1" thickBot="1" x14ac:dyDescent="0.4">
      <c r="A68" s="809" t="s">
        <v>583</v>
      </c>
      <c r="B68" s="471" t="s">
        <v>835</v>
      </c>
      <c r="C68" s="471" t="s">
        <v>1911</v>
      </c>
      <c r="D68" s="803">
        <f>IF('Daily Product Breakdown'!$C$91+'Daily Product Breakdown'!$D$91&lt; 8,8, 'Daily Product Breakdown'!$C$91+'Daily Product Breakdown'!$D$91)</f>
        <v>8</v>
      </c>
      <c r="E68" s="803"/>
      <c r="F68" s="803"/>
      <c r="G68" s="803"/>
    </row>
    <row r="69" spans="1:7" ht="21" customHeight="1" thickBot="1" x14ac:dyDescent="0.4">
      <c r="A69" s="856" t="s">
        <v>1900</v>
      </c>
      <c r="B69" s="857"/>
      <c r="C69" s="857"/>
      <c r="D69" s="857"/>
      <c r="E69" s="857"/>
      <c r="F69" s="857"/>
      <c r="G69" s="858"/>
    </row>
    <row r="70" spans="1:7" ht="21" customHeight="1" x14ac:dyDescent="0.35">
      <c r="A70" s="475" t="s">
        <v>1901</v>
      </c>
      <c r="B70" s="859"/>
      <c r="C70" s="860"/>
      <c r="D70" s="861"/>
      <c r="E70" s="475"/>
      <c r="F70" s="475"/>
      <c r="G70" s="475"/>
    </row>
    <row r="71" spans="1:7" ht="21" customHeight="1" x14ac:dyDescent="0.35">
      <c r="A71" s="472" t="s">
        <v>1902</v>
      </c>
      <c r="B71" s="862"/>
      <c r="C71" s="863"/>
      <c r="D71" s="864"/>
      <c r="E71" s="472"/>
      <c r="F71" s="472"/>
      <c r="G71" s="472"/>
    </row>
    <row r="72" spans="1:7" ht="21" customHeight="1" x14ac:dyDescent="0.35">
      <c r="A72" s="472" t="s">
        <v>1903</v>
      </c>
      <c r="B72" s="862"/>
      <c r="C72" s="863"/>
      <c r="D72" s="864"/>
      <c r="E72" s="472"/>
      <c r="F72" s="472"/>
      <c r="G72" s="472"/>
    </row>
    <row r="73" spans="1:7" ht="21" customHeight="1" x14ac:dyDescent="0.35">
      <c r="A73" s="472" t="s">
        <v>1327</v>
      </c>
      <c r="B73" s="862"/>
      <c r="C73" s="863"/>
      <c r="D73" s="864"/>
      <c r="E73" s="472"/>
      <c r="F73" s="472"/>
      <c r="G73" s="472"/>
    </row>
    <row r="74" spans="1:7" ht="21" customHeight="1" x14ac:dyDescent="0.35">
      <c r="A74" s="472" t="s">
        <v>813</v>
      </c>
      <c r="B74" s="862"/>
      <c r="C74" s="863"/>
      <c r="D74" s="864"/>
      <c r="E74" s="472"/>
      <c r="F74" s="472"/>
      <c r="G74" s="472"/>
    </row>
    <row r="75" spans="1:7" ht="21" customHeight="1" x14ac:dyDescent="0.35">
      <c r="A75" s="472" t="s">
        <v>1904</v>
      </c>
      <c r="B75" s="862"/>
      <c r="C75" s="863"/>
      <c r="D75" s="864"/>
      <c r="E75" s="472"/>
      <c r="F75" s="472"/>
      <c r="G75" s="472"/>
    </row>
    <row r="76" spans="1:7" ht="21" customHeight="1" x14ac:dyDescent="0.35">
      <c r="A76" s="472" t="s">
        <v>341</v>
      </c>
      <c r="B76" s="862"/>
      <c r="C76" s="863"/>
      <c r="D76" s="864"/>
      <c r="E76" s="472"/>
      <c r="F76" s="472"/>
      <c r="G76" s="472"/>
    </row>
    <row r="77" spans="1:7" ht="21" customHeight="1" x14ac:dyDescent="0.35">
      <c r="A77" s="472" t="s">
        <v>1907</v>
      </c>
      <c r="B77" s="862"/>
      <c r="C77" s="863"/>
      <c r="D77" s="864"/>
      <c r="E77" s="472"/>
      <c r="F77" s="472"/>
      <c r="G77" s="472"/>
    </row>
    <row r="78" spans="1:7" ht="21" customHeight="1" x14ac:dyDescent="0.35">
      <c r="A78" s="472" t="s">
        <v>587</v>
      </c>
      <c r="B78" s="862"/>
      <c r="C78" s="863"/>
      <c r="D78" s="864"/>
      <c r="E78" s="472"/>
      <c r="F78" s="472"/>
      <c r="G78" s="472"/>
    </row>
    <row r="79" spans="1:7" ht="21" customHeight="1" x14ac:dyDescent="0.35">
      <c r="A79" s="470" t="s">
        <v>1908</v>
      </c>
      <c r="B79" s="862"/>
      <c r="C79" s="863"/>
      <c r="D79" s="864"/>
      <c r="E79" s="470"/>
      <c r="F79" s="472"/>
      <c r="G79" s="470"/>
    </row>
    <row r="80" spans="1:7" ht="21" customHeight="1" x14ac:dyDescent="0.35">
      <c r="A80" s="470" t="s">
        <v>1909</v>
      </c>
      <c r="B80" s="862"/>
      <c r="C80" s="863"/>
      <c r="D80" s="864"/>
      <c r="E80" s="470"/>
      <c r="F80" s="472"/>
      <c r="G80" s="470"/>
    </row>
    <row r="81" spans="1:7" ht="21" customHeight="1" thickBot="1" x14ac:dyDescent="0.4">
      <c r="A81" s="470" t="s">
        <v>588</v>
      </c>
      <c r="B81" s="862"/>
      <c r="C81" s="863"/>
      <c r="D81" s="864"/>
      <c r="E81" s="470"/>
      <c r="F81" s="470"/>
      <c r="G81" s="470"/>
    </row>
    <row r="82" spans="1:7" ht="21" customHeight="1" x14ac:dyDescent="0.35">
      <c r="A82" s="865" t="s">
        <v>812</v>
      </c>
      <c r="B82" s="866"/>
      <c r="C82" s="866"/>
      <c r="D82" s="866"/>
      <c r="E82" s="866"/>
      <c r="F82" s="866"/>
      <c r="G82" s="867"/>
    </row>
    <row r="83" spans="1:7" ht="21" customHeight="1" x14ac:dyDescent="0.35">
      <c r="A83" s="868"/>
      <c r="B83" s="869"/>
      <c r="C83" s="869"/>
      <c r="D83" s="869"/>
      <c r="E83" s="869"/>
      <c r="F83" s="869"/>
      <c r="G83" s="870"/>
    </row>
    <row r="84" spans="1:7" ht="21" customHeight="1" thickBot="1" x14ac:dyDescent="0.4">
      <c r="A84" s="871"/>
      <c r="B84" s="872"/>
      <c r="C84" s="872"/>
      <c r="D84" s="872"/>
      <c r="E84" s="872"/>
      <c r="F84" s="872"/>
      <c r="G84" s="873"/>
    </row>
    <row r="85" spans="1:7" ht="21" customHeight="1" thickBot="1" x14ac:dyDescent="0.4">
      <c r="A85" s="803" t="s">
        <v>131</v>
      </c>
      <c r="B85" s="803" t="s">
        <v>132</v>
      </c>
      <c r="C85" s="803" t="s">
        <v>821</v>
      </c>
      <c r="D85" s="803" t="s">
        <v>550</v>
      </c>
      <c r="E85" s="803" t="s">
        <v>834</v>
      </c>
      <c r="F85" s="803" t="s">
        <v>833</v>
      </c>
      <c r="G85" s="803" t="s">
        <v>820</v>
      </c>
    </row>
    <row r="86" spans="1:7" ht="21" customHeight="1" thickBot="1" x14ac:dyDescent="0.4">
      <c r="A86" s="856" t="s">
        <v>1892</v>
      </c>
      <c r="B86" s="857"/>
      <c r="C86" s="857"/>
      <c r="D86" s="857"/>
      <c r="E86" s="857"/>
      <c r="F86" s="857"/>
      <c r="G86" s="858"/>
    </row>
    <row r="87" spans="1:7" ht="21" customHeight="1" x14ac:dyDescent="0.35">
      <c r="A87" s="475" t="s">
        <v>832</v>
      </c>
      <c r="B87" s="476" t="s">
        <v>142</v>
      </c>
      <c r="C87" s="476" t="s">
        <v>830</v>
      </c>
      <c r="D87" s="804">
        <f>('Daily Product Breakdown'!$E$27+'Daily Product Breakdown'!$F$27+'Daily Product Breakdown'!$G$27)</f>
        <v>47</v>
      </c>
      <c r="E87" s="475"/>
      <c r="F87" s="475"/>
      <c r="G87" s="475"/>
    </row>
    <row r="88" spans="1:7" ht="21" customHeight="1" thickBot="1" x14ac:dyDescent="0.4">
      <c r="A88" s="470" t="s">
        <v>831</v>
      </c>
      <c r="B88" s="471" t="s">
        <v>142</v>
      </c>
      <c r="C88" s="471" t="s">
        <v>830</v>
      </c>
      <c r="D88" s="483">
        <f>('Daily Product Breakdown'!$E$29+'Daily Product Breakdown'!$F$29+'Daily Product Breakdown'!$G$29)</f>
        <v>51</v>
      </c>
      <c r="E88" s="470"/>
      <c r="F88" s="470"/>
      <c r="G88" s="470"/>
    </row>
    <row r="89" spans="1:7" ht="21" customHeight="1" thickBot="1" x14ac:dyDescent="0.4">
      <c r="A89" s="856" t="s">
        <v>1893</v>
      </c>
      <c r="B89" s="857"/>
      <c r="C89" s="857"/>
      <c r="D89" s="857"/>
      <c r="E89" s="857"/>
      <c r="F89" s="857"/>
      <c r="G89" s="858"/>
    </row>
    <row r="90" spans="1:7" ht="21" customHeight="1" x14ac:dyDescent="0.35">
      <c r="A90" s="475" t="s">
        <v>342</v>
      </c>
      <c r="B90" s="476" t="s">
        <v>143</v>
      </c>
      <c r="C90" s="476" t="s">
        <v>818</v>
      </c>
      <c r="D90" s="804">
        <v>5</v>
      </c>
      <c r="E90" s="475"/>
      <c r="F90" s="475"/>
      <c r="G90" s="475"/>
    </row>
    <row r="91" spans="1:7" ht="21" customHeight="1" x14ac:dyDescent="0.35">
      <c r="A91" s="472" t="s">
        <v>1894</v>
      </c>
      <c r="B91" s="473" t="s">
        <v>814</v>
      </c>
      <c r="C91" s="473" t="s">
        <v>818</v>
      </c>
      <c r="D91" s="477">
        <v>1</v>
      </c>
      <c r="E91" s="472"/>
      <c r="F91" s="472"/>
      <c r="G91" s="472"/>
    </row>
    <row r="92" spans="1:7" ht="21" customHeight="1" x14ac:dyDescent="0.35">
      <c r="A92" s="472" t="s">
        <v>1895</v>
      </c>
      <c r="B92" s="473" t="s">
        <v>814</v>
      </c>
      <c r="C92" s="473" t="s">
        <v>828</v>
      </c>
      <c r="D92" s="480">
        <v>1</v>
      </c>
      <c r="E92" s="472"/>
      <c r="F92" s="472"/>
      <c r="G92" s="472"/>
    </row>
    <row r="93" spans="1:7" ht="21" customHeight="1" x14ac:dyDescent="0.35">
      <c r="A93" s="472" t="s">
        <v>825</v>
      </c>
      <c r="B93" s="473" t="s">
        <v>814</v>
      </c>
      <c r="C93" s="473" t="s">
        <v>818</v>
      </c>
      <c r="D93" s="477">
        <v>1</v>
      </c>
      <c r="E93" s="472"/>
      <c r="F93" s="472"/>
      <c r="G93" s="472"/>
    </row>
    <row r="94" spans="1:7" ht="21" customHeight="1" x14ac:dyDescent="0.35">
      <c r="A94" s="472" t="s">
        <v>1896</v>
      </c>
      <c r="B94" s="473" t="s">
        <v>816</v>
      </c>
      <c r="C94" s="473" t="s">
        <v>828</v>
      </c>
      <c r="D94" s="477">
        <v>2</v>
      </c>
      <c r="E94" s="472"/>
      <c r="F94" s="472"/>
      <c r="G94" s="472"/>
    </row>
    <row r="95" spans="1:7" ht="21" customHeight="1" x14ac:dyDescent="0.35">
      <c r="A95" s="472" t="s">
        <v>819</v>
      </c>
      <c r="B95" s="473" t="s">
        <v>816</v>
      </c>
      <c r="C95" s="473" t="s">
        <v>828</v>
      </c>
      <c r="D95" s="477">
        <v>1</v>
      </c>
      <c r="E95" s="472"/>
      <c r="F95" s="472"/>
      <c r="G95" s="472"/>
    </row>
    <row r="96" spans="1:7" ht="21" customHeight="1" thickBot="1" x14ac:dyDescent="0.4">
      <c r="A96" s="470" t="s">
        <v>1811</v>
      </c>
      <c r="B96" s="471" t="s">
        <v>816</v>
      </c>
      <c r="C96" s="471" t="s">
        <v>828</v>
      </c>
      <c r="D96" s="483">
        <v>1</v>
      </c>
      <c r="E96" s="470"/>
      <c r="F96" s="470"/>
      <c r="G96" s="470"/>
    </row>
    <row r="97" spans="1:7" ht="21" customHeight="1" thickBot="1" x14ac:dyDescent="0.4">
      <c r="A97" s="856" t="s">
        <v>1897</v>
      </c>
      <c r="B97" s="857"/>
      <c r="C97" s="857"/>
      <c r="D97" s="857"/>
      <c r="E97" s="857"/>
      <c r="F97" s="857"/>
      <c r="G97" s="858"/>
    </row>
    <row r="98" spans="1:7" ht="21" customHeight="1" x14ac:dyDescent="0.35">
      <c r="A98" s="475" t="s">
        <v>123</v>
      </c>
      <c r="B98" s="476" t="s">
        <v>844</v>
      </c>
      <c r="C98" s="476" t="s">
        <v>815</v>
      </c>
      <c r="D98" s="804">
        <f>('Daily Product Breakdown'!$E$173+'Daily Product Breakdown'!$F$173+'Daily Product Breakdown'!$G$173)</f>
        <v>16</v>
      </c>
      <c r="E98" s="475"/>
      <c r="F98" s="475"/>
      <c r="G98" s="475"/>
    </row>
    <row r="99" spans="1:7" ht="21" customHeight="1" x14ac:dyDescent="0.35">
      <c r="A99" s="472" t="s">
        <v>123</v>
      </c>
      <c r="B99" s="473" t="s">
        <v>845</v>
      </c>
      <c r="C99" s="473" t="s">
        <v>815</v>
      </c>
      <c r="D99" s="477">
        <f>('Daily Product Breakdown'!$D$43+'Daily Product Breakdown'!$E$43+'Daily Product Breakdown'!$F$43)</f>
        <v>33</v>
      </c>
      <c r="E99" s="472"/>
      <c r="F99" s="472"/>
      <c r="G99" s="472"/>
    </row>
    <row r="100" spans="1:7" ht="21" customHeight="1" x14ac:dyDescent="0.35">
      <c r="A100" s="472" t="s">
        <v>376</v>
      </c>
      <c r="B100" s="473" t="s">
        <v>829</v>
      </c>
      <c r="C100" s="473" t="s">
        <v>815</v>
      </c>
      <c r="D100" s="477">
        <f>IF('Daily Product Breakdown'!$E$183+'Daily Product Breakdown'!$F$183&lt; 5,5, 'Daily Product Breakdown'!$E$183+'Daily Product Breakdown'!$F$183)</f>
        <v>8</v>
      </c>
      <c r="E100" s="472"/>
      <c r="F100" s="472"/>
      <c r="G100" s="472"/>
    </row>
    <row r="101" spans="1:7" ht="21" customHeight="1" x14ac:dyDescent="0.35">
      <c r="A101" s="479" t="s">
        <v>59</v>
      </c>
      <c r="B101" s="478" t="s">
        <v>1898</v>
      </c>
      <c r="C101" s="478" t="s">
        <v>815</v>
      </c>
      <c r="D101" s="477">
        <f>('Daily Product Breakdown'!$E$105+'Daily Product Breakdown'!$F$105)/16</f>
        <v>5.046875</v>
      </c>
      <c r="E101" s="472"/>
      <c r="F101" s="472"/>
      <c r="G101" s="472"/>
    </row>
    <row r="102" spans="1:7" ht="21" customHeight="1" thickBot="1" x14ac:dyDescent="0.4">
      <c r="A102" s="470" t="s">
        <v>817</v>
      </c>
      <c r="B102" s="471" t="s">
        <v>816</v>
      </c>
      <c r="C102" s="471" t="s">
        <v>815</v>
      </c>
      <c r="D102" s="483">
        <v>1</v>
      </c>
      <c r="E102" s="470"/>
      <c r="F102" s="470"/>
      <c r="G102" s="470"/>
    </row>
    <row r="103" spans="1:7" ht="21" customHeight="1" thickBot="1" x14ac:dyDescent="0.4">
      <c r="A103" s="856" t="s">
        <v>1876</v>
      </c>
      <c r="B103" s="857"/>
      <c r="C103" s="857"/>
      <c r="D103" s="857"/>
      <c r="E103" s="857"/>
      <c r="F103" s="857"/>
      <c r="G103" s="858"/>
    </row>
    <row r="104" spans="1:7" ht="21" customHeight="1" x14ac:dyDescent="0.35">
      <c r="A104" s="475" t="s">
        <v>162</v>
      </c>
      <c r="B104" s="476" t="s">
        <v>829</v>
      </c>
      <c r="C104" s="476" t="s">
        <v>815</v>
      </c>
      <c r="D104" s="804">
        <f>IF('Daily Product Breakdown'!$D$185+'Daily Product Breakdown'!$E$185&lt; 5,5, 'Daily Product Breakdown'!$D$185+'Daily Product Breakdown'!$E$185)</f>
        <v>6</v>
      </c>
      <c r="E104" s="475"/>
      <c r="F104" s="475"/>
      <c r="G104" s="475"/>
    </row>
    <row r="105" spans="1:7" ht="21" customHeight="1" x14ac:dyDescent="0.35">
      <c r="A105" s="475" t="s">
        <v>625</v>
      </c>
      <c r="B105" s="476" t="s">
        <v>824</v>
      </c>
      <c r="C105" s="476" t="s">
        <v>815</v>
      </c>
      <c r="D105" s="477">
        <f>IF('Daily Product Breakdown'!$D$181+'Daily Product Breakdown'!$E$181&lt; 30,30, 'Daily Product Breakdown'!$D$181+'Daily Product Breakdown'!$E$181)</f>
        <v>30</v>
      </c>
      <c r="E105" s="475"/>
      <c r="F105" s="472"/>
      <c r="G105" s="475"/>
    </row>
    <row r="106" spans="1:7" ht="21" customHeight="1" thickBot="1" x14ac:dyDescent="0.4">
      <c r="A106" s="470" t="s">
        <v>827</v>
      </c>
      <c r="B106" s="471" t="s">
        <v>1899</v>
      </c>
      <c r="C106" s="471" t="s">
        <v>815</v>
      </c>
      <c r="D106" s="483">
        <f>IF('Daily Product Breakdown'!$D$49+'Daily Product Breakdown'!$E$49&lt; 6,6, 'Daily Product Breakdown'!$D$49+'Daily Product Breakdown'!$E$49)</f>
        <v>9</v>
      </c>
      <c r="E106" s="470"/>
      <c r="F106" s="470"/>
      <c r="G106" s="470"/>
    </row>
    <row r="107" spans="1:7" ht="21" customHeight="1" thickBot="1" x14ac:dyDescent="0.4">
      <c r="A107" s="856" t="s">
        <v>1905</v>
      </c>
      <c r="B107" s="857"/>
      <c r="C107" s="857"/>
      <c r="D107" s="857"/>
      <c r="E107" s="857"/>
      <c r="F107" s="857"/>
      <c r="G107" s="858"/>
    </row>
    <row r="108" spans="1:7" ht="21" customHeight="1" x14ac:dyDescent="0.35">
      <c r="A108" s="810" t="s">
        <v>1860</v>
      </c>
      <c r="B108" s="476" t="s">
        <v>142</v>
      </c>
      <c r="C108" s="476" t="s">
        <v>828</v>
      </c>
      <c r="D108" s="811">
        <f>IF('Daily Product Breakdown'!$D$175+'Daily Product Breakdown'!$E$175&lt; 6,6, 'Daily Product Breakdown'!$D$175+'Daily Product Breakdown'!$E$175)</f>
        <v>11</v>
      </c>
      <c r="E108" s="811"/>
      <c r="F108" s="811"/>
      <c r="G108" s="811"/>
    </row>
    <row r="109" spans="1:7" ht="21" customHeight="1" x14ac:dyDescent="0.35">
      <c r="A109" s="808" t="s">
        <v>1906</v>
      </c>
      <c r="B109" s="473" t="s">
        <v>142</v>
      </c>
      <c r="C109" s="473" t="s">
        <v>828</v>
      </c>
      <c r="D109" s="474">
        <f>IF('Daily Product Breakdown'!$D$149+'Daily Product Breakdown'!$E$149&lt; 6,6, 'Daily Product Breakdown'!$D$149+'Daily Product Breakdown'!$E$149)</f>
        <v>6</v>
      </c>
      <c r="E109" s="474"/>
      <c r="F109" s="474"/>
      <c r="G109" s="474"/>
    </row>
    <row r="110" spans="1:7" ht="21" customHeight="1" thickBot="1" x14ac:dyDescent="0.4">
      <c r="A110" s="809" t="s">
        <v>583</v>
      </c>
      <c r="B110" s="471" t="s">
        <v>835</v>
      </c>
      <c r="C110" s="471" t="s">
        <v>1911</v>
      </c>
      <c r="D110" s="803">
        <f>IF('Daily Product Breakdown'!$D$91+'Daily Product Breakdown'!$E$91&lt; 8,8, 'Daily Product Breakdown'!$D$91+'Daily Product Breakdown'!$E$91)</f>
        <v>10</v>
      </c>
      <c r="E110" s="803"/>
      <c r="F110" s="803"/>
      <c r="G110" s="803"/>
    </row>
    <row r="111" spans="1:7" ht="21" customHeight="1" thickBot="1" x14ac:dyDescent="0.4">
      <c r="A111" s="856" t="s">
        <v>1900</v>
      </c>
      <c r="B111" s="857"/>
      <c r="C111" s="857"/>
      <c r="D111" s="857"/>
      <c r="E111" s="857"/>
      <c r="F111" s="857"/>
      <c r="G111" s="858"/>
    </row>
    <row r="112" spans="1:7" ht="21" customHeight="1" x14ac:dyDescent="0.35">
      <c r="A112" s="475" t="s">
        <v>1901</v>
      </c>
      <c r="B112" s="859"/>
      <c r="C112" s="860"/>
      <c r="D112" s="861"/>
      <c r="E112" s="475"/>
      <c r="F112" s="475"/>
      <c r="G112" s="475"/>
    </row>
    <row r="113" spans="1:7" ht="21" customHeight="1" x14ac:dyDescent="0.35">
      <c r="A113" s="472" t="s">
        <v>1902</v>
      </c>
      <c r="B113" s="862"/>
      <c r="C113" s="863"/>
      <c r="D113" s="864"/>
      <c r="E113" s="472"/>
      <c r="F113" s="472"/>
      <c r="G113" s="472"/>
    </row>
    <row r="114" spans="1:7" ht="21" customHeight="1" x14ac:dyDescent="0.35">
      <c r="A114" s="472" t="s">
        <v>1903</v>
      </c>
      <c r="B114" s="862"/>
      <c r="C114" s="863"/>
      <c r="D114" s="864"/>
      <c r="E114" s="472"/>
      <c r="F114" s="472"/>
      <c r="G114" s="472"/>
    </row>
    <row r="115" spans="1:7" ht="21" customHeight="1" x14ac:dyDescent="0.35">
      <c r="A115" s="472" t="s">
        <v>1327</v>
      </c>
      <c r="B115" s="862"/>
      <c r="C115" s="863"/>
      <c r="D115" s="864"/>
      <c r="E115" s="472"/>
      <c r="F115" s="472"/>
      <c r="G115" s="472"/>
    </row>
    <row r="116" spans="1:7" ht="21" customHeight="1" x14ac:dyDescent="0.35">
      <c r="A116" s="472" t="s">
        <v>813</v>
      </c>
      <c r="B116" s="862"/>
      <c r="C116" s="863"/>
      <c r="D116" s="864"/>
      <c r="E116" s="472"/>
      <c r="F116" s="472"/>
      <c r="G116" s="472"/>
    </row>
    <row r="117" spans="1:7" ht="21" customHeight="1" x14ac:dyDescent="0.35">
      <c r="A117" s="472" t="s">
        <v>1904</v>
      </c>
      <c r="B117" s="862"/>
      <c r="C117" s="863"/>
      <c r="D117" s="864"/>
      <c r="E117" s="472"/>
      <c r="F117" s="472"/>
      <c r="G117" s="472"/>
    </row>
    <row r="118" spans="1:7" ht="21" customHeight="1" x14ac:dyDescent="0.35">
      <c r="A118" s="472" t="s">
        <v>341</v>
      </c>
      <c r="B118" s="862"/>
      <c r="C118" s="863"/>
      <c r="D118" s="864"/>
      <c r="E118" s="472"/>
      <c r="F118" s="472"/>
      <c r="G118" s="472"/>
    </row>
    <row r="119" spans="1:7" ht="21" customHeight="1" x14ac:dyDescent="0.35">
      <c r="A119" s="472" t="s">
        <v>1907</v>
      </c>
      <c r="B119" s="862"/>
      <c r="C119" s="863"/>
      <c r="D119" s="864"/>
      <c r="E119" s="472"/>
      <c r="F119" s="472"/>
      <c r="G119" s="472"/>
    </row>
    <row r="120" spans="1:7" ht="21" customHeight="1" x14ac:dyDescent="0.35">
      <c r="A120" s="472" t="s">
        <v>587</v>
      </c>
      <c r="B120" s="862"/>
      <c r="C120" s="863"/>
      <c r="D120" s="864"/>
      <c r="E120" s="472"/>
      <c r="F120" s="472"/>
      <c r="G120" s="472"/>
    </row>
    <row r="121" spans="1:7" ht="21" customHeight="1" x14ac:dyDescent="0.35">
      <c r="A121" s="470" t="s">
        <v>1908</v>
      </c>
      <c r="B121" s="862"/>
      <c r="C121" s="863"/>
      <c r="D121" s="864"/>
      <c r="E121" s="470"/>
      <c r="F121" s="472"/>
      <c r="G121" s="470"/>
    </row>
    <row r="122" spans="1:7" ht="21" customHeight="1" x14ac:dyDescent="0.35">
      <c r="A122" s="470" t="s">
        <v>1909</v>
      </c>
      <c r="B122" s="862"/>
      <c r="C122" s="863"/>
      <c r="D122" s="864"/>
      <c r="E122" s="470"/>
      <c r="F122" s="472"/>
      <c r="G122" s="470"/>
    </row>
    <row r="123" spans="1:7" ht="21" customHeight="1" thickBot="1" x14ac:dyDescent="0.4">
      <c r="A123" s="470" t="s">
        <v>588</v>
      </c>
      <c r="B123" s="862"/>
      <c r="C123" s="863"/>
      <c r="D123" s="864"/>
      <c r="E123" s="470"/>
      <c r="F123" s="470"/>
      <c r="G123" s="470"/>
    </row>
    <row r="124" spans="1:7" ht="21" customHeight="1" x14ac:dyDescent="0.35">
      <c r="A124" s="865" t="s">
        <v>812</v>
      </c>
      <c r="B124" s="866"/>
      <c r="C124" s="866"/>
      <c r="D124" s="866"/>
      <c r="E124" s="866"/>
      <c r="F124" s="866"/>
      <c r="G124" s="867"/>
    </row>
    <row r="125" spans="1:7" ht="21" customHeight="1" x14ac:dyDescent="0.35">
      <c r="A125" s="868"/>
      <c r="B125" s="869"/>
      <c r="C125" s="869"/>
      <c r="D125" s="869"/>
      <c r="E125" s="869"/>
      <c r="F125" s="869"/>
      <c r="G125" s="870"/>
    </row>
    <row r="126" spans="1:7" ht="21" customHeight="1" thickBot="1" x14ac:dyDescent="0.4">
      <c r="A126" s="871"/>
      <c r="B126" s="872"/>
      <c r="C126" s="872"/>
      <c r="D126" s="872"/>
      <c r="E126" s="872"/>
      <c r="F126" s="872"/>
      <c r="G126" s="873"/>
    </row>
    <row r="127" spans="1:7" ht="21" customHeight="1" thickBot="1" x14ac:dyDescent="0.4">
      <c r="A127" s="803" t="s">
        <v>131</v>
      </c>
      <c r="B127" s="803" t="s">
        <v>132</v>
      </c>
      <c r="C127" s="803" t="s">
        <v>821</v>
      </c>
      <c r="D127" s="803" t="s">
        <v>551</v>
      </c>
      <c r="E127" s="803" t="s">
        <v>834</v>
      </c>
      <c r="F127" s="803" t="s">
        <v>833</v>
      </c>
      <c r="G127" s="803" t="s">
        <v>820</v>
      </c>
    </row>
    <row r="128" spans="1:7" ht="21" customHeight="1" thickBot="1" x14ac:dyDescent="0.4">
      <c r="A128" s="856" t="s">
        <v>1892</v>
      </c>
      <c r="B128" s="857"/>
      <c r="C128" s="857"/>
      <c r="D128" s="857"/>
      <c r="E128" s="857"/>
      <c r="F128" s="857"/>
      <c r="G128" s="858"/>
    </row>
    <row r="129" spans="1:7" ht="21" customHeight="1" x14ac:dyDescent="0.35">
      <c r="A129" s="475" t="s">
        <v>832</v>
      </c>
      <c r="B129" s="476" t="s">
        <v>142</v>
      </c>
      <c r="C129" s="476" t="s">
        <v>830</v>
      </c>
      <c r="D129" s="804">
        <f>('Daily Product Breakdown'!$F$27+'Daily Product Breakdown'!$G$27+'Daily Product Breakdown'!$H$27)</f>
        <v>49</v>
      </c>
      <c r="E129" s="475"/>
      <c r="F129" s="475"/>
      <c r="G129" s="475"/>
    </row>
    <row r="130" spans="1:7" ht="21" customHeight="1" thickBot="1" x14ac:dyDescent="0.4">
      <c r="A130" s="470" t="s">
        <v>831</v>
      </c>
      <c r="B130" s="471" t="s">
        <v>142</v>
      </c>
      <c r="C130" s="471" t="s">
        <v>830</v>
      </c>
      <c r="D130" s="483">
        <f>('Daily Product Breakdown'!$F$29+'Daily Product Breakdown'!$G$29+'Daily Product Breakdown'!$H$29)</f>
        <v>54</v>
      </c>
      <c r="E130" s="470"/>
      <c r="F130" s="470"/>
      <c r="G130" s="470"/>
    </row>
    <row r="131" spans="1:7" ht="21" customHeight="1" thickBot="1" x14ac:dyDescent="0.4">
      <c r="A131" s="856" t="s">
        <v>1893</v>
      </c>
      <c r="B131" s="857"/>
      <c r="C131" s="857"/>
      <c r="D131" s="857"/>
      <c r="E131" s="857"/>
      <c r="F131" s="857"/>
      <c r="G131" s="858"/>
    </row>
    <row r="132" spans="1:7" ht="21" customHeight="1" x14ac:dyDescent="0.35">
      <c r="A132" s="475" t="s">
        <v>342</v>
      </c>
      <c r="B132" s="476" t="s">
        <v>143</v>
      </c>
      <c r="C132" s="476" t="s">
        <v>818</v>
      </c>
      <c r="D132" s="804">
        <v>5</v>
      </c>
      <c r="E132" s="475"/>
      <c r="F132" s="475"/>
      <c r="G132" s="475"/>
    </row>
    <row r="133" spans="1:7" ht="21" customHeight="1" x14ac:dyDescent="0.35">
      <c r="A133" s="472" t="s">
        <v>1894</v>
      </c>
      <c r="B133" s="473" t="s">
        <v>814</v>
      </c>
      <c r="C133" s="473" t="s">
        <v>818</v>
      </c>
      <c r="D133" s="477">
        <v>1</v>
      </c>
      <c r="E133" s="472"/>
      <c r="F133" s="472"/>
      <c r="G133" s="472"/>
    </row>
    <row r="134" spans="1:7" ht="21" customHeight="1" x14ac:dyDescent="0.35">
      <c r="A134" s="472" t="s">
        <v>1895</v>
      </c>
      <c r="B134" s="473" t="s">
        <v>814</v>
      </c>
      <c r="C134" s="473" t="s">
        <v>828</v>
      </c>
      <c r="D134" s="480">
        <v>1</v>
      </c>
      <c r="E134" s="472"/>
      <c r="F134" s="472"/>
      <c r="G134" s="472"/>
    </row>
    <row r="135" spans="1:7" ht="21" customHeight="1" x14ac:dyDescent="0.35">
      <c r="A135" s="472" t="s">
        <v>825</v>
      </c>
      <c r="B135" s="473" t="s">
        <v>814</v>
      </c>
      <c r="C135" s="473" t="s">
        <v>818</v>
      </c>
      <c r="D135" s="477">
        <v>1</v>
      </c>
      <c r="E135" s="472"/>
      <c r="F135" s="472"/>
      <c r="G135" s="472"/>
    </row>
    <row r="136" spans="1:7" ht="21" customHeight="1" x14ac:dyDescent="0.35">
      <c r="A136" s="472" t="s">
        <v>1896</v>
      </c>
      <c r="B136" s="473" t="s">
        <v>816</v>
      </c>
      <c r="C136" s="473" t="s">
        <v>828</v>
      </c>
      <c r="D136" s="477">
        <v>2</v>
      </c>
      <c r="E136" s="472"/>
      <c r="F136" s="472"/>
      <c r="G136" s="472"/>
    </row>
    <row r="137" spans="1:7" ht="21" customHeight="1" x14ac:dyDescent="0.35">
      <c r="A137" s="472" t="s">
        <v>819</v>
      </c>
      <c r="B137" s="473" t="s">
        <v>816</v>
      </c>
      <c r="C137" s="473" t="s">
        <v>828</v>
      </c>
      <c r="D137" s="477">
        <v>1</v>
      </c>
      <c r="E137" s="472"/>
      <c r="F137" s="472"/>
      <c r="G137" s="472"/>
    </row>
    <row r="138" spans="1:7" ht="21" customHeight="1" thickBot="1" x14ac:dyDescent="0.4">
      <c r="A138" s="470" t="s">
        <v>1811</v>
      </c>
      <c r="B138" s="471" t="s">
        <v>816</v>
      </c>
      <c r="C138" s="471" t="s">
        <v>828</v>
      </c>
      <c r="D138" s="483">
        <v>1</v>
      </c>
      <c r="E138" s="470"/>
      <c r="F138" s="470"/>
      <c r="G138" s="470"/>
    </row>
    <row r="139" spans="1:7" ht="21" customHeight="1" thickBot="1" x14ac:dyDescent="0.4">
      <c r="A139" s="856" t="s">
        <v>1897</v>
      </c>
      <c r="B139" s="857"/>
      <c r="C139" s="857"/>
      <c r="D139" s="857"/>
      <c r="E139" s="857"/>
      <c r="F139" s="857"/>
      <c r="G139" s="858"/>
    </row>
    <row r="140" spans="1:7" ht="21" customHeight="1" x14ac:dyDescent="0.35">
      <c r="A140" s="475" t="s">
        <v>123</v>
      </c>
      <c r="B140" s="476" t="s">
        <v>844</v>
      </c>
      <c r="C140" s="476" t="s">
        <v>815</v>
      </c>
      <c r="D140" s="804">
        <f>('Daily Product Breakdown'!$F$173+'Daily Product Breakdown'!$G$173+'Daily Product Breakdown'!$H$173)</f>
        <v>18</v>
      </c>
      <c r="E140" s="475"/>
      <c r="F140" s="475"/>
      <c r="G140" s="475"/>
    </row>
    <row r="141" spans="1:7" ht="21" customHeight="1" x14ac:dyDescent="0.35">
      <c r="A141" s="472" t="s">
        <v>123</v>
      </c>
      <c r="B141" s="473" t="s">
        <v>845</v>
      </c>
      <c r="C141" s="473" t="s">
        <v>815</v>
      </c>
      <c r="D141" s="477">
        <f>('Daily Product Breakdown'!$F$43+'Daily Product Breakdown'!$G$43+'Daily Product Breakdown'!$H$43)</f>
        <v>78</v>
      </c>
      <c r="E141" s="472"/>
      <c r="F141" s="472"/>
      <c r="G141" s="472"/>
    </row>
    <row r="142" spans="1:7" ht="21" customHeight="1" x14ac:dyDescent="0.35">
      <c r="A142" s="472" t="s">
        <v>376</v>
      </c>
      <c r="B142" s="473" t="s">
        <v>829</v>
      </c>
      <c r="C142" s="473" t="s">
        <v>815</v>
      </c>
      <c r="D142" s="477">
        <f>IF('Daily Product Breakdown'!$F$183+'Daily Product Breakdown'!$G$183&lt; 5,5, 'Daily Product Breakdown'!$F$183+'Daily Product Breakdown'!$G$183)</f>
        <v>14</v>
      </c>
      <c r="E142" s="472"/>
      <c r="F142" s="472"/>
      <c r="G142" s="472"/>
    </row>
    <row r="143" spans="1:7" ht="21" customHeight="1" x14ac:dyDescent="0.35">
      <c r="A143" s="479" t="s">
        <v>59</v>
      </c>
      <c r="B143" s="478" t="s">
        <v>1898</v>
      </c>
      <c r="C143" s="478" t="s">
        <v>815</v>
      </c>
      <c r="D143" s="477">
        <f>('Daily Product Breakdown'!$F$105+'Daily Product Breakdown'!$G$105)/16</f>
        <v>8.46875</v>
      </c>
      <c r="E143" s="472"/>
      <c r="F143" s="472"/>
      <c r="G143" s="472"/>
    </row>
    <row r="144" spans="1:7" ht="21" customHeight="1" thickBot="1" x14ac:dyDescent="0.4">
      <c r="A144" s="470" t="s">
        <v>817</v>
      </c>
      <c r="B144" s="471" t="s">
        <v>816</v>
      </c>
      <c r="C144" s="471" t="s">
        <v>815</v>
      </c>
      <c r="D144" s="483">
        <v>1</v>
      </c>
      <c r="E144" s="470"/>
      <c r="F144" s="470"/>
      <c r="G144" s="470"/>
    </row>
    <row r="145" spans="1:7" ht="21" customHeight="1" thickBot="1" x14ac:dyDescent="0.4">
      <c r="A145" s="856" t="s">
        <v>1876</v>
      </c>
      <c r="B145" s="857"/>
      <c r="C145" s="857"/>
      <c r="D145" s="857"/>
      <c r="E145" s="857"/>
      <c r="F145" s="857"/>
      <c r="G145" s="858"/>
    </row>
    <row r="146" spans="1:7" ht="21" customHeight="1" x14ac:dyDescent="0.35">
      <c r="A146" s="475" t="s">
        <v>162</v>
      </c>
      <c r="B146" s="476" t="s">
        <v>829</v>
      </c>
      <c r="C146" s="476" t="s">
        <v>815</v>
      </c>
      <c r="D146" s="804">
        <f>IF('Daily Product Breakdown'!$E$185+'Daily Product Breakdown'!$F$185&lt; 5,5, 'Daily Product Breakdown'!$E$185+'Daily Product Breakdown'!$F$185)</f>
        <v>10</v>
      </c>
      <c r="E146" s="475"/>
      <c r="F146" s="475"/>
      <c r="G146" s="475"/>
    </row>
    <row r="147" spans="1:7" ht="21" customHeight="1" x14ac:dyDescent="0.35">
      <c r="A147" s="475" t="s">
        <v>625</v>
      </c>
      <c r="B147" s="476" t="s">
        <v>824</v>
      </c>
      <c r="C147" s="476" t="s">
        <v>815</v>
      </c>
      <c r="D147" s="477">
        <f>IF('Daily Product Breakdown'!$E$181+'Daily Product Breakdown'!$F$181&lt; 30,30, 'Daily Product Breakdown'!$E$181+'Daily Product Breakdown'!$F$181)</f>
        <v>30</v>
      </c>
      <c r="E147" s="475"/>
      <c r="F147" s="472"/>
      <c r="G147" s="475"/>
    </row>
    <row r="148" spans="1:7" ht="21" customHeight="1" thickBot="1" x14ac:dyDescent="0.4">
      <c r="A148" s="470" t="s">
        <v>827</v>
      </c>
      <c r="B148" s="471" t="s">
        <v>1899</v>
      </c>
      <c r="C148" s="471" t="s">
        <v>815</v>
      </c>
      <c r="D148" s="483">
        <f>IF('Daily Product Breakdown'!$E$49+'Daily Product Breakdown'!$F$49&lt; 6,6, 'Daily Product Breakdown'!$E$49+'Daily Product Breakdown'!$F$49)</f>
        <v>17</v>
      </c>
      <c r="E148" s="470"/>
      <c r="F148" s="470"/>
      <c r="G148" s="470"/>
    </row>
    <row r="149" spans="1:7" ht="21" customHeight="1" thickBot="1" x14ac:dyDescent="0.4">
      <c r="A149" s="856" t="s">
        <v>1905</v>
      </c>
      <c r="B149" s="857"/>
      <c r="C149" s="857"/>
      <c r="D149" s="857"/>
      <c r="E149" s="857"/>
      <c r="F149" s="857"/>
      <c r="G149" s="858"/>
    </row>
    <row r="150" spans="1:7" ht="21" customHeight="1" x14ac:dyDescent="0.35">
      <c r="A150" s="810" t="s">
        <v>1860</v>
      </c>
      <c r="B150" s="476" t="s">
        <v>142</v>
      </c>
      <c r="C150" s="476" t="s">
        <v>828</v>
      </c>
      <c r="D150" s="811">
        <f>IF('Daily Product Breakdown'!$E$175+'Daily Product Breakdown'!$F$175&lt; 6,6, 'Daily Product Breakdown'!$E$175+'Daily Product Breakdown'!$F$175)</f>
        <v>23</v>
      </c>
      <c r="E150" s="811"/>
      <c r="F150" s="811"/>
      <c r="G150" s="811"/>
    </row>
    <row r="151" spans="1:7" ht="21" customHeight="1" x14ac:dyDescent="0.35">
      <c r="A151" s="808" t="s">
        <v>1906</v>
      </c>
      <c r="B151" s="473" t="s">
        <v>142</v>
      </c>
      <c r="C151" s="473" t="s">
        <v>828</v>
      </c>
      <c r="D151" s="474">
        <f>IF('Daily Product Breakdown'!$E$149+'Daily Product Breakdown'!$F$149&lt; 6,6, 'Daily Product Breakdown'!$E$149+'Daily Product Breakdown'!$F$149)</f>
        <v>8</v>
      </c>
      <c r="E151" s="474"/>
      <c r="F151" s="474"/>
      <c r="G151" s="474"/>
    </row>
    <row r="152" spans="1:7" ht="21" customHeight="1" thickBot="1" x14ac:dyDescent="0.4">
      <c r="A152" s="809" t="s">
        <v>583</v>
      </c>
      <c r="B152" s="471" t="s">
        <v>835</v>
      </c>
      <c r="C152" s="471" t="s">
        <v>1911</v>
      </c>
      <c r="D152" s="803">
        <f>IF('Daily Product Breakdown'!$E$91+'Daily Product Breakdown'!$F$91&lt; 8,8, 'Daily Product Breakdown'!$E$91+'Daily Product Breakdown'!$F$91)</f>
        <v>9</v>
      </c>
      <c r="E152" s="803"/>
      <c r="F152" s="803"/>
      <c r="G152" s="803"/>
    </row>
    <row r="153" spans="1:7" ht="21" customHeight="1" thickBot="1" x14ac:dyDescent="0.4">
      <c r="A153" s="856" t="s">
        <v>1900</v>
      </c>
      <c r="B153" s="857"/>
      <c r="C153" s="857"/>
      <c r="D153" s="857"/>
      <c r="E153" s="857"/>
      <c r="F153" s="857"/>
      <c r="G153" s="858"/>
    </row>
    <row r="154" spans="1:7" ht="21" customHeight="1" x14ac:dyDescent="0.35">
      <c r="A154" s="475" t="s">
        <v>1901</v>
      </c>
      <c r="B154" s="859"/>
      <c r="C154" s="860"/>
      <c r="D154" s="861"/>
      <c r="E154" s="475"/>
      <c r="F154" s="475"/>
      <c r="G154" s="475"/>
    </row>
    <row r="155" spans="1:7" ht="21" customHeight="1" x14ac:dyDescent="0.35">
      <c r="A155" s="472" t="s">
        <v>1902</v>
      </c>
      <c r="B155" s="862"/>
      <c r="C155" s="863"/>
      <c r="D155" s="864"/>
      <c r="E155" s="472"/>
      <c r="F155" s="472"/>
      <c r="G155" s="472"/>
    </row>
    <row r="156" spans="1:7" ht="21" customHeight="1" x14ac:dyDescent="0.35">
      <c r="A156" s="472" t="s">
        <v>1903</v>
      </c>
      <c r="B156" s="862"/>
      <c r="C156" s="863"/>
      <c r="D156" s="864"/>
      <c r="E156" s="472"/>
      <c r="F156" s="472"/>
      <c r="G156" s="472"/>
    </row>
    <row r="157" spans="1:7" ht="21" customHeight="1" x14ac:dyDescent="0.35">
      <c r="A157" s="472" t="s">
        <v>1327</v>
      </c>
      <c r="B157" s="862"/>
      <c r="C157" s="863"/>
      <c r="D157" s="864"/>
      <c r="E157" s="472"/>
      <c r="F157" s="472"/>
      <c r="G157" s="472"/>
    </row>
    <row r="158" spans="1:7" ht="21" customHeight="1" x14ac:dyDescent="0.35">
      <c r="A158" s="472" t="s">
        <v>813</v>
      </c>
      <c r="B158" s="862"/>
      <c r="C158" s="863"/>
      <c r="D158" s="864"/>
      <c r="E158" s="472"/>
      <c r="F158" s="472"/>
      <c r="G158" s="472"/>
    </row>
    <row r="159" spans="1:7" ht="21" customHeight="1" x14ac:dyDescent="0.35">
      <c r="A159" s="472" t="s">
        <v>1904</v>
      </c>
      <c r="B159" s="862"/>
      <c r="C159" s="863"/>
      <c r="D159" s="864"/>
      <c r="E159" s="472"/>
      <c r="F159" s="472"/>
      <c r="G159" s="472"/>
    </row>
    <row r="160" spans="1:7" ht="21" customHeight="1" x14ac:dyDescent="0.35">
      <c r="A160" s="472" t="s">
        <v>341</v>
      </c>
      <c r="B160" s="862"/>
      <c r="C160" s="863"/>
      <c r="D160" s="864"/>
      <c r="E160" s="472"/>
      <c r="F160" s="472"/>
      <c r="G160" s="472"/>
    </row>
    <row r="161" spans="1:7" ht="21" customHeight="1" x14ac:dyDescent="0.35">
      <c r="A161" s="472" t="s">
        <v>1907</v>
      </c>
      <c r="B161" s="862"/>
      <c r="C161" s="863"/>
      <c r="D161" s="864"/>
      <c r="E161" s="472"/>
      <c r="F161" s="472"/>
      <c r="G161" s="472"/>
    </row>
    <row r="162" spans="1:7" ht="21" customHeight="1" x14ac:dyDescent="0.35">
      <c r="A162" s="472" t="s">
        <v>587</v>
      </c>
      <c r="B162" s="862"/>
      <c r="C162" s="863"/>
      <c r="D162" s="864"/>
      <c r="E162" s="472"/>
      <c r="F162" s="472"/>
      <c r="G162" s="472"/>
    </row>
    <row r="163" spans="1:7" ht="21" customHeight="1" x14ac:dyDescent="0.35">
      <c r="A163" s="470" t="s">
        <v>1908</v>
      </c>
      <c r="B163" s="862"/>
      <c r="C163" s="863"/>
      <c r="D163" s="864"/>
      <c r="E163" s="470"/>
      <c r="F163" s="472"/>
      <c r="G163" s="470"/>
    </row>
    <row r="164" spans="1:7" ht="21" customHeight="1" x14ac:dyDescent="0.35">
      <c r="A164" s="470" t="s">
        <v>1909</v>
      </c>
      <c r="B164" s="862"/>
      <c r="C164" s="863"/>
      <c r="D164" s="864"/>
      <c r="E164" s="470"/>
      <c r="F164" s="472"/>
      <c r="G164" s="470"/>
    </row>
    <row r="165" spans="1:7" ht="21" customHeight="1" thickBot="1" x14ac:dyDescent="0.4">
      <c r="A165" s="470" t="s">
        <v>588</v>
      </c>
      <c r="B165" s="862"/>
      <c r="C165" s="863"/>
      <c r="D165" s="864"/>
      <c r="E165" s="470"/>
      <c r="F165" s="470"/>
      <c r="G165" s="470"/>
    </row>
    <row r="166" spans="1:7" ht="21" customHeight="1" x14ac:dyDescent="0.35">
      <c r="A166" s="865" t="s">
        <v>812</v>
      </c>
      <c r="B166" s="866"/>
      <c r="C166" s="866"/>
      <c r="D166" s="866"/>
      <c r="E166" s="866"/>
      <c r="F166" s="866"/>
      <c r="G166" s="867"/>
    </row>
    <row r="167" spans="1:7" ht="21" customHeight="1" x14ac:dyDescent="0.35">
      <c r="A167" s="868"/>
      <c r="B167" s="869"/>
      <c r="C167" s="869"/>
      <c r="D167" s="869"/>
      <c r="E167" s="869"/>
      <c r="F167" s="869"/>
      <c r="G167" s="870"/>
    </row>
    <row r="168" spans="1:7" ht="21" customHeight="1" thickBot="1" x14ac:dyDescent="0.4">
      <c r="A168" s="871"/>
      <c r="B168" s="872"/>
      <c r="C168" s="872"/>
      <c r="D168" s="872"/>
      <c r="E168" s="872"/>
      <c r="F168" s="872"/>
      <c r="G168" s="873"/>
    </row>
    <row r="169" spans="1:7" ht="21" customHeight="1" thickBot="1" x14ac:dyDescent="0.4">
      <c r="A169" s="803" t="s">
        <v>131</v>
      </c>
      <c r="B169" s="803" t="s">
        <v>132</v>
      </c>
      <c r="C169" s="803" t="s">
        <v>821</v>
      </c>
      <c r="D169" s="803" t="s">
        <v>1885</v>
      </c>
      <c r="E169" s="803" t="s">
        <v>834</v>
      </c>
      <c r="F169" s="803" t="s">
        <v>833</v>
      </c>
      <c r="G169" s="803" t="s">
        <v>820</v>
      </c>
    </row>
    <row r="170" spans="1:7" ht="21" customHeight="1" thickBot="1" x14ac:dyDescent="0.4">
      <c r="A170" s="856" t="s">
        <v>1892</v>
      </c>
      <c r="B170" s="857"/>
      <c r="C170" s="857"/>
      <c r="D170" s="857"/>
      <c r="E170" s="857"/>
      <c r="F170" s="857"/>
      <c r="G170" s="858"/>
    </row>
    <row r="171" spans="1:7" ht="21" customHeight="1" x14ac:dyDescent="0.35">
      <c r="A171" s="475" t="s">
        <v>832</v>
      </c>
      <c r="B171" s="476" t="s">
        <v>142</v>
      </c>
      <c r="C171" s="476" t="s">
        <v>830</v>
      </c>
      <c r="D171" s="804">
        <f>('Daily Product Breakdown'!$G$27+'Daily Product Breakdown'!$H$27)</f>
        <v>20</v>
      </c>
      <c r="E171" s="475"/>
      <c r="F171" s="475"/>
      <c r="G171" s="475"/>
    </row>
    <row r="172" spans="1:7" ht="21" customHeight="1" thickBot="1" x14ac:dyDescent="0.4">
      <c r="A172" s="470" t="s">
        <v>831</v>
      </c>
      <c r="B172" s="471" t="s">
        <v>142</v>
      </c>
      <c r="C172" s="471" t="s">
        <v>830</v>
      </c>
      <c r="D172" s="483">
        <f>('Daily Product Breakdown'!$F$29+'Daily Product Breakdown'!$G$29+'Daily Product Breakdown'!$H$29)</f>
        <v>54</v>
      </c>
      <c r="E172" s="470"/>
      <c r="F172" s="470"/>
      <c r="G172" s="470"/>
    </row>
    <row r="173" spans="1:7" ht="21" customHeight="1" thickBot="1" x14ac:dyDescent="0.4">
      <c r="A173" s="856" t="s">
        <v>1893</v>
      </c>
      <c r="B173" s="857"/>
      <c r="C173" s="857"/>
      <c r="D173" s="857"/>
      <c r="E173" s="857"/>
      <c r="F173" s="857"/>
      <c r="G173" s="858"/>
    </row>
    <row r="174" spans="1:7" ht="21" customHeight="1" x14ac:dyDescent="0.35">
      <c r="A174" s="475" t="s">
        <v>342</v>
      </c>
      <c r="B174" s="476" t="s">
        <v>143</v>
      </c>
      <c r="C174" s="476" t="s">
        <v>818</v>
      </c>
      <c r="D174" s="804">
        <v>7</v>
      </c>
      <c r="E174" s="475"/>
      <c r="F174" s="475"/>
      <c r="G174" s="475"/>
    </row>
    <row r="175" spans="1:7" ht="21" customHeight="1" x14ac:dyDescent="0.35">
      <c r="A175" s="472" t="s">
        <v>1894</v>
      </c>
      <c r="B175" s="473" t="s">
        <v>814</v>
      </c>
      <c r="C175" s="473" t="s">
        <v>818</v>
      </c>
      <c r="D175" s="477">
        <v>2</v>
      </c>
      <c r="E175" s="472"/>
      <c r="F175" s="472"/>
      <c r="G175" s="472"/>
    </row>
    <row r="176" spans="1:7" ht="21" customHeight="1" x14ac:dyDescent="0.35">
      <c r="A176" s="472" t="s">
        <v>1895</v>
      </c>
      <c r="B176" s="473" t="s">
        <v>814</v>
      </c>
      <c r="C176" s="473" t="s">
        <v>828</v>
      </c>
      <c r="D176" s="480">
        <v>2</v>
      </c>
      <c r="E176" s="472"/>
      <c r="F176" s="472"/>
      <c r="G176" s="472"/>
    </row>
    <row r="177" spans="1:7" ht="21" customHeight="1" x14ac:dyDescent="0.35">
      <c r="A177" s="472" t="s">
        <v>825</v>
      </c>
      <c r="B177" s="473" t="s">
        <v>814</v>
      </c>
      <c r="C177" s="473" t="s">
        <v>818</v>
      </c>
      <c r="D177" s="477">
        <v>2</v>
      </c>
      <c r="E177" s="472"/>
      <c r="F177" s="472"/>
      <c r="G177" s="472"/>
    </row>
    <row r="178" spans="1:7" ht="21" customHeight="1" x14ac:dyDescent="0.35">
      <c r="A178" s="472" t="s">
        <v>1896</v>
      </c>
      <c r="B178" s="473" t="s">
        <v>816</v>
      </c>
      <c r="C178" s="473" t="s">
        <v>828</v>
      </c>
      <c r="D178" s="477">
        <v>2</v>
      </c>
      <c r="E178" s="472"/>
      <c r="F178" s="472"/>
      <c r="G178" s="472"/>
    </row>
    <row r="179" spans="1:7" ht="21" customHeight="1" x14ac:dyDescent="0.35">
      <c r="A179" s="472" t="s">
        <v>819</v>
      </c>
      <c r="B179" s="473" t="s">
        <v>816</v>
      </c>
      <c r="C179" s="473" t="s">
        <v>828</v>
      </c>
      <c r="D179" s="477">
        <v>2</v>
      </c>
      <c r="E179" s="472"/>
      <c r="F179" s="472"/>
      <c r="G179" s="472"/>
    </row>
    <row r="180" spans="1:7" ht="21" customHeight="1" thickBot="1" x14ac:dyDescent="0.4">
      <c r="A180" s="470" t="s">
        <v>1811</v>
      </c>
      <c r="B180" s="471" t="s">
        <v>816</v>
      </c>
      <c r="C180" s="471" t="s">
        <v>828</v>
      </c>
      <c r="D180" s="483">
        <v>1</v>
      </c>
      <c r="E180" s="470"/>
      <c r="F180" s="470"/>
      <c r="G180" s="470"/>
    </row>
    <row r="181" spans="1:7" ht="21" customHeight="1" thickBot="1" x14ac:dyDescent="0.4">
      <c r="A181" s="856" t="s">
        <v>1897</v>
      </c>
      <c r="B181" s="857"/>
      <c r="C181" s="857"/>
      <c r="D181" s="857"/>
      <c r="E181" s="857"/>
      <c r="F181" s="857"/>
      <c r="G181" s="858"/>
    </row>
    <row r="182" spans="1:7" ht="21" customHeight="1" x14ac:dyDescent="0.35">
      <c r="A182" s="475" t="s">
        <v>123</v>
      </c>
      <c r="B182" s="476" t="s">
        <v>844</v>
      </c>
      <c r="C182" s="476" t="s">
        <v>815</v>
      </c>
      <c r="D182" s="804">
        <f>('Daily Product Breakdown'!$F$173+'Daily Product Breakdown'!$G$173+'Daily Product Breakdown'!$H$173)</f>
        <v>18</v>
      </c>
      <c r="E182" s="475"/>
      <c r="F182" s="475"/>
      <c r="G182" s="475"/>
    </row>
    <row r="183" spans="1:7" ht="21" customHeight="1" x14ac:dyDescent="0.35">
      <c r="A183" s="472" t="s">
        <v>123</v>
      </c>
      <c r="B183" s="473" t="s">
        <v>845</v>
      </c>
      <c r="C183" s="473" t="s">
        <v>815</v>
      </c>
      <c r="D183" s="477">
        <f>('Daily Product Breakdown'!$F$43+'Daily Product Breakdown'!$G$43+'Daily Product Breakdown'!$H$43)</f>
        <v>78</v>
      </c>
      <c r="E183" s="472"/>
      <c r="F183" s="472"/>
      <c r="G183" s="472"/>
    </row>
    <row r="184" spans="1:7" ht="21" customHeight="1" x14ac:dyDescent="0.35">
      <c r="A184" s="472" t="s">
        <v>376</v>
      </c>
      <c r="B184" s="473" t="s">
        <v>829</v>
      </c>
      <c r="C184" s="473" t="s">
        <v>815</v>
      </c>
      <c r="D184" s="477">
        <f>IF('Daily Product Breakdown'!$F$183+'Daily Product Breakdown'!$G$183&lt; 5,5, 'Daily Product Breakdown'!$F$183+'Daily Product Breakdown'!$G$183)</f>
        <v>14</v>
      </c>
      <c r="E184" s="472"/>
      <c r="F184" s="472"/>
      <c r="G184" s="472"/>
    </row>
    <row r="185" spans="1:7" ht="21" customHeight="1" x14ac:dyDescent="0.35">
      <c r="A185" s="479" t="s">
        <v>59</v>
      </c>
      <c r="B185" s="478" t="s">
        <v>1898</v>
      </c>
      <c r="C185" s="478" t="s">
        <v>815</v>
      </c>
      <c r="D185" s="477">
        <f>('Daily Product Breakdown'!$F$105+'Daily Product Breakdown'!$G$105)/16</f>
        <v>8.46875</v>
      </c>
      <c r="E185" s="472"/>
      <c r="F185" s="472"/>
      <c r="G185" s="472"/>
    </row>
    <row r="186" spans="1:7" ht="21" customHeight="1" thickBot="1" x14ac:dyDescent="0.4">
      <c r="A186" s="470" t="s">
        <v>817</v>
      </c>
      <c r="B186" s="471" t="s">
        <v>816</v>
      </c>
      <c r="C186" s="471" t="s">
        <v>815</v>
      </c>
      <c r="D186" s="483">
        <v>1</v>
      </c>
      <c r="E186" s="470"/>
      <c r="F186" s="470"/>
      <c r="G186" s="470"/>
    </row>
    <row r="187" spans="1:7" ht="21" customHeight="1" thickBot="1" x14ac:dyDescent="0.4">
      <c r="A187" s="856" t="s">
        <v>1876</v>
      </c>
      <c r="B187" s="857"/>
      <c r="C187" s="857"/>
      <c r="D187" s="857"/>
      <c r="E187" s="857"/>
      <c r="F187" s="857"/>
      <c r="G187" s="858"/>
    </row>
    <row r="188" spans="1:7" ht="21" customHeight="1" x14ac:dyDescent="0.35">
      <c r="A188" s="475" t="s">
        <v>162</v>
      </c>
      <c r="B188" s="476" t="s">
        <v>829</v>
      </c>
      <c r="C188" s="476" t="s">
        <v>815</v>
      </c>
      <c r="D188" s="804">
        <f>IF('Daily Product Breakdown'!$F$185+'Daily Product Breakdown'!$G$185&lt; 5,5, 'Daily Product Breakdown'!$F$185+'Daily Product Breakdown'!$G$185)</f>
        <v>21</v>
      </c>
      <c r="E188" s="475"/>
      <c r="F188" s="475"/>
      <c r="G188" s="475"/>
    </row>
    <row r="189" spans="1:7" ht="21" customHeight="1" x14ac:dyDescent="0.35">
      <c r="A189" s="475" t="s">
        <v>625</v>
      </c>
      <c r="B189" s="476" t="s">
        <v>824</v>
      </c>
      <c r="C189" s="476" t="s">
        <v>815</v>
      </c>
      <c r="D189" s="477">
        <f>IF('Daily Product Breakdown'!$F$181+'Daily Product Breakdown'!$G$181&lt; 30,30, 'Daily Product Breakdown'!$F$181+'Daily Product Breakdown'!$G$181)</f>
        <v>40</v>
      </c>
      <c r="E189" s="475"/>
      <c r="F189" s="472"/>
      <c r="G189" s="475"/>
    </row>
    <row r="190" spans="1:7" ht="21" customHeight="1" thickBot="1" x14ac:dyDescent="0.4">
      <c r="A190" s="470" t="s">
        <v>827</v>
      </c>
      <c r="B190" s="471" t="s">
        <v>1899</v>
      </c>
      <c r="C190" s="471" t="s">
        <v>815</v>
      </c>
      <c r="D190" s="483">
        <f>IF('Daily Product Breakdown'!$F$49+'Daily Product Breakdown'!$G$49&lt; 10,10, 'Daily Product Breakdown'!$F$49+'Daily Product Breakdown'!$G$49)</f>
        <v>18</v>
      </c>
      <c r="E190" s="470"/>
      <c r="F190" s="470"/>
      <c r="G190" s="470"/>
    </row>
    <row r="191" spans="1:7" ht="21" customHeight="1" x14ac:dyDescent="0.35">
      <c r="A191" s="874" t="s">
        <v>1905</v>
      </c>
      <c r="B191" s="875"/>
      <c r="C191" s="875"/>
      <c r="D191" s="875"/>
      <c r="E191" s="875"/>
      <c r="F191" s="875"/>
      <c r="G191" s="876"/>
    </row>
    <row r="192" spans="1:7" ht="21" customHeight="1" x14ac:dyDescent="0.35">
      <c r="A192" s="808" t="s">
        <v>1860</v>
      </c>
      <c r="B192" s="473" t="s">
        <v>142</v>
      </c>
      <c r="C192" s="473" t="s">
        <v>828</v>
      </c>
      <c r="D192" s="811">
        <f>IF('Daily Product Breakdown'!$F$175+'Daily Product Breakdown'!$G$175&lt; 10,10, 'Daily Product Breakdown'!$F$175+'Daily Product Breakdown'!$G$175)</f>
        <v>25</v>
      </c>
      <c r="E192" s="474"/>
      <c r="F192" s="474"/>
      <c r="G192" s="474"/>
    </row>
    <row r="193" spans="1:7" ht="21" customHeight="1" x14ac:dyDescent="0.35">
      <c r="A193" s="808" t="s">
        <v>1906</v>
      </c>
      <c r="B193" s="473" t="s">
        <v>142</v>
      </c>
      <c r="C193" s="473" t="s">
        <v>828</v>
      </c>
      <c r="D193" s="474">
        <f>IF('Daily Product Breakdown'!$F$149+'Daily Product Breakdown'!$G$149&lt; 6,6, 'Daily Product Breakdown'!$F$149+'Daily Product Breakdown'!$G$149)</f>
        <v>16</v>
      </c>
      <c r="E193" s="474"/>
      <c r="F193" s="474"/>
      <c r="G193" s="474"/>
    </row>
    <row r="194" spans="1:7" ht="21" customHeight="1" thickBot="1" x14ac:dyDescent="0.4">
      <c r="A194" s="809" t="s">
        <v>583</v>
      </c>
      <c r="B194" s="471" t="s">
        <v>835</v>
      </c>
      <c r="C194" s="471" t="s">
        <v>1911</v>
      </c>
      <c r="D194" s="803">
        <f>IF('Daily Product Breakdown'!$F$91+'Daily Product Breakdown'!$G$91&lt; 10,10, 'Daily Product Breakdown'!$F$91+'Daily Product Breakdown'!$G$91)</f>
        <v>10</v>
      </c>
      <c r="E194" s="803"/>
      <c r="F194" s="803"/>
      <c r="G194" s="803"/>
    </row>
    <row r="195" spans="1:7" ht="21" customHeight="1" thickBot="1" x14ac:dyDescent="0.4">
      <c r="A195" s="856" t="s">
        <v>1900</v>
      </c>
      <c r="B195" s="857"/>
      <c r="C195" s="857"/>
      <c r="D195" s="857"/>
      <c r="E195" s="857"/>
      <c r="F195" s="857"/>
      <c r="G195" s="858"/>
    </row>
    <row r="196" spans="1:7" ht="21" customHeight="1" x14ac:dyDescent="0.35">
      <c r="A196" s="475" t="s">
        <v>1901</v>
      </c>
      <c r="B196" s="859"/>
      <c r="C196" s="860"/>
      <c r="D196" s="861"/>
      <c r="E196" s="475"/>
      <c r="F196" s="475"/>
      <c r="G196" s="475"/>
    </row>
    <row r="197" spans="1:7" ht="21" customHeight="1" x14ac:dyDescent="0.35">
      <c r="A197" s="472" t="s">
        <v>1902</v>
      </c>
      <c r="B197" s="862"/>
      <c r="C197" s="863"/>
      <c r="D197" s="864"/>
      <c r="E197" s="472"/>
      <c r="F197" s="472"/>
      <c r="G197" s="472"/>
    </row>
    <row r="198" spans="1:7" ht="21" customHeight="1" x14ac:dyDescent="0.35">
      <c r="A198" s="472" t="s">
        <v>1903</v>
      </c>
      <c r="B198" s="862"/>
      <c r="C198" s="863"/>
      <c r="D198" s="864"/>
      <c r="E198" s="472"/>
      <c r="F198" s="472"/>
      <c r="G198" s="472"/>
    </row>
    <row r="199" spans="1:7" ht="21" customHeight="1" x14ac:dyDescent="0.35">
      <c r="A199" s="472" t="s">
        <v>1327</v>
      </c>
      <c r="B199" s="862"/>
      <c r="C199" s="863"/>
      <c r="D199" s="864"/>
      <c r="E199" s="472"/>
      <c r="F199" s="472"/>
      <c r="G199" s="472"/>
    </row>
    <row r="200" spans="1:7" ht="21" customHeight="1" x14ac:dyDescent="0.35">
      <c r="A200" s="472" t="s">
        <v>813</v>
      </c>
      <c r="B200" s="862"/>
      <c r="C200" s="863"/>
      <c r="D200" s="864"/>
      <c r="E200" s="472"/>
      <c r="F200" s="472"/>
      <c r="G200" s="472"/>
    </row>
    <row r="201" spans="1:7" ht="21" customHeight="1" x14ac:dyDescent="0.35">
      <c r="A201" s="472" t="s">
        <v>1904</v>
      </c>
      <c r="B201" s="862"/>
      <c r="C201" s="863"/>
      <c r="D201" s="864"/>
      <c r="E201" s="472"/>
      <c r="F201" s="472"/>
      <c r="G201" s="472"/>
    </row>
    <row r="202" spans="1:7" ht="21" customHeight="1" x14ac:dyDescent="0.35">
      <c r="A202" s="472" t="s">
        <v>341</v>
      </c>
      <c r="B202" s="862"/>
      <c r="C202" s="863"/>
      <c r="D202" s="864"/>
      <c r="E202" s="472"/>
      <c r="F202" s="472"/>
      <c r="G202" s="472"/>
    </row>
    <row r="203" spans="1:7" ht="21" customHeight="1" x14ac:dyDescent="0.35">
      <c r="A203" s="472" t="s">
        <v>1907</v>
      </c>
      <c r="B203" s="862"/>
      <c r="C203" s="863"/>
      <c r="D203" s="864"/>
      <c r="E203" s="472"/>
      <c r="F203" s="472"/>
      <c r="G203" s="472"/>
    </row>
    <row r="204" spans="1:7" ht="21" customHeight="1" x14ac:dyDescent="0.35">
      <c r="A204" s="472" t="s">
        <v>587</v>
      </c>
      <c r="B204" s="862"/>
      <c r="C204" s="863"/>
      <c r="D204" s="864"/>
      <c r="E204" s="472"/>
      <c r="F204" s="472"/>
      <c r="G204" s="472"/>
    </row>
    <row r="205" spans="1:7" ht="21" customHeight="1" x14ac:dyDescent="0.35">
      <c r="A205" s="470" t="s">
        <v>1908</v>
      </c>
      <c r="B205" s="862"/>
      <c r="C205" s="863"/>
      <c r="D205" s="864"/>
      <c r="E205" s="470"/>
      <c r="F205" s="472"/>
      <c r="G205" s="470"/>
    </row>
    <row r="206" spans="1:7" ht="21" customHeight="1" x14ac:dyDescent="0.35">
      <c r="A206" s="470" t="s">
        <v>1909</v>
      </c>
      <c r="B206" s="862"/>
      <c r="C206" s="863"/>
      <c r="D206" s="864"/>
      <c r="E206" s="470"/>
      <c r="F206" s="472"/>
      <c r="G206" s="470"/>
    </row>
    <row r="207" spans="1:7" ht="21" customHeight="1" thickBot="1" x14ac:dyDescent="0.4">
      <c r="A207" s="470" t="s">
        <v>588</v>
      </c>
      <c r="B207" s="862"/>
      <c r="C207" s="863"/>
      <c r="D207" s="864"/>
      <c r="E207" s="470"/>
      <c r="F207" s="470"/>
      <c r="G207" s="470"/>
    </row>
    <row r="208" spans="1:7" ht="21" customHeight="1" x14ac:dyDescent="0.35">
      <c r="A208" s="865" t="s">
        <v>812</v>
      </c>
      <c r="B208" s="866"/>
      <c r="C208" s="866"/>
      <c r="D208" s="866"/>
      <c r="E208" s="866"/>
      <c r="F208" s="866"/>
      <c r="G208" s="867"/>
    </row>
    <row r="209" spans="1:7" ht="21" customHeight="1" x14ac:dyDescent="0.35">
      <c r="A209" s="868"/>
      <c r="B209" s="869"/>
      <c r="C209" s="869"/>
      <c r="D209" s="869"/>
      <c r="E209" s="869"/>
      <c r="F209" s="869"/>
      <c r="G209" s="870"/>
    </row>
    <row r="210" spans="1:7" ht="21" customHeight="1" thickBot="1" x14ac:dyDescent="0.4">
      <c r="A210" s="871"/>
      <c r="B210" s="872"/>
      <c r="C210" s="872"/>
      <c r="D210" s="872"/>
      <c r="E210" s="872"/>
      <c r="F210" s="872"/>
      <c r="G210" s="873"/>
    </row>
    <row r="211" spans="1:7" ht="21" customHeight="1" thickBot="1" x14ac:dyDescent="0.4">
      <c r="A211" s="803" t="s">
        <v>131</v>
      </c>
      <c r="B211" s="803" t="s">
        <v>132</v>
      </c>
      <c r="C211" s="803" t="s">
        <v>821</v>
      </c>
      <c r="D211" s="803" t="s">
        <v>553</v>
      </c>
      <c r="E211" s="803" t="s">
        <v>834</v>
      </c>
      <c r="F211" s="803" t="s">
        <v>833</v>
      </c>
      <c r="G211" s="803" t="s">
        <v>820</v>
      </c>
    </row>
    <row r="212" spans="1:7" ht="21" customHeight="1" thickBot="1" x14ac:dyDescent="0.4">
      <c r="A212" s="856" t="s">
        <v>1892</v>
      </c>
      <c r="B212" s="857"/>
      <c r="C212" s="857"/>
      <c r="D212" s="857"/>
      <c r="E212" s="857"/>
      <c r="F212" s="857"/>
      <c r="G212" s="858"/>
    </row>
    <row r="213" spans="1:7" ht="21" customHeight="1" x14ac:dyDescent="0.35">
      <c r="A213" s="475" t="s">
        <v>832</v>
      </c>
      <c r="B213" s="476" t="s">
        <v>142</v>
      </c>
      <c r="C213" s="476" t="s">
        <v>830</v>
      </c>
      <c r="D213" s="804">
        <f>('Daily Product Breakdown'!$H$27+'Daily Product Breakdown'!$B$27)</f>
        <v>8</v>
      </c>
      <c r="E213" s="475"/>
      <c r="F213" s="475"/>
      <c r="G213" s="475"/>
    </row>
    <row r="214" spans="1:7" ht="21" customHeight="1" thickBot="1" x14ac:dyDescent="0.4">
      <c r="A214" s="470" t="s">
        <v>831</v>
      </c>
      <c r="B214" s="471" t="s">
        <v>142</v>
      </c>
      <c r="C214" s="471" t="s">
        <v>830</v>
      </c>
      <c r="D214" s="483">
        <f>('Daily Product Breakdown'!$H$29+'Daily Product Breakdown'!$B$29)</f>
        <v>20</v>
      </c>
      <c r="E214" s="470"/>
      <c r="F214" s="470"/>
      <c r="G214" s="470"/>
    </row>
    <row r="215" spans="1:7" ht="21" customHeight="1" thickBot="1" x14ac:dyDescent="0.4">
      <c r="A215" s="856" t="s">
        <v>1893</v>
      </c>
      <c r="B215" s="857"/>
      <c r="C215" s="857"/>
      <c r="D215" s="857"/>
      <c r="E215" s="857"/>
      <c r="F215" s="857"/>
      <c r="G215" s="858"/>
    </row>
    <row r="216" spans="1:7" ht="21" customHeight="1" x14ac:dyDescent="0.35">
      <c r="A216" s="475" t="s">
        <v>342</v>
      </c>
      <c r="B216" s="476" t="s">
        <v>143</v>
      </c>
      <c r="C216" s="476" t="s">
        <v>818</v>
      </c>
      <c r="D216" s="804">
        <v>5</v>
      </c>
      <c r="E216" s="475"/>
      <c r="F216" s="475"/>
      <c r="G216" s="475"/>
    </row>
    <row r="217" spans="1:7" ht="21" customHeight="1" x14ac:dyDescent="0.35">
      <c r="A217" s="472" t="s">
        <v>1894</v>
      </c>
      <c r="B217" s="473" t="s">
        <v>814</v>
      </c>
      <c r="C217" s="473" t="s">
        <v>818</v>
      </c>
      <c r="D217" s="477">
        <v>1</v>
      </c>
      <c r="E217" s="472"/>
      <c r="F217" s="472"/>
      <c r="G217" s="472"/>
    </row>
    <row r="218" spans="1:7" ht="21" customHeight="1" x14ac:dyDescent="0.35">
      <c r="A218" s="472" t="s">
        <v>1895</v>
      </c>
      <c r="B218" s="473" t="s">
        <v>814</v>
      </c>
      <c r="C218" s="473" t="s">
        <v>828</v>
      </c>
      <c r="D218" s="480">
        <v>1</v>
      </c>
      <c r="E218" s="472"/>
      <c r="F218" s="472"/>
      <c r="G218" s="472"/>
    </row>
    <row r="219" spans="1:7" ht="21" customHeight="1" x14ac:dyDescent="0.35">
      <c r="A219" s="472" t="s">
        <v>825</v>
      </c>
      <c r="B219" s="473" t="s">
        <v>814</v>
      </c>
      <c r="C219" s="473" t="s">
        <v>818</v>
      </c>
      <c r="D219" s="477">
        <v>1</v>
      </c>
      <c r="E219" s="472"/>
      <c r="F219" s="472"/>
      <c r="G219" s="472"/>
    </row>
    <row r="220" spans="1:7" ht="21" customHeight="1" x14ac:dyDescent="0.35">
      <c r="A220" s="472" t="s">
        <v>1896</v>
      </c>
      <c r="B220" s="473" t="s">
        <v>816</v>
      </c>
      <c r="C220" s="473" t="s">
        <v>828</v>
      </c>
      <c r="D220" s="477">
        <v>1</v>
      </c>
      <c r="E220" s="472"/>
      <c r="F220" s="472"/>
      <c r="G220" s="472"/>
    </row>
    <row r="221" spans="1:7" ht="21" customHeight="1" x14ac:dyDescent="0.35">
      <c r="A221" s="472" t="s">
        <v>819</v>
      </c>
      <c r="B221" s="473" t="s">
        <v>816</v>
      </c>
      <c r="C221" s="473" t="s">
        <v>828</v>
      </c>
      <c r="D221" s="477">
        <v>1</v>
      </c>
      <c r="E221" s="472"/>
      <c r="F221" s="472"/>
      <c r="G221" s="472"/>
    </row>
    <row r="222" spans="1:7" ht="21" customHeight="1" thickBot="1" x14ac:dyDescent="0.4">
      <c r="A222" s="470" t="s">
        <v>1811</v>
      </c>
      <c r="B222" s="471" t="s">
        <v>816</v>
      </c>
      <c r="C222" s="471" t="s">
        <v>828</v>
      </c>
      <c r="D222" s="483">
        <v>1</v>
      </c>
      <c r="E222" s="470"/>
      <c r="F222" s="470"/>
      <c r="G222" s="470"/>
    </row>
    <row r="223" spans="1:7" ht="21" customHeight="1" thickBot="1" x14ac:dyDescent="0.4">
      <c r="A223" s="856" t="s">
        <v>1897</v>
      </c>
      <c r="B223" s="857"/>
      <c r="C223" s="857"/>
      <c r="D223" s="857"/>
      <c r="E223" s="857"/>
      <c r="F223" s="857"/>
      <c r="G223" s="858"/>
    </row>
    <row r="224" spans="1:7" ht="21" customHeight="1" x14ac:dyDescent="0.35">
      <c r="A224" s="475" t="s">
        <v>123</v>
      </c>
      <c r="B224" s="476" t="s">
        <v>844</v>
      </c>
      <c r="C224" s="476" t="s">
        <v>815</v>
      </c>
      <c r="D224" s="804">
        <f>('Daily Product Breakdown'!$G$173+'Daily Product Breakdown'!$H$173+'Daily Product Breakdown'!$B$173)</f>
        <v>11</v>
      </c>
      <c r="E224" s="475"/>
      <c r="F224" s="475"/>
      <c r="G224" s="475"/>
    </row>
    <row r="225" spans="1:7" ht="21" customHeight="1" x14ac:dyDescent="0.35">
      <c r="A225" s="472" t="s">
        <v>123</v>
      </c>
      <c r="B225" s="473" t="s">
        <v>845</v>
      </c>
      <c r="C225" s="473" t="s">
        <v>815</v>
      </c>
      <c r="D225" s="477">
        <f>('Daily Product Breakdown'!$G$43+'Daily Product Breakdown'!$H$43+'Daily Product Breakdown'!$B$43)</f>
        <v>63</v>
      </c>
      <c r="E225" s="472"/>
      <c r="F225" s="472"/>
      <c r="G225" s="472"/>
    </row>
    <row r="226" spans="1:7" ht="21" customHeight="1" x14ac:dyDescent="0.35">
      <c r="A226" s="472" t="s">
        <v>376</v>
      </c>
      <c r="B226" s="473" t="s">
        <v>829</v>
      </c>
      <c r="C226" s="473" t="s">
        <v>815</v>
      </c>
      <c r="D226" s="477">
        <f>IF('Daily Product Breakdown'!$G$183+'Daily Product Breakdown'!$H$183&lt; 5,5, 'Daily Product Breakdown'!$G$183+'Daily Product Breakdown'!$H$183)</f>
        <v>8</v>
      </c>
      <c r="E226" s="472"/>
      <c r="F226" s="472"/>
      <c r="G226" s="472"/>
    </row>
    <row r="227" spans="1:7" ht="21" customHeight="1" x14ac:dyDescent="0.35">
      <c r="A227" s="479" t="s">
        <v>59</v>
      </c>
      <c r="B227" s="478" t="s">
        <v>1898</v>
      </c>
      <c r="C227" s="478" t="s">
        <v>815</v>
      </c>
      <c r="D227" s="477">
        <f>('Daily Product Breakdown'!$G$105+'Daily Product Breakdown'!$H$105)/16</f>
        <v>6.53125</v>
      </c>
      <c r="E227" s="472"/>
      <c r="F227" s="472"/>
      <c r="G227" s="472"/>
    </row>
    <row r="228" spans="1:7" ht="21" customHeight="1" thickBot="1" x14ac:dyDescent="0.4">
      <c r="A228" s="470" t="s">
        <v>817</v>
      </c>
      <c r="B228" s="471" t="s">
        <v>816</v>
      </c>
      <c r="C228" s="471" t="s">
        <v>815</v>
      </c>
      <c r="D228" s="483">
        <v>1</v>
      </c>
      <c r="E228" s="470"/>
      <c r="F228" s="470"/>
      <c r="G228" s="470"/>
    </row>
    <row r="229" spans="1:7" ht="21" customHeight="1" thickBot="1" x14ac:dyDescent="0.4">
      <c r="A229" s="856" t="s">
        <v>1876</v>
      </c>
      <c r="B229" s="857"/>
      <c r="C229" s="857"/>
      <c r="D229" s="857"/>
      <c r="E229" s="857"/>
      <c r="F229" s="857"/>
      <c r="G229" s="858"/>
    </row>
    <row r="230" spans="1:7" ht="21" customHeight="1" x14ac:dyDescent="0.35">
      <c r="A230" s="475" t="s">
        <v>162</v>
      </c>
      <c r="B230" s="476" t="s">
        <v>829</v>
      </c>
      <c r="C230" s="476" t="s">
        <v>815</v>
      </c>
      <c r="D230" s="804">
        <f>IF('Daily Product Breakdown'!$G$185+'Daily Product Breakdown'!$H$185&lt; 5,5, 'Daily Product Breakdown'!$G$185+'Daily Product Breakdown'!$H$185)</f>
        <v>20</v>
      </c>
      <c r="E230" s="475"/>
      <c r="F230" s="475"/>
      <c r="G230" s="475"/>
    </row>
    <row r="231" spans="1:7" ht="21" customHeight="1" x14ac:dyDescent="0.35">
      <c r="A231" s="475" t="s">
        <v>625</v>
      </c>
      <c r="B231" s="476" t="s">
        <v>824</v>
      </c>
      <c r="C231" s="476" t="s">
        <v>815</v>
      </c>
      <c r="D231" s="477">
        <f>IF('Daily Product Breakdown'!$G$181+'Daily Product Breakdown'!$H$181&lt; 30,30, 'Daily Product Breakdown'!$G$181+'Daily Product Breakdown'!$H$181)</f>
        <v>30</v>
      </c>
      <c r="E231" s="475"/>
      <c r="F231" s="472"/>
      <c r="G231" s="475"/>
    </row>
    <row r="232" spans="1:7" ht="21" customHeight="1" thickBot="1" x14ac:dyDescent="0.4">
      <c r="A232" s="470" t="s">
        <v>827</v>
      </c>
      <c r="B232" s="471" t="s">
        <v>1899</v>
      </c>
      <c r="C232" s="471" t="s">
        <v>815</v>
      </c>
      <c r="D232" s="483">
        <f>IF('Daily Product Breakdown'!$G$49+'Daily Product Breakdown'!$H$49&lt; 10,10, 'Daily Product Breakdown'!$G$49+'Daily Product Breakdown'!$H$49)</f>
        <v>10</v>
      </c>
      <c r="E232" s="470"/>
      <c r="F232" s="470"/>
      <c r="G232" s="470"/>
    </row>
    <row r="233" spans="1:7" ht="21" customHeight="1" x14ac:dyDescent="0.35">
      <c r="A233" s="874" t="s">
        <v>1905</v>
      </c>
      <c r="B233" s="875"/>
      <c r="C233" s="875"/>
      <c r="D233" s="875"/>
      <c r="E233" s="875"/>
      <c r="F233" s="875"/>
      <c r="G233" s="876"/>
    </row>
    <row r="234" spans="1:7" ht="21" customHeight="1" x14ac:dyDescent="0.35">
      <c r="A234" s="808" t="s">
        <v>1860</v>
      </c>
      <c r="B234" s="473" t="s">
        <v>142</v>
      </c>
      <c r="C234" s="473" t="s">
        <v>828</v>
      </c>
      <c r="D234" s="811">
        <f>IF('Daily Product Breakdown'!$G$175+'Daily Product Breakdown'!$H$175&lt; 10,10, 'Daily Product Breakdown'!$G$175+'Daily Product Breakdown'!$H$175)</f>
        <v>11</v>
      </c>
      <c r="E234" s="474"/>
      <c r="F234" s="474"/>
      <c r="G234" s="474"/>
    </row>
    <row r="235" spans="1:7" ht="21" customHeight="1" x14ac:dyDescent="0.35">
      <c r="A235" s="808" t="s">
        <v>1906</v>
      </c>
      <c r="B235" s="473" t="s">
        <v>142</v>
      </c>
      <c r="C235" s="473" t="s">
        <v>828</v>
      </c>
      <c r="D235" s="474">
        <f>IF('Daily Product Breakdown'!$G$149+'Daily Product Breakdown'!$H$149&lt; 6,6, 'Daily Product Breakdown'!$G$149+'Daily Product Breakdown'!$H$149)</f>
        <v>17</v>
      </c>
      <c r="E235" s="474"/>
      <c r="F235" s="474"/>
      <c r="G235" s="474"/>
    </row>
    <row r="236" spans="1:7" ht="21" customHeight="1" thickBot="1" x14ac:dyDescent="0.4">
      <c r="A236" s="809" t="s">
        <v>583</v>
      </c>
      <c r="B236" s="471" t="s">
        <v>835</v>
      </c>
      <c r="C236" s="471" t="s">
        <v>1911</v>
      </c>
      <c r="D236" s="803">
        <f>IF('Daily Product Breakdown'!$G$91+'Daily Product Breakdown'!$H$91&lt; 10,10, 'Daily Product Breakdown'!$G$91+'Daily Product Breakdown'!$H$91)</f>
        <v>10</v>
      </c>
      <c r="E236" s="803"/>
      <c r="F236" s="803"/>
      <c r="G236" s="803"/>
    </row>
    <row r="237" spans="1:7" ht="21" customHeight="1" thickBot="1" x14ac:dyDescent="0.4">
      <c r="A237" s="856" t="s">
        <v>1900</v>
      </c>
      <c r="B237" s="857"/>
      <c r="C237" s="857"/>
      <c r="D237" s="857"/>
      <c r="E237" s="857"/>
      <c r="F237" s="857"/>
      <c r="G237" s="858"/>
    </row>
    <row r="238" spans="1:7" ht="21" customHeight="1" x14ac:dyDescent="0.35">
      <c r="A238" s="475" t="s">
        <v>1901</v>
      </c>
      <c r="B238" s="859"/>
      <c r="C238" s="860"/>
      <c r="D238" s="861"/>
      <c r="E238" s="475"/>
      <c r="F238" s="475"/>
      <c r="G238" s="475"/>
    </row>
    <row r="239" spans="1:7" ht="21" customHeight="1" x14ac:dyDescent="0.35">
      <c r="A239" s="472" t="s">
        <v>1902</v>
      </c>
      <c r="B239" s="862"/>
      <c r="C239" s="863"/>
      <c r="D239" s="864"/>
      <c r="E239" s="472"/>
      <c r="F239" s="472"/>
      <c r="G239" s="472"/>
    </row>
    <row r="240" spans="1:7" ht="21" customHeight="1" x14ac:dyDescent="0.35">
      <c r="A240" s="472" t="s">
        <v>1903</v>
      </c>
      <c r="B240" s="862"/>
      <c r="C240" s="863"/>
      <c r="D240" s="864"/>
      <c r="E240" s="472"/>
      <c r="F240" s="472"/>
      <c r="G240" s="472"/>
    </row>
    <row r="241" spans="1:7" ht="21" customHeight="1" x14ac:dyDescent="0.35">
      <c r="A241" s="472" t="s">
        <v>1327</v>
      </c>
      <c r="B241" s="862"/>
      <c r="C241" s="863"/>
      <c r="D241" s="864"/>
      <c r="E241" s="472"/>
      <c r="F241" s="472"/>
      <c r="G241" s="472"/>
    </row>
    <row r="242" spans="1:7" ht="21" customHeight="1" x14ac:dyDescent="0.35">
      <c r="A242" s="472" t="s">
        <v>813</v>
      </c>
      <c r="B242" s="862"/>
      <c r="C242" s="863"/>
      <c r="D242" s="864"/>
      <c r="E242" s="472"/>
      <c r="F242" s="472"/>
      <c r="G242" s="472"/>
    </row>
    <row r="243" spans="1:7" ht="21" customHeight="1" x14ac:dyDescent="0.35">
      <c r="A243" s="472" t="s">
        <v>1904</v>
      </c>
      <c r="B243" s="862"/>
      <c r="C243" s="863"/>
      <c r="D243" s="864"/>
      <c r="E243" s="472"/>
      <c r="F243" s="472"/>
      <c r="G243" s="472"/>
    </row>
    <row r="244" spans="1:7" ht="21" customHeight="1" x14ac:dyDescent="0.35">
      <c r="A244" s="472" t="s">
        <v>341</v>
      </c>
      <c r="B244" s="862"/>
      <c r="C244" s="863"/>
      <c r="D244" s="864"/>
      <c r="E244" s="472"/>
      <c r="F244" s="472"/>
      <c r="G244" s="472"/>
    </row>
    <row r="245" spans="1:7" ht="21" customHeight="1" x14ac:dyDescent="0.35">
      <c r="A245" s="472" t="s">
        <v>1907</v>
      </c>
      <c r="B245" s="862"/>
      <c r="C245" s="863"/>
      <c r="D245" s="864"/>
      <c r="E245" s="472"/>
      <c r="F245" s="472"/>
      <c r="G245" s="472"/>
    </row>
    <row r="246" spans="1:7" ht="21" customHeight="1" x14ac:dyDescent="0.35">
      <c r="A246" s="472" t="s">
        <v>587</v>
      </c>
      <c r="B246" s="862"/>
      <c r="C246" s="863"/>
      <c r="D246" s="864"/>
      <c r="E246" s="472"/>
      <c r="F246" s="472"/>
      <c r="G246" s="472"/>
    </row>
    <row r="247" spans="1:7" ht="21" customHeight="1" x14ac:dyDescent="0.35">
      <c r="A247" s="470" t="s">
        <v>1908</v>
      </c>
      <c r="B247" s="862"/>
      <c r="C247" s="863"/>
      <c r="D247" s="864"/>
      <c r="E247" s="470"/>
      <c r="F247" s="472"/>
      <c r="G247" s="470"/>
    </row>
    <row r="248" spans="1:7" ht="21" customHeight="1" x14ac:dyDescent="0.35">
      <c r="A248" s="470" t="s">
        <v>1909</v>
      </c>
      <c r="B248" s="862"/>
      <c r="C248" s="863"/>
      <c r="D248" s="864"/>
      <c r="E248" s="470"/>
      <c r="F248" s="472"/>
      <c r="G248" s="470"/>
    </row>
    <row r="249" spans="1:7" ht="21" customHeight="1" thickBot="1" x14ac:dyDescent="0.4">
      <c r="A249" s="470" t="s">
        <v>588</v>
      </c>
      <c r="B249" s="862"/>
      <c r="C249" s="863"/>
      <c r="D249" s="864"/>
      <c r="E249" s="470"/>
      <c r="F249" s="470"/>
      <c r="G249" s="470"/>
    </row>
    <row r="250" spans="1:7" ht="21" customHeight="1" x14ac:dyDescent="0.35">
      <c r="A250" s="865" t="s">
        <v>812</v>
      </c>
      <c r="B250" s="866"/>
      <c r="C250" s="866"/>
      <c r="D250" s="866"/>
      <c r="E250" s="866"/>
      <c r="F250" s="866"/>
      <c r="G250" s="867"/>
    </row>
    <row r="251" spans="1:7" ht="21" customHeight="1" x14ac:dyDescent="0.35">
      <c r="A251" s="868"/>
      <c r="B251" s="869"/>
      <c r="C251" s="869"/>
      <c r="D251" s="869"/>
      <c r="E251" s="869"/>
      <c r="F251" s="869"/>
      <c r="G251" s="870"/>
    </row>
    <row r="252" spans="1:7" ht="21" customHeight="1" thickBot="1" x14ac:dyDescent="0.4">
      <c r="A252" s="871"/>
      <c r="B252" s="872"/>
      <c r="C252" s="872"/>
      <c r="D252" s="872"/>
      <c r="E252" s="872"/>
      <c r="F252" s="872"/>
      <c r="G252" s="873"/>
    </row>
    <row r="253" spans="1:7" ht="21" customHeight="1" thickBot="1" x14ac:dyDescent="0.4">
      <c r="A253" s="803" t="s">
        <v>131</v>
      </c>
      <c r="B253" s="803" t="s">
        <v>132</v>
      </c>
      <c r="C253" s="803" t="s">
        <v>821</v>
      </c>
      <c r="D253" s="803" t="s">
        <v>554</v>
      </c>
      <c r="E253" s="803" t="s">
        <v>834</v>
      </c>
      <c r="F253" s="803" t="s">
        <v>833</v>
      </c>
      <c r="G253" s="803" t="s">
        <v>820</v>
      </c>
    </row>
    <row r="254" spans="1:7" ht="21" customHeight="1" thickBot="1" x14ac:dyDescent="0.4">
      <c r="A254" s="856" t="s">
        <v>1892</v>
      </c>
      <c r="B254" s="857"/>
      <c r="C254" s="857"/>
      <c r="D254" s="857"/>
      <c r="E254" s="857"/>
      <c r="F254" s="857"/>
      <c r="G254" s="858"/>
    </row>
    <row r="255" spans="1:7" ht="21" customHeight="1" x14ac:dyDescent="0.35">
      <c r="A255" s="475" t="s">
        <v>832</v>
      </c>
      <c r="B255" s="476" t="s">
        <v>142</v>
      </c>
      <c r="C255" s="476" t="s">
        <v>830</v>
      </c>
      <c r="D255" s="804">
        <f>('Daily Product Breakdown'!$B$27+'Daily Product Breakdown'!$C$27)</f>
        <v>4</v>
      </c>
      <c r="E255" s="475"/>
      <c r="F255" s="475"/>
      <c r="G255" s="475"/>
    </row>
    <row r="256" spans="1:7" ht="21" customHeight="1" thickBot="1" x14ac:dyDescent="0.4">
      <c r="A256" s="470" t="s">
        <v>831</v>
      </c>
      <c r="B256" s="471" t="s">
        <v>142</v>
      </c>
      <c r="C256" s="471" t="s">
        <v>830</v>
      </c>
      <c r="D256" s="483">
        <f>('Daily Product Breakdown'!$B$29+'Daily Product Breakdown'!$C$29)</f>
        <v>14</v>
      </c>
      <c r="E256" s="470"/>
      <c r="F256" s="470"/>
      <c r="G256" s="470"/>
    </row>
    <row r="257" spans="1:7" ht="21" customHeight="1" thickBot="1" x14ac:dyDescent="0.4">
      <c r="A257" s="856" t="s">
        <v>1893</v>
      </c>
      <c r="B257" s="857"/>
      <c r="C257" s="857"/>
      <c r="D257" s="857"/>
      <c r="E257" s="857"/>
      <c r="F257" s="857"/>
      <c r="G257" s="858"/>
    </row>
    <row r="258" spans="1:7" ht="21" customHeight="1" x14ac:dyDescent="0.35">
      <c r="A258" s="475" t="s">
        <v>342</v>
      </c>
      <c r="B258" s="476" t="s">
        <v>143</v>
      </c>
      <c r="C258" s="476" t="s">
        <v>818</v>
      </c>
      <c r="D258" s="804">
        <v>5</v>
      </c>
      <c r="E258" s="475"/>
      <c r="F258" s="475"/>
      <c r="G258" s="475"/>
    </row>
    <row r="259" spans="1:7" ht="21" customHeight="1" x14ac:dyDescent="0.35">
      <c r="A259" s="472" t="s">
        <v>1894</v>
      </c>
      <c r="B259" s="473" t="s">
        <v>814</v>
      </c>
      <c r="C259" s="473" t="s">
        <v>818</v>
      </c>
      <c r="D259" s="477">
        <v>1</v>
      </c>
      <c r="E259" s="472"/>
      <c r="F259" s="472"/>
      <c r="G259" s="472"/>
    </row>
    <row r="260" spans="1:7" ht="21" customHeight="1" x14ac:dyDescent="0.35">
      <c r="A260" s="472" t="s">
        <v>1895</v>
      </c>
      <c r="B260" s="473" t="s">
        <v>814</v>
      </c>
      <c r="C260" s="473" t="s">
        <v>828</v>
      </c>
      <c r="D260" s="480">
        <v>1</v>
      </c>
      <c r="E260" s="472"/>
      <c r="F260" s="472"/>
      <c r="G260" s="472"/>
    </row>
    <row r="261" spans="1:7" ht="21" customHeight="1" x14ac:dyDescent="0.35">
      <c r="A261" s="472" t="s">
        <v>825</v>
      </c>
      <c r="B261" s="473" t="s">
        <v>814</v>
      </c>
      <c r="C261" s="473" t="s">
        <v>818</v>
      </c>
      <c r="D261" s="477">
        <v>1</v>
      </c>
      <c r="E261" s="472"/>
      <c r="F261" s="472"/>
      <c r="G261" s="472"/>
    </row>
    <row r="262" spans="1:7" ht="21" customHeight="1" x14ac:dyDescent="0.35">
      <c r="A262" s="472" t="s">
        <v>1896</v>
      </c>
      <c r="B262" s="473" t="s">
        <v>816</v>
      </c>
      <c r="C262" s="473" t="s">
        <v>828</v>
      </c>
      <c r="D262" s="477">
        <v>1</v>
      </c>
      <c r="E262" s="472"/>
      <c r="F262" s="472"/>
      <c r="G262" s="472"/>
    </row>
    <row r="263" spans="1:7" ht="21" customHeight="1" x14ac:dyDescent="0.35">
      <c r="A263" s="472" t="s">
        <v>819</v>
      </c>
      <c r="B263" s="473" t="s">
        <v>816</v>
      </c>
      <c r="C263" s="473" t="s">
        <v>828</v>
      </c>
      <c r="D263" s="477">
        <v>1</v>
      </c>
      <c r="E263" s="472"/>
      <c r="F263" s="472"/>
      <c r="G263" s="472"/>
    </row>
    <row r="264" spans="1:7" ht="21" customHeight="1" thickBot="1" x14ac:dyDescent="0.4">
      <c r="A264" s="470" t="s">
        <v>1811</v>
      </c>
      <c r="B264" s="471" t="s">
        <v>816</v>
      </c>
      <c r="C264" s="471" t="s">
        <v>828</v>
      </c>
      <c r="D264" s="483">
        <v>1</v>
      </c>
      <c r="E264" s="470"/>
      <c r="F264" s="470"/>
      <c r="G264" s="470"/>
    </row>
    <row r="265" spans="1:7" ht="21" customHeight="1" thickBot="1" x14ac:dyDescent="0.4">
      <c r="A265" s="856" t="s">
        <v>1897</v>
      </c>
      <c r="B265" s="857"/>
      <c r="C265" s="857"/>
      <c r="D265" s="857"/>
      <c r="E265" s="857"/>
      <c r="F265" s="857"/>
      <c r="G265" s="858"/>
    </row>
    <row r="266" spans="1:7" ht="21" customHeight="1" x14ac:dyDescent="0.35">
      <c r="A266" s="475" t="s">
        <v>123</v>
      </c>
      <c r="B266" s="476" t="s">
        <v>844</v>
      </c>
      <c r="C266" s="476" t="s">
        <v>815</v>
      </c>
      <c r="D266" s="804">
        <f>('Daily Product Breakdown'!$H$173+'Daily Product Breakdown'!$B$173+'Daily Product Breakdown'!$C$173)</f>
        <v>6</v>
      </c>
      <c r="E266" s="475"/>
      <c r="F266" s="475"/>
      <c r="G266" s="475"/>
    </row>
    <row r="267" spans="1:7" ht="21" customHeight="1" x14ac:dyDescent="0.35">
      <c r="A267" s="472" t="s">
        <v>123</v>
      </c>
      <c r="B267" s="473" t="s">
        <v>845</v>
      </c>
      <c r="C267" s="473" t="s">
        <v>815</v>
      </c>
      <c r="D267" s="477">
        <f>('Daily Product Breakdown'!$H$43+'Daily Product Breakdown'!$B$43+'Daily Product Breakdown'!$C$43)</f>
        <v>33</v>
      </c>
      <c r="E267" s="472"/>
      <c r="F267" s="472"/>
      <c r="G267" s="472"/>
    </row>
    <row r="268" spans="1:7" ht="21" customHeight="1" x14ac:dyDescent="0.35">
      <c r="A268" s="472" t="s">
        <v>376</v>
      </c>
      <c r="B268" s="473" t="s">
        <v>829</v>
      </c>
      <c r="C268" s="473" t="s">
        <v>815</v>
      </c>
      <c r="D268" s="477">
        <f>IF('Daily Product Breakdown'!$H$183+'Daily Product Breakdown'!$B$183&lt; 5,5, 'Daily Product Breakdown'!$H$183+'Daily Product Breakdown'!$B$183)</f>
        <v>5</v>
      </c>
      <c r="E268" s="472"/>
      <c r="F268" s="472"/>
      <c r="G268" s="472"/>
    </row>
    <row r="269" spans="1:7" ht="21" customHeight="1" x14ac:dyDescent="0.35">
      <c r="A269" s="479" t="s">
        <v>59</v>
      </c>
      <c r="B269" s="478" t="s">
        <v>1898</v>
      </c>
      <c r="C269" s="478" t="s">
        <v>815</v>
      </c>
      <c r="D269" s="477">
        <f>('Daily Product Breakdown'!$H$105+'Daily Product Breakdown'!$B$105)/16</f>
        <v>2.421875</v>
      </c>
      <c r="E269" s="472"/>
      <c r="F269" s="472"/>
      <c r="G269" s="472"/>
    </row>
    <row r="270" spans="1:7" ht="21" customHeight="1" thickBot="1" x14ac:dyDescent="0.4">
      <c r="A270" s="470" t="s">
        <v>817</v>
      </c>
      <c r="B270" s="471" t="s">
        <v>816</v>
      </c>
      <c r="C270" s="471" t="s">
        <v>815</v>
      </c>
      <c r="D270" s="483">
        <v>1</v>
      </c>
      <c r="E270" s="470"/>
      <c r="F270" s="470"/>
      <c r="G270" s="470"/>
    </row>
    <row r="271" spans="1:7" ht="21" customHeight="1" thickBot="1" x14ac:dyDescent="0.4">
      <c r="A271" s="856" t="s">
        <v>1876</v>
      </c>
      <c r="B271" s="857"/>
      <c r="C271" s="857"/>
      <c r="D271" s="857"/>
      <c r="E271" s="857"/>
      <c r="F271" s="857"/>
      <c r="G271" s="858"/>
    </row>
    <row r="272" spans="1:7" ht="21" customHeight="1" x14ac:dyDescent="0.35">
      <c r="A272" s="475" t="s">
        <v>162</v>
      </c>
      <c r="B272" s="476" t="s">
        <v>829</v>
      </c>
      <c r="C272" s="476" t="s">
        <v>815</v>
      </c>
      <c r="D272" s="804">
        <f>IF('Daily Product Breakdown'!$H$185+'Daily Product Breakdown'!$B$185&lt; 5,5, 'Daily Product Breakdown'!$H$185+'Daily Product Breakdown'!$B$185)</f>
        <v>9</v>
      </c>
      <c r="E272" s="475"/>
      <c r="F272" s="475"/>
      <c r="G272" s="475"/>
    </row>
    <row r="273" spans="1:7" ht="21" customHeight="1" x14ac:dyDescent="0.35">
      <c r="A273" s="475" t="s">
        <v>625</v>
      </c>
      <c r="B273" s="476" t="s">
        <v>824</v>
      </c>
      <c r="C273" s="476" t="s">
        <v>815</v>
      </c>
      <c r="D273" s="477">
        <f>IF('Daily Product Breakdown'!$H$181+'Daily Product Breakdown'!$B$181&lt; 30,30, 'Daily Product Breakdown'!$H$181+'Daily Product Breakdown'!$B$181)</f>
        <v>30</v>
      </c>
      <c r="E273" s="475"/>
      <c r="F273" s="472"/>
      <c r="G273" s="475"/>
    </row>
    <row r="274" spans="1:7" ht="21" customHeight="1" thickBot="1" x14ac:dyDescent="0.4">
      <c r="A274" s="470" t="s">
        <v>827</v>
      </c>
      <c r="B274" s="471" t="s">
        <v>1899</v>
      </c>
      <c r="C274" s="471" t="s">
        <v>815</v>
      </c>
      <c r="D274" s="483">
        <f>IF('Daily Product Breakdown'!$H$49+'Daily Product Breakdown'!$B$49&lt; 8,8, 'Daily Product Breakdown'!$H$49+'Daily Product Breakdown'!$B$49)</f>
        <v>8</v>
      </c>
      <c r="E274" s="470"/>
      <c r="F274" s="470"/>
      <c r="G274" s="470"/>
    </row>
    <row r="275" spans="1:7" ht="21" customHeight="1" thickBot="1" x14ac:dyDescent="0.4">
      <c r="A275" s="856" t="s">
        <v>1905</v>
      </c>
      <c r="B275" s="857"/>
      <c r="C275" s="857"/>
      <c r="D275" s="857"/>
      <c r="E275" s="857"/>
      <c r="F275" s="857"/>
      <c r="G275" s="858"/>
    </row>
    <row r="276" spans="1:7" ht="21" customHeight="1" x14ac:dyDescent="0.35">
      <c r="A276" s="810" t="s">
        <v>1860</v>
      </c>
      <c r="B276" s="476" t="s">
        <v>142</v>
      </c>
      <c r="C276" s="476" t="s">
        <v>828</v>
      </c>
      <c r="D276" s="811">
        <f>IF('Daily Product Breakdown'!$H$175+'Daily Product Breakdown'!$B$175&lt; 6,6, 'Daily Product Breakdown'!$H$175+'Daily Product Breakdown'!$B$175)</f>
        <v>6</v>
      </c>
      <c r="E276" s="811"/>
      <c r="F276" s="811"/>
      <c r="G276" s="811"/>
    </row>
    <row r="277" spans="1:7" ht="21" customHeight="1" x14ac:dyDescent="0.35">
      <c r="A277" s="808" t="s">
        <v>1906</v>
      </c>
      <c r="B277" s="473" t="s">
        <v>142</v>
      </c>
      <c r="C277" s="473" t="s">
        <v>828</v>
      </c>
      <c r="D277" s="474">
        <f>IF('Daily Product Breakdown'!$H$149+'Daily Product Breakdown'!$B$149&lt; 5,5, 'Daily Product Breakdown'!$H$149+'Daily Product Breakdown'!$B$149)</f>
        <v>8</v>
      </c>
      <c r="E277" s="474"/>
      <c r="F277" s="474"/>
      <c r="G277" s="474"/>
    </row>
    <row r="278" spans="1:7" ht="21" customHeight="1" thickBot="1" x14ac:dyDescent="0.4">
      <c r="A278" s="809" t="s">
        <v>583</v>
      </c>
      <c r="B278" s="471" t="s">
        <v>835</v>
      </c>
      <c r="C278" s="471" t="s">
        <v>1911</v>
      </c>
      <c r="D278" s="803">
        <f>IF('Daily Product Breakdown'!$H$91+'Daily Product Breakdown'!$B$91&lt; 6,6, 'Daily Product Breakdown'!$H$91+'Daily Product Breakdown'!$B$91)</f>
        <v>6</v>
      </c>
      <c r="E278" s="803"/>
      <c r="F278" s="803"/>
      <c r="G278" s="803"/>
    </row>
    <row r="279" spans="1:7" ht="21" customHeight="1" thickBot="1" x14ac:dyDescent="0.4">
      <c r="A279" s="856" t="s">
        <v>1900</v>
      </c>
      <c r="B279" s="857"/>
      <c r="C279" s="857"/>
      <c r="D279" s="857"/>
      <c r="E279" s="857"/>
      <c r="F279" s="857"/>
      <c r="G279" s="858"/>
    </row>
    <row r="280" spans="1:7" ht="21" customHeight="1" x14ac:dyDescent="0.35">
      <c r="A280" s="475" t="s">
        <v>1901</v>
      </c>
      <c r="B280" s="859"/>
      <c r="C280" s="860"/>
      <c r="D280" s="861"/>
      <c r="E280" s="475"/>
      <c r="F280" s="475"/>
      <c r="G280" s="475"/>
    </row>
    <row r="281" spans="1:7" ht="21" customHeight="1" x14ac:dyDescent="0.35">
      <c r="A281" s="472" t="s">
        <v>1902</v>
      </c>
      <c r="B281" s="862"/>
      <c r="C281" s="863"/>
      <c r="D281" s="864"/>
      <c r="E281" s="472"/>
      <c r="F281" s="472"/>
      <c r="G281" s="472"/>
    </row>
    <row r="282" spans="1:7" ht="21" customHeight="1" x14ac:dyDescent="0.35">
      <c r="A282" s="472" t="s">
        <v>1903</v>
      </c>
      <c r="B282" s="862"/>
      <c r="C282" s="863"/>
      <c r="D282" s="864"/>
      <c r="E282" s="472"/>
      <c r="F282" s="472"/>
      <c r="G282" s="472"/>
    </row>
    <row r="283" spans="1:7" ht="21" customHeight="1" x14ac:dyDescent="0.35">
      <c r="A283" s="472" t="s">
        <v>1327</v>
      </c>
      <c r="B283" s="862"/>
      <c r="C283" s="863"/>
      <c r="D283" s="864"/>
      <c r="E283" s="472"/>
      <c r="F283" s="472"/>
      <c r="G283" s="472"/>
    </row>
    <row r="284" spans="1:7" ht="21" customHeight="1" x14ac:dyDescent="0.35">
      <c r="A284" s="472" t="s">
        <v>813</v>
      </c>
      <c r="B284" s="862"/>
      <c r="C284" s="863"/>
      <c r="D284" s="864"/>
      <c r="E284" s="472"/>
      <c r="F284" s="472"/>
      <c r="G284" s="472"/>
    </row>
    <row r="285" spans="1:7" ht="21" customHeight="1" x14ac:dyDescent="0.35">
      <c r="A285" s="472" t="s">
        <v>1904</v>
      </c>
      <c r="B285" s="862"/>
      <c r="C285" s="863"/>
      <c r="D285" s="864"/>
      <c r="E285" s="472"/>
      <c r="F285" s="472"/>
      <c r="G285" s="472"/>
    </row>
    <row r="286" spans="1:7" ht="21" customHeight="1" x14ac:dyDescent="0.35">
      <c r="A286" s="472" t="s">
        <v>341</v>
      </c>
      <c r="B286" s="862"/>
      <c r="C286" s="863"/>
      <c r="D286" s="864"/>
      <c r="E286" s="472"/>
      <c r="F286" s="472"/>
      <c r="G286" s="472"/>
    </row>
    <row r="287" spans="1:7" ht="21" customHeight="1" x14ac:dyDescent="0.35">
      <c r="A287" s="472" t="s">
        <v>1907</v>
      </c>
      <c r="B287" s="862"/>
      <c r="C287" s="863"/>
      <c r="D287" s="864"/>
      <c r="E287" s="472"/>
      <c r="F287" s="472"/>
      <c r="G287" s="472"/>
    </row>
    <row r="288" spans="1:7" ht="21" customHeight="1" x14ac:dyDescent="0.35">
      <c r="A288" s="472" t="s">
        <v>587</v>
      </c>
      <c r="B288" s="862"/>
      <c r="C288" s="863"/>
      <c r="D288" s="864"/>
      <c r="E288" s="472"/>
      <c r="F288" s="472"/>
      <c r="G288" s="472"/>
    </row>
    <row r="289" spans="1:7" ht="21" customHeight="1" x14ac:dyDescent="0.35">
      <c r="A289" s="470" t="s">
        <v>1908</v>
      </c>
      <c r="B289" s="862"/>
      <c r="C289" s="863"/>
      <c r="D289" s="864"/>
      <c r="E289" s="470"/>
      <c r="F289" s="472"/>
      <c r="G289" s="470"/>
    </row>
    <row r="290" spans="1:7" ht="21" customHeight="1" x14ac:dyDescent="0.35">
      <c r="A290" s="470" t="s">
        <v>1909</v>
      </c>
      <c r="B290" s="862"/>
      <c r="C290" s="863"/>
      <c r="D290" s="864"/>
      <c r="E290" s="470"/>
      <c r="F290" s="472"/>
      <c r="G290" s="470"/>
    </row>
    <row r="291" spans="1:7" ht="21" customHeight="1" thickBot="1" x14ac:dyDescent="0.4">
      <c r="A291" s="470" t="s">
        <v>588</v>
      </c>
      <c r="B291" s="862"/>
      <c r="C291" s="863"/>
      <c r="D291" s="864"/>
      <c r="E291" s="470"/>
      <c r="F291" s="470"/>
      <c r="G291" s="470"/>
    </row>
    <row r="292" spans="1:7" ht="21" customHeight="1" x14ac:dyDescent="0.35">
      <c r="A292" s="865" t="s">
        <v>812</v>
      </c>
      <c r="B292" s="866"/>
      <c r="C292" s="866"/>
      <c r="D292" s="866"/>
      <c r="E292" s="866"/>
      <c r="F292" s="866"/>
      <c r="G292" s="867"/>
    </row>
    <row r="293" spans="1:7" ht="21" customHeight="1" x14ac:dyDescent="0.35">
      <c r="A293" s="868"/>
      <c r="B293" s="869"/>
      <c r="C293" s="869"/>
      <c r="D293" s="869"/>
      <c r="E293" s="869"/>
      <c r="F293" s="869"/>
      <c r="G293" s="870"/>
    </row>
    <row r="294" spans="1:7" ht="21" customHeight="1" thickBot="1" x14ac:dyDescent="0.4">
      <c r="A294" s="871"/>
      <c r="B294" s="872"/>
      <c r="C294" s="872"/>
      <c r="D294" s="872"/>
      <c r="E294" s="872"/>
      <c r="F294" s="872"/>
      <c r="G294" s="873"/>
    </row>
    <row r="295" spans="1:7" ht="21" customHeight="1" x14ac:dyDescent="0.35"/>
    <row r="296" spans="1:7" ht="21" customHeight="1" x14ac:dyDescent="0.35"/>
    <row r="297" spans="1:7" ht="21" customHeight="1" x14ac:dyDescent="0.35"/>
    <row r="298" spans="1:7" ht="21" customHeight="1" x14ac:dyDescent="0.35"/>
    <row r="299" spans="1:7" ht="21" customHeight="1" x14ac:dyDescent="0.35"/>
    <row r="300" spans="1:7" ht="21" customHeight="1" x14ac:dyDescent="0.35"/>
    <row r="301" spans="1:7" ht="21" customHeight="1" x14ac:dyDescent="0.35"/>
    <row r="302" spans="1:7" ht="21" customHeight="1" x14ac:dyDescent="0.35"/>
    <row r="303" spans="1:7" ht="21" customHeight="1" x14ac:dyDescent="0.35"/>
    <row r="304" spans="1:7" ht="21" customHeight="1" x14ac:dyDescent="0.35"/>
    <row r="305" ht="21" customHeight="1" x14ac:dyDescent="0.35"/>
    <row r="306" ht="21" customHeight="1" x14ac:dyDescent="0.35"/>
    <row r="307" ht="21" customHeight="1" x14ac:dyDescent="0.35"/>
    <row r="308" ht="21" customHeight="1" x14ac:dyDescent="0.35"/>
    <row r="309" ht="21" customHeight="1" x14ac:dyDescent="0.35"/>
    <row r="310" ht="21" customHeight="1" x14ac:dyDescent="0.35"/>
    <row r="311" ht="21" customHeight="1" x14ac:dyDescent="0.35"/>
    <row r="312" ht="21" customHeight="1" x14ac:dyDescent="0.35"/>
    <row r="313" ht="21" customHeight="1" x14ac:dyDescent="0.35"/>
    <row r="314" ht="21" customHeight="1" x14ac:dyDescent="0.35"/>
    <row r="315" ht="21" customHeight="1" x14ac:dyDescent="0.35"/>
    <row r="316" ht="21" customHeight="1" x14ac:dyDescent="0.35"/>
    <row r="317" ht="21" customHeight="1" x14ac:dyDescent="0.35"/>
    <row r="318" ht="21" customHeight="1" x14ac:dyDescent="0.35"/>
    <row r="319" ht="21" customHeight="1" x14ac:dyDescent="0.35"/>
    <row r="320" ht="21" customHeight="1" x14ac:dyDescent="0.35"/>
    <row r="321" ht="21" customHeight="1" x14ac:dyDescent="0.35"/>
    <row r="322" ht="21" customHeight="1" x14ac:dyDescent="0.35"/>
    <row r="323" ht="21" customHeight="1" x14ac:dyDescent="0.35"/>
    <row r="324" ht="21" customHeight="1" x14ac:dyDescent="0.35"/>
    <row r="325" ht="21" customHeight="1" x14ac:dyDescent="0.35"/>
    <row r="326" ht="21" customHeight="1" x14ac:dyDescent="0.35"/>
    <row r="327" ht="21" customHeight="1" x14ac:dyDescent="0.35"/>
    <row r="328" ht="21" customHeight="1" x14ac:dyDescent="0.35"/>
    <row r="329" ht="21" customHeight="1" x14ac:dyDescent="0.35"/>
    <row r="330" ht="21" customHeight="1" x14ac:dyDescent="0.35"/>
    <row r="331" ht="21" customHeight="1" x14ac:dyDescent="0.35"/>
    <row r="332" ht="21" customHeight="1" x14ac:dyDescent="0.35"/>
    <row r="333" ht="21" customHeight="1" x14ac:dyDescent="0.35"/>
    <row r="334" ht="21" customHeight="1" x14ac:dyDescent="0.35"/>
    <row r="335" ht="21" customHeight="1" x14ac:dyDescent="0.35"/>
    <row r="336" ht="21" customHeight="1" x14ac:dyDescent="0.35"/>
    <row r="337" ht="21" customHeight="1" x14ac:dyDescent="0.35"/>
    <row r="338" ht="21" customHeight="1" x14ac:dyDescent="0.35"/>
    <row r="339" ht="21" customHeight="1" x14ac:dyDescent="0.35"/>
    <row r="340" ht="21" customHeight="1" x14ac:dyDescent="0.35"/>
    <row r="341" ht="21" customHeight="1" x14ac:dyDescent="0.35"/>
    <row r="342" ht="21" customHeight="1" x14ac:dyDescent="0.35"/>
    <row r="343" ht="21" customHeight="1" x14ac:dyDescent="0.35"/>
    <row r="344" ht="21" customHeight="1" x14ac:dyDescent="0.35"/>
    <row r="345" ht="21" customHeight="1" x14ac:dyDescent="0.35"/>
    <row r="346" ht="21" customHeight="1" x14ac:dyDescent="0.35"/>
    <row r="347" ht="21" customHeight="1" x14ac:dyDescent="0.35"/>
    <row r="348" ht="21" customHeight="1" x14ac:dyDescent="0.35"/>
    <row r="349" ht="21" customHeight="1" x14ac:dyDescent="0.35"/>
    <row r="350" ht="21" customHeight="1" x14ac:dyDescent="0.35"/>
    <row r="351" ht="21" customHeight="1" x14ac:dyDescent="0.35"/>
    <row r="352" ht="21" customHeight="1" x14ac:dyDescent="0.35"/>
    <row r="353" ht="21" customHeight="1" x14ac:dyDescent="0.35"/>
    <row r="354" ht="21" customHeight="1" x14ac:dyDescent="0.35"/>
    <row r="355" ht="21" customHeight="1" x14ac:dyDescent="0.35"/>
    <row r="356" ht="21" customHeight="1" x14ac:dyDescent="0.35"/>
    <row r="357" ht="21" customHeight="1" x14ac:dyDescent="0.35"/>
    <row r="358" ht="21" customHeight="1" x14ac:dyDescent="0.35"/>
    <row r="359" ht="21" customHeight="1" x14ac:dyDescent="0.35"/>
    <row r="360" ht="21" customHeight="1" x14ac:dyDescent="0.35"/>
    <row r="361" ht="21" customHeight="1" x14ac:dyDescent="0.35"/>
    <row r="362" ht="21" customHeight="1" x14ac:dyDescent="0.35"/>
    <row r="363" ht="21" customHeight="1" x14ac:dyDescent="0.35"/>
    <row r="364" ht="21" customHeight="1" x14ac:dyDescent="0.35"/>
    <row r="365" ht="21" customHeight="1" x14ac:dyDescent="0.35"/>
    <row r="366" ht="21" customHeight="1" x14ac:dyDescent="0.35"/>
    <row r="367" ht="21" customHeight="1" x14ac:dyDescent="0.35"/>
    <row r="368" ht="21" customHeight="1" x14ac:dyDescent="0.35"/>
    <row r="369" ht="21" customHeight="1" x14ac:dyDescent="0.35"/>
    <row r="370" ht="21" customHeight="1" x14ac:dyDescent="0.35"/>
    <row r="371" ht="21" customHeight="1" x14ac:dyDescent="0.35"/>
    <row r="372" ht="21" customHeight="1" x14ac:dyDescent="0.35"/>
    <row r="373" ht="21" customHeight="1" x14ac:dyDescent="0.35"/>
    <row r="374" ht="21" customHeight="1" x14ac:dyDescent="0.35"/>
    <row r="375" ht="21" customHeight="1" x14ac:dyDescent="0.35"/>
    <row r="376" ht="21" customHeight="1" x14ac:dyDescent="0.35"/>
    <row r="377" ht="21" customHeight="1" x14ac:dyDescent="0.35"/>
    <row r="378" ht="21" customHeight="1" x14ac:dyDescent="0.35"/>
    <row r="379" ht="21" customHeight="1" x14ac:dyDescent="0.35"/>
    <row r="380" ht="21" customHeight="1" x14ac:dyDescent="0.35"/>
    <row r="381" ht="21" customHeight="1" x14ac:dyDescent="0.35"/>
    <row r="382" ht="21" customHeight="1" x14ac:dyDescent="0.35"/>
    <row r="383" ht="21" customHeight="1" x14ac:dyDescent="0.35"/>
    <row r="384" ht="21" customHeight="1" x14ac:dyDescent="0.35"/>
    <row r="385" ht="21" customHeight="1" x14ac:dyDescent="0.35"/>
    <row r="386" ht="21" customHeight="1" x14ac:dyDescent="0.35"/>
    <row r="387" ht="21" customHeight="1" x14ac:dyDescent="0.35"/>
    <row r="388" ht="21" customHeight="1" x14ac:dyDescent="0.35"/>
    <row r="389" ht="21" customHeight="1" x14ac:dyDescent="0.35"/>
    <row r="390" ht="21" customHeight="1" x14ac:dyDescent="0.35"/>
    <row r="391" ht="21" customHeight="1" x14ac:dyDescent="0.35"/>
    <row r="392" ht="21" customHeight="1" x14ac:dyDescent="0.35"/>
    <row r="393" ht="21" customHeight="1" x14ac:dyDescent="0.35"/>
    <row r="394" ht="21" customHeight="1" x14ac:dyDescent="0.35"/>
    <row r="395" ht="21" customHeight="1" x14ac:dyDescent="0.35"/>
    <row r="396" ht="21" customHeight="1" x14ac:dyDescent="0.35"/>
    <row r="397" ht="21" customHeight="1" x14ac:dyDescent="0.35"/>
    <row r="398" ht="21" customHeight="1" x14ac:dyDescent="0.35"/>
    <row r="399" ht="21" customHeight="1" x14ac:dyDescent="0.35"/>
    <row r="400" ht="21" customHeight="1" x14ac:dyDescent="0.35"/>
    <row r="401" ht="21" customHeight="1" x14ac:dyDescent="0.35"/>
    <row r="402" ht="21" customHeight="1" x14ac:dyDescent="0.35"/>
    <row r="403" ht="21" customHeight="1" x14ac:dyDescent="0.35"/>
    <row r="404" ht="21" customHeight="1" x14ac:dyDescent="0.35"/>
    <row r="405" ht="21" customHeight="1" x14ac:dyDescent="0.35"/>
    <row r="406" ht="21" customHeight="1" x14ac:dyDescent="0.35"/>
    <row r="407" ht="21" customHeight="1" x14ac:dyDescent="0.35"/>
    <row r="408" ht="21" customHeight="1" x14ac:dyDescent="0.35"/>
    <row r="409" ht="21" customHeight="1" x14ac:dyDescent="0.35"/>
    <row r="410" ht="21" customHeight="1" x14ac:dyDescent="0.35"/>
    <row r="411" ht="21" customHeight="1" x14ac:dyDescent="0.35"/>
    <row r="412" ht="21" customHeight="1" x14ac:dyDescent="0.35"/>
    <row r="413" ht="21" customHeight="1" x14ac:dyDescent="0.35"/>
    <row r="414" ht="21" customHeight="1" x14ac:dyDescent="0.35"/>
    <row r="415" ht="21" customHeight="1" x14ac:dyDescent="0.35"/>
    <row r="416" ht="21" customHeight="1" x14ac:dyDescent="0.35"/>
    <row r="417" ht="21" customHeight="1" x14ac:dyDescent="0.35"/>
    <row r="418" ht="21" customHeight="1" x14ac:dyDescent="0.35"/>
    <row r="419" ht="21" customHeight="1" x14ac:dyDescent="0.35"/>
    <row r="420" ht="21" customHeight="1" x14ac:dyDescent="0.35"/>
    <row r="421" ht="21" customHeight="1" x14ac:dyDescent="0.35"/>
    <row r="422" ht="21" customHeight="1" x14ac:dyDescent="0.35"/>
    <row r="423" ht="21" customHeight="1" x14ac:dyDescent="0.35"/>
    <row r="424" ht="21" customHeight="1" x14ac:dyDescent="0.35"/>
    <row r="425" ht="21" customHeight="1" x14ac:dyDescent="0.35"/>
    <row r="426" ht="21" customHeight="1" x14ac:dyDescent="0.35"/>
    <row r="427" ht="21" customHeight="1" x14ac:dyDescent="0.35"/>
    <row r="428" ht="21" customHeight="1" x14ac:dyDescent="0.35"/>
    <row r="429" ht="21" customHeight="1" x14ac:dyDescent="0.35"/>
    <row r="430" ht="21" customHeight="1" x14ac:dyDescent="0.35"/>
    <row r="431" ht="21" customHeight="1" x14ac:dyDescent="0.35"/>
    <row r="432" ht="21" customHeight="1" x14ac:dyDescent="0.35"/>
    <row r="433" ht="21" customHeight="1" x14ac:dyDescent="0.35"/>
    <row r="434" ht="21" customHeight="1" x14ac:dyDescent="0.35"/>
    <row r="435" ht="21" customHeight="1" x14ac:dyDescent="0.35"/>
    <row r="436" ht="21" customHeight="1" x14ac:dyDescent="0.35"/>
    <row r="437" ht="21" customHeight="1" x14ac:dyDescent="0.35"/>
    <row r="438" ht="21" customHeight="1" x14ac:dyDescent="0.35"/>
    <row r="439" ht="21" customHeight="1" x14ac:dyDescent="0.35"/>
    <row r="440" ht="21" customHeight="1" x14ac:dyDescent="0.35"/>
    <row r="441" ht="21" customHeight="1" x14ac:dyDescent="0.35"/>
    <row r="442" ht="21" customHeight="1" x14ac:dyDescent="0.35"/>
    <row r="443" ht="21" customHeight="1" x14ac:dyDescent="0.35"/>
    <row r="444" ht="21" customHeight="1" x14ac:dyDescent="0.35"/>
    <row r="445" ht="21" customHeight="1" x14ac:dyDescent="0.35"/>
    <row r="446" ht="21" customHeight="1" x14ac:dyDescent="0.35"/>
    <row r="447" ht="21" customHeight="1" x14ac:dyDescent="0.35"/>
    <row r="448" ht="21" customHeight="1" x14ac:dyDescent="0.35"/>
    <row r="449" ht="21" customHeight="1" x14ac:dyDescent="0.35"/>
    <row r="450" ht="21" customHeight="1" x14ac:dyDescent="0.35"/>
    <row r="451" ht="21" customHeight="1" x14ac:dyDescent="0.35"/>
    <row r="452" ht="21" customHeight="1" x14ac:dyDescent="0.35"/>
    <row r="453" ht="21" customHeight="1" x14ac:dyDescent="0.35"/>
    <row r="454" ht="21" customHeight="1" x14ac:dyDescent="0.35"/>
    <row r="455" ht="21" customHeight="1" x14ac:dyDescent="0.35"/>
    <row r="456" ht="21" customHeight="1" x14ac:dyDescent="0.35"/>
    <row r="457" ht="21" customHeight="1" x14ac:dyDescent="0.35"/>
    <row r="458" ht="21" customHeight="1" x14ac:dyDescent="0.35"/>
    <row r="459" ht="21" customHeight="1" x14ac:dyDescent="0.35"/>
    <row r="460" ht="21" customHeight="1" x14ac:dyDescent="0.35"/>
    <row r="461" ht="21" customHeight="1" x14ac:dyDescent="0.35"/>
    <row r="462" ht="21" customHeight="1" x14ac:dyDescent="0.35"/>
    <row r="463" ht="21" customHeight="1" x14ac:dyDescent="0.35"/>
    <row r="464" ht="21" customHeight="1" x14ac:dyDescent="0.35"/>
    <row r="465" ht="21" customHeight="1" x14ac:dyDescent="0.35"/>
    <row r="466" ht="21" customHeight="1" x14ac:dyDescent="0.35"/>
    <row r="467" ht="21" customHeight="1" x14ac:dyDescent="0.35"/>
    <row r="468" ht="21" customHeight="1" x14ac:dyDescent="0.35"/>
    <row r="469" ht="21" customHeight="1" x14ac:dyDescent="0.35"/>
    <row r="470" ht="21" customHeight="1" x14ac:dyDescent="0.35"/>
    <row r="471" ht="21" customHeight="1" x14ac:dyDescent="0.35"/>
    <row r="472" ht="21" customHeight="1" x14ac:dyDescent="0.35"/>
    <row r="473" ht="21" customHeight="1" x14ac:dyDescent="0.35"/>
    <row r="474" ht="21" customHeight="1" x14ac:dyDescent="0.35"/>
    <row r="475" ht="21" customHeight="1" x14ac:dyDescent="0.35"/>
    <row r="476" ht="21" customHeight="1" x14ac:dyDescent="0.35"/>
    <row r="477" ht="21" customHeight="1" x14ac:dyDescent="0.35"/>
    <row r="478" ht="21" customHeight="1" x14ac:dyDescent="0.35"/>
    <row r="479" ht="21" customHeight="1" x14ac:dyDescent="0.35"/>
    <row r="480" ht="21" customHeight="1" x14ac:dyDescent="0.35"/>
    <row r="481" ht="21" customHeight="1" x14ac:dyDescent="0.35"/>
    <row r="482" ht="21" customHeight="1" x14ac:dyDescent="0.35"/>
  </sheetData>
  <mergeCells count="56">
    <mergeCell ref="B238:D249"/>
    <mergeCell ref="A250:G252"/>
    <mergeCell ref="A254:G254"/>
    <mergeCell ref="A257:G257"/>
    <mergeCell ref="A265:G265"/>
    <mergeCell ref="A271:G271"/>
    <mergeCell ref="A212:G212"/>
    <mergeCell ref="A215:G215"/>
    <mergeCell ref="A223:G223"/>
    <mergeCell ref="A229:G229"/>
    <mergeCell ref="A233:G233"/>
    <mergeCell ref="A237:G237"/>
    <mergeCell ref="A181:G181"/>
    <mergeCell ref="A187:G187"/>
    <mergeCell ref="A191:G191"/>
    <mergeCell ref="A195:G195"/>
    <mergeCell ref="B196:D207"/>
    <mergeCell ref="A208:G210"/>
    <mergeCell ref="A149:G149"/>
    <mergeCell ref="A153:G153"/>
    <mergeCell ref="B154:D165"/>
    <mergeCell ref="A166:G168"/>
    <mergeCell ref="A170:G170"/>
    <mergeCell ref="A173:G173"/>
    <mergeCell ref="B112:D123"/>
    <mergeCell ref="A124:G126"/>
    <mergeCell ref="A128:G128"/>
    <mergeCell ref="A131:G131"/>
    <mergeCell ref="A139:G139"/>
    <mergeCell ref="A145:G145"/>
    <mergeCell ref="A86:G86"/>
    <mergeCell ref="A89:G89"/>
    <mergeCell ref="A97:G97"/>
    <mergeCell ref="A103:G103"/>
    <mergeCell ref="A107:G107"/>
    <mergeCell ref="A111:G111"/>
    <mergeCell ref="B280:D291"/>
    <mergeCell ref="A292:G294"/>
    <mergeCell ref="A13:G13"/>
    <mergeCell ref="A19:G19"/>
    <mergeCell ref="A27:G27"/>
    <mergeCell ref="B28:D39"/>
    <mergeCell ref="A23:G23"/>
    <mergeCell ref="A40:G42"/>
    <mergeCell ref="A55:G55"/>
    <mergeCell ref="A61:G61"/>
    <mergeCell ref="A2:G2"/>
    <mergeCell ref="A5:G5"/>
    <mergeCell ref="A44:G44"/>
    <mergeCell ref="A47:G47"/>
    <mergeCell ref="A275:G275"/>
    <mergeCell ref="A279:G279"/>
    <mergeCell ref="A65:G65"/>
    <mergeCell ref="A69:G69"/>
    <mergeCell ref="B70:D81"/>
    <mergeCell ref="A82:G84"/>
  </mergeCells>
  <printOptions horizontalCentered="1" verticalCentered="1"/>
  <pageMargins left="0.23622047244094491" right="0.23622047244094491" top="0.15748031496062992" bottom="0.15748031496062992" header="0" footer="0"/>
  <pageSetup scale="75" fitToHeight="0" orientation="portrait" r:id="rId1"/>
  <headerFooter alignWithMargins="0"/>
  <rowBreaks count="6" manualBreakCount="6">
    <brk id="42" max="6" man="1"/>
    <brk id="84" max="6" man="1"/>
    <brk id="126" max="6" man="1"/>
    <brk id="168" max="6" man="1"/>
    <brk id="210" max="6" man="1"/>
    <brk id="252" max="6" man="1"/>
  </rowBreaks>
  <colBreaks count="1" manualBreakCount="1">
    <brk id="13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673A5-819C-4061-85D0-41856879E87B}">
  <sheetPr codeName="Sheet28"/>
  <dimension ref="A1:G388"/>
  <sheetViews>
    <sheetView tabSelected="1" view="pageBreakPreview" topLeftCell="A98" zoomScale="85" zoomScaleNormal="50" zoomScaleSheetLayoutView="85" workbookViewId="0">
      <selection activeCell="P13" sqref="P13"/>
    </sheetView>
  </sheetViews>
  <sheetFormatPr defaultRowHeight="15" customHeight="1" x14ac:dyDescent="0.35"/>
  <cols>
    <col min="1" max="1" width="35.28515625" style="469" customWidth="1"/>
    <col min="2" max="2" width="13" style="469" customWidth="1"/>
    <col min="3" max="3" width="10.85546875" style="469" customWidth="1"/>
    <col min="4" max="4" width="14.42578125" style="469" bestFit="1" customWidth="1"/>
    <col min="5" max="5" width="17.7109375" style="469" customWidth="1"/>
    <col min="6" max="7" width="13.5703125" style="469" customWidth="1"/>
    <col min="8" max="8" width="10.7109375" style="469" customWidth="1"/>
    <col min="9" max="16384" width="9.140625" style="469"/>
  </cols>
  <sheetData>
    <row r="1" spans="1:7" ht="21.75" thickBot="1" x14ac:dyDescent="0.4">
      <c r="A1" s="803" t="s">
        <v>131</v>
      </c>
      <c r="B1" s="803" t="s">
        <v>132</v>
      </c>
      <c r="C1" s="803" t="s">
        <v>821</v>
      </c>
      <c r="D1" s="803" t="s">
        <v>548</v>
      </c>
      <c r="E1" s="803" t="s">
        <v>834</v>
      </c>
      <c r="F1" s="803" t="s">
        <v>833</v>
      </c>
      <c r="G1" s="803" t="s">
        <v>820</v>
      </c>
    </row>
    <row r="2" spans="1:7" ht="21.75" thickBot="1" x14ac:dyDescent="0.4">
      <c r="A2" s="856" t="s">
        <v>1964</v>
      </c>
      <c r="B2" s="857"/>
      <c r="C2" s="857"/>
      <c r="D2" s="857"/>
      <c r="E2" s="857"/>
      <c r="F2" s="857"/>
      <c r="G2" s="858"/>
    </row>
    <row r="3" spans="1:7" ht="21" x14ac:dyDescent="0.35">
      <c r="A3" s="883" t="s">
        <v>170</v>
      </c>
      <c r="B3" s="883" t="s">
        <v>143</v>
      </c>
      <c r="C3" s="883" t="s">
        <v>826</v>
      </c>
      <c r="D3" s="884">
        <f>'Pasta Prep'!N11</f>
        <v>3.125</v>
      </c>
      <c r="E3" s="883"/>
      <c r="F3" s="885"/>
      <c r="G3" s="885"/>
    </row>
    <row r="4" spans="1:7" ht="21" x14ac:dyDescent="0.35">
      <c r="A4" s="880"/>
      <c r="B4" s="880"/>
      <c r="C4" s="880"/>
      <c r="D4" s="882"/>
      <c r="E4" s="880"/>
      <c r="F4" s="878"/>
      <c r="G4" s="878"/>
    </row>
    <row r="5" spans="1:7" ht="21" x14ac:dyDescent="0.35">
      <c r="A5" s="879" t="s">
        <v>837</v>
      </c>
      <c r="B5" s="879" t="s">
        <v>143</v>
      </c>
      <c r="C5" s="879" t="s">
        <v>826</v>
      </c>
      <c r="D5" s="881">
        <f>'Pasta Prep'!N8</f>
        <v>2.0625</v>
      </c>
      <c r="E5" s="879"/>
      <c r="F5" s="877"/>
      <c r="G5" s="877"/>
    </row>
    <row r="6" spans="1:7" ht="21" x14ac:dyDescent="0.35">
      <c r="A6" s="880"/>
      <c r="B6" s="880"/>
      <c r="C6" s="880"/>
      <c r="D6" s="882"/>
      <c r="E6" s="880"/>
      <c r="F6" s="878"/>
      <c r="G6" s="878"/>
    </row>
    <row r="7" spans="1:7" ht="21" x14ac:dyDescent="0.35">
      <c r="A7" s="879" t="s">
        <v>172</v>
      </c>
      <c r="B7" s="879" t="s">
        <v>143</v>
      </c>
      <c r="C7" s="879" t="s">
        <v>826</v>
      </c>
      <c r="D7" s="881">
        <f>'Pasta Prep'!N4</f>
        <v>1.5</v>
      </c>
      <c r="E7" s="879"/>
      <c r="F7" s="877"/>
      <c r="G7" s="877"/>
    </row>
    <row r="8" spans="1:7" ht="21" x14ac:dyDescent="0.35">
      <c r="A8" s="880"/>
      <c r="B8" s="880"/>
      <c r="C8" s="880"/>
      <c r="D8" s="882"/>
      <c r="E8" s="880"/>
      <c r="F8" s="878"/>
      <c r="G8" s="878"/>
    </row>
    <row r="9" spans="1:7" ht="21" x14ac:dyDescent="0.35">
      <c r="A9" s="879" t="s">
        <v>173</v>
      </c>
      <c r="B9" s="879" t="s">
        <v>143</v>
      </c>
      <c r="C9" s="879" t="s">
        <v>826</v>
      </c>
      <c r="D9" s="881">
        <f>'Pasta Prep'!N9</f>
        <v>5.3125</v>
      </c>
      <c r="E9" s="879"/>
      <c r="F9" s="877"/>
      <c r="G9" s="877"/>
    </row>
    <row r="10" spans="1:7" ht="21" x14ac:dyDescent="0.35">
      <c r="A10" s="880"/>
      <c r="B10" s="880"/>
      <c r="C10" s="880"/>
      <c r="D10" s="882"/>
      <c r="E10" s="880"/>
      <c r="F10" s="878"/>
      <c r="G10" s="878"/>
    </row>
    <row r="11" spans="1:7" ht="21" x14ac:dyDescent="0.35">
      <c r="A11" s="879" t="s">
        <v>1805</v>
      </c>
      <c r="B11" s="879" t="s">
        <v>143</v>
      </c>
      <c r="C11" s="879" t="s">
        <v>815</v>
      </c>
      <c r="D11" s="881">
        <f>'Pasta Prep'!N6</f>
        <v>1.3125</v>
      </c>
      <c r="E11" s="879"/>
      <c r="F11" s="877"/>
      <c r="G11" s="877"/>
    </row>
    <row r="12" spans="1:7" ht="21" x14ac:dyDescent="0.35">
      <c r="A12" s="880"/>
      <c r="B12" s="880"/>
      <c r="C12" s="880"/>
      <c r="D12" s="882"/>
      <c r="E12" s="880"/>
      <c r="F12" s="878"/>
      <c r="G12" s="878"/>
    </row>
    <row r="13" spans="1:7" ht="21" x14ac:dyDescent="0.35">
      <c r="A13" s="472" t="s">
        <v>838</v>
      </c>
      <c r="B13" s="473" t="s">
        <v>1806</v>
      </c>
      <c r="C13" s="473" t="s">
        <v>839</v>
      </c>
      <c r="D13" s="477">
        <v>4</v>
      </c>
      <c r="E13" s="481"/>
      <c r="F13" s="472"/>
      <c r="G13" s="472"/>
    </row>
    <row r="14" spans="1:7" ht="21" x14ac:dyDescent="0.35">
      <c r="A14" s="472" t="s">
        <v>840</v>
      </c>
      <c r="B14" s="473" t="s">
        <v>143</v>
      </c>
      <c r="C14" s="473" t="s">
        <v>826</v>
      </c>
      <c r="D14" s="477">
        <f>'Pasta Prep'!N13</f>
        <v>0.75</v>
      </c>
      <c r="E14" s="481"/>
      <c r="F14" s="472"/>
      <c r="G14" s="472"/>
    </row>
    <row r="15" spans="1:7" ht="21.75" thickBot="1" x14ac:dyDescent="0.4">
      <c r="A15" s="472" t="s">
        <v>1854</v>
      </c>
      <c r="B15" s="473" t="s">
        <v>1869</v>
      </c>
      <c r="C15" s="473" t="s">
        <v>828</v>
      </c>
      <c r="D15" s="477">
        <f>'Pasta Prep'!$B$24+'Pasta Prep'!$C$24+'Pasta Prep'!$D$24</f>
        <v>5</v>
      </c>
      <c r="E15" s="481"/>
      <c r="F15" s="472"/>
      <c r="G15" s="472"/>
    </row>
    <row r="16" spans="1:7" ht="21.75" thickBot="1" x14ac:dyDescent="0.4">
      <c r="A16" s="856" t="s">
        <v>1874</v>
      </c>
      <c r="B16" s="857"/>
      <c r="C16" s="857"/>
      <c r="D16" s="857"/>
      <c r="E16" s="857"/>
      <c r="F16" s="857"/>
      <c r="G16" s="858"/>
    </row>
    <row r="17" spans="1:7" ht="21" x14ac:dyDescent="0.35">
      <c r="A17" s="475" t="s">
        <v>1866</v>
      </c>
      <c r="B17" s="476" t="s">
        <v>142</v>
      </c>
      <c r="C17" s="476" t="s">
        <v>841</v>
      </c>
      <c r="D17" s="804">
        <f>'Daily Product Breakdown'!$B$35+'Daily Product Breakdown'!$C$35</f>
        <v>53</v>
      </c>
      <c r="E17" s="802"/>
      <c r="F17" s="475"/>
      <c r="G17" s="475"/>
    </row>
    <row r="18" spans="1:7" ht="21" x14ac:dyDescent="0.35">
      <c r="A18" s="472" t="s">
        <v>842</v>
      </c>
      <c r="B18" s="473" t="s">
        <v>835</v>
      </c>
      <c r="C18" s="473" t="s">
        <v>841</v>
      </c>
      <c r="D18" s="477">
        <f>'Daily Product Breakdown'!$B$37+'Daily Product Breakdown'!$C$37+'Daily Product Breakdown'!$D$37</f>
        <v>6</v>
      </c>
      <c r="E18" s="481"/>
      <c r="F18" s="472"/>
      <c r="G18" s="472"/>
    </row>
    <row r="19" spans="1:7" ht="21" x14ac:dyDescent="0.35">
      <c r="A19" s="472" t="s">
        <v>843</v>
      </c>
      <c r="B19" s="473" t="s">
        <v>844</v>
      </c>
      <c r="C19" s="473" t="s">
        <v>839</v>
      </c>
      <c r="D19" s="477">
        <f>'Daily Product Breakdown'!$B$39+'Daily Product Breakdown'!$C$39</f>
        <v>0</v>
      </c>
      <c r="E19" s="481"/>
      <c r="F19" s="472"/>
      <c r="G19" s="472"/>
    </row>
    <row r="20" spans="1:7" ht="21" x14ac:dyDescent="0.35">
      <c r="A20" s="472" t="s">
        <v>843</v>
      </c>
      <c r="B20" s="473" t="s">
        <v>845</v>
      </c>
      <c r="C20" s="473" t="s">
        <v>839</v>
      </c>
      <c r="D20" s="477">
        <f>'Daily Product Breakdown'!$B$41+'Daily Product Breakdown'!$C$41+'Daily Product Breakdown'!$D$41</f>
        <v>24</v>
      </c>
      <c r="E20" s="481"/>
      <c r="F20" s="472"/>
      <c r="G20" s="472"/>
    </row>
    <row r="21" spans="1:7" ht="21" x14ac:dyDescent="0.35">
      <c r="A21" s="472" t="s">
        <v>61</v>
      </c>
      <c r="B21" s="473" t="s">
        <v>1887</v>
      </c>
      <c r="C21" s="473" t="s">
        <v>839</v>
      </c>
      <c r="D21" s="477">
        <f>'Daily Product Breakdown'!$B$177+'Daily Product Breakdown'!$C$177</f>
        <v>2</v>
      </c>
      <c r="E21" s="481"/>
      <c r="F21" s="472"/>
      <c r="G21" s="472"/>
    </row>
    <row r="22" spans="1:7" ht="21" x14ac:dyDescent="0.35">
      <c r="A22" s="472" t="s">
        <v>61</v>
      </c>
      <c r="B22" s="473" t="s">
        <v>1855</v>
      </c>
      <c r="C22" s="473" t="s">
        <v>839</v>
      </c>
      <c r="D22" s="477">
        <f>'Daily Product Breakdown'!$B$45+'Daily Product Breakdown'!$C$45</f>
        <v>4</v>
      </c>
      <c r="E22" s="481"/>
      <c r="F22" s="472"/>
      <c r="G22" s="472"/>
    </row>
    <row r="23" spans="1:7" ht="21" x14ac:dyDescent="0.35">
      <c r="A23" s="472" t="s">
        <v>1809</v>
      </c>
      <c r="B23" s="473" t="s">
        <v>846</v>
      </c>
      <c r="C23" s="473" t="s">
        <v>839</v>
      </c>
      <c r="D23" s="477">
        <f>'Daily Product Breakdown'!$B$157+'Daily Product Breakdown'!$C$157</f>
        <v>12</v>
      </c>
      <c r="E23" s="481"/>
      <c r="F23" s="472"/>
      <c r="G23" s="472"/>
    </row>
    <row r="24" spans="1:7" ht="21" x14ac:dyDescent="0.35">
      <c r="A24" s="472" t="s">
        <v>1326</v>
      </c>
      <c r="B24" s="474" t="s">
        <v>157</v>
      </c>
      <c r="C24" s="473" t="s">
        <v>1812</v>
      </c>
      <c r="D24" s="477">
        <f>'Daily Product Breakdown'!$B$81/26+'Daily Product Breakdown'!$C$81/26</f>
        <v>1.2307692307692308</v>
      </c>
      <c r="E24" s="481"/>
      <c r="F24" s="472"/>
      <c r="G24" s="472"/>
    </row>
    <row r="25" spans="1:7" ht="21" x14ac:dyDescent="0.35">
      <c r="A25" s="470" t="s">
        <v>1826</v>
      </c>
      <c r="B25" s="471" t="s">
        <v>141</v>
      </c>
      <c r="C25" s="471" t="s">
        <v>848</v>
      </c>
      <c r="D25" s="483">
        <f>'Daily Product Breakdown'!$B$155+'Daily Product Breakdown'!$C$155+'Daily Product Breakdown'!$D$155</f>
        <v>15</v>
      </c>
      <c r="E25" s="482"/>
      <c r="F25" s="470"/>
      <c r="G25" s="470"/>
    </row>
    <row r="26" spans="1:7" ht="21" x14ac:dyDescent="0.35">
      <c r="A26" s="470" t="s">
        <v>150</v>
      </c>
      <c r="B26" s="471" t="s">
        <v>1940</v>
      </c>
      <c r="C26" s="471" t="s">
        <v>1941</v>
      </c>
      <c r="D26" s="483">
        <f>'Daily Product Breakdown'!$B$83/8</f>
        <v>1</v>
      </c>
      <c r="E26" s="482"/>
      <c r="F26" s="470"/>
      <c r="G26" s="470"/>
    </row>
    <row r="27" spans="1:7" ht="21.75" thickBot="1" x14ac:dyDescent="0.4">
      <c r="A27" s="470" t="s">
        <v>62</v>
      </c>
      <c r="B27" s="471" t="s">
        <v>141</v>
      </c>
      <c r="C27" s="471" t="s">
        <v>828</v>
      </c>
      <c r="D27" s="483">
        <f>'Daily Product Breakdown'!$B$179+'Daily Product Breakdown'!$C$179+'Daily Product Breakdown'!$D$179</f>
        <v>3</v>
      </c>
      <c r="E27" s="482"/>
      <c r="F27" s="470"/>
      <c r="G27" s="470"/>
    </row>
    <row r="28" spans="1:7" ht="21.75" thickBot="1" x14ac:dyDescent="0.4">
      <c r="A28" s="856" t="s">
        <v>1875</v>
      </c>
      <c r="B28" s="857"/>
      <c r="C28" s="857"/>
      <c r="D28" s="857"/>
      <c r="E28" s="857"/>
      <c r="F28" s="857"/>
      <c r="G28" s="858"/>
    </row>
    <row r="29" spans="1:7" ht="21" x14ac:dyDescent="0.35">
      <c r="A29" s="805" t="s">
        <v>1870</v>
      </c>
      <c r="B29" s="806" t="s">
        <v>1871</v>
      </c>
      <c r="C29" s="806" t="s">
        <v>828</v>
      </c>
      <c r="D29" s="804">
        <f>'Daily Product Breakdown'!$B$51+'Daily Product Breakdown'!$C$51+'Daily Product Breakdown'!$D$51</f>
        <v>29</v>
      </c>
      <c r="E29" s="802"/>
      <c r="F29" s="475"/>
      <c r="G29" s="475"/>
    </row>
    <row r="30" spans="1:7" ht="21" x14ac:dyDescent="0.35">
      <c r="A30" s="472" t="s">
        <v>231</v>
      </c>
      <c r="B30" s="473" t="s">
        <v>814</v>
      </c>
      <c r="C30" s="473" t="s">
        <v>828</v>
      </c>
      <c r="D30" s="477">
        <v>1</v>
      </c>
      <c r="E30" s="481"/>
      <c r="F30" s="472"/>
      <c r="G30" s="472"/>
    </row>
    <row r="31" spans="1:7" ht="21" x14ac:dyDescent="0.35">
      <c r="A31" s="472" t="s">
        <v>1872</v>
      </c>
      <c r="B31" s="473" t="s">
        <v>816</v>
      </c>
      <c r="C31" s="473" t="s">
        <v>828</v>
      </c>
      <c r="D31" s="477">
        <v>1</v>
      </c>
      <c r="E31" s="481"/>
      <c r="F31" s="472"/>
      <c r="G31" s="472"/>
    </row>
    <row r="32" spans="1:7" ht="21" x14ac:dyDescent="0.35">
      <c r="A32" s="470" t="s">
        <v>1873</v>
      </c>
      <c r="B32" s="471" t="s">
        <v>816</v>
      </c>
      <c r="C32" s="471" t="s">
        <v>828</v>
      </c>
      <c r="D32" s="483">
        <v>1</v>
      </c>
      <c r="E32" s="482"/>
      <c r="F32" s="470"/>
      <c r="G32" s="470"/>
    </row>
    <row r="33" spans="1:7" ht="21" x14ac:dyDescent="0.35">
      <c r="A33" s="472" t="s">
        <v>234</v>
      </c>
      <c r="B33" s="473" t="s">
        <v>816</v>
      </c>
      <c r="C33" s="473" t="s">
        <v>828</v>
      </c>
      <c r="D33" s="477">
        <v>1</v>
      </c>
      <c r="E33" s="481"/>
      <c r="F33" s="472"/>
      <c r="G33" s="472"/>
    </row>
    <row r="34" spans="1:7" ht="21" x14ac:dyDescent="0.35">
      <c r="A34" s="472" t="s">
        <v>847</v>
      </c>
      <c r="B34" s="473" t="s">
        <v>816</v>
      </c>
      <c r="C34" s="473"/>
      <c r="D34" s="477">
        <v>1</v>
      </c>
      <c r="E34" s="481"/>
      <c r="F34" s="472"/>
      <c r="G34" s="472"/>
    </row>
    <row r="35" spans="1:7" ht="21" x14ac:dyDescent="0.35">
      <c r="A35" s="470" t="s">
        <v>849</v>
      </c>
      <c r="B35" s="471" t="s">
        <v>816</v>
      </c>
      <c r="C35" s="471"/>
      <c r="D35" s="483">
        <v>1</v>
      </c>
      <c r="E35" s="482"/>
      <c r="F35" s="470"/>
      <c r="G35" s="470"/>
    </row>
    <row r="36" spans="1:7" ht="21.75" thickBot="1" x14ac:dyDescent="0.4">
      <c r="A36" s="470" t="s">
        <v>1884</v>
      </c>
      <c r="B36" s="471" t="s">
        <v>816</v>
      </c>
      <c r="C36" s="471"/>
      <c r="D36" s="483">
        <v>1</v>
      </c>
      <c r="E36" s="482"/>
      <c r="F36" s="470"/>
      <c r="G36" s="470"/>
    </row>
    <row r="37" spans="1:7" ht="21.75" thickBot="1" x14ac:dyDescent="0.4">
      <c r="A37" s="856" t="s">
        <v>1876</v>
      </c>
      <c r="B37" s="857"/>
      <c r="C37" s="857"/>
      <c r="D37" s="857"/>
      <c r="E37" s="857"/>
      <c r="F37" s="857"/>
      <c r="G37" s="858"/>
    </row>
    <row r="38" spans="1:7" ht="21" x14ac:dyDescent="0.35">
      <c r="A38" s="475" t="s">
        <v>1877</v>
      </c>
      <c r="B38" s="476" t="s">
        <v>157</v>
      </c>
      <c r="C38" s="476"/>
      <c r="D38" s="804">
        <v>1</v>
      </c>
      <c r="E38" s="802"/>
      <c r="F38" s="475"/>
      <c r="G38" s="475"/>
    </row>
    <row r="39" spans="1:7" ht="21.75" thickBot="1" x14ac:dyDescent="0.4">
      <c r="A39" s="470" t="s">
        <v>466</v>
      </c>
      <c r="B39" s="471" t="s">
        <v>1878</v>
      </c>
      <c r="C39" s="471"/>
      <c r="D39" s="483">
        <v>1</v>
      </c>
      <c r="E39" s="482"/>
      <c r="F39" s="470"/>
      <c r="G39" s="470"/>
    </row>
    <row r="40" spans="1:7" ht="21.75" thickBot="1" x14ac:dyDescent="0.4">
      <c r="A40" s="886" t="s">
        <v>1879</v>
      </c>
      <c r="B40" s="887"/>
      <c r="C40" s="887"/>
      <c r="D40" s="887"/>
      <c r="E40" s="887"/>
      <c r="F40" s="887"/>
      <c r="G40" s="888"/>
    </row>
    <row r="41" spans="1:7" ht="21" x14ac:dyDescent="0.35">
      <c r="A41" s="475" t="s">
        <v>339</v>
      </c>
      <c r="B41" s="476" t="s">
        <v>814</v>
      </c>
      <c r="C41" s="476"/>
      <c r="D41" s="804">
        <v>1</v>
      </c>
      <c r="E41" s="802"/>
      <c r="F41" s="475"/>
      <c r="G41" s="475"/>
    </row>
    <row r="42" spans="1:7" ht="21" x14ac:dyDescent="0.35">
      <c r="A42" s="472" t="s">
        <v>1880</v>
      </c>
      <c r="B42" s="473" t="s">
        <v>814</v>
      </c>
      <c r="C42" s="473"/>
      <c r="D42" s="477">
        <v>1</v>
      </c>
      <c r="E42" s="481"/>
      <c r="F42" s="472"/>
      <c r="G42" s="472"/>
    </row>
    <row r="43" spans="1:7" ht="21" x14ac:dyDescent="0.35">
      <c r="A43" s="472" t="s">
        <v>1943</v>
      </c>
      <c r="B43" s="473" t="s">
        <v>157</v>
      </c>
      <c r="C43" s="473"/>
      <c r="D43" s="807">
        <f>IF('Daily Product Breakdown'!$B$77+'Daily Product Breakdown'!$C$77,'Daily Product Breakdown'!$B$77+'Daily Product Breakdown'!$C$77)/105</f>
        <v>0.14285714285714285</v>
      </c>
      <c r="E43" s="481"/>
      <c r="F43" s="472"/>
      <c r="G43" s="472"/>
    </row>
    <row r="44" spans="1:7" ht="21" x14ac:dyDescent="0.35">
      <c r="A44" s="472" t="s">
        <v>578</v>
      </c>
      <c r="B44" s="473" t="s">
        <v>157</v>
      </c>
      <c r="C44" s="473"/>
      <c r="D44" s="477">
        <f>IF('Daily Product Breakdown'!$B$65+'Daily Product Breakdown'!$C$65,'Daily Product Breakdown'!$B$65+'Daily Product Breakdown'!$C$65)/104</f>
        <v>1.9166346153846152</v>
      </c>
      <c r="E44" s="481"/>
      <c r="F44" s="472"/>
      <c r="G44" s="472"/>
    </row>
    <row r="45" spans="1:7" ht="21.75" thickBot="1" x14ac:dyDescent="0.4">
      <c r="A45" s="470" t="s">
        <v>64</v>
      </c>
      <c r="B45" s="471" t="s">
        <v>157</v>
      </c>
      <c r="C45" s="471"/>
      <c r="D45" s="483">
        <f>IF('Daily Product Breakdown'!$B$73+'Daily Product Breakdown'!$C$73,'Daily Product Breakdown'!$B$73+'Daily Product Breakdown'!$C$73)/64</f>
        <v>2.53125</v>
      </c>
      <c r="E45" s="482"/>
      <c r="F45" s="470"/>
      <c r="G45" s="470"/>
    </row>
    <row r="46" spans="1:7" ht="21.75" thickBot="1" x14ac:dyDescent="0.4">
      <c r="A46" s="856" t="s">
        <v>1881</v>
      </c>
      <c r="B46" s="857"/>
      <c r="C46" s="857"/>
      <c r="D46" s="857"/>
      <c r="E46" s="857"/>
      <c r="F46" s="857"/>
      <c r="G46" s="858"/>
    </row>
    <row r="47" spans="1:7" ht="21" x14ac:dyDescent="0.35">
      <c r="A47" s="475" t="s">
        <v>596</v>
      </c>
      <c r="B47" s="476" t="s">
        <v>1944</v>
      </c>
      <c r="C47" s="476"/>
      <c r="D47" s="804">
        <f>('Daily Product Breakdown'!$B$129+'Daily Product Breakdown'!$C$129+'Daily Product Breakdown'!$D$129)/8</f>
        <v>25</v>
      </c>
      <c r="E47" s="802"/>
      <c r="F47" s="475"/>
      <c r="G47" s="475"/>
    </row>
    <row r="48" spans="1:7" ht="21" x14ac:dyDescent="0.35">
      <c r="A48" s="472" t="s">
        <v>1882</v>
      </c>
      <c r="B48" s="473" t="s">
        <v>1807</v>
      </c>
      <c r="C48" s="473"/>
      <c r="D48" s="477">
        <f>('Daily Product Breakdown'!$B$127+'Daily Product Breakdown'!$C$127+'Daily Product Breakdown'!$D$127)/6</f>
        <v>17.833333333333332</v>
      </c>
      <c r="E48" s="481"/>
      <c r="F48" s="472"/>
      <c r="G48" s="472"/>
    </row>
    <row r="49" spans="1:7" ht="21" x14ac:dyDescent="0.35">
      <c r="A49" s="472" t="s">
        <v>465</v>
      </c>
      <c r="B49" s="473" t="s">
        <v>1883</v>
      </c>
      <c r="C49" s="473"/>
      <c r="D49" s="477">
        <f>('Daily Product Breakdown'!$B$107+'Daily Product Breakdown'!$C$107+'Daily Product Breakdown'!$D$107)/8</f>
        <v>8</v>
      </c>
      <c r="E49" s="481"/>
      <c r="F49" s="472"/>
      <c r="G49" s="472"/>
    </row>
    <row r="50" spans="1:7" ht="21" x14ac:dyDescent="0.35">
      <c r="A50" s="889" t="s">
        <v>1950</v>
      </c>
      <c r="B50" s="890"/>
      <c r="C50" s="890"/>
      <c r="D50" s="890"/>
      <c r="E50" s="890"/>
      <c r="F50" s="890"/>
      <c r="G50" s="891"/>
    </row>
    <row r="51" spans="1:7" ht="21" x14ac:dyDescent="0.35">
      <c r="A51" s="892"/>
      <c r="B51" s="893"/>
      <c r="C51" s="893"/>
      <c r="D51" s="893"/>
      <c r="E51" s="893"/>
      <c r="F51" s="893"/>
      <c r="G51" s="894"/>
    </row>
    <row r="52" spans="1:7" ht="21" x14ac:dyDescent="0.35">
      <c r="A52" s="895"/>
      <c r="B52" s="896"/>
      <c r="C52" s="896"/>
      <c r="D52" s="896"/>
      <c r="E52" s="896"/>
      <c r="F52" s="896"/>
      <c r="G52" s="897"/>
    </row>
    <row r="53" spans="1:7" ht="21.75" thickBot="1" x14ac:dyDescent="0.4">
      <c r="A53" s="803" t="s">
        <v>131</v>
      </c>
      <c r="B53" s="803" t="s">
        <v>132</v>
      </c>
      <c r="C53" s="803" t="s">
        <v>821</v>
      </c>
      <c r="D53" s="803" t="s">
        <v>549</v>
      </c>
      <c r="E53" s="803" t="s">
        <v>834</v>
      </c>
      <c r="F53" s="803" t="s">
        <v>833</v>
      </c>
      <c r="G53" s="803" t="s">
        <v>820</v>
      </c>
    </row>
    <row r="54" spans="1:7" ht="21.75" thickBot="1" x14ac:dyDescent="0.4">
      <c r="A54" s="856" t="s">
        <v>1964</v>
      </c>
      <c r="B54" s="857"/>
      <c r="C54" s="857"/>
      <c r="D54" s="857"/>
      <c r="E54" s="857"/>
      <c r="F54" s="857"/>
      <c r="G54" s="858"/>
    </row>
    <row r="55" spans="1:7" ht="21" x14ac:dyDescent="0.35">
      <c r="A55" s="883" t="s">
        <v>170</v>
      </c>
      <c r="B55" s="883" t="s">
        <v>143</v>
      </c>
      <c r="C55" s="883" t="s">
        <v>826</v>
      </c>
      <c r="D55" s="884">
        <f>'Pasta Prep'!P11</f>
        <v>3</v>
      </c>
      <c r="E55" s="883"/>
      <c r="F55" s="885"/>
      <c r="G55" s="885"/>
    </row>
    <row r="56" spans="1:7" ht="21" x14ac:dyDescent="0.35">
      <c r="A56" s="880"/>
      <c r="B56" s="880"/>
      <c r="C56" s="880"/>
      <c r="D56" s="882"/>
      <c r="E56" s="880"/>
      <c r="F56" s="878"/>
      <c r="G56" s="878"/>
    </row>
    <row r="57" spans="1:7" ht="21" x14ac:dyDescent="0.35">
      <c r="A57" s="879" t="s">
        <v>837</v>
      </c>
      <c r="B57" s="879" t="s">
        <v>143</v>
      </c>
      <c r="C57" s="879" t="s">
        <v>826</v>
      </c>
      <c r="D57" s="881">
        <f>'Pasta Prep'!P8</f>
        <v>4.125</v>
      </c>
      <c r="E57" s="879"/>
      <c r="F57" s="877"/>
      <c r="G57" s="877"/>
    </row>
    <row r="58" spans="1:7" ht="21" x14ac:dyDescent="0.35">
      <c r="A58" s="880"/>
      <c r="B58" s="880"/>
      <c r="C58" s="880"/>
      <c r="D58" s="882"/>
      <c r="E58" s="880"/>
      <c r="F58" s="878"/>
      <c r="G58" s="878"/>
    </row>
    <row r="59" spans="1:7" ht="21" x14ac:dyDescent="0.35">
      <c r="A59" s="879" t="s">
        <v>172</v>
      </c>
      <c r="B59" s="879" t="s">
        <v>143</v>
      </c>
      <c r="C59" s="879" t="s">
        <v>826</v>
      </c>
      <c r="D59" s="881">
        <f>'Pasta Prep'!P4</f>
        <v>1.5</v>
      </c>
      <c r="E59" s="879"/>
      <c r="F59" s="877"/>
      <c r="G59" s="877"/>
    </row>
    <row r="60" spans="1:7" ht="21" x14ac:dyDescent="0.35">
      <c r="A60" s="880"/>
      <c r="B60" s="880"/>
      <c r="C60" s="880"/>
      <c r="D60" s="882"/>
      <c r="E60" s="880"/>
      <c r="F60" s="878"/>
      <c r="G60" s="878"/>
    </row>
    <row r="61" spans="1:7" ht="21" x14ac:dyDescent="0.35">
      <c r="A61" s="879" t="s">
        <v>173</v>
      </c>
      <c r="B61" s="879" t="s">
        <v>143</v>
      </c>
      <c r="C61" s="879" t="s">
        <v>826</v>
      </c>
      <c r="D61" s="881">
        <f>'Pasta Prep'!P9</f>
        <v>4.25</v>
      </c>
      <c r="E61" s="879"/>
      <c r="F61" s="877"/>
      <c r="G61" s="877"/>
    </row>
    <row r="62" spans="1:7" ht="21" x14ac:dyDescent="0.35">
      <c r="A62" s="880"/>
      <c r="B62" s="880"/>
      <c r="C62" s="880"/>
      <c r="D62" s="882"/>
      <c r="E62" s="880"/>
      <c r="F62" s="878"/>
      <c r="G62" s="878"/>
    </row>
    <row r="63" spans="1:7" ht="21" x14ac:dyDescent="0.35">
      <c r="A63" s="879" t="s">
        <v>1805</v>
      </c>
      <c r="B63" s="879" t="s">
        <v>143</v>
      </c>
      <c r="C63" s="879" t="s">
        <v>815</v>
      </c>
      <c r="D63" s="881">
        <f>'Pasta Prep'!P6</f>
        <v>0.8125</v>
      </c>
      <c r="E63" s="879"/>
      <c r="F63" s="877"/>
      <c r="G63" s="877"/>
    </row>
    <row r="64" spans="1:7" ht="21" x14ac:dyDescent="0.35">
      <c r="A64" s="880"/>
      <c r="B64" s="880"/>
      <c r="C64" s="880"/>
      <c r="D64" s="882"/>
      <c r="E64" s="880"/>
      <c r="F64" s="878"/>
      <c r="G64" s="878"/>
    </row>
    <row r="65" spans="1:7" ht="21" x14ac:dyDescent="0.35">
      <c r="A65" s="472" t="s">
        <v>838</v>
      </c>
      <c r="B65" s="473" t="s">
        <v>1806</v>
      </c>
      <c r="C65" s="473" t="s">
        <v>839</v>
      </c>
      <c r="D65" s="477">
        <v>4</v>
      </c>
      <c r="E65" s="481"/>
      <c r="F65" s="472"/>
      <c r="G65" s="472"/>
    </row>
    <row r="66" spans="1:7" ht="21" x14ac:dyDescent="0.35">
      <c r="A66" s="472" t="s">
        <v>840</v>
      </c>
      <c r="B66" s="473" t="s">
        <v>143</v>
      </c>
      <c r="C66" s="473" t="s">
        <v>826</v>
      </c>
      <c r="D66" s="477">
        <f>'Pasta Prep'!P13</f>
        <v>1.375</v>
      </c>
      <c r="E66" s="481"/>
      <c r="F66" s="472"/>
      <c r="G66" s="472"/>
    </row>
    <row r="67" spans="1:7" ht="21.75" thickBot="1" x14ac:dyDescent="0.4">
      <c r="A67" s="472" t="s">
        <v>1854</v>
      </c>
      <c r="B67" s="473" t="s">
        <v>1869</v>
      </c>
      <c r="C67" s="473" t="s">
        <v>828</v>
      </c>
      <c r="D67" s="477">
        <f>'Pasta Prep'!$C$24+'Pasta Prep'!$D$24+'Pasta Prep'!$E$24</f>
        <v>5</v>
      </c>
      <c r="E67" s="481"/>
      <c r="F67" s="472"/>
      <c r="G67" s="472"/>
    </row>
    <row r="68" spans="1:7" ht="21.75" thickBot="1" x14ac:dyDescent="0.4">
      <c r="A68" s="856" t="s">
        <v>1874</v>
      </c>
      <c r="B68" s="857"/>
      <c r="C68" s="857"/>
      <c r="D68" s="857"/>
      <c r="E68" s="857"/>
      <c r="F68" s="857"/>
      <c r="G68" s="858"/>
    </row>
    <row r="69" spans="1:7" ht="21" x14ac:dyDescent="0.35">
      <c r="A69" s="475" t="s">
        <v>1866</v>
      </c>
      <c r="B69" s="476" t="s">
        <v>142</v>
      </c>
      <c r="C69" s="476" t="s">
        <v>841</v>
      </c>
      <c r="D69" s="804">
        <f>'Daily Product Breakdown'!$C$35+'Daily Product Breakdown'!$D$35</f>
        <v>33</v>
      </c>
      <c r="E69" s="802"/>
      <c r="F69" s="475"/>
      <c r="G69" s="475"/>
    </row>
    <row r="70" spans="1:7" ht="21" x14ac:dyDescent="0.35">
      <c r="A70" s="472" t="s">
        <v>842</v>
      </c>
      <c r="B70" s="473" t="s">
        <v>835</v>
      </c>
      <c r="C70" s="473" t="s">
        <v>841</v>
      </c>
      <c r="D70" s="477">
        <f>'Daily Product Breakdown'!$C$37+'Daily Product Breakdown'!$D$37+'Daily Product Breakdown'!$E$37</f>
        <v>6</v>
      </c>
      <c r="E70" s="481"/>
      <c r="F70" s="472"/>
      <c r="G70" s="472"/>
    </row>
    <row r="71" spans="1:7" ht="21" x14ac:dyDescent="0.35">
      <c r="A71" s="472" t="s">
        <v>843</v>
      </c>
      <c r="B71" s="473" t="s">
        <v>844</v>
      </c>
      <c r="C71" s="473" t="s">
        <v>839</v>
      </c>
      <c r="D71" s="477">
        <f>'Daily Product Breakdown'!$C$39+'Daily Product Breakdown'!$D$39</f>
        <v>3</v>
      </c>
      <c r="E71" s="481"/>
      <c r="F71" s="472"/>
      <c r="G71" s="472"/>
    </row>
    <row r="72" spans="1:7" ht="21" x14ac:dyDescent="0.35">
      <c r="A72" s="472" t="s">
        <v>843</v>
      </c>
      <c r="B72" s="473" t="s">
        <v>845</v>
      </c>
      <c r="C72" s="473" t="s">
        <v>839</v>
      </c>
      <c r="D72" s="477">
        <f>'Daily Product Breakdown'!$C$41+'Daily Product Breakdown'!$D$41+'Daily Product Breakdown'!$E$41</f>
        <v>32</v>
      </c>
      <c r="E72" s="481"/>
      <c r="F72" s="472"/>
      <c r="G72" s="472"/>
    </row>
    <row r="73" spans="1:7" ht="21" x14ac:dyDescent="0.35">
      <c r="A73" s="472" t="s">
        <v>61</v>
      </c>
      <c r="B73" s="473" t="s">
        <v>1887</v>
      </c>
      <c r="C73" s="473" t="s">
        <v>839</v>
      </c>
      <c r="D73" s="477">
        <f>'Daily Product Breakdown'!$C$177+'Daily Product Breakdown'!$D$177</f>
        <v>2</v>
      </c>
      <c r="E73" s="481"/>
      <c r="F73" s="472"/>
      <c r="G73" s="472"/>
    </row>
    <row r="74" spans="1:7" ht="21" x14ac:dyDescent="0.35">
      <c r="A74" s="472" t="s">
        <v>61</v>
      </c>
      <c r="B74" s="473" t="s">
        <v>1855</v>
      </c>
      <c r="C74" s="473" t="s">
        <v>839</v>
      </c>
      <c r="D74" s="477">
        <f>'Daily Product Breakdown'!$C$45+'Daily Product Breakdown'!$D$45</f>
        <v>6</v>
      </c>
      <c r="E74" s="481"/>
      <c r="F74" s="472"/>
      <c r="G74" s="472"/>
    </row>
    <row r="75" spans="1:7" ht="21" x14ac:dyDescent="0.35">
      <c r="A75" s="472" t="s">
        <v>1809</v>
      </c>
      <c r="B75" s="473" t="s">
        <v>846</v>
      </c>
      <c r="C75" s="473" t="s">
        <v>839</v>
      </c>
      <c r="D75" s="477">
        <f>'Daily Product Breakdown'!$C$157+'Daily Product Breakdown'!$D$157</f>
        <v>8</v>
      </c>
      <c r="E75" s="481"/>
      <c r="F75" s="472"/>
      <c r="G75" s="472"/>
    </row>
    <row r="76" spans="1:7" ht="21" x14ac:dyDescent="0.35">
      <c r="A76" s="472" t="s">
        <v>1326</v>
      </c>
      <c r="B76" s="474" t="s">
        <v>157</v>
      </c>
      <c r="C76" s="473" t="s">
        <v>1812</v>
      </c>
      <c r="D76" s="477">
        <f>'Daily Product Breakdown'!$C$81/26+'Daily Product Breakdown'!$D$81/26</f>
        <v>1</v>
      </c>
      <c r="E76" s="481"/>
      <c r="F76" s="472"/>
      <c r="G76" s="472"/>
    </row>
    <row r="77" spans="1:7" ht="21" x14ac:dyDescent="0.35">
      <c r="A77" s="470" t="s">
        <v>1826</v>
      </c>
      <c r="B77" s="471" t="s">
        <v>141</v>
      </c>
      <c r="C77" s="471" t="s">
        <v>848</v>
      </c>
      <c r="D77" s="483">
        <f>'Daily Product Breakdown'!$C$155+'Daily Product Breakdown'!$D$155+'Daily Product Breakdown'!$E$155</f>
        <v>12</v>
      </c>
      <c r="E77" s="482"/>
      <c r="F77" s="470"/>
      <c r="G77" s="470"/>
    </row>
    <row r="78" spans="1:7" ht="21" x14ac:dyDescent="0.35">
      <c r="A78" s="470" t="s">
        <v>150</v>
      </c>
      <c r="B78" s="471" t="s">
        <v>1940</v>
      </c>
      <c r="C78" s="471" t="s">
        <v>1941</v>
      </c>
      <c r="D78" s="483">
        <f>'Daily Product Breakdown'!$C$83/8</f>
        <v>1</v>
      </c>
      <c r="E78" s="482"/>
      <c r="F78" s="470"/>
      <c r="G78" s="470"/>
    </row>
    <row r="79" spans="1:7" ht="21.75" thickBot="1" x14ac:dyDescent="0.4">
      <c r="A79" s="470" t="s">
        <v>62</v>
      </c>
      <c r="B79" s="471" t="s">
        <v>141</v>
      </c>
      <c r="C79" s="471" t="s">
        <v>828</v>
      </c>
      <c r="D79" s="483">
        <f>'Daily Product Breakdown'!$C$179+'Daily Product Breakdown'!$D$179+'Daily Product Breakdown'!$E$179</f>
        <v>1</v>
      </c>
      <c r="E79" s="482"/>
      <c r="F79" s="470"/>
      <c r="G79" s="470"/>
    </row>
    <row r="80" spans="1:7" ht="21.75" thickBot="1" x14ac:dyDescent="0.4">
      <c r="A80" s="856" t="s">
        <v>1875</v>
      </c>
      <c r="B80" s="857"/>
      <c r="C80" s="857"/>
      <c r="D80" s="857"/>
      <c r="E80" s="857"/>
      <c r="F80" s="857"/>
      <c r="G80" s="858"/>
    </row>
    <row r="81" spans="1:7" ht="21" x14ac:dyDescent="0.35">
      <c r="A81" s="805" t="s">
        <v>1870</v>
      </c>
      <c r="B81" s="806" t="s">
        <v>1871</v>
      </c>
      <c r="C81" s="806" t="s">
        <v>828</v>
      </c>
      <c r="D81" s="804">
        <f>'Daily Product Breakdown'!$C$51+'Daily Product Breakdown'!$D$51</f>
        <v>22</v>
      </c>
      <c r="E81" s="802"/>
      <c r="F81" s="475"/>
      <c r="G81" s="475"/>
    </row>
    <row r="82" spans="1:7" ht="21" x14ac:dyDescent="0.35">
      <c r="A82" s="472" t="s">
        <v>231</v>
      </c>
      <c r="B82" s="473" t="s">
        <v>814</v>
      </c>
      <c r="C82" s="473" t="s">
        <v>828</v>
      </c>
      <c r="D82" s="477">
        <v>1</v>
      </c>
      <c r="E82" s="481"/>
      <c r="F82" s="472"/>
      <c r="G82" s="472"/>
    </row>
    <row r="83" spans="1:7" ht="21" x14ac:dyDescent="0.35">
      <c r="A83" s="472" t="s">
        <v>1872</v>
      </c>
      <c r="B83" s="473" t="s">
        <v>816</v>
      </c>
      <c r="C83" s="473" t="s">
        <v>828</v>
      </c>
      <c r="D83" s="477">
        <v>1</v>
      </c>
      <c r="E83" s="481"/>
      <c r="F83" s="472"/>
      <c r="G83" s="472"/>
    </row>
    <row r="84" spans="1:7" ht="21" x14ac:dyDescent="0.35">
      <c r="A84" s="470" t="s">
        <v>1873</v>
      </c>
      <c r="B84" s="471" t="s">
        <v>816</v>
      </c>
      <c r="C84" s="471" t="s">
        <v>828</v>
      </c>
      <c r="D84" s="483">
        <v>1</v>
      </c>
      <c r="E84" s="482"/>
      <c r="F84" s="470"/>
      <c r="G84" s="470"/>
    </row>
    <row r="85" spans="1:7" ht="21" x14ac:dyDescent="0.35">
      <c r="A85" s="472" t="s">
        <v>234</v>
      </c>
      <c r="B85" s="473" t="s">
        <v>816</v>
      </c>
      <c r="C85" s="473" t="s">
        <v>828</v>
      </c>
      <c r="D85" s="477">
        <v>1</v>
      </c>
      <c r="E85" s="481"/>
      <c r="F85" s="472"/>
      <c r="G85" s="472"/>
    </row>
    <row r="86" spans="1:7" ht="21" x14ac:dyDescent="0.35">
      <c r="A86" s="472" t="s">
        <v>847</v>
      </c>
      <c r="B86" s="473" t="s">
        <v>816</v>
      </c>
      <c r="C86" s="473"/>
      <c r="D86" s="477">
        <v>1</v>
      </c>
      <c r="E86" s="481"/>
      <c r="F86" s="472"/>
      <c r="G86" s="472"/>
    </row>
    <row r="87" spans="1:7" ht="21" x14ac:dyDescent="0.35">
      <c r="A87" s="470" t="s">
        <v>849</v>
      </c>
      <c r="B87" s="471" t="s">
        <v>816</v>
      </c>
      <c r="C87" s="471"/>
      <c r="D87" s="483">
        <v>1</v>
      </c>
      <c r="E87" s="482"/>
      <c r="F87" s="470"/>
      <c r="G87" s="470"/>
    </row>
    <row r="88" spans="1:7" ht="21.75" thickBot="1" x14ac:dyDescent="0.4">
      <c r="A88" s="470" t="s">
        <v>1884</v>
      </c>
      <c r="B88" s="471" t="s">
        <v>816</v>
      </c>
      <c r="C88" s="471"/>
      <c r="D88" s="483">
        <v>1</v>
      </c>
      <c r="E88" s="482"/>
      <c r="F88" s="470"/>
      <c r="G88" s="470"/>
    </row>
    <row r="89" spans="1:7" ht="21.75" thickBot="1" x14ac:dyDescent="0.4">
      <c r="A89" s="856" t="s">
        <v>1876</v>
      </c>
      <c r="B89" s="857"/>
      <c r="C89" s="857"/>
      <c r="D89" s="857"/>
      <c r="E89" s="857"/>
      <c r="F89" s="857"/>
      <c r="G89" s="858"/>
    </row>
    <row r="90" spans="1:7" ht="21" x14ac:dyDescent="0.35">
      <c r="A90" s="475" t="s">
        <v>1877</v>
      </c>
      <c r="B90" s="476" t="s">
        <v>157</v>
      </c>
      <c r="C90" s="476"/>
      <c r="D90" s="804">
        <v>1</v>
      </c>
      <c r="E90" s="802"/>
      <c r="F90" s="475"/>
      <c r="G90" s="475"/>
    </row>
    <row r="91" spans="1:7" ht="21.75" thickBot="1" x14ac:dyDescent="0.4">
      <c r="A91" s="470" t="s">
        <v>466</v>
      </c>
      <c r="B91" s="471" t="s">
        <v>1878</v>
      </c>
      <c r="C91" s="471"/>
      <c r="D91" s="483">
        <v>1</v>
      </c>
      <c r="E91" s="482"/>
      <c r="F91" s="470"/>
      <c r="G91" s="470"/>
    </row>
    <row r="92" spans="1:7" ht="21.75" thickBot="1" x14ac:dyDescent="0.4">
      <c r="A92" s="886" t="s">
        <v>1879</v>
      </c>
      <c r="B92" s="887"/>
      <c r="C92" s="887"/>
      <c r="D92" s="887"/>
      <c r="E92" s="887"/>
      <c r="F92" s="887"/>
      <c r="G92" s="888"/>
    </row>
    <row r="93" spans="1:7" ht="21" x14ac:dyDescent="0.35">
      <c r="A93" s="475" t="s">
        <v>339</v>
      </c>
      <c r="B93" s="476" t="s">
        <v>814</v>
      </c>
      <c r="C93" s="476"/>
      <c r="D93" s="804">
        <v>1</v>
      </c>
      <c r="E93" s="802"/>
      <c r="F93" s="475"/>
      <c r="G93" s="475"/>
    </row>
    <row r="94" spans="1:7" ht="21" x14ac:dyDescent="0.35">
      <c r="A94" s="472" t="s">
        <v>1880</v>
      </c>
      <c r="B94" s="473" t="s">
        <v>814</v>
      </c>
      <c r="C94" s="473"/>
      <c r="D94" s="477">
        <v>1</v>
      </c>
      <c r="E94" s="481"/>
      <c r="F94" s="472"/>
      <c r="G94" s="472"/>
    </row>
    <row r="95" spans="1:7" ht="21" x14ac:dyDescent="0.35">
      <c r="A95" s="472" t="s">
        <v>1943</v>
      </c>
      <c r="B95" s="473" t="s">
        <v>157</v>
      </c>
      <c r="C95" s="473"/>
      <c r="D95" s="807">
        <f>IF('Daily Product Breakdown'!$C$77+'Daily Product Breakdown'!$D$77,'Daily Product Breakdown'!$B$77+'Daily Product Breakdown'!$C$77)/105</f>
        <v>0.14285714285714285</v>
      </c>
      <c r="E95" s="481"/>
      <c r="F95" s="472"/>
      <c r="G95" s="472"/>
    </row>
    <row r="96" spans="1:7" ht="21" x14ac:dyDescent="0.35">
      <c r="A96" s="472" t="s">
        <v>578</v>
      </c>
      <c r="B96" s="473" t="s">
        <v>157</v>
      </c>
      <c r="C96" s="473"/>
      <c r="D96" s="477">
        <f>IF('Daily Product Breakdown'!$C$65+'Daily Product Breakdown'!$D$65,'Daily Product Breakdown'!$C$65+'Daily Product Breakdown'!$D$65)/104</f>
        <v>1.8428846153846155</v>
      </c>
      <c r="E96" s="481"/>
      <c r="F96" s="472"/>
      <c r="G96" s="472"/>
    </row>
    <row r="97" spans="1:7" ht="21.75" thickBot="1" x14ac:dyDescent="0.4">
      <c r="A97" s="470" t="s">
        <v>64</v>
      </c>
      <c r="B97" s="471" t="s">
        <v>157</v>
      </c>
      <c r="C97" s="471"/>
      <c r="D97" s="483">
        <f>IF('Daily Product Breakdown'!$C$73+'Daily Product Breakdown'!$D$73,'Daily Product Breakdown'!$B$73+'Daily Product Breakdown'!$C$73)/64</f>
        <v>2.53125</v>
      </c>
      <c r="E97" s="482"/>
      <c r="F97" s="470"/>
      <c r="G97" s="470"/>
    </row>
    <row r="98" spans="1:7" ht="21.75" thickBot="1" x14ac:dyDescent="0.4">
      <c r="A98" s="856" t="s">
        <v>1881</v>
      </c>
      <c r="B98" s="857"/>
      <c r="C98" s="857"/>
      <c r="D98" s="857"/>
      <c r="E98" s="857"/>
      <c r="F98" s="857"/>
      <c r="G98" s="858"/>
    </row>
    <row r="99" spans="1:7" ht="21" x14ac:dyDescent="0.35">
      <c r="A99" s="475" t="s">
        <v>596</v>
      </c>
      <c r="B99" s="476" t="s">
        <v>1944</v>
      </c>
      <c r="C99" s="476"/>
      <c r="D99" s="804">
        <f>('Daily Product Breakdown'!$C$129+'Daily Product Breakdown'!$D$129+'Daily Product Breakdown'!$E$129)/8</f>
        <v>26.25</v>
      </c>
      <c r="E99" s="802"/>
      <c r="F99" s="475"/>
      <c r="G99" s="475"/>
    </row>
    <row r="100" spans="1:7" ht="21" x14ac:dyDescent="0.35">
      <c r="A100" s="472" t="s">
        <v>1882</v>
      </c>
      <c r="B100" s="473" t="s">
        <v>1807</v>
      </c>
      <c r="C100" s="473"/>
      <c r="D100" s="477">
        <f>('Daily Product Breakdown'!$C$127+'Daily Product Breakdown'!$D$127+'Daily Product Breakdown'!$E$127)/6</f>
        <v>15.166666666666666</v>
      </c>
      <c r="E100" s="481"/>
      <c r="F100" s="472"/>
      <c r="G100" s="472"/>
    </row>
    <row r="101" spans="1:7" ht="21" x14ac:dyDescent="0.35">
      <c r="A101" s="472" t="s">
        <v>465</v>
      </c>
      <c r="B101" s="473" t="s">
        <v>1883</v>
      </c>
      <c r="C101" s="473"/>
      <c r="D101" s="477">
        <f>('Daily Product Breakdown'!$C$107+'Daily Product Breakdown'!$D$107+'Daily Product Breakdown'!$E$107)/8</f>
        <v>7</v>
      </c>
      <c r="E101" s="481"/>
      <c r="F101" s="472"/>
      <c r="G101" s="472"/>
    </row>
    <row r="102" spans="1:7" ht="21" customHeight="1" x14ac:dyDescent="0.35">
      <c r="A102" s="889" t="s">
        <v>1950</v>
      </c>
      <c r="B102" s="890"/>
      <c r="C102" s="890"/>
      <c r="D102" s="890"/>
      <c r="E102" s="890"/>
      <c r="F102" s="890"/>
      <c r="G102" s="891"/>
    </row>
    <row r="103" spans="1:7" ht="21" x14ac:dyDescent="0.35">
      <c r="A103" s="892"/>
      <c r="B103" s="893"/>
      <c r="C103" s="893"/>
      <c r="D103" s="893"/>
      <c r="E103" s="893"/>
      <c r="F103" s="893"/>
      <c r="G103" s="894"/>
    </row>
    <row r="104" spans="1:7" ht="21" x14ac:dyDescent="0.35">
      <c r="A104" s="895"/>
      <c r="B104" s="896"/>
      <c r="C104" s="896"/>
      <c r="D104" s="896"/>
      <c r="E104" s="896"/>
      <c r="F104" s="896"/>
      <c r="G104" s="897"/>
    </row>
    <row r="105" spans="1:7" ht="21.75" thickBot="1" x14ac:dyDescent="0.4">
      <c r="A105" s="803" t="s">
        <v>131</v>
      </c>
      <c r="B105" s="803" t="s">
        <v>132</v>
      </c>
      <c r="C105" s="803" t="s">
        <v>821</v>
      </c>
      <c r="D105" s="803" t="s">
        <v>550</v>
      </c>
      <c r="E105" s="803" t="s">
        <v>834</v>
      </c>
      <c r="F105" s="803" t="s">
        <v>833</v>
      </c>
      <c r="G105" s="803" t="s">
        <v>820</v>
      </c>
    </row>
    <row r="106" spans="1:7" ht="21.75" thickBot="1" x14ac:dyDescent="0.4">
      <c r="A106" s="856" t="s">
        <v>1964</v>
      </c>
      <c r="B106" s="857"/>
      <c r="C106" s="857"/>
      <c r="D106" s="857"/>
      <c r="E106" s="857"/>
      <c r="F106" s="857"/>
      <c r="G106" s="858"/>
    </row>
    <row r="107" spans="1:7" ht="21" x14ac:dyDescent="0.35">
      <c r="A107" s="883" t="s">
        <v>170</v>
      </c>
      <c r="B107" s="883" t="s">
        <v>143</v>
      </c>
      <c r="C107" s="883" t="s">
        <v>826</v>
      </c>
      <c r="D107" s="884">
        <f>'Pasta Prep'!R11</f>
        <v>4.375</v>
      </c>
      <c r="E107" s="883"/>
      <c r="F107" s="885"/>
      <c r="G107" s="885"/>
    </row>
    <row r="108" spans="1:7" ht="21" x14ac:dyDescent="0.35">
      <c r="A108" s="880"/>
      <c r="B108" s="880"/>
      <c r="C108" s="880"/>
      <c r="D108" s="882"/>
      <c r="E108" s="880"/>
      <c r="F108" s="878"/>
      <c r="G108" s="878"/>
    </row>
    <row r="109" spans="1:7" ht="21" x14ac:dyDescent="0.35">
      <c r="A109" s="879" t="s">
        <v>837</v>
      </c>
      <c r="B109" s="879" t="s">
        <v>143</v>
      </c>
      <c r="C109" s="879" t="s">
        <v>826</v>
      </c>
      <c r="D109" s="881">
        <f>'Pasta Prep'!R8</f>
        <v>8.3125</v>
      </c>
      <c r="E109" s="879"/>
      <c r="F109" s="877"/>
      <c r="G109" s="877"/>
    </row>
    <row r="110" spans="1:7" ht="21" x14ac:dyDescent="0.35">
      <c r="A110" s="880"/>
      <c r="B110" s="880"/>
      <c r="C110" s="880"/>
      <c r="D110" s="882"/>
      <c r="E110" s="880"/>
      <c r="F110" s="878"/>
      <c r="G110" s="878"/>
    </row>
    <row r="111" spans="1:7" ht="21" x14ac:dyDescent="0.35">
      <c r="A111" s="879" t="s">
        <v>172</v>
      </c>
      <c r="B111" s="879" t="s">
        <v>143</v>
      </c>
      <c r="C111" s="879" t="s">
        <v>826</v>
      </c>
      <c r="D111" s="881">
        <f>'Pasta Prep'!R4</f>
        <v>1.8125</v>
      </c>
      <c r="E111" s="879"/>
      <c r="F111" s="877"/>
      <c r="G111" s="877"/>
    </row>
    <row r="112" spans="1:7" ht="21" x14ac:dyDescent="0.35">
      <c r="A112" s="880"/>
      <c r="B112" s="880"/>
      <c r="C112" s="880"/>
      <c r="D112" s="882"/>
      <c r="E112" s="880"/>
      <c r="F112" s="878"/>
      <c r="G112" s="878"/>
    </row>
    <row r="113" spans="1:7" ht="21" x14ac:dyDescent="0.35">
      <c r="A113" s="879" t="s">
        <v>173</v>
      </c>
      <c r="B113" s="879" t="s">
        <v>143</v>
      </c>
      <c r="C113" s="879" t="s">
        <v>826</v>
      </c>
      <c r="D113" s="881">
        <f>'Pasta Prep'!R9</f>
        <v>10.3125</v>
      </c>
      <c r="E113" s="879"/>
      <c r="F113" s="877"/>
      <c r="G113" s="877"/>
    </row>
    <row r="114" spans="1:7" ht="21" x14ac:dyDescent="0.35">
      <c r="A114" s="880"/>
      <c r="B114" s="880"/>
      <c r="C114" s="880"/>
      <c r="D114" s="882"/>
      <c r="E114" s="880"/>
      <c r="F114" s="878"/>
      <c r="G114" s="878"/>
    </row>
    <row r="115" spans="1:7" ht="21" x14ac:dyDescent="0.35">
      <c r="A115" s="879" t="s">
        <v>1805</v>
      </c>
      <c r="B115" s="879" t="s">
        <v>143</v>
      </c>
      <c r="C115" s="879" t="s">
        <v>815</v>
      </c>
      <c r="D115" s="881">
        <f>'Pasta Prep'!R6</f>
        <v>0.9375</v>
      </c>
      <c r="E115" s="879"/>
      <c r="F115" s="877"/>
      <c r="G115" s="877"/>
    </row>
    <row r="116" spans="1:7" ht="21" x14ac:dyDescent="0.35">
      <c r="A116" s="880"/>
      <c r="B116" s="880"/>
      <c r="C116" s="880"/>
      <c r="D116" s="882"/>
      <c r="E116" s="880"/>
      <c r="F116" s="878"/>
      <c r="G116" s="878"/>
    </row>
    <row r="117" spans="1:7" ht="21" x14ac:dyDescent="0.35">
      <c r="A117" s="472" t="s">
        <v>838</v>
      </c>
      <c r="B117" s="473" t="s">
        <v>1806</v>
      </c>
      <c r="C117" s="473" t="s">
        <v>839</v>
      </c>
      <c r="D117" s="477">
        <v>4</v>
      </c>
      <c r="E117" s="481"/>
      <c r="F117" s="472"/>
      <c r="G117" s="472"/>
    </row>
    <row r="118" spans="1:7" ht="21" x14ac:dyDescent="0.35">
      <c r="A118" s="472" t="s">
        <v>840</v>
      </c>
      <c r="B118" s="473" t="s">
        <v>143</v>
      </c>
      <c r="C118" s="473" t="s">
        <v>826</v>
      </c>
      <c r="D118" s="477">
        <f>'Pasta Prep'!R13</f>
        <v>0</v>
      </c>
      <c r="E118" s="481"/>
      <c r="F118" s="472"/>
      <c r="G118" s="472"/>
    </row>
    <row r="119" spans="1:7" ht="21.75" thickBot="1" x14ac:dyDescent="0.4">
      <c r="A119" s="472" t="s">
        <v>1854</v>
      </c>
      <c r="B119" s="473" t="s">
        <v>1869</v>
      </c>
      <c r="C119" s="473" t="s">
        <v>828</v>
      </c>
      <c r="D119" s="477">
        <f>'Pasta Prep'!$BD$24+'Pasta Prep'!$E$24+'Pasta Prep'!$F$24</f>
        <v>7</v>
      </c>
      <c r="E119" s="481"/>
      <c r="F119" s="472"/>
      <c r="G119" s="472"/>
    </row>
    <row r="120" spans="1:7" ht="21.75" thickBot="1" x14ac:dyDescent="0.4">
      <c r="A120" s="856" t="s">
        <v>1874</v>
      </c>
      <c r="B120" s="857"/>
      <c r="C120" s="857"/>
      <c r="D120" s="857"/>
      <c r="E120" s="857"/>
      <c r="F120" s="857"/>
      <c r="G120" s="858"/>
    </row>
    <row r="121" spans="1:7" ht="21" x14ac:dyDescent="0.35">
      <c r="A121" s="475" t="s">
        <v>1866</v>
      </c>
      <c r="B121" s="476" t="s">
        <v>142</v>
      </c>
      <c r="C121" s="476" t="s">
        <v>841</v>
      </c>
      <c r="D121" s="804">
        <f>'Daily Product Breakdown'!$E$35+'Daily Product Breakdown'!$F$35</f>
        <v>185</v>
      </c>
      <c r="E121" s="802"/>
      <c r="F121" s="475"/>
      <c r="G121" s="475"/>
    </row>
    <row r="122" spans="1:7" ht="21" x14ac:dyDescent="0.35">
      <c r="A122" s="472" t="s">
        <v>842</v>
      </c>
      <c r="B122" s="473" t="s">
        <v>835</v>
      </c>
      <c r="C122" s="473" t="s">
        <v>841</v>
      </c>
      <c r="D122" s="477">
        <f>'Daily Product Breakdown'!$E$37+'Daily Product Breakdown'!$F$37+'Daily Product Breakdown'!$G$37</f>
        <v>4</v>
      </c>
      <c r="E122" s="481"/>
      <c r="F122" s="472"/>
      <c r="G122" s="472"/>
    </row>
    <row r="123" spans="1:7" ht="21" x14ac:dyDescent="0.35">
      <c r="A123" s="472" t="s">
        <v>843</v>
      </c>
      <c r="B123" s="473" t="s">
        <v>844</v>
      </c>
      <c r="C123" s="473" t="s">
        <v>839</v>
      </c>
      <c r="D123" s="477">
        <f>'Daily Product Breakdown'!$E$39+'Daily Product Breakdown'!$F$39</f>
        <v>5</v>
      </c>
      <c r="E123" s="481"/>
      <c r="F123" s="472"/>
      <c r="G123" s="472"/>
    </row>
    <row r="124" spans="1:7" ht="21" x14ac:dyDescent="0.35">
      <c r="A124" s="472" t="s">
        <v>843</v>
      </c>
      <c r="B124" s="473" t="s">
        <v>845</v>
      </c>
      <c r="C124" s="473" t="s">
        <v>839</v>
      </c>
      <c r="D124" s="477">
        <f>'Daily Product Breakdown'!$E$41+'Daily Product Breakdown'!$F$41+'Daily Product Breakdown'!$G$41</f>
        <v>63</v>
      </c>
      <c r="E124" s="481"/>
      <c r="F124" s="472"/>
      <c r="G124" s="472"/>
    </row>
    <row r="125" spans="1:7" ht="21" x14ac:dyDescent="0.35">
      <c r="A125" s="472" t="s">
        <v>61</v>
      </c>
      <c r="B125" s="473" t="s">
        <v>1887</v>
      </c>
      <c r="C125" s="473" t="s">
        <v>839</v>
      </c>
      <c r="D125" s="477">
        <f>'Daily Product Breakdown'!$E$177+'Daily Product Breakdown'!$F$177+'Daily Product Breakdown'!$G$177</f>
        <v>11</v>
      </c>
      <c r="E125" s="481"/>
      <c r="F125" s="472"/>
      <c r="G125" s="472"/>
    </row>
    <row r="126" spans="1:7" ht="21" x14ac:dyDescent="0.35">
      <c r="A126" s="472" t="s">
        <v>61</v>
      </c>
      <c r="B126" s="473" t="s">
        <v>1855</v>
      </c>
      <c r="C126" s="473" t="s">
        <v>839</v>
      </c>
      <c r="D126" s="477">
        <f>'Daily Product Breakdown'!$C$45+'Daily Product Breakdown'!$D$45</f>
        <v>6</v>
      </c>
      <c r="E126" s="481"/>
      <c r="F126" s="472"/>
      <c r="G126" s="472"/>
    </row>
    <row r="127" spans="1:7" ht="21" x14ac:dyDescent="0.35">
      <c r="A127" s="472" t="s">
        <v>1809</v>
      </c>
      <c r="B127" s="473" t="s">
        <v>846</v>
      </c>
      <c r="C127" s="473" t="s">
        <v>839</v>
      </c>
      <c r="D127" s="477">
        <f>'Daily Product Breakdown'!$E$157+'Daily Product Breakdown'!$F$157</f>
        <v>16</v>
      </c>
      <c r="E127" s="481"/>
      <c r="F127" s="472"/>
      <c r="G127" s="472"/>
    </row>
    <row r="128" spans="1:7" ht="21" x14ac:dyDescent="0.35">
      <c r="A128" s="472" t="s">
        <v>1326</v>
      </c>
      <c r="B128" s="474" t="s">
        <v>157</v>
      </c>
      <c r="C128" s="473" t="s">
        <v>1812</v>
      </c>
      <c r="D128" s="477">
        <f>'Daily Product Breakdown'!$E$81/26+'Daily Product Breakdown'!$F$81/26+'Daily Product Breakdown'!$G$81/26</f>
        <v>5.1538461538461533</v>
      </c>
      <c r="E128" s="481"/>
      <c r="F128" s="472"/>
      <c r="G128" s="472"/>
    </row>
    <row r="129" spans="1:7" ht="21" x14ac:dyDescent="0.35">
      <c r="A129" s="470" t="s">
        <v>1826</v>
      </c>
      <c r="B129" s="471" t="s">
        <v>141</v>
      </c>
      <c r="C129" s="471" t="s">
        <v>848</v>
      </c>
      <c r="D129" s="483">
        <f>'Daily Product Breakdown'!$E$155+'Daily Product Breakdown'!$F$155+'Daily Product Breakdown'!$G$155</f>
        <v>25</v>
      </c>
      <c r="E129" s="482"/>
      <c r="F129" s="470"/>
      <c r="G129" s="470"/>
    </row>
    <row r="130" spans="1:7" ht="21" x14ac:dyDescent="0.35">
      <c r="A130" s="470" t="s">
        <v>150</v>
      </c>
      <c r="B130" s="471" t="s">
        <v>1942</v>
      </c>
      <c r="C130" s="471" t="s">
        <v>1941</v>
      </c>
      <c r="D130" s="483">
        <f>'Daily Product Breakdown'!$D$83/8</f>
        <v>1</v>
      </c>
      <c r="E130" s="482"/>
      <c r="F130" s="470"/>
      <c r="G130" s="470"/>
    </row>
    <row r="131" spans="1:7" ht="21.75" thickBot="1" x14ac:dyDescent="0.4">
      <c r="A131" s="470" t="s">
        <v>62</v>
      </c>
      <c r="B131" s="471" t="s">
        <v>141</v>
      </c>
      <c r="C131" s="471" t="s">
        <v>828</v>
      </c>
      <c r="D131" s="483">
        <f>'Daily Product Breakdown'!$E$179+'Daily Product Breakdown'!$F$179+'Daily Product Breakdown'!$G$179</f>
        <v>8</v>
      </c>
      <c r="E131" s="482"/>
      <c r="F131" s="470"/>
      <c r="G131" s="470"/>
    </row>
    <row r="132" spans="1:7" ht="21.75" thickBot="1" x14ac:dyDescent="0.4">
      <c r="A132" s="856" t="s">
        <v>1875</v>
      </c>
      <c r="B132" s="857"/>
      <c r="C132" s="857"/>
      <c r="D132" s="857"/>
      <c r="E132" s="857"/>
      <c r="F132" s="857"/>
      <c r="G132" s="858"/>
    </row>
    <row r="133" spans="1:7" ht="21" x14ac:dyDescent="0.35">
      <c r="A133" s="805" t="s">
        <v>1870</v>
      </c>
      <c r="B133" s="806" t="s">
        <v>1871</v>
      </c>
      <c r="C133" s="806" t="s">
        <v>828</v>
      </c>
      <c r="D133" s="804">
        <f>'Daily Product Breakdown'!$E$51+'Daily Product Breakdown'!$F$51</f>
        <v>4</v>
      </c>
      <c r="E133" s="802"/>
      <c r="F133" s="475"/>
      <c r="G133" s="475"/>
    </row>
    <row r="134" spans="1:7" ht="21" x14ac:dyDescent="0.35">
      <c r="A134" s="472" t="s">
        <v>231</v>
      </c>
      <c r="B134" s="473" t="s">
        <v>814</v>
      </c>
      <c r="C134" s="473" t="s">
        <v>828</v>
      </c>
      <c r="D134" s="477">
        <v>1</v>
      </c>
      <c r="E134" s="481"/>
      <c r="F134" s="472"/>
      <c r="G134" s="472"/>
    </row>
    <row r="135" spans="1:7" ht="21" x14ac:dyDescent="0.35">
      <c r="A135" s="472" t="s">
        <v>1872</v>
      </c>
      <c r="B135" s="473" t="s">
        <v>816</v>
      </c>
      <c r="C135" s="473" t="s">
        <v>828</v>
      </c>
      <c r="D135" s="477">
        <v>1</v>
      </c>
      <c r="E135" s="481"/>
      <c r="F135" s="472"/>
      <c r="G135" s="472"/>
    </row>
    <row r="136" spans="1:7" ht="21" x14ac:dyDescent="0.35">
      <c r="A136" s="470" t="s">
        <v>1873</v>
      </c>
      <c r="B136" s="471" t="s">
        <v>816</v>
      </c>
      <c r="C136" s="471" t="s">
        <v>828</v>
      </c>
      <c r="D136" s="483">
        <v>1</v>
      </c>
      <c r="E136" s="482"/>
      <c r="F136" s="470"/>
      <c r="G136" s="470"/>
    </row>
    <row r="137" spans="1:7" ht="21" x14ac:dyDescent="0.35">
      <c r="A137" s="472" t="s">
        <v>234</v>
      </c>
      <c r="B137" s="473" t="s">
        <v>816</v>
      </c>
      <c r="C137" s="473" t="s">
        <v>828</v>
      </c>
      <c r="D137" s="477">
        <v>1</v>
      </c>
      <c r="E137" s="481"/>
      <c r="F137" s="472"/>
      <c r="G137" s="472"/>
    </row>
    <row r="138" spans="1:7" ht="21" x14ac:dyDescent="0.35">
      <c r="A138" s="472" t="s">
        <v>847</v>
      </c>
      <c r="B138" s="473" t="s">
        <v>816</v>
      </c>
      <c r="C138" s="473"/>
      <c r="D138" s="477">
        <v>1</v>
      </c>
      <c r="E138" s="481"/>
      <c r="F138" s="472"/>
      <c r="G138" s="472"/>
    </row>
    <row r="139" spans="1:7" ht="21" x14ac:dyDescent="0.35">
      <c r="A139" s="470" t="s">
        <v>849</v>
      </c>
      <c r="B139" s="471" t="s">
        <v>816</v>
      </c>
      <c r="C139" s="471"/>
      <c r="D139" s="483">
        <v>1</v>
      </c>
      <c r="E139" s="482"/>
      <c r="F139" s="470"/>
      <c r="G139" s="470"/>
    </row>
    <row r="140" spans="1:7" ht="21.75" thickBot="1" x14ac:dyDescent="0.4">
      <c r="A140" s="470" t="s">
        <v>1884</v>
      </c>
      <c r="B140" s="471" t="s">
        <v>816</v>
      </c>
      <c r="C140" s="471"/>
      <c r="D140" s="483">
        <v>1</v>
      </c>
      <c r="E140" s="482"/>
      <c r="F140" s="470"/>
      <c r="G140" s="470"/>
    </row>
    <row r="141" spans="1:7" ht="21.75" thickBot="1" x14ac:dyDescent="0.4">
      <c r="A141" s="856" t="s">
        <v>1876</v>
      </c>
      <c r="B141" s="857"/>
      <c r="C141" s="857"/>
      <c r="D141" s="857"/>
      <c r="E141" s="857"/>
      <c r="F141" s="857"/>
      <c r="G141" s="858"/>
    </row>
    <row r="142" spans="1:7" ht="21" x14ac:dyDescent="0.35">
      <c r="A142" s="475" t="s">
        <v>1877</v>
      </c>
      <c r="B142" s="476" t="s">
        <v>157</v>
      </c>
      <c r="C142" s="476"/>
      <c r="D142" s="804">
        <v>1</v>
      </c>
      <c r="E142" s="802"/>
      <c r="F142" s="475"/>
      <c r="G142" s="475"/>
    </row>
    <row r="143" spans="1:7" ht="21.75" thickBot="1" x14ac:dyDescent="0.4">
      <c r="A143" s="470" t="s">
        <v>466</v>
      </c>
      <c r="B143" s="471" t="s">
        <v>1878</v>
      </c>
      <c r="C143" s="471"/>
      <c r="D143" s="483">
        <v>1</v>
      </c>
      <c r="E143" s="482"/>
      <c r="F143" s="470"/>
      <c r="G143" s="470"/>
    </row>
    <row r="144" spans="1:7" ht="21.75" thickBot="1" x14ac:dyDescent="0.4">
      <c r="A144" s="886" t="s">
        <v>1879</v>
      </c>
      <c r="B144" s="887"/>
      <c r="C144" s="887"/>
      <c r="D144" s="887"/>
      <c r="E144" s="887"/>
      <c r="F144" s="887"/>
      <c r="G144" s="888"/>
    </row>
    <row r="145" spans="1:7" ht="21" x14ac:dyDescent="0.35">
      <c r="A145" s="475" t="s">
        <v>339</v>
      </c>
      <c r="B145" s="476" t="s">
        <v>814</v>
      </c>
      <c r="C145" s="476"/>
      <c r="D145" s="804">
        <v>1</v>
      </c>
      <c r="E145" s="802"/>
      <c r="F145" s="475"/>
      <c r="G145" s="475"/>
    </row>
    <row r="146" spans="1:7" ht="21" x14ac:dyDescent="0.35">
      <c r="A146" s="472" t="s">
        <v>1880</v>
      </c>
      <c r="B146" s="473" t="s">
        <v>814</v>
      </c>
      <c r="C146" s="473"/>
      <c r="D146" s="477">
        <v>1</v>
      </c>
      <c r="E146" s="481"/>
      <c r="F146" s="472"/>
      <c r="G146" s="472"/>
    </row>
    <row r="147" spans="1:7" ht="21" x14ac:dyDescent="0.35">
      <c r="A147" s="472" t="s">
        <v>1943</v>
      </c>
      <c r="B147" s="473" t="s">
        <v>157</v>
      </c>
      <c r="C147" s="473"/>
      <c r="D147" s="807">
        <f>IF('Daily Product Breakdown'!$E$67+'Daily Product Breakdown'!$F$67,'Daily Product Breakdown'!$B$67+'Daily Product Breakdown'!$C$67)/64</f>
        <v>7.8125E-2</v>
      </c>
      <c r="E147" s="481"/>
      <c r="F147" s="472"/>
      <c r="G147" s="472"/>
    </row>
    <row r="148" spans="1:7" ht="21" x14ac:dyDescent="0.35">
      <c r="A148" s="472" t="s">
        <v>578</v>
      </c>
      <c r="B148" s="473" t="s">
        <v>157</v>
      </c>
      <c r="C148" s="473"/>
      <c r="D148" s="477">
        <f>('Daily Product Breakdown'!$E$65+'Daily Product Breakdown'!$F$65+'Daily Product Breakdown'!$G$65)/104</f>
        <v>8.0192307692307701</v>
      </c>
      <c r="E148" s="481"/>
      <c r="F148" s="472"/>
      <c r="G148" s="472"/>
    </row>
    <row r="149" spans="1:7" ht="21.75" thickBot="1" x14ac:dyDescent="0.4">
      <c r="A149" s="470" t="s">
        <v>64</v>
      </c>
      <c r="B149" s="471" t="s">
        <v>157</v>
      </c>
      <c r="C149" s="471"/>
      <c r="D149" s="483">
        <f>('Daily Product Breakdown'!$E$73+'Daily Product Breakdown'!$F$73)/64</f>
        <v>10.5625</v>
      </c>
      <c r="E149" s="482"/>
      <c r="F149" s="470"/>
      <c r="G149" s="470"/>
    </row>
    <row r="150" spans="1:7" ht="21.75" thickBot="1" x14ac:dyDescent="0.4">
      <c r="A150" s="856" t="s">
        <v>1881</v>
      </c>
      <c r="B150" s="857"/>
      <c r="C150" s="857"/>
      <c r="D150" s="857"/>
      <c r="E150" s="857"/>
      <c r="F150" s="857"/>
      <c r="G150" s="858"/>
    </row>
    <row r="151" spans="1:7" ht="21" x14ac:dyDescent="0.35">
      <c r="A151" s="475" t="s">
        <v>596</v>
      </c>
      <c r="B151" s="476" t="s">
        <v>1944</v>
      </c>
      <c r="C151" s="476"/>
      <c r="D151" s="804">
        <f>('Daily Product Breakdown'!$E$129+'Daily Product Breakdown'!$F$129+'Daily Product Breakdown'!$G$129)/8</f>
        <v>70</v>
      </c>
      <c r="E151" s="802"/>
      <c r="F151" s="475"/>
      <c r="G151" s="475"/>
    </row>
    <row r="152" spans="1:7" ht="21" x14ac:dyDescent="0.35">
      <c r="A152" s="472" t="s">
        <v>1882</v>
      </c>
      <c r="B152" s="473" t="s">
        <v>1807</v>
      </c>
      <c r="C152" s="473"/>
      <c r="D152" s="477">
        <f>('Daily Product Breakdown'!$E$127+'Daily Product Breakdown'!$F$127+'Daily Product Breakdown'!$G$127)/6</f>
        <v>11.833333333333334</v>
      </c>
      <c r="E152" s="481"/>
      <c r="F152" s="472"/>
      <c r="G152" s="472"/>
    </row>
    <row r="153" spans="1:7" ht="21" x14ac:dyDescent="0.35">
      <c r="A153" s="472" t="s">
        <v>465</v>
      </c>
      <c r="B153" s="473" t="s">
        <v>1883</v>
      </c>
      <c r="C153" s="473"/>
      <c r="D153" s="477">
        <f>('Daily Product Breakdown'!$E$107+'Daily Product Breakdown'!$F$107+'Daily Product Breakdown'!$G$107)/8</f>
        <v>34</v>
      </c>
      <c r="E153" s="481"/>
      <c r="F153" s="472"/>
      <c r="G153" s="472"/>
    </row>
    <row r="154" spans="1:7" ht="21" x14ac:dyDescent="0.35">
      <c r="A154" s="889" t="s">
        <v>1950</v>
      </c>
      <c r="B154" s="890"/>
      <c r="C154" s="890"/>
      <c r="D154" s="890"/>
      <c r="E154" s="890"/>
      <c r="F154" s="890"/>
      <c r="G154" s="891"/>
    </row>
    <row r="155" spans="1:7" ht="21" x14ac:dyDescent="0.35">
      <c r="A155" s="892"/>
      <c r="B155" s="893"/>
      <c r="C155" s="893"/>
      <c r="D155" s="893"/>
      <c r="E155" s="893"/>
      <c r="F155" s="893"/>
      <c r="G155" s="894"/>
    </row>
    <row r="156" spans="1:7" ht="21" x14ac:dyDescent="0.35">
      <c r="A156" s="895"/>
      <c r="B156" s="896"/>
      <c r="C156" s="896"/>
      <c r="D156" s="896"/>
      <c r="E156" s="896"/>
      <c r="F156" s="896"/>
      <c r="G156" s="897"/>
    </row>
    <row r="157" spans="1:7" ht="21.75" thickBot="1" x14ac:dyDescent="0.4">
      <c r="A157" s="803" t="s">
        <v>131</v>
      </c>
      <c r="B157" s="803" t="s">
        <v>132</v>
      </c>
      <c r="C157" s="803" t="s">
        <v>821</v>
      </c>
      <c r="D157" s="803" t="s">
        <v>551</v>
      </c>
      <c r="E157" s="803" t="s">
        <v>834</v>
      </c>
      <c r="F157" s="803" t="s">
        <v>833</v>
      </c>
      <c r="G157" s="803" t="s">
        <v>820</v>
      </c>
    </row>
    <row r="158" spans="1:7" ht="21.75" thickBot="1" x14ac:dyDescent="0.4">
      <c r="A158" s="856" t="s">
        <v>1964</v>
      </c>
      <c r="B158" s="857"/>
      <c r="C158" s="857"/>
      <c r="D158" s="857"/>
      <c r="E158" s="857"/>
      <c r="F158" s="857"/>
      <c r="G158" s="858"/>
    </row>
    <row r="159" spans="1:7" ht="21" x14ac:dyDescent="0.35">
      <c r="A159" s="883" t="s">
        <v>170</v>
      </c>
      <c r="B159" s="883" t="s">
        <v>143</v>
      </c>
      <c r="C159" s="883" t="s">
        <v>826</v>
      </c>
      <c r="D159" s="884">
        <f>'Pasta Prep'!T11</f>
        <v>2.0625</v>
      </c>
      <c r="E159" s="883"/>
      <c r="F159" s="885"/>
      <c r="G159" s="885"/>
    </row>
    <row r="160" spans="1:7" ht="21" x14ac:dyDescent="0.35">
      <c r="A160" s="880"/>
      <c r="B160" s="880"/>
      <c r="C160" s="880"/>
      <c r="D160" s="882"/>
      <c r="E160" s="880"/>
      <c r="F160" s="878"/>
      <c r="G160" s="878"/>
    </row>
    <row r="161" spans="1:7" ht="21" customHeight="1" x14ac:dyDescent="0.35">
      <c r="A161" s="879" t="s">
        <v>837</v>
      </c>
      <c r="B161" s="879" t="s">
        <v>143</v>
      </c>
      <c r="C161" s="879" t="s">
        <v>826</v>
      </c>
      <c r="D161" s="881">
        <f>'Pasta Prep'!T8</f>
        <v>8.625</v>
      </c>
      <c r="E161" s="879"/>
      <c r="F161" s="877"/>
      <c r="G161" s="877"/>
    </row>
    <row r="162" spans="1:7" ht="21" customHeight="1" x14ac:dyDescent="0.35">
      <c r="A162" s="880"/>
      <c r="B162" s="880"/>
      <c r="C162" s="880"/>
      <c r="D162" s="882"/>
      <c r="E162" s="880"/>
      <c r="F162" s="878"/>
      <c r="G162" s="878"/>
    </row>
    <row r="163" spans="1:7" ht="21" customHeight="1" x14ac:dyDescent="0.35">
      <c r="A163" s="879" t="s">
        <v>172</v>
      </c>
      <c r="B163" s="879" t="s">
        <v>143</v>
      </c>
      <c r="C163" s="879" t="s">
        <v>826</v>
      </c>
      <c r="D163" s="881">
        <f>'Pasta Prep'!T4</f>
        <v>0</v>
      </c>
      <c r="E163" s="879"/>
      <c r="F163" s="877"/>
      <c r="G163" s="877"/>
    </row>
    <row r="164" spans="1:7" ht="21" customHeight="1" x14ac:dyDescent="0.35">
      <c r="A164" s="880"/>
      <c r="B164" s="880"/>
      <c r="C164" s="880"/>
      <c r="D164" s="882"/>
      <c r="E164" s="880"/>
      <c r="F164" s="878"/>
      <c r="G164" s="878"/>
    </row>
    <row r="165" spans="1:7" ht="21" customHeight="1" x14ac:dyDescent="0.35">
      <c r="A165" s="879" t="s">
        <v>173</v>
      </c>
      <c r="B165" s="879" t="s">
        <v>143</v>
      </c>
      <c r="C165" s="879" t="s">
        <v>826</v>
      </c>
      <c r="D165" s="881">
        <f>'Pasta Prep'!T9</f>
        <v>7.125</v>
      </c>
      <c r="E165" s="879"/>
      <c r="F165" s="877"/>
      <c r="G165" s="877"/>
    </row>
    <row r="166" spans="1:7" ht="21" customHeight="1" x14ac:dyDescent="0.35">
      <c r="A166" s="880"/>
      <c r="B166" s="880"/>
      <c r="C166" s="880"/>
      <c r="D166" s="882"/>
      <c r="E166" s="880"/>
      <c r="F166" s="878"/>
      <c r="G166" s="878"/>
    </row>
    <row r="167" spans="1:7" ht="21" customHeight="1" x14ac:dyDescent="0.35">
      <c r="A167" s="879" t="s">
        <v>1805</v>
      </c>
      <c r="B167" s="879" t="s">
        <v>143</v>
      </c>
      <c r="C167" s="879" t="s">
        <v>815</v>
      </c>
      <c r="D167" s="881">
        <f>'Pasta Prep'!T6</f>
        <v>0.3125</v>
      </c>
      <c r="E167" s="879"/>
      <c r="F167" s="877"/>
      <c r="G167" s="877"/>
    </row>
    <row r="168" spans="1:7" ht="21" customHeight="1" x14ac:dyDescent="0.35">
      <c r="A168" s="880"/>
      <c r="B168" s="880"/>
      <c r="C168" s="880"/>
      <c r="D168" s="882"/>
      <c r="E168" s="880"/>
      <c r="F168" s="878"/>
      <c r="G168" s="878"/>
    </row>
    <row r="169" spans="1:7" ht="21" customHeight="1" x14ac:dyDescent="0.35">
      <c r="A169" s="472" t="s">
        <v>838</v>
      </c>
      <c r="B169" s="473" t="s">
        <v>1806</v>
      </c>
      <c r="C169" s="473" t="s">
        <v>839</v>
      </c>
      <c r="D169" s="477">
        <v>4</v>
      </c>
      <c r="E169" s="481"/>
      <c r="F169" s="472"/>
      <c r="G169" s="472"/>
    </row>
    <row r="170" spans="1:7" ht="21" customHeight="1" x14ac:dyDescent="0.35">
      <c r="A170" s="472" t="s">
        <v>840</v>
      </c>
      <c r="B170" s="473" t="s">
        <v>143</v>
      </c>
      <c r="C170" s="473" t="s">
        <v>826</v>
      </c>
      <c r="D170" s="477">
        <f>'Pasta Prep'!T13</f>
        <v>0.75</v>
      </c>
      <c r="E170" s="481"/>
      <c r="F170" s="472"/>
      <c r="G170" s="472"/>
    </row>
    <row r="171" spans="1:7" ht="21" customHeight="1" thickBot="1" x14ac:dyDescent="0.4">
      <c r="A171" s="472" t="s">
        <v>1854</v>
      </c>
      <c r="B171" s="473" t="s">
        <v>1869</v>
      </c>
      <c r="C171" s="473" t="s">
        <v>828</v>
      </c>
      <c r="D171" s="477">
        <f>'Pasta Prep'!$D$24+'Pasta Prep'!$E$24+'Pasta Prep'!$F$24</f>
        <v>8</v>
      </c>
      <c r="E171" s="481"/>
      <c r="F171" s="472"/>
      <c r="G171" s="472"/>
    </row>
    <row r="172" spans="1:7" ht="21" customHeight="1" thickBot="1" x14ac:dyDescent="0.4">
      <c r="A172" s="856" t="s">
        <v>1874</v>
      </c>
      <c r="B172" s="857"/>
      <c r="C172" s="857"/>
      <c r="D172" s="857"/>
      <c r="E172" s="857"/>
      <c r="F172" s="857"/>
      <c r="G172" s="858"/>
    </row>
    <row r="173" spans="1:7" ht="21" customHeight="1" x14ac:dyDescent="0.35">
      <c r="A173" s="475" t="s">
        <v>1866</v>
      </c>
      <c r="B173" s="476" t="s">
        <v>142</v>
      </c>
      <c r="C173" s="476" t="s">
        <v>841</v>
      </c>
      <c r="D173" s="804">
        <f>'Daily Product Breakdown'!$E$35+'Daily Product Breakdown'!$F$35+'Daily Product Breakdown'!$G$35</f>
        <v>254</v>
      </c>
      <c r="E173" s="802"/>
      <c r="F173" s="475"/>
      <c r="G173" s="475"/>
    </row>
    <row r="174" spans="1:7" ht="21" customHeight="1" x14ac:dyDescent="0.35">
      <c r="A174" s="472" t="s">
        <v>842</v>
      </c>
      <c r="B174" s="473" t="s">
        <v>835</v>
      </c>
      <c r="C174" s="473" t="s">
        <v>841</v>
      </c>
      <c r="D174" s="477">
        <f>'Daily Product Breakdown'!$E$37+'Daily Product Breakdown'!$F$37+'Daily Product Breakdown'!$G$37</f>
        <v>4</v>
      </c>
      <c r="E174" s="481"/>
      <c r="F174" s="472"/>
      <c r="G174" s="472"/>
    </row>
    <row r="175" spans="1:7" ht="21" customHeight="1" x14ac:dyDescent="0.35">
      <c r="A175" s="472" t="s">
        <v>843</v>
      </c>
      <c r="B175" s="473" t="s">
        <v>844</v>
      </c>
      <c r="C175" s="473" t="s">
        <v>839</v>
      </c>
      <c r="D175" s="477">
        <f>'Daily Product Breakdown'!$E$39+'Daily Product Breakdown'!$F$39</f>
        <v>5</v>
      </c>
      <c r="E175" s="481"/>
      <c r="F175" s="472"/>
      <c r="G175" s="472"/>
    </row>
    <row r="176" spans="1:7" ht="21" customHeight="1" x14ac:dyDescent="0.35">
      <c r="A176" s="472" t="s">
        <v>843</v>
      </c>
      <c r="B176" s="473" t="s">
        <v>845</v>
      </c>
      <c r="C176" s="473" t="s">
        <v>839</v>
      </c>
      <c r="D176" s="477">
        <f>'Daily Product Breakdown'!$E$41+'Daily Product Breakdown'!$F$41+'Daily Product Breakdown'!$G$41</f>
        <v>63</v>
      </c>
      <c r="E176" s="481"/>
      <c r="F176" s="472"/>
      <c r="G176" s="472"/>
    </row>
    <row r="177" spans="1:7" ht="21" customHeight="1" x14ac:dyDescent="0.35">
      <c r="A177" s="472" t="s">
        <v>61</v>
      </c>
      <c r="B177" s="473" t="s">
        <v>836</v>
      </c>
      <c r="C177" s="473" t="s">
        <v>839</v>
      </c>
      <c r="D177" s="477">
        <f>'Daily Product Breakdown'!$E$177+'Daily Product Breakdown'!$F$177+'Daily Product Breakdown'!$G$177</f>
        <v>11</v>
      </c>
      <c r="E177" s="481"/>
      <c r="F177" s="472"/>
      <c r="G177" s="472"/>
    </row>
    <row r="178" spans="1:7" ht="21" customHeight="1" x14ac:dyDescent="0.35">
      <c r="A178" s="472" t="s">
        <v>61</v>
      </c>
      <c r="B178" s="473" t="s">
        <v>1810</v>
      </c>
      <c r="C178" s="473" t="s">
        <v>839</v>
      </c>
      <c r="D178" s="477">
        <f>'Daily Product Breakdown'!$C$45+'Daily Product Breakdown'!$D$45+'Daily Product Breakdown'!$E$45</f>
        <v>9</v>
      </c>
      <c r="E178" s="481"/>
      <c r="F178" s="472"/>
      <c r="G178" s="472"/>
    </row>
    <row r="179" spans="1:7" ht="21" customHeight="1" x14ac:dyDescent="0.35">
      <c r="A179" s="472" t="s">
        <v>1809</v>
      </c>
      <c r="B179" s="473" t="s">
        <v>846</v>
      </c>
      <c r="C179" s="473" t="s">
        <v>839</v>
      </c>
      <c r="D179" s="477">
        <f>'Daily Product Breakdown'!$E$157+'Daily Product Breakdown'!$F$157</f>
        <v>16</v>
      </c>
      <c r="E179" s="481"/>
      <c r="F179" s="472"/>
      <c r="G179" s="472"/>
    </row>
    <row r="180" spans="1:7" ht="21" customHeight="1" x14ac:dyDescent="0.35">
      <c r="A180" s="472" t="s">
        <v>1326</v>
      </c>
      <c r="B180" s="474" t="s">
        <v>157</v>
      </c>
      <c r="C180" s="473" t="s">
        <v>1812</v>
      </c>
      <c r="D180" s="477">
        <f>'Daily Product Breakdown'!$E$81/26+'Daily Product Breakdown'!$F$81/26+'Daily Product Breakdown'!$G$81/26</f>
        <v>5.1538461538461533</v>
      </c>
      <c r="E180" s="481"/>
      <c r="F180" s="472"/>
      <c r="G180" s="472"/>
    </row>
    <row r="181" spans="1:7" ht="21" customHeight="1" x14ac:dyDescent="0.35">
      <c r="A181" s="470" t="s">
        <v>1826</v>
      </c>
      <c r="B181" s="471" t="s">
        <v>141</v>
      </c>
      <c r="C181" s="471" t="s">
        <v>848</v>
      </c>
      <c r="D181" s="483">
        <f>'Daily Product Breakdown'!$E$155+'Daily Product Breakdown'!$F$155+'Daily Product Breakdown'!$G$155</f>
        <v>25</v>
      </c>
      <c r="E181" s="482"/>
      <c r="F181" s="470"/>
      <c r="G181" s="470"/>
    </row>
    <row r="182" spans="1:7" ht="21" customHeight="1" x14ac:dyDescent="0.35">
      <c r="A182" s="470" t="s">
        <v>150</v>
      </c>
      <c r="B182" s="471" t="s">
        <v>1941</v>
      </c>
      <c r="C182" s="471"/>
      <c r="D182" s="483">
        <f>'Daily Product Breakdown'!$E$83/8</f>
        <v>3</v>
      </c>
      <c r="E182" s="482"/>
      <c r="F182" s="470"/>
      <c r="G182" s="470"/>
    </row>
    <row r="183" spans="1:7" ht="21" customHeight="1" thickBot="1" x14ac:dyDescent="0.4">
      <c r="A183" s="470" t="s">
        <v>62</v>
      </c>
      <c r="B183" s="471" t="s">
        <v>141</v>
      </c>
      <c r="C183" s="471" t="s">
        <v>828</v>
      </c>
      <c r="D183" s="483">
        <f>'Daily Product Breakdown'!$E$179+'Daily Product Breakdown'!$F$179+'Daily Product Breakdown'!$G$179</f>
        <v>8</v>
      </c>
      <c r="E183" s="482"/>
      <c r="F183" s="470"/>
      <c r="G183" s="470"/>
    </row>
    <row r="184" spans="1:7" ht="21" customHeight="1" thickBot="1" x14ac:dyDescent="0.4">
      <c r="A184" s="856" t="s">
        <v>1875</v>
      </c>
      <c r="B184" s="857"/>
      <c r="C184" s="857"/>
      <c r="D184" s="857"/>
      <c r="E184" s="857"/>
      <c r="F184" s="857"/>
      <c r="G184" s="858"/>
    </row>
    <row r="185" spans="1:7" ht="21" customHeight="1" x14ac:dyDescent="0.35">
      <c r="A185" s="805" t="s">
        <v>1870</v>
      </c>
      <c r="B185" s="806" t="s">
        <v>1871</v>
      </c>
      <c r="C185" s="806" t="s">
        <v>828</v>
      </c>
      <c r="D185" s="804">
        <f>'Daily Product Breakdown'!$E$51+'Daily Product Breakdown'!$F$51</f>
        <v>4</v>
      </c>
      <c r="E185" s="802"/>
      <c r="F185" s="475"/>
      <c r="G185" s="475"/>
    </row>
    <row r="186" spans="1:7" ht="21" customHeight="1" x14ac:dyDescent="0.35">
      <c r="A186" s="472" t="s">
        <v>231</v>
      </c>
      <c r="B186" s="473" t="s">
        <v>814</v>
      </c>
      <c r="C186" s="473" t="s">
        <v>828</v>
      </c>
      <c r="D186" s="477">
        <v>1</v>
      </c>
      <c r="E186" s="481"/>
      <c r="F186" s="472"/>
      <c r="G186" s="472"/>
    </row>
    <row r="187" spans="1:7" ht="21" customHeight="1" x14ac:dyDescent="0.35">
      <c r="A187" s="472" t="s">
        <v>1872</v>
      </c>
      <c r="B187" s="473" t="s">
        <v>816</v>
      </c>
      <c r="C187" s="473" t="s">
        <v>828</v>
      </c>
      <c r="D187" s="477">
        <v>1</v>
      </c>
      <c r="E187" s="481"/>
      <c r="F187" s="472"/>
      <c r="G187" s="472"/>
    </row>
    <row r="188" spans="1:7" ht="21" customHeight="1" x14ac:dyDescent="0.35">
      <c r="A188" s="470" t="s">
        <v>1873</v>
      </c>
      <c r="B188" s="471" t="s">
        <v>816</v>
      </c>
      <c r="C188" s="471" t="s">
        <v>828</v>
      </c>
      <c r="D188" s="483">
        <v>1</v>
      </c>
      <c r="E188" s="482"/>
      <c r="F188" s="470"/>
      <c r="G188" s="470"/>
    </row>
    <row r="189" spans="1:7" ht="21" customHeight="1" x14ac:dyDescent="0.35">
      <c r="A189" s="472" t="s">
        <v>234</v>
      </c>
      <c r="B189" s="473" t="s">
        <v>816</v>
      </c>
      <c r="C189" s="473" t="s">
        <v>828</v>
      </c>
      <c r="D189" s="477">
        <v>1</v>
      </c>
      <c r="E189" s="481"/>
      <c r="F189" s="472"/>
      <c r="G189" s="472"/>
    </row>
    <row r="190" spans="1:7" ht="21" customHeight="1" x14ac:dyDescent="0.35">
      <c r="A190" s="472" t="s">
        <v>847</v>
      </c>
      <c r="B190" s="473" t="s">
        <v>816</v>
      </c>
      <c r="C190" s="473"/>
      <c r="D190" s="477">
        <v>1</v>
      </c>
      <c r="E190" s="481"/>
      <c r="F190" s="472"/>
      <c r="G190" s="472"/>
    </row>
    <row r="191" spans="1:7" ht="21" customHeight="1" x14ac:dyDescent="0.35">
      <c r="A191" s="470" t="s">
        <v>849</v>
      </c>
      <c r="B191" s="471" t="s">
        <v>816</v>
      </c>
      <c r="C191" s="471"/>
      <c r="D191" s="483">
        <v>1</v>
      </c>
      <c r="E191" s="482"/>
      <c r="F191" s="470"/>
      <c r="G191" s="470"/>
    </row>
    <row r="192" spans="1:7" ht="21" customHeight="1" thickBot="1" x14ac:dyDescent="0.4">
      <c r="A192" s="470" t="s">
        <v>1884</v>
      </c>
      <c r="B192" s="471" t="s">
        <v>816</v>
      </c>
      <c r="C192" s="471"/>
      <c r="D192" s="483">
        <v>1</v>
      </c>
      <c r="E192" s="482"/>
      <c r="F192" s="470"/>
      <c r="G192" s="470"/>
    </row>
    <row r="193" spans="1:7" ht="21" customHeight="1" thickBot="1" x14ac:dyDescent="0.4">
      <c r="A193" s="856" t="s">
        <v>1876</v>
      </c>
      <c r="B193" s="857"/>
      <c r="C193" s="857"/>
      <c r="D193" s="857"/>
      <c r="E193" s="857"/>
      <c r="F193" s="857"/>
      <c r="G193" s="858"/>
    </row>
    <row r="194" spans="1:7" ht="21" customHeight="1" x14ac:dyDescent="0.35">
      <c r="A194" s="475" t="s">
        <v>1877</v>
      </c>
      <c r="B194" s="476" t="s">
        <v>157</v>
      </c>
      <c r="C194" s="476"/>
      <c r="D194" s="804">
        <v>1</v>
      </c>
      <c r="E194" s="802"/>
      <c r="F194" s="475"/>
      <c r="G194" s="475"/>
    </row>
    <row r="195" spans="1:7" ht="21" customHeight="1" thickBot="1" x14ac:dyDescent="0.4">
      <c r="A195" s="470" t="s">
        <v>466</v>
      </c>
      <c r="B195" s="471" t="s">
        <v>1878</v>
      </c>
      <c r="C195" s="471"/>
      <c r="D195" s="483">
        <v>1</v>
      </c>
      <c r="E195" s="482"/>
      <c r="F195" s="470"/>
      <c r="G195" s="470"/>
    </row>
    <row r="196" spans="1:7" ht="21" customHeight="1" thickBot="1" x14ac:dyDescent="0.4">
      <c r="A196" s="886" t="s">
        <v>1879</v>
      </c>
      <c r="B196" s="887"/>
      <c r="C196" s="887"/>
      <c r="D196" s="887"/>
      <c r="E196" s="887"/>
      <c r="F196" s="887"/>
      <c r="G196" s="888"/>
    </row>
    <row r="197" spans="1:7" ht="21" customHeight="1" x14ac:dyDescent="0.35">
      <c r="A197" s="475" t="s">
        <v>339</v>
      </c>
      <c r="B197" s="476" t="s">
        <v>814</v>
      </c>
      <c r="C197" s="476"/>
      <c r="D197" s="804">
        <v>1</v>
      </c>
      <c r="E197" s="802"/>
      <c r="F197" s="475"/>
      <c r="G197" s="475"/>
    </row>
    <row r="198" spans="1:7" ht="21" customHeight="1" x14ac:dyDescent="0.35">
      <c r="A198" s="472" t="s">
        <v>1880</v>
      </c>
      <c r="B198" s="473" t="s">
        <v>814</v>
      </c>
      <c r="C198" s="473"/>
      <c r="D198" s="477">
        <v>1</v>
      </c>
      <c r="E198" s="481"/>
      <c r="F198" s="472"/>
      <c r="G198" s="472"/>
    </row>
    <row r="199" spans="1:7" ht="21" customHeight="1" x14ac:dyDescent="0.35">
      <c r="A199" s="472" t="s">
        <v>1943</v>
      </c>
      <c r="B199" s="473" t="s">
        <v>157</v>
      </c>
      <c r="C199" s="473"/>
      <c r="D199" s="807">
        <f>IF('Daily Product Breakdown'!$E$77+'Daily Product Breakdown'!$F$77,'Daily Product Breakdown'!$B$77+'Daily Product Breakdown'!$C$77)/105</f>
        <v>0.14285714285714285</v>
      </c>
      <c r="E199" s="481"/>
      <c r="F199" s="472"/>
      <c r="G199" s="472"/>
    </row>
    <row r="200" spans="1:7" ht="21" customHeight="1" x14ac:dyDescent="0.35">
      <c r="A200" s="472" t="s">
        <v>578</v>
      </c>
      <c r="B200" s="473" t="s">
        <v>157</v>
      </c>
      <c r="C200" s="473"/>
      <c r="D200" s="477">
        <f>('Daily Product Breakdown'!$E$65+'Daily Product Breakdown'!$F$65+'Daily Product Breakdown'!$G$65)/104</f>
        <v>8.0192307692307701</v>
      </c>
      <c r="E200" s="481"/>
      <c r="F200" s="472"/>
      <c r="G200" s="472"/>
    </row>
    <row r="201" spans="1:7" ht="21" customHeight="1" thickBot="1" x14ac:dyDescent="0.4">
      <c r="A201" s="470" t="s">
        <v>64</v>
      </c>
      <c r="B201" s="471" t="s">
        <v>157</v>
      </c>
      <c r="C201" s="471"/>
      <c r="D201" s="483">
        <f>('Daily Product Breakdown'!$E$73+'Daily Product Breakdown'!$F$73)/64</f>
        <v>10.5625</v>
      </c>
      <c r="E201" s="482"/>
      <c r="F201" s="470"/>
      <c r="G201" s="470"/>
    </row>
    <row r="202" spans="1:7" ht="21" customHeight="1" thickBot="1" x14ac:dyDescent="0.4">
      <c r="A202" s="856" t="s">
        <v>1881</v>
      </c>
      <c r="B202" s="857"/>
      <c r="C202" s="857"/>
      <c r="D202" s="857"/>
      <c r="E202" s="857"/>
      <c r="F202" s="857"/>
      <c r="G202" s="858"/>
    </row>
    <row r="203" spans="1:7" ht="21" customHeight="1" x14ac:dyDescent="0.35">
      <c r="A203" s="475" t="s">
        <v>596</v>
      </c>
      <c r="B203" s="476" t="s">
        <v>1944</v>
      </c>
      <c r="C203" s="476"/>
      <c r="D203" s="804">
        <f>('Daily Product Breakdown'!$E$129+'Daily Product Breakdown'!$F$129+'Daily Product Breakdown'!$G$129)/8</f>
        <v>70</v>
      </c>
      <c r="E203" s="802"/>
      <c r="F203" s="475"/>
      <c r="G203" s="475"/>
    </row>
    <row r="204" spans="1:7" ht="21" customHeight="1" x14ac:dyDescent="0.35">
      <c r="A204" s="472" t="s">
        <v>1882</v>
      </c>
      <c r="B204" s="473" t="s">
        <v>1807</v>
      </c>
      <c r="C204" s="473"/>
      <c r="D204" s="477">
        <f>('Daily Product Breakdown'!$E$127+'Daily Product Breakdown'!$F$127+'Daily Product Breakdown'!$G$127)/6</f>
        <v>11.833333333333334</v>
      </c>
      <c r="E204" s="481"/>
      <c r="F204" s="472"/>
      <c r="G204" s="472"/>
    </row>
    <row r="205" spans="1:7" ht="21" customHeight="1" x14ac:dyDescent="0.35">
      <c r="A205" s="472" t="s">
        <v>465</v>
      </c>
      <c r="B205" s="473" t="s">
        <v>1883</v>
      </c>
      <c r="C205" s="473"/>
      <c r="D205" s="477">
        <f>('Daily Product Breakdown'!$E$107+'Daily Product Breakdown'!$F$107+'Daily Product Breakdown'!$G$107)/8</f>
        <v>34</v>
      </c>
      <c r="E205" s="481"/>
      <c r="F205" s="472"/>
      <c r="G205" s="472"/>
    </row>
    <row r="206" spans="1:7" ht="21" customHeight="1" x14ac:dyDescent="0.35">
      <c r="A206" s="889" t="s">
        <v>1950</v>
      </c>
      <c r="B206" s="890"/>
      <c r="C206" s="890"/>
      <c r="D206" s="890"/>
      <c r="E206" s="890"/>
      <c r="F206" s="890"/>
      <c r="G206" s="891"/>
    </row>
    <row r="207" spans="1:7" ht="21" customHeight="1" x14ac:dyDescent="0.35">
      <c r="A207" s="892"/>
      <c r="B207" s="893"/>
      <c r="C207" s="893"/>
      <c r="D207" s="893"/>
      <c r="E207" s="893"/>
      <c r="F207" s="893"/>
      <c r="G207" s="894"/>
    </row>
    <row r="208" spans="1:7" ht="21" customHeight="1" x14ac:dyDescent="0.35">
      <c r="A208" s="895"/>
      <c r="B208" s="896"/>
      <c r="C208" s="896"/>
      <c r="D208" s="896"/>
      <c r="E208" s="896"/>
      <c r="F208" s="896"/>
      <c r="G208" s="897"/>
    </row>
    <row r="209" spans="1:7" ht="21" customHeight="1" thickBot="1" x14ac:dyDescent="0.4">
      <c r="A209" s="803" t="s">
        <v>131</v>
      </c>
      <c r="B209" s="803" t="s">
        <v>132</v>
      </c>
      <c r="C209" s="803" t="s">
        <v>821</v>
      </c>
      <c r="D209" s="803" t="s">
        <v>1885</v>
      </c>
      <c r="E209" s="803" t="s">
        <v>834</v>
      </c>
      <c r="F209" s="803" t="s">
        <v>833</v>
      </c>
      <c r="G209" s="803" t="s">
        <v>820</v>
      </c>
    </row>
    <row r="210" spans="1:7" ht="21" customHeight="1" thickBot="1" x14ac:dyDescent="0.4">
      <c r="A210" s="856" t="s">
        <v>1964</v>
      </c>
      <c r="B210" s="857"/>
      <c r="C210" s="857"/>
      <c r="D210" s="857"/>
      <c r="E210" s="857"/>
      <c r="F210" s="857"/>
      <c r="G210" s="858"/>
    </row>
    <row r="211" spans="1:7" ht="21" customHeight="1" x14ac:dyDescent="0.35">
      <c r="A211" s="883" t="s">
        <v>170</v>
      </c>
      <c r="B211" s="883" t="s">
        <v>143</v>
      </c>
      <c r="C211" s="883" t="s">
        <v>826</v>
      </c>
      <c r="D211" s="884">
        <f>'Pasta Prep'!V11</f>
        <v>8.5625</v>
      </c>
      <c r="E211" s="883"/>
      <c r="F211" s="885"/>
      <c r="G211" s="885"/>
    </row>
    <row r="212" spans="1:7" ht="21" customHeight="1" x14ac:dyDescent="0.35">
      <c r="A212" s="880"/>
      <c r="B212" s="880"/>
      <c r="C212" s="880"/>
      <c r="D212" s="882"/>
      <c r="E212" s="880"/>
      <c r="F212" s="878"/>
      <c r="G212" s="878"/>
    </row>
    <row r="213" spans="1:7" ht="21" customHeight="1" x14ac:dyDescent="0.35">
      <c r="A213" s="879" t="s">
        <v>837</v>
      </c>
      <c r="B213" s="879" t="s">
        <v>143</v>
      </c>
      <c r="C213" s="879" t="s">
        <v>826</v>
      </c>
      <c r="D213" s="881">
        <f>'Pasta Prep'!V8</f>
        <v>15.25</v>
      </c>
      <c r="E213" s="879"/>
      <c r="F213" s="877"/>
      <c r="G213" s="877"/>
    </row>
    <row r="214" spans="1:7" ht="21" customHeight="1" x14ac:dyDescent="0.35">
      <c r="A214" s="880"/>
      <c r="B214" s="880"/>
      <c r="C214" s="880"/>
      <c r="D214" s="882"/>
      <c r="E214" s="880"/>
      <c r="F214" s="878"/>
      <c r="G214" s="878"/>
    </row>
    <row r="215" spans="1:7" ht="21" customHeight="1" x14ac:dyDescent="0.35">
      <c r="A215" s="879" t="s">
        <v>172</v>
      </c>
      <c r="B215" s="879" t="s">
        <v>143</v>
      </c>
      <c r="C215" s="879" t="s">
        <v>826</v>
      </c>
      <c r="D215" s="881">
        <f>'Pasta Prep'!V4</f>
        <v>6.3125</v>
      </c>
      <c r="E215" s="879"/>
      <c r="F215" s="877"/>
      <c r="G215" s="877"/>
    </row>
    <row r="216" spans="1:7" ht="21" customHeight="1" x14ac:dyDescent="0.35">
      <c r="A216" s="880"/>
      <c r="B216" s="880"/>
      <c r="C216" s="880"/>
      <c r="D216" s="882"/>
      <c r="E216" s="880"/>
      <c r="F216" s="878"/>
      <c r="G216" s="878"/>
    </row>
    <row r="217" spans="1:7" ht="21" customHeight="1" x14ac:dyDescent="0.35">
      <c r="A217" s="879" t="s">
        <v>173</v>
      </c>
      <c r="B217" s="879" t="s">
        <v>143</v>
      </c>
      <c r="C217" s="879" t="s">
        <v>826</v>
      </c>
      <c r="D217" s="881">
        <f>'Pasta Prep'!V9</f>
        <v>19.1875</v>
      </c>
      <c r="E217" s="879"/>
      <c r="F217" s="877"/>
      <c r="G217" s="877"/>
    </row>
    <row r="218" spans="1:7" ht="21" customHeight="1" x14ac:dyDescent="0.35">
      <c r="A218" s="880"/>
      <c r="B218" s="880"/>
      <c r="C218" s="880"/>
      <c r="D218" s="882"/>
      <c r="E218" s="880"/>
      <c r="F218" s="878"/>
      <c r="G218" s="878"/>
    </row>
    <row r="219" spans="1:7" ht="21" customHeight="1" x14ac:dyDescent="0.35">
      <c r="A219" s="879" t="s">
        <v>1805</v>
      </c>
      <c r="B219" s="879" t="s">
        <v>143</v>
      </c>
      <c r="C219" s="879" t="s">
        <v>815</v>
      </c>
      <c r="D219" s="881">
        <f>'Pasta Prep'!V6</f>
        <v>2.875</v>
      </c>
      <c r="E219" s="879"/>
      <c r="F219" s="877"/>
      <c r="G219" s="877"/>
    </row>
    <row r="220" spans="1:7" ht="21" customHeight="1" x14ac:dyDescent="0.35">
      <c r="A220" s="880"/>
      <c r="B220" s="880"/>
      <c r="C220" s="880"/>
      <c r="D220" s="882"/>
      <c r="E220" s="880"/>
      <c r="F220" s="878"/>
      <c r="G220" s="878"/>
    </row>
    <row r="221" spans="1:7" ht="21" customHeight="1" x14ac:dyDescent="0.35">
      <c r="A221" s="472" t="s">
        <v>838</v>
      </c>
      <c r="B221" s="473" t="s">
        <v>1806</v>
      </c>
      <c r="C221" s="473" t="s">
        <v>839</v>
      </c>
      <c r="D221" s="477">
        <v>6</v>
      </c>
      <c r="E221" s="481"/>
      <c r="F221" s="472"/>
      <c r="G221" s="472"/>
    </row>
    <row r="222" spans="1:7" ht="21" customHeight="1" x14ac:dyDescent="0.35">
      <c r="A222" s="472" t="s">
        <v>840</v>
      </c>
      <c r="B222" s="473" t="s">
        <v>143</v>
      </c>
      <c r="C222" s="473" t="s">
        <v>826</v>
      </c>
      <c r="D222" s="477">
        <f>'Pasta Prep'!V13</f>
        <v>3.125</v>
      </c>
      <c r="E222" s="481"/>
      <c r="F222" s="472"/>
      <c r="G222" s="472"/>
    </row>
    <row r="223" spans="1:7" ht="21" customHeight="1" thickBot="1" x14ac:dyDescent="0.4">
      <c r="A223" s="472" t="s">
        <v>1854</v>
      </c>
      <c r="B223" s="473" t="s">
        <v>1869</v>
      </c>
      <c r="C223" s="473" t="s">
        <v>828</v>
      </c>
      <c r="D223" s="477">
        <f>'Pasta Prep'!$F$24+'Pasta Prep'!$G$24+'Pasta Prep'!$H$24</f>
        <v>18</v>
      </c>
      <c r="E223" s="481"/>
      <c r="F223" s="472"/>
      <c r="G223" s="472"/>
    </row>
    <row r="224" spans="1:7" ht="21" customHeight="1" thickBot="1" x14ac:dyDescent="0.4">
      <c r="A224" s="856" t="s">
        <v>1874</v>
      </c>
      <c r="B224" s="857"/>
      <c r="C224" s="857"/>
      <c r="D224" s="857"/>
      <c r="E224" s="857"/>
      <c r="F224" s="857"/>
      <c r="G224" s="858"/>
    </row>
    <row r="225" spans="1:7" ht="21" customHeight="1" x14ac:dyDescent="0.35">
      <c r="A225" s="475" t="s">
        <v>1866</v>
      </c>
      <c r="B225" s="476" t="s">
        <v>142</v>
      </c>
      <c r="C225" s="476" t="s">
        <v>841</v>
      </c>
      <c r="D225" s="804">
        <f>'Daily Product Breakdown'!$F$35+'Daily Product Breakdown'!$G$35+'Daily Product Breakdown'!$H$35</f>
        <v>174</v>
      </c>
      <c r="E225" s="802"/>
      <c r="F225" s="475"/>
      <c r="G225" s="475"/>
    </row>
    <row r="226" spans="1:7" ht="21" customHeight="1" x14ac:dyDescent="0.35">
      <c r="A226" s="472" t="s">
        <v>842</v>
      </c>
      <c r="B226" s="473" t="s">
        <v>835</v>
      </c>
      <c r="C226" s="473" t="s">
        <v>841</v>
      </c>
      <c r="D226" s="477">
        <f>'Daily Product Breakdown'!$F$37+'Daily Product Breakdown'!$G$37+'Daily Product Breakdown'!$H$37</f>
        <v>8</v>
      </c>
      <c r="E226" s="481"/>
      <c r="F226" s="472"/>
      <c r="G226" s="472"/>
    </row>
    <row r="227" spans="1:7" ht="21" customHeight="1" x14ac:dyDescent="0.35">
      <c r="A227" s="472" t="s">
        <v>843</v>
      </c>
      <c r="B227" s="473" t="s">
        <v>844</v>
      </c>
      <c r="C227" s="473" t="s">
        <v>839</v>
      </c>
      <c r="D227" s="477">
        <f>'Daily Product Breakdown'!$F$39+'Daily Product Breakdown'!$G$39</f>
        <v>11</v>
      </c>
      <c r="E227" s="481"/>
      <c r="F227" s="472"/>
      <c r="G227" s="472"/>
    </row>
    <row r="228" spans="1:7" ht="21" customHeight="1" x14ac:dyDescent="0.35">
      <c r="A228" s="472" t="s">
        <v>843</v>
      </c>
      <c r="B228" s="473" t="s">
        <v>845</v>
      </c>
      <c r="C228" s="473" t="s">
        <v>839</v>
      </c>
      <c r="D228" s="477">
        <f>'Daily Product Breakdown'!$F$41+'Daily Product Breakdown'!$G$41+'Daily Product Breakdown'!$H$41</f>
        <v>64</v>
      </c>
      <c r="E228" s="481"/>
      <c r="F228" s="472"/>
      <c r="G228" s="472"/>
    </row>
    <row r="229" spans="1:7" ht="21" customHeight="1" x14ac:dyDescent="0.35">
      <c r="A229" s="472" t="s">
        <v>61</v>
      </c>
      <c r="B229" s="473" t="s">
        <v>1890</v>
      </c>
      <c r="C229" s="473" t="s">
        <v>839</v>
      </c>
      <c r="D229" s="477">
        <f>'Daily Product Breakdown'!$F$177+'Daily Product Breakdown'!$G$177+'Daily Product Breakdown'!$H$177</f>
        <v>11</v>
      </c>
      <c r="E229" s="481"/>
      <c r="F229" s="472"/>
      <c r="G229" s="472"/>
    </row>
    <row r="230" spans="1:7" ht="21" customHeight="1" x14ac:dyDescent="0.35">
      <c r="A230" s="472" t="s">
        <v>61</v>
      </c>
      <c r="B230" s="473" t="s">
        <v>1891</v>
      </c>
      <c r="C230" s="473" t="s">
        <v>839</v>
      </c>
      <c r="D230" s="477">
        <f>'Daily Product Breakdown'!$F$45+'Daily Product Breakdown'!$G$45+'Daily Product Breakdown'!$H$45</f>
        <v>7</v>
      </c>
      <c r="E230" s="481"/>
      <c r="F230" s="472"/>
      <c r="G230" s="472"/>
    </row>
    <row r="231" spans="1:7" ht="21" customHeight="1" x14ac:dyDescent="0.35">
      <c r="A231" s="472" t="s">
        <v>1809</v>
      </c>
      <c r="B231" s="473" t="s">
        <v>846</v>
      </c>
      <c r="C231" s="473" t="s">
        <v>839</v>
      </c>
      <c r="D231" s="477">
        <f>'Daily Product Breakdown'!$F$157+'Daily Product Breakdown'!$G$157+'Daily Product Breakdown'!$H$157</f>
        <v>38</v>
      </c>
      <c r="E231" s="481"/>
      <c r="F231" s="472"/>
      <c r="G231" s="472"/>
    </row>
    <row r="232" spans="1:7" ht="21" customHeight="1" x14ac:dyDescent="0.35">
      <c r="A232" s="472" t="s">
        <v>1326</v>
      </c>
      <c r="B232" s="474" t="s">
        <v>157</v>
      </c>
      <c r="C232" s="473" t="s">
        <v>1812</v>
      </c>
      <c r="D232" s="477">
        <f>'Daily Product Breakdown'!$F$81/26+'Daily Product Breakdown'!$G$81/26+'Daily Product Breakdown'!$H$81/26</f>
        <v>5.384615384615385</v>
      </c>
      <c r="E232" s="481"/>
      <c r="F232" s="472"/>
      <c r="G232" s="472"/>
    </row>
    <row r="233" spans="1:7" ht="21" customHeight="1" x14ac:dyDescent="0.35">
      <c r="A233" s="470" t="s">
        <v>1826</v>
      </c>
      <c r="B233" s="471" t="s">
        <v>141</v>
      </c>
      <c r="C233" s="471" t="s">
        <v>848</v>
      </c>
      <c r="D233" s="483">
        <f>'Daily Product Breakdown'!$F$155+'Daily Product Breakdown'!$G$155+'Daily Product Breakdown'!$H$155</f>
        <v>32</v>
      </c>
      <c r="E233" s="482"/>
      <c r="F233" s="470"/>
      <c r="G233" s="470"/>
    </row>
    <row r="234" spans="1:7" ht="21" customHeight="1" x14ac:dyDescent="0.35">
      <c r="A234" s="470" t="s">
        <v>150</v>
      </c>
      <c r="B234" s="471" t="s">
        <v>1940</v>
      </c>
      <c r="C234" s="471" t="s">
        <v>1812</v>
      </c>
      <c r="D234" s="483">
        <f>'Daily Product Breakdown'!$F$83/8</f>
        <v>1</v>
      </c>
      <c r="E234" s="482"/>
      <c r="F234" s="470"/>
      <c r="G234" s="470"/>
    </row>
    <row r="235" spans="1:7" ht="21" customHeight="1" thickBot="1" x14ac:dyDescent="0.4">
      <c r="A235" s="470" t="s">
        <v>62</v>
      </c>
      <c r="B235" s="471" t="s">
        <v>141</v>
      </c>
      <c r="C235" s="471" t="s">
        <v>828</v>
      </c>
      <c r="D235" s="483">
        <f>'Daily Product Breakdown'!$F$179+'Daily Product Breakdown'!$G$179+'Daily Product Breakdown'!$H$179</f>
        <v>8</v>
      </c>
      <c r="E235" s="482"/>
      <c r="F235" s="470"/>
      <c r="G235" s="470"/>
    </row>
    <row r="236" spans="1:7" ht="21" customHeight="1" thickBot="1" x14ac:dyDescent="0.4">
      <c r="A236" s="856" t="s">
        <v>1875</v>
      </c>
      <c r="B236" s="857"/>
      <c r="C236" s="857"/>
      <c r="D236" s="857"/>
      <c r="E236" s="857"/>
      <c r="F236" s="857"/>
      <c r="G236" s="858"/>
    </row>
    <row r="237" spans="1:7" ht="21" customHeight="1" x14ac:dyDescent="0.35">
      <c r="A237" s="805" t="s">
        <v>1870</v>
      </c>
      <c r="B237" s="806" t="s">
        <v>1871</v>
      </c>
      <c r="C237" s="806" t="s">
        <v>828</v>
      </c>
      <c r="D237" s="804">
        <f>'Daily Product Breakdown'!$F$51+'Daily Product Breakdown'!$G$51</f>
        <v>27</v>
      </c>
      <c r="E237" s="802"/>
      <c r="F237" s="475"/>
      <c r="G237" s="475"/>
    </row>
    <row r="238" spans="1:7" ht="21" customHeight="1" x14ac:dyDescent="0.35">
      <c r="A238" s="472" t="s">
        <v>231</v>
      </c>
      <c r="B238" s="473" t="s">
        <v>814</v>
      </c>
      <c r="C238" s="473" t="s">
        <v>828</v>
      </c>
      <c r="D238" s="477">
        <v>2</v>
      </c>
      <c r="E238" s="481"/>
      <c r="F238" s="472"/>
      <c r="G238" s="472"/>
    </row>
    <row r="239" spans="1:7" ht="21" customHeight="1" x14ac:dyDescent="0.35">
      <c r="A239" s="472" t="s">
        <v>1872</v>
      </c>
      <c r="B239" s="473" t="s">
        <v>816</v>
      </c>
      <c r="C239" s="473" t="s">
        <v>828</v>
      </c>
      <c r="D239" s="477">
        <v>2</v>
      </c>
      <c r="E239" s="481"/>
      <c r="F239" s="472"/>
      <c r="G239" s="472"/>
    </row>
    <row r="240" spans="1:7" ht="21" customHeight="1" x14ac:dyDescent="0.35">
      <c r="A240" s="470" t="s">
        <v>1873</v>
      </c>
      <c r="B240" s="471" t="s">
        <v>816</v>
      </c>
      <c r="C240" s="471" t="s">
        <v>828</v>
      </c>
      <c r="D240" s="483">
        <v>1.5</v>
      </c>
      <c r="E240" s="482"/>
      <c r="F240" s="470"/>
      <c r="G240" s="470"/>
    </row>
    <row r="241" spans="1:7" ht="21" customHeight="1" x14ac:dyDescent="0.35">
      <c r="A241" s="472" t="s">
        <v>234</v>
      </c>
      <c r="B241" s="473" t="s">
        <v>816</v>
      </c>
      <c r="C241" s="473" t="s">
        <v>828</v>
      </c>
      <c r="D241" s="477">
        <v>2</v>
      </c>
      <c r="E241" s="481"/>
      <c r="F241" s="472"/>
      <c r="G241" s="472"/>
    </row>
    <row r="242" spans="1:7" ht="21" customHeight="1" x14ac:dyDescent="0.35">
      <c r="A242" s="472" t="s">
        <v>847</v>
      </c>
      <c r="B242" s="473" t="s">
        <v>816</v>
      </c>
      <c r="C242" s="473"/>
      <c r="D242" s="477">
        <v>1</v>
      </c>
      <c r="E242" s="481"/>
      <c r="F242" s="472"/>
      <c r="G242" s="472"/>
    </row>
    <row r="243" spans="1:7" ht="21" customHeight="1" x14ac:dyDescent="0.35">
      <c r="A243" s="470" t="s">
        <v>849</v>
      </c>
      <c r="B243" s="471" t="s">
        <v>816</v>
      </c>
      <c r="C243" s="471"/>
      <c r="D243" s="483">
        <v>1</v>
      </c>
      <c r="E243" s="482"/>
      <c r="F243" s="470"/>
      <c r="G243" s="470"/>
    </row>
    <row r="244" spans="1:7" ht="21" customHeight="1" thickBot="1" x14ac:dyDescent="0.4">
      <c r="A244" s="470" t="s">
        <v>1884</v>
      </c>
      <c r="B244" s="471" t="s">
        <v>816</v>
      </c>
      <c r="C244" s="471"/>
      <c r="D244" s="483">
        <v>2</v>
      </c>
      <c r="E244" s="482"/>
      <c r="F244" s="470"/>
      <c r="G244" s="470"/>
    </row>
    <row r="245" spans="1:7" ht="21" customHeight="1" thickBot="1" x14ac:dyDescent="0.4">
      <c r="A245" s="856" t="s">
        <v>1876</v>
      </c>
      <c r="B245" s="857"/>
      <c r="C245" s="857"/>
      <c r="D245" s="857"/>
      <c r="E245" s="857"/>
      <c r="F245" s="857"/>
      <c r="G245" s="858"/>
    </row>
    <row r="246" spans="1:7" ht="21" customHeight="1" x14ac:dyDescent="0.35">
      <c r="A246" s="475" t="s">
        <v>1877</v>
      </c>
      <c r="B246" s="476" t="s">
        <v>157</v>
      </c>
      <c r="C246" s="476"/>
      <c r="D246" s="804">
        <v>2</v>
      </c>
      <c r="E246" s="802"/>
      <c r="F246" s="475"/>
      <c r="G246" s="475"/>
    </row>
    <row r="247" spans="1:7" ht="21" customHeight="1" thickBot="1" x14ac:dyDescent="0.4">
      <c r="A247" s="470" t="s">
        <v>466</v>
      </c>
      <c r="B247" s="471" t="s">
        <v>1878</v>
      </c>
      <c r="C247" s="471"/>
      <c r="D247" s="483">
        <v>1</v>
      </c>
      <c r="E247" s="482"/>
      <c r="F247" s="470"/>
      <c r="G247" s="470"/>
    </row>
    <row r="248" spans="1:7" ht="21" customHeight="1" thickBot="1" x14ac:dyDescent="0.4">
      <c r="A248" s="886" t="s">
        <v>1879</v>
      </c>
      <c r="B248" s="887"/>
      <c r="C248" s="887"/>
      <c r="D248" s="887"/>
      <c r="E248" s="887"/>
      <c r="F248" s="887"/>
      <c r="G248" s="888"/>
    </row>
    <row r="249" spans="1:7" ht="21" customHeight="1" x14ac:dyDescent="0.35">
      <c r="A249" s="475" t="s">
        <v>339</v>
      </c>
      <c r="B249" s="476" t="s">
        <v>814</v>
      </c>
      <c r="C249" s="476"/>
      <c r="D249" s="804">
        <v>1</v>
      </c>
      <c r="E249" s="802"/>
      <c r="F249" s="475"/>
      <c r="G249" s="475"/>
    </row>
    <row r="250" spans="1:7" ht="21" customHeight="1" x14ac:dyDescent="0.35">
      <c r="A250" s="472" t="s">
        <v>1880</v>
      </c>
      <c r="B250" s="473" t="s">
        <v>814</v>
      </c>
      <c r="C250" s="473"/>
      <c r="D250" s="477">
        <v>1</v>
      </c>
      <c r="E250" s="481"/>
      <c r="F250" s="472"/>
      <c r="G250" s="472"/>
    </row>
    <row r="251" spans="1:7" ht="21" customHeight="1" x14ac:dyDescent="0.35">
      <c r="A251" s="472" t="s">
        <v>1943</v>
      </c>
      <c r="B251" s="473" t="s">
        <v>157</v>
      </c>
      <c r="C251" s="473"/>
      <c r="D251" s="807">
        <f>IF('Daily Product Breakdown'!$F$67+'Daily Product Breakdown'!$G$67,'Daily Product Breakdown'!$G$67+'Daily Product Breakdown'!$H$67)/64</f>
        <v>7.8125E-2</v>
      </c>
      <c r="E251" s="481"/>
      <c r="F251" s="472"/>
      <c r="G251" s="472"/>
    </row>
    <row r="252" spans="1:7" ht="21" customHeight="1" x14ac:dyDescent="0.35">
      <c r="A252" s="472" t="s">
        <v>578</v>
      </c>
      <c r="B252" s="473" t="s">
        <v>157</v>
      </c>
      <c r="C252" s="473"/>
      <c r="D252" s="477">
        <f>('Daily Product Breakdown'!$F$65+'Daily Product Breakdown'!$G$65+'Daily Product Breakdown'!$H$65)/104</f>
        <v>8.4743269230769229</v>
      </c>
      <c r="E252" s="481"/>
      <c r="F252" s="472"/>
      <c r="G252" s="472"/>
    </row>
    <row r="253" spans="1:7" ht="21" customHeight="1" thickBot="1" x14ac:dyDescent="0.4">
      <c r="A253" s="470" t="s">
        <v>64</v>
      </c>
      <c r="B253" s="471" t="s">
        <v>157</v>
      </c>
      <c r="C253" s="471"/>
      <c r="D253" s="483">
        <f>('Daily Product Breakdown'!$F$73+'Daily Product Breakdown'!$G$73)/64</f>
        <v>11.390625</v>
      </c>
      <c r="E253" s="482"/>
      <c r="F253" s="470"/>
      <c r="G253" s="470"/>
    </row>
    <row r="254" spans="1:7" ht="21" customHeight="1" thickBot="1" x14ac:dyDescent="0.4">
      <c r="A254" s="856" t="s">
        <v>1881</v>
      </c>
      <c r="B254" s="857"/>
      <c r="C254" s="857"/>
      <c r="D254" s="857"/>
      <c r="E254" s="857"/>
      <c r="F254" s="857"/>
      <c r="G254" s="858"/>
    </row>
    <row r="255" spans="1:7" ht="21" customHeight="1" x14ac:dyDescent="0.35">
      <c r="A255" s="475" t="s">
        <v>596</v>
      </c>
      <c r="B255" s="476" t="s">
        <v>1944</v>
      </c>
      <c r="C255" s="476"/>
      <c r="D255" s="804">
        <f>('Daily Product Breakdown'!$F$129+'Daily Product Breakdown'!$G$129+'Daily Product Breakdown'!$H$129)/8</f>
        <v>93.75</v>
      </c>
      <c r="E255" s="802"/>
      <c r="F255" s="475"/>
      <c r="G255" s="475"/>
    </row>
    <row r="256" spans="1:7" ht="21" customHeight="1" x14ac:dyDescent="0.35">
      <c r="A256" s="472" t="s">
        <v>1882</v>
      </c>
      <c r="B256" s="473" t="s">
        <v>1807</v>
      </c>
      <c r="C256" s="473"/>
      <c r="D256" s="477">
        <f>('Daily Product Breakdown'!$F$127+'Daily Product Breakdown'!$G$127+'Daily Product Breakdown'!$H$127)/6</f>
        <v>19.5</v>
      </c>
      <c r="E256" s="481"/>
      <c r="F256" s="472"/>
      <c r="G256" s="472"/>
    </row>
    <row r="257" spans="1:7" ht="21" customHeight="1" x14ac:dyDescent="0.35">
      <c r="A257" s="472" t="s">
        <v>465</v>
      </c>
      <c r="B257" s="473" t="s">
        <v>1883</v>
      </c>
      <c r="C257" s="473"/>
      <c r="D257" s="477">
        <f>('Daily Product Breakdown'!$F$107+'Daily Product Breakdown'!$G$107+'Daily Product Breakdown'!$H$107)/8</f>
        <v>37</v>
      </c>
      <c r="E257" s="481"/>
      <c r="F257" s="472"/>
      <c r="G257" s="472"/>
    </row>
    <row r="258" spans="1:7" ht="21" customHeight="1" x14ac:dyDescent="0.35">
      <c r="A258" s="889" t="s">
        <v>1950</v>
      </c>
      <c r="B258" s="890"/>
      <c r="C258" s="890"/>
      <c r="D258" s="890"/>
      <c r="E258" s="890"/>
      <c r="F258" s="890"/>
      <c r="G258" s="891"/>
    </row>
    <row r="259" spans="1:7" ht="21" customHeight="1" x14ac:dyDescent="0.35">
      <c r="A259" s="892"/>
      <c r="B259" s="893"/>
      <c r="C259" s="893"/>
      <c r="D259" s="893"/>
      <c r="E259" s="893"/>
      <c r="F259" s="893"/>
      <c r="G259" s="894"/>
    </row>
    <row r="260" spans="1:7" ht="21" customHeight="1" x14ac:dyDescent="0.35">
      <c r="A260" s="895"/>
      <c r="B260" s="896"/>
      <c r="C260" s="896"/>
      <c r="D260" s="896"/>
      <c r="E260" s="896"/>
      <c r="F260" s="896"/>
      <c r="G260" s="897"/>
    </row>
    <row r="261" spans="1:7" ht="21" customHeight="1" thickBot="1" x14ac:dyDescent="0.4">
      <c r="A261" s="803" t="s">
        <v>131</v>
      </c>
      <c r="B261" s="803" t="s">
        <v>132</v>
      </c>
      <c r="C261" s="803" t="s">
        <v>821</v>
      </c>
      <c r="D261" s="803" t="s">
        <v>553</v>
      </c>
      <c r="E261" s="803" t="s">
        <v>834</v>
      </c>
      <c r="F261" s="803" t="s">
        <v>833</v>
      </c>
      <c r="G261" s="803" t="s">
        <v>820</v>
      </c>
    </row>
    <row r="262" spans="1:7" ht="21" customHeight="1" thickBot="1" x14ac:dyDescent="0.4">
      <c r="A262" s="856" t="s">
        <v>1964</v>
      </c>
      <c r="B262" s="857"/>
      <c r="C262" s="857"/>
      <c r="D262" s="857"/>
      <c r="E262" s="857"/>
      <c r="F262" s="857"/>
      <c r="G262" s="858"/>
    </row>
    <row r="263" spans="1:7" ht="21" customHeight="1" x14ac:dyDescent="0.35">
      <c r="A263" s="883" t="s">
        <v>170</v>
      </c>
      <c r="B263" s="883" t="s">
        <v>143</v>
      </c>
      <c r="C263" s="883" t="s">
        <v>826</v>
      </c>
      <c r="D263" s="884">
        <f>'Pasta Prep'!X11</f>
        <v>16.5</v>
      </c>
      <c r="E263" s="883"/>
      <c r="F263" s="885"/>
      <c r="G263" s="885"/>
    </row>
    <row r="264" spans="1:7" ht="21" customHeight="1" x14ac:dyDescent="0.35">
      <c r="A264" s="880"/>
      <c r="B264" s="880"/>
      <c r="C264" s="880"/>
      <c r="D264" s="882"/>
      <c r="E264" s="880"/>
      <c r="F264" s="878"/>
      <c r="G264" s="878"/>
    </row>
    <row r="265" spans="1:7" ht="21" customHeight="1" x14ac:dyDescent="0.35">
      <c r="A265" s="879" t="s">
        <v>837</v>
      </c>
      <c r="B265" s="879" t="s">
        <v>143</v>
      </c>
      <c r="C265" s="879" t="s">
        <v>826</v>
      </c>
      <c r="D265" s="881">
        <f>'Pasta Prep'!X8</f>
        <v>22.4375</v>
      </c>
      <c r="E265" s="879"/>
      <c r="F265" s="877"/>
      <c r="G265" s="877"/>
    </row>
    <row r="266" spans="1:7" ht="21" customHeight="1" x14ac:dyDescent="0.35">
      <c r="A266" s="880"/>
      <c r="B266" s="880"/>
      <c r="C266" s="880"/>
      <c r="D266" s="882"/>
      <c r="E266" s="880"/>
      <c r="F266" s="878"/>
      <c r="G266" s="878"/>
    </row>
    <row r="267" spans="1:7" ht="21" customHeight="1" x14ac:dyDescent="0.35">
      <c r="A267" s="879" t="s">
        <v>172</v>
      </c>
      <c r="B267" s="879" t="s">
        <v>143</v>
      </c>
      <c r="C267" s="879" t="s">
        <v>826</v>
      </c>
      <c r="D267" s="881">
        <f>'Pasta Prep'!X4</f>
        <v>10.25</v>
      </c>
      <c r="E267" s="879"/>
      <c r="F267" s="877"/>
      <c r="G267" s="877"/>
    </row>
    <row r="268" spans="1:7" ht="21" customHeight="1" x14ac:dyDescent="0.35">
      <c r="A268" s="880"/>
      <c r="B268" s="880"/>
      <c r="C268" s="880"/>
      <c r="D268" s="882"/>
      <c r="E268" s="880"/>
      <c r="F268" s="878"/>
      <c r="G268" s="878"/>
    </row>
    <row r="269" spans="1:7" ht="21" customHeight="1" x14ac:dyDescent="0.35">
      <c r="A269" s="879" t="s">
        <v>173</v>
      </c>
      <c r="B269" s="879" t="s">
        <v>143</v>
      </c>
      <c r="C269" s="879" t="s">
        <v>826</v>
      </c>
      <c r="D269" s="881">
        <f>'Pasta Prep'!X9</f>
        <v>24.375</v>
      </c>
      <c r="E269" s="879"/>
      <c r="F269" s="877"/>
      <c r="G269" s="877"/>
    </row>
    <row r="270" spans="1:7" ht="21" customHeight="1" x14ac:dyDescent="0.35">
      <c r="A270" s="880"/>
      <c r="B270" s="880"/>
      <c r="C270" s="880"/>
      <c r="D270" s="882"/>
      <c r="E270" s="880"/>
      <c r="F270" s="878"/>
      <c r="G270" s="878"/>
    </row>
    <row r="271" spans="1:7" ht="21" customHeight="1" x14ac:dyDescent="0.35">
      <c r="A271" s="879" t="s">
        <v>1805</v>
      </c>
      <c r="B271" s="879" t="s">
        <v>143</v>
      </c>
      <c r="C271" s="879" t="s">
        <v>815</v>
      </c>
      <c r="D271" s="881">
        <f>'Pasta Prep'!X6</f>
        <v>4.5625</v>
      </c>
      <c r="E271" s="879"/>
      <c r="F271" s="877"/>
      <c r="G271" s="877"/>
    </row>
    <row r="272" spans="1:7" ht="21" customHeight="1" x14ac:dyDescent="0.35">
      <c r="A272" s="880"/>
      <c r="B272" s="880"/>
      <c r="C272" s="880"/>
      <c r="D272" s="882"/>
      <c r="E272" s="880"/>
      <c r="F272" s="878"/>
      <c r="G272" s="878"/>
    </row>
    <row r="273" spans="1:7" ht="21" customHeight="1" x14ac:dyDescent="0.35">
      <c r="A273" s="472" t="s">
        <v>838</v>
      </c>
      <c r="B273" s="473" t="s">
        <v>1806</v>
      </c>
      <c r="C273" s="473" t="s">
        <v>839</v>
      </c>
      <c r="D273" s="477">
        <v>6</v>
      </c>
      <c r="E273" s="481"/>
      <c r="F273" s="472"/>
      <c r="G273" s="472"/>
    </row>
    <row r="274" spans="1:7" ht="21" customHeight="1" x14ac:dyDescent="0.35">
      <c r="A274" s="472" t="s">
        <v>840</v>
      </c>
      <c r="B274" s="473" t="s">
        <v>143</v>
      </c>
      <c r="C274" s="473" t="s">
        <v>826</v>
      </c>
      <c r="D274" s="477">
        <f>'Pasta Prep'!X13</f>
        <v>3.375</v>
      </c>
      <c r="E274" s="481"/>
      <c r="F274" s="472"/>
      <c r="G274" s="472"/>
    </row>
    <row r="275" spans="1:7" ht="21" customHeight="1" thickBot="1" x14ac:dyDescent="0.4">
      <c r="A275" s="472" t="s">
        <v>1854</v>
      </c>
      <c r="B275" s="473" t="s">
        <v>1869</v>
      </c>
      <c r="C275" s="473" t="s">
        <v>828</v>
      </c>
      <c r="D275" s="477">
        <f>'Pasta Prep'!$F$24+'Pasta Prep'!$G$24</f>
        <v>16</v>
      </c>
      <c r="E275" s="481"/>
      <c r="F275" s="472"/>
      <c r="G275" s="472"/>
    </row>
    <row r="276" spans="1:7" ht="21" customHeight="1" thickBot="1" x14ac:dyDescent="0.4">
      <c r="A276" s="856" t="s">
        <v>1874</v>
      </c>
      <c r="B276" s="857"/>
      <c r="C276" s="857"/>
      <c r="D276" s="857"/>
      <c r="E276" s="857"/>
      <c r="F276" s="857"/>
      <c r="G276" s="858"/>
    </row>
    <row r="277" spans="1:7" ht="21" customHeight="1" x14ac:dyDescent="0.35">
      <c r="A277" s="475" t="s">
        <v>1866</v>
      </c>
      <c r="B277" s="476" t="s">
        <v>142</v>
      </c>
      <c r="C277" s="476" t="s">
        <v>841</v>
      </c>
      <c r="D277" s="804">
        <f>'Daily Product Breakdown'!$G$35+'Daily Product Breakdown'!$H$35+'Daily Product Breakdown'!$B$35</f>
        <v>142</v>
      </c>
      <c r="E277" s="802"/>
      <c r="F277" s="475"/>
      <c r="G277" s="475"/>
    </row>
    <row r="278" spans="1:7" ht="21" customHeight="1" x14ac:dyDescent="0.35">
      <c r="A278" s="472" t="s">
        <v>842</v>
      </c>
      <c r="B278" s="473" t="s">
        <v>835</v>
      </c>
      <c r="C278" s="473" t="s">
        <v>841</v>
      </c>
      <c r="D278" s="477">
        <f>'Daily Product Breakdown'!$G$37+'Daily Product Breakdown'!$H$37+'Daily Product Breakdown'!$B$37</f>
        <v>8</v>
      </c>
      <c r="E278" s="481"/>
      <c r="F278" s="472"/>
      <c r="G278" s="472"/>
    </row>
    <row r="279" spans="1:7" ht="21" customHeight="1" x14ac:dyDescent="0.35">
      <c r="A279" s="472" t="s">
        <v>843</v>
      </c>
      <c r="B279" s="473" t="s">
        <v>844</v>
      </c>
      <c r="C279" s="473" t="s">
        <v>839</v>
      </c>
      <c r="D279" s="477">
        <f>'Daily Product Breakdown'!$G$39+'Daily Product Breakdown'!$H$39</f>
        <v>12</v>
      </c>
      <c r="E279" s="481"/>
      <c r="F279" s="472"/>
      <c r="G279" s="472"/>
    </row>
    <row r="280" spans="1:7" ht="21" customHeight="1" x14ac:dyDescent="0.35">
      <c r="A280" s="472" t="s">
        <v>843</v>
      </c>
      <c r="B280" s="473" t="s">
        <v>845</v>
      </c>
      <c r="C280" s="473" t="s">
        <v>839</v>
      </c>
      <c r="D280" s="477">
        <f>'Daily Product Breakdown'!$G$41+'Daily Product Breakdown'!$H$41+'Daily Product Breakdown'!$B$41</f>
        <v>45</v>
      </c>
      <c r="E280" s="481"/>
      <c r="F280" s="472"/>
      <c r="G280" s="472"/>
    </row>
    <row r="281" spans="1:7" ht="21" customHeight="1" x14ac:dyDescent="0.35">
      <c r="A281" s="472" t="s">
        <v>61</v>
      </c>
      <c r="B281" s="473" t="s">
        <v>1810</v>
      </c>
      <c r="C281" s="473" t="s">
        <v>839</v>
      </c>
      <c r="D281" s="477">
        <f>'Daily Product Breakdown'!$G$177+'Daily Product Breakdown'!$H$177+'Daily Product Breakdown'!$B$177</f>
        <v>11</v>
      </c>
      <c r="E281" s="481"/>
      <c r="F281" s="472"/>
      <c r="G281" s="472"/>
    </row>
    <row r="282" spans="1:7" ht="21" customHeight="1" x14ac:dyDescent="0.35">
      <c r="A282" s="472" t="s">
        <v>61</v>
      </c>
      <c r="B282" s="473" t="s">
        <v>836</v>
      </c>
      <c r="C282" s="473" t="s">
        <v>839</v>
      </c>
      <c r="D282" s="477">
        <f>'Daily Product Breakdown'!$G$45+'Daily Product Breakdown'!$H$45+'Daily Product Breakdown'!$B$45</f>
        <v>6</v>
      </c>
      <c r="E282" s="481"/>
      <c r="F282" s="472"/>
      <c r="G282" s="472"/>
    </row>
    <row r="283" spans="1:7" ht="21" customHeight="1" x14ac:dyDescent="0.35">
      <c r="A283" s="472" t="s">
        <v>1809</v>
      </c>
      <c r="B283" s="473" t="s">
        <v>846</v>
      </c>
      <c r="C283" s="473" t="s">
        <v>839</v>
      </c>
      <c r="D283" s="477">
        <f>'Daily Product Breakdown'!$G$157+'Daily Product Breakdown'!$H$157+'Daily Product Breakdown'!$B$157</f>
        <v>28</v>
      </c>
      <c r="E283" s="481"/>
      <c r="F283" s="472"/>
      <c r="G283" s="472"/>
    </row>
    <row r="284" spans="1:7" ht="21" customHeight="1" x14ac:dyDescent="0.35">
      <c r="A284" s="472" t="s">
        <v>1326</v>
      </c>
      <c r="B284" s="474" t="s">
        <v>157</v>
      </c>
      <c r="C284" s="473" t="s">
        <v>1812</v>
      </c>
      <c r="D284" s="477">
        <f>'Daily Product Breakdown'!$G$81/26+'Daily Product Breakdown'!$H$81/26+'Daily Product Breakdown'!$B$81/26</f>
        <v>5.1538461538461533</v>
      </c>
      <c r="E284" s="481"/>
      <c r="F284" s="472"/>
      <c r="G284" s="472"/>
    </row>
    <row r="285" spans="1:7" ht="21" customHeight="1" x14ac:dyDescent="0.35">
      <c r="A285" s="470" t="s">
        <v>1826</v>
      </c>
      <c r="B285" s="471" t="s">
        <v>141</v>
      </c>
      <c r="C285" s="471" t="s">
        <v>848</v>
      </c>
      <c r="D285" s="483">
        <f>'Daily Product Breakdown'!$G$155+'Daily Product Breakdown'!$H$155+'Daily Product Breakdown'!$B$155</f>
        <v>29</v>
      </c>
      <c r="E285" s="482"/>
      <c r="F285" s="470"/>
      <c r="G285" s="470"/>
    </row>
    <row r="286" spans="1:7" ht="21" customHeight="1" x14ac:dyDescent="0.35">
      <c r="A286" s="470" t="s">
        <v>150</v>
      </c>
      <c r="B286" s="471" t="s">
        <v>1940</v>
      </c>
      <c r="C286" s="471" t="s">
        <v>1941</v>
      </c>
      <c r="D286" s="483">
        <f>'Daily Product Breakdown'!$G$83/8</f>
        <v>7</v>
      </c>
      <c r="E286" s="482"/>
      <c r="F286" s="470"/>
      <c r="G286" s="470"/>
    </row>
    <row r="287" spans="1:7" ht="21" customHeight="1" thickBot="1" x14ac:dyDescent="0.4">
      <c r="A287" s="470" t="s">
        <v>62</v>
      </c>
      <c r="B287" s="471" t="s">
        <v>141</v>
      </c>
      <c r="C287" s="471" t="s">
        <v>828</v>
      </c>
      <c r="D287" s="483">
        <f>'Daily Product Breakdown'!$G$179+'Daily Product Breakdown'!$H$179+'Daily Product Breakdown'!$B$179</f>
        <v>8</v>
      </c>
      <c r="E287" s="482"/>
      <c r="F287" s="470"/>
      <c r="G287" s="470"/>
    </row>
    <row r="288" spans="1:7" ht="21" customHeight="1" thickBot="1" x14ac:dyDescent="0.4">
      <c r="A288" s="856" t="s">
        <v>1875</v>
      </c>
      <c r="B288" s="857"/>
      <c r="C288" s="857"/>
      <c r="D288" s="857"/>
      <c r="E288" s="857"/>
      <c r="F288" s="857"/>
      <c r="G288" s="858"/>
    </row>
    <row r="289" spans="1:7" ht="21" customHeight="1" x14ac:dyDescent="0.35">
      <c r="A289" s="805" t="s">
        <v>1870</v>
      </c>
      <c r="B289" s="806" t="s">
        <v>1871</v>
      </c>
      <c r="C289" s="806" t="s">
        <v>828</v>
      </c>
      <c r="D289" s="804">
        <f>'Daily Product Breakdown'!$G$51+'Daily Product Breakdown'!$H$51</f>
        <v>28</v>
      </c>
      <c r="E289" s="802"/>
      <c r="F289" s="475"/>
      <c r="G289" s="475"/>
    </row>
    <row r="290" spans="1:7" ht="21" customHeight="1" x14ac:dyDescent="0.35">
      <c r="A290" s="472" t="s">
        <v>231</v>
      </c>
      <c r="B290" s="473" t="s">
        <v>814</v>
      </c>
      <c r="C290" s="473" t="s">
        <v>828</v>
      </c>
      <c r="D290" s="477">
        <v>2</v>
      </c>
      <c r="E290" s="481"/>
      <c r="F290" s="472"/>
      <c r="G290" s="472"/>
    </row>
    <row r="291" spans="1:7" ht="21" customHeight="1" x14ac:dyDescent="0.35">
      <c r="A291" s="472" t="s">
        <v>1872</v>
      </c>
      <c r="B291" s="473" t="s">
        <v>816</v>
      </c>
      <c r="C291" s="473" t="s">
        <v>828</v>
      </c>
      <c r="D291" s="477">
        <v>2</v>
      </c>
      <c r="E291" s="481"/>
      <c r="F291" s="472"/>
      <c r="G291" s="472"/>
    </row>
    <row r="292" spans="1:7" ht="21" customHeight="1" x14ac:dyDescent="0.35">
      <c r="A292" s="470" t="s">
        <v>1873</v>
      </c>
      <c r="B292" s="471" t="s">
        <v>816</v>
      </c>
      <c r="C292" s="471" t="s">
        <v>828</v>
      </c>
      <c r="D292" s="483">
        <v>1.5</v>
      </c>
      <c r="E292" s="482"/>
      <c r="F292" s="470"/>
      <c r="G292" s="470"/>
    </row>
    <row r="293" spans="1:7" ht="21" customHeight="1" x14ac:dyDescent="0.35">
      <c r="A293" s="472" t="s">
        <v>234</v>
      </c>
      <c r="B293" s="473" t="s">
        <v>816</v>
      </c>
      <c r="C293" s="473" t="s">
        <v>828</v>
      </c>
      <c r="D293" s="477">
        <v>2</v>
      </c>
      <c r="E293" s="481"/>
      <c r="F293" s="472"/>
      <c r="G293" s="472"/>
    </row>
    <row r="294" spans="1:7" ht="21" customHeight="1" x14ac:dyDescent="0.35">
      <c r="A294" s="472" t="s">
        <v>847</v>
      </c>
      <c r="B294" s="473" t="s">
        <v>816</v>
      </c>
      <c r="C294" s="473"/>
      <c r="D294" s="477">
        <v>1</v>
      </c>
      <c r="E294" s="481"/>
      <c r="F294" s="472"/>
      <c r="G294" s="472"/>
    </row>
    <row r="295" spans="1:7" ht="21" customHeight="1" x14ac:dyDescent="0.35">
      <c r="A295" s="470" t="s">
        <v>849</v>
      </c>
      <c r="B295" s="471" t="s">
        <v>816</v>
      </c>
      <c r="C295" s="471"/>
      <c r="D295" s="483">
        <v>1</v>
      </c>
      <c r="E295" s="482"/>
      <c r="F295" s="470"/>
      <c r="G295" s="470"/>
    </row>
    <row r="296" spans="1:7" ht="21" customHeight="1" thickBot="1" x14ac:dyDescent="0.4">
      <c r="A296" s="470" t="s">
        <v>1884</v>
      </c>
      <c r="B296" s="471" t="s">
        <v>816</v>
      </c>
      <c r="C296" s="471"/>
      <c r="D296" s="483">
        <v>2</v>
      </c>
      <c r="E296" s="482"/>
      <c r="F296" s="470"/>
      <c r="G296" s="470"/>
    </row>
    <row r="297" spans="1:7" ht="21" customHeight="1" thickBot="1" x14ac:dyDescent="0.4">
      <c r="A297" s="856" t="s">
        <v>1876</v>
      </c>
      <c r="B297" s="857"/>
      <c r="C297" s="857"/>
      <c r="D297" s="857"/>
      <c r="E297" s="857"/>
      <c r="F297" s="857"/>
      <c r="G297" s="858"/>
    </row>
    <row r="298" spans="1:7" ht="21" customHeight="1" x14ac:dyDescent="0.35">
      <c r="A298" s="475" t="s">
        <v>1877</v>
      </c>
      <c r="B298" s="476" t="s">
        <v>157</v>
      </c>
      <c r="C298" s="476"/>
      <c r="D298" s="804">
        <v>2</v>
      </c>
      <c r="E298" s="802"/>
      <c r="F298" s="475"/>
      <c r="G298" s="475"/>
    </row>
    <row r="299" spans="1:7" ht="21" customHeight="1" thickBot="1" x14ac:dyDescent="0.4">
      <c r="A299" s="470" t="s">
        <v>466</v>
      </c>
      <c r="B299" s="471" t="s">
        <v>1878</v>
      </c>
      <c r="C299" s="471"/>
      <c r="D299" s="483">
        <v>1</v>
      </c>
      <c r="E299" s="482"/>
      <c r="F299" s="470"/>
      <c r="G299" s="470"/>
    </row>
    <row r="300" spans="1:7" ht="21" customHeight="1" thickBot="1" x14ac:dyDescent="0.4">
      <c r="A300" s="886" t="s">
        <v>1879</v>
      </c>
      <c r="B300" s="887"/>
      <c r="C300" s="887"/>
      <c r="D300" s="887"/>
      <c r="E300" s="887"/>
      <c r="F300" s="887"/>
      <c r="G300" s="888"/>
    </row>
    <row r="301" spans="1:7" ht="21" customHeight="1" x14ac:dyDescent="0.35">
      <c r="A301" s="475" t="s">
        <v>339</v>
      </c>
      <c r="B301" s="476" t="s">
        <v>814</v>
      </c>
      <c r="C301" s="476"/>
      <c r="D301" s="804">
        <v>1</v>
      </c>
      <c r="E301" s="802"/>
      <c r="F301" s="475"/>
      <c r="G301" s="475"/>
    </row>
    <row r="302" spans="1:7" ht="21" customHeight="1" x14ac:dyDescent="0.35">
      <c r="A302" s="472" t="s">
        <v>1880</v>
      </c>
      <c r="B302" s="473" t="s">
        <v>814</v>
      </c>
      <c r="C302" s="473"/>
      <c r="D302" s="477">
        <v>1</v>
      </c>
      <c r="E302" s="481"/>
      <c r="F302" s="472"/>
      <c r="G302" s="472"/>
    </row>
    <row r="303" spans="1:7" ht="21" customHeight="1" x14ac:dyDescent="0.35">
      <c r="A303" s="472" t="s">
        <v>1943</v>
      </c>
      <c r="B303" s="473" t="s">
        <v>157</v>
      </c>
      <c r="C303" s="473"/>
      <c r="D303" s="807">
        <f>IF('Daily Product Breakdown'!$G$77+'Daily Product Breakdown'!$H$77,'Daily Product Breakdown'!$E$77+'Daily Product Breakdown'!$F$77)/64</f>
        <v>0.46875</v>
      </c>
      <c r="E303" s="481"/>
      <c r="F303" s="472"/>
      <c r="G303" s="472"/>
    </row>
    <row r="304" spans="1:7" ht="21" customHeight="1" x14ac:dyDescent="0.35">
      <c r="A304" s="472" t="s">
        <v>578</v>
      </c>
      <c r="B304" s="473" t="s">
        <v>157</v>
      </c>
      <c r="C304" s="473"/>
      <c r="D304" s="477">
        <f>('Daily Product Breakdown'!$G$65+'Daily Product Breakdown'!$H$65+'Daily Product Breakdown'!$B$65)/104</f>
        <v>6.8397115384615379</v>
      </c>
      <c r="E304" s="481"/>
      <c r="F304" s="472"/>
      <c r="G304" s="472"/>
    </row>
    <row r="305" spans="1:7" ht="21" customHeight="1" thickBot="1" x14ac:dyDescent="0.4">
      <c r="A305" s="470" t="s">
        <v>64</v>
      </c>
      <c r="B305" s="471" t="s">
        <v>157</v>
      </c>
      <c r="C305" s="471"/>
      <c r="D305" s="483">
        <f>('Daily Product Breakdown'!$G$73+'Daily Product Breakdown'!$H$73)/64</f>
        <v>8.921875</v>
      </c>
      <c r="E305" s="482"/>
      <c r="F305" s="470"/>
      <c r="G305" s="470"/>
    </row>
    <row r="306" spans="1:7" ht="21" customHeight="1" thickBot="1" x14ac:dyDescent="0.4">
      <c r="A306" s="856" t="s">
        <v>1881</v>
      </c>
      <c r="B306" s="857"/>
      <c r="C306" s="857"/>
      <c r="D306" s="857"/>
      <c r="E306" s="857"/>
      <c r="F306" s="857"/>
      <c r="G306" s="858"/>
    </row>
    <row r="307" spans="1:7" ht="21" customHeight="1" x14ac:dyDescent="0.35">
      <c r="A307" s="475" t="s">
        <v>596</v>
      </c>
      <c r="B307" s="476" t="s">
        <v>1944</v>
      </c>
      <c r="C307" s="476"/>
      <c r="D307" s="804">
        <f>('Daily Product Breakdown'!$G$129+'Daily Product Breakdown'!$H$129+'Daily Product Breakdown'!$B$129)/8</f>
        <v>73.75</v>
      </c>
      <c r="E307" s="802"/>
      <c r="F307" s="475"/>
      <c r="G307" s="475"/>
    </row>
    <row r="308" spans="1:7" ht="21" customHeight="1" x14ac:dyDescent="0.35">
      <c r="A308" s="472" t="s">
        <v>1882</v>
      </c>
      <c r="B308" s="473" t="s">
        <v>1807</v>
      </c>
      <c r="C308" s="473"/>
      <c r="D308" s="477">
        <f>('Daily Product Breakdown'!$G$127+'Daily Product Breakdown'!$H$127+'Daily Product Breakdown'!$B$127)/6</f>
        <v>20.166666666666668</v>
      </c>
      <c r="E308" s="481"/>
      <c r="F308" s="472"/>
      <c r="G308" s="472"/>
    </row>
    <row r="309" spans="1:7" ht="21" customHeight="1" x14ac:dyDescent="0.35">
      <c r="A309" s="472" t="s">
        <v>465</v>
      </c>
      <c r="B309" s="473" t="s">
        <v>1883</v>
      </c>
      <c r="C309" s="473"/>
      <c r="D309" s="477">
        <f>('Daily Product Breakdown'!$G$107+'Daily Product Breakdown'!$H$107+'Daily Product Breakdown'!$B$107)/8</f>
        <v>29</v>
      </c>
      <c r="E309" s="481"/>
      <c r="F309" s="472"/>
      <c r="G309" s="472"/>
    </row>
    <row r="310" spans="1:7" ht="21" customHeight="1" x14ac:dyDescent="0.35">
      <c r="A310" s="889" t="s">
        <v>1950</v>
      </c>
      <c r="B310" s="890"/>
      <c r="C310" s="890"/>
      <c r="D310" s="890"/>
      <c r="E310" s="890"/>
      <c r="F310" s="890"/>
      <c r="G310" s="891"/>
    </row>
    <row r="311" spans="1:7" ht="21" customHeight="1" x14ac:dyDescent="0.35">
      <c r="A311" s="892"/>
      <c r="B311" s="893"/>
      <c r="C311" s="893"/>
      <c r="D311" s="893"/>
      <c r="E311" s="893"/>
      <c r="F311" s="893"/>
      <c r="G311" s="894"/>
    </row>
    <row r="312" spans="1:7" ht="21" customHeight="1" x14ac:dyDescent="0.35">
      <c r="A312" s="895"/>
      <c r="B312" s="896"/>
      <c r="C312" s="896"/>
      <c r="D312" s="896"/>
      <c r="E312" s="896"/>
      <c r="F312" s="896"/>
      <c r="G312" s="897"/>
    </row>
    <row r="313" spans="1:7" ht="21" customHeight="1" thickBot="1" x14ac:dyDescent="0.4">
      <c r="A313" s="803" t="s">
        <v>131</v>
      </c>
      <c r="B313" s="803" t="s">
        <v>132</v>
      </c>
      <c r="C313" s="803" t="s">
        <v>821</v>
      </c>
      <c r="D313" s="803" t="s">
        <v>554</v>
      </c>
      <c r="E313" s="803" t="s">
        <v>834</v>
      </c>
      <c r="F313" s="803" t="s">
        <v>833</v>
      </c>
      <c r="G313" s="803" t="s">
        <v>820</v>
      </c>
    </row>
    <row r="314" spans="1:7" ht="21" customHeight="1" thickBot="1" x14ac:dyDescent="0.4">
      <c r="A314" s="856" t="s">
        <v>1964</v>
      </c>
      <c r="B314" s="857"/>
      <c r="C314" s="857"/>
      <c r="D314" s="857"/>
      <c r="E314" s="857"/>
      <c r="F314" s="857"/>
      <c r="G314" s="858"/>
    </row>
    <row r="315" spans="1:7" ht="21" customHeight="1" x14ac:dyDescent="0.35">
      <c r="A315" s="883" t="s">
        <v>170</v>
      </c>
      <c r="B315" s="883" t="s">
        <v>143</v>
      </c>
      <c r="C315" s="883" t="s">
        <v>826</v>
      </c>
      <c r="D315" s="884">
        <f>'Pasta Prep'!Z11</f>
        <v>2</v>
      </c>
      <c r="E315" s="883"/>
      <c r="F315" s="885"/>
      <c r="G315" s="885"/>
    </row>
    <row r="316" spans="1:7" ht="21" customHeight="1" x14ac:dyDescent="0.35">
      <c r="A316" s="880"/>
      <c r="B316" s="880"/>
      <c r="C316" s="880"/>
      <c r="D316" s="882"/>
      <c r="E316" s="880"/>
      <c r="F316" s="878"/>
      <c r="G316" s="878"/>
    </row>
    <row r="317" spans="1:7" ht="21" customHeight="1" x14ac:dyDescent="0.35">
      <c r="A317" s="879" t="s">
        <v>837</v>
      </c>
      <c r="B317" s="879" t="s">
        <v>143</v>
      </c>
      <c r="C317" s="879" t="s">
        <v>826</v>
      </c>
      <c r="D317" s="881">
        <f>'Pasta Prep'!Z8</f>
        <v>3.75</v>
      </c>
      <c r="E317" s="879"/>
      <c r="F317" s="877"/>
      <c r="G317" s="877"/>
    </row>
    <row r="318" spans="1:7" ht="21" customHeight="1" x14ac:dyDescent="0.35">
      <c r="A318" s="880"/>
      <c r="B318" s="880"/>
      <c r="C318" s="880"/>
      <c r="D318" s="882"/>
      <c r="E318" s="880"/>
      <c r="F318" s="878"/>
      <c r="G318" s="878"/>
    </row>
    <row r="319" spans="1:7" ht="21" customHeight="1" x14ac:dyDescent="0.35">
      <c r="A319" s="879" t="s">
        <v>172</v>
      </c>
      <c r="B319" s="879" t="s">
        <v>143</v>
      </c>
      <c r="C319" s="879" t="s">
        <v>826</v>
      </c>
      <c r="D319" s="881">
        <f>'Pasta Prep'!Z4</f>
        <v>2.65625</v>
      </c>
      <c r="E319" s="879"/>
      <c r="F319" s="877"/>
      <c r="G319" s="877"/>
    </row>
    <row r="320" spans="1:7" ht="21" customHeight="1" x14ac:dyDescent="0.35">
      <c r="A320" s="880"/>
      <c r="B320" s="880"/>
      <c r="C320" s="880"/>
      <c r="D320" s="882"/>
      <c r="E320" s="880"/>
      <c r="F320" s="878"/>
      <c r="G320" s="878"/>
    </row>
    <row r="321" spans="1:7" ht="21" customHeight="1" x14ac:dyDescent="0.35">
      <c r="A321" s="879" t="s">
        <v>173</v>
      </c>
      <c r="B321" s="879" t="s">
        <v>143</v>
      </c>
      <c r="C321" s="879" t="s">
        <v>826</v>
      </c>
      <c r="D321" s="881">
        <f>'Pasta Prep'!Z9</f>
        <v>3.78125</v>
      </c>
      <c r="E321" s="879"/>
      <c r="F321" s="877"/>
      <c r="G321" s="877"/>
    </row>
    <row r="322" spans="1:7" ht="21" customHeight="1" x14ac:dyDescent="0.35">
      <c r="A322" s="880"/>
      <c r="B322" s="880"/>
      <c r="C322" s="880"/>
      <c r="D322" s="882"/>
      <c r="E322" s="880"/>
      <c r="F322" s="878"/>
      <c r="G322" s="878"/>
    </row>
    <row r="323" spans="1:7" ht="21" customHeight="1" x14ac:dyDescent="0.35">
      <c r="A323" s="879" t="s">
        <v>1805</v>
      </c>
      <c r="B323" s="879" t="s">
        <v>143</v>
      </c>
      <c r="C323" s="879" t="s">
        <v>815</v>
      </c>
      <c r="D323" s="881">
        <f>'Pasta Prep'!Z6</f>
        <v>0.78125</v>
      </c>
      <c r="E323" s="879"/>
      <c r="F323" s="877"/>
      <c r="G323" s="877"/>
    </row>
    <row r="324" spans="1:7" ht="21" customHeight="1" x14ac:dyDescent="0.35">
      <c r="A324" s="880"/>
      <c r="B324" s="880"/>
      <c r="C324" s="880"/>
      <c r="D324" s="882"/>
      <c r="E324" s="880"/>
      <c r="F324" s="878"/>
      <c r="G324" s="878"/>
    </row>
    <row r="325" spans="1:7" ht="21" customHeight="1" x14ac:dyDescent="0.35">
      <c r="A325" s="472" t="s">
        <v>838</v>
      </c>
      <c r="B325" s="473" t="s">
        <v>1806</v>
      </c>
      <c r="C325" s="473" t="s">
        <v>839</v>
      </c>
      <c r="D325" s="477">
        <v>4</v>
      </c>
      <c r="E325" s="481"/>
      <c r="F325" s="472"/>
      <c r="G325" s="472"/>
    </row>
    <row r="326" spans="1:7" ht="21" customHeight="1" x14ac:dyDescent="0.35">
      <c r="A326" s="472" t="s">
        <v>840</v>
      </c>
      <c r="B326" s="473" t="s">
        <v>143</v>
      </c>
      <c r="C326" s="473" t="s">
        <v>826</v>
      </c>
      <c r="D326" s="477">
        <f>'Pasta Prep'!Z13</f>
        <v>1.1363636363636362</v>
      </c>
      <c r="E326" s="481"/>
      <c r="F326" s="472"/>
      <c r="G326" s="472"/>
    </row>
    <row r="327" spans="1:7" ht="21" customHeight="1" thickBot="1" x14ac:dyDescent="0.4">
      <c r="A327" s="472" t="s">
        <v>1854</v>
      </c>
      <c r="B327" s="473" t="s">
        <v>1869</v>
      </c>
      <c r="C327" s="473" t="s">
        <v>828</v>
      </c>
      <c r="D327" s="477">
        <f>'Pasta Prep'!$B$24+'Pasta Prep'!$C$24+'Pasta Prep'!$D$24</f>
        <v>5</v>
      </c>
      <c r="E327" s="481"/>
      <c r="F327" s="472"/>
      <c r="G327" s="472"/>
    </row>
    <row r="328" spans="1:7" ht="21" customHeight="1" thickBot="1" x14ac:dyDescent="0.4">
      <c r="A328" s="856" t="s">
        <v>1874</v>
      </c>
      <c r="B328" s="857"/>
      <c r="C328" s="857"/>
      <c r="D328" s="857"/>
      <c r="E328" s="857"/>
      <c r="F328" s="857"/>
      <c r="G328" s="858"/>
    </row>
    <row r="329" spans="1:7" ht="21" customHeight="1" x14ac:dyDescent="0.35">
      <c r="A329" s="475" t="s">
        <v>1866</v>
      </c>
      <c r="B329" s="476" t="s">
        <v>142</v>
      </c>
      <c r="C329" s="476" t="s">
        <v>841</v>
      </c>
      <c r="D329" s="804">
        <f>'Daily Product Breakdown'!$H$35+'Daily Product Breakdown'!$B$35+'Daily Product Breakdown'!$C$35</f>
        <v>83</v>
      </c>
      <c r="E329" s="802"/>
      <c r="F329" s="475"/>
      <c r="G329" s="475"/>
    </row>
    <row r="330" spans="1:7" ht="21" customHeight="1" x14ac:dyDescent="0.35">
      <c r="A330" s="472" t="s">
        <v>842</v>
      </c>
      <c r="B330" s="473" t="s">
        <v>835</v>
      </c>
      <c r="C330" s="473" t="s">
        <v>841</v>
      </c>
      <c r="D330" s="477">
        <f>'Daily Product Breakdown'!$H$37+'Daily Product Breakdown'!$B$37+'Daily Product Breakdown'!$C$37</f>
        <v>5</v>
      </c>
      <c r="E330" s="481"/>
      <c r="F330" s="472"/>
      <c r="G330" s="472"/>
    </row>
    <row r="331" spans="1:7" ht="21" customHeight="1" x14ac:dyDescent="0.35">
      <c r="A331" s="472" t="s">
        <v>843</v>
      </c>
      <c r="B331" s="473" t="s">
        <v>844</v>
      </c>
      <c r="C331" s="473" t="s">
        <v>839</v>
      </c>
      <c r="D331" s="477">
        <f>'Daily Product Breakdown'!$H$39+'Daily Product Breakdown'!$B$39</f>
        <v>4</v>
      </c>
      <c r="E331" s="481"/>
      <c r="F331" s="472"/>
      <c r="G331" s="472"/>
    </row>
    <row r="332" spans="1:7" ht="21" customHeight="1" x14ac:dyDescent="0.35">
      <c r="A332" s="472" t="s">
        <v>843</v>
      </c>
      <c r="B332" s="473" t="s">
        <v>845</v>
      </c>
      <c r="C332" s="473" t="s">
        <v>839</v>
      </c>
      <c r="D332" s="477">
        <f>'Daily Product Breakdown'!$H$41+'Daily Product Breakdown'!$B$41+'Daily Product Breakdown'!$C$41</f>
        <v>20</v>
      </c>
      <c r="E332" s="481"/>
      <c r="F332" s="472"/>
      <c r="G332" s="472"/>
    </row>
    <row r="333" spans="1:7" ht="21" customHeight="1" x14ac:dyDescent="0.35">
      <c r="A333" s="472" t="s">
        <v>61</v>
      </c>
      <c r="B333" s="473" t="s">
        <v>836</v>
      </c>
      <c r="C333" s="473" t="s">
        <v>839</v>
      </c>
      <c r="D333" s="477">
        <f>'Daily Product Breakdown'!$H$177+'Daily Product Breakdown'!$B$177+'Daily Product Breakdown'!$C$177</f>
        <v>5</v>
      </c>
      <c r="E333" s="481"/>
      <c r="F333" s="472"/>
      <c r="G333" s="472"/>
    </row>
    <row r="334" spans="1:7" ht="21" customHeight="1" x14ac:dyDescent="0.35">
      <c r="A334" s="472" t="s">
        <v>61</v>
      </c>
      <c r="B334" s="473" t="s">
        <v>1810</v>
      </c>
      <c r="C334" s="473" t="s">
        <v>839</v>
      </c>
      <c r="D334" s="477">
        <f>'Daily Product Breakdown'!$H$45+'Daily Product Breakdown'!$B$45+'Daily Product Breakdown'!$C$45</f>
        <v>6</v>
      </c>
      <c r="E334" s="481"/>
      <c r="F334" s="472"/>
      <c r="G334" s="472"/>
    </row>
    <row r="335" spans="1:7" ht="21" customHeight="1" x14ac:dyDescent="0.35">
      <c r="A335" s="472" t="s">
        <v>1809</v>
      </c>
      <c r="B335" s="473" t="s">
        <v>846</v>
      </c>
      <c r="C335" s="473" t="s">
        <v>839</v>
      </c>
      <c r="D335" s="477">
        <f>'Daily Product Breakdown'!$H$157+'Daily Product Breakdown'!$B$157+'Daily Product Breakdown'!$C$157</f>
        <v>20</v>
      </c>
      <c r="E335" s="481"/>
      <c r="F335" s="472"/>
      <c r="G335" s="472"/>
    </row>
    <row r="336" spans="1:7" ht="21" customHeight="1" x14ac:dyDescent="0.35">
      <c r="A336" s="472" t="s">
        <v>1326</v>
      </c>
      <c r="B336" s="474" t="s">
        <v>157</v>
      </c>
      <c r="C336" s="473" t="s">
        <v>1812</v>
      </c>
      <c r="D336" s="477">
        <f>'Daily Product Breakdown'!$H$81/26+'Daily Product Breakdown'!$B$81/26+'Daily Product Breakdown'!$C$81/26</f>
        <v>2.1538461538461542</v>
      </c>
      <c r="E336" s="481"/>
      <c r="F336" s="472"/>
      <c r="G336" s="472"/>
    </row>
    <row r="337" spans="1:7" ht="21" customHeight="1" x14ac:dyDescent="0.35">
      <c r="A337" s="470" t="s">
        <v>1826</v>
      </c>
      <c r="B337" s="471" t="s">
        <v>141</v>
      </c>
      <c r="C337" s="471" t="s">
        <v>848</v>
      </c>
      <c r="D337" s="483">
        <f>'Daily Product Breakdown'!$H$155+'Daily Product Breakdown'!$B$155+'Daily Product Breakdown'!$C$155</f>
        <v>12</v>
      </c>
      <c r="E337" s="482"/>
      <c r="F337" s="470"/>
      <c r="G337" s="470"/>
    </row>
    <row r="338" spans="1:7" ht="21" customHeight="1" x14ac:dyDescent="0.35">
      <c r="A338" s="470" t="s">
        <v>150</v>
      </c>
      <c r="B338" s="471" t="s">
        <v>1940</v>
      </c>
      <c r="C338" s="471" t="s">
        <v>1812</v>
      </c>
      <c r="D338" s="483">
        <f>'Daily Product Breakdown'!$H$83/8</f>
        <v>3</v>
      </c>
      <c r="E338" s="482"/>
      <c r="F338" s="470"/>
      <c r="G338" s="470"/>
    </row>
    <row r="339" spans="1:7" ht="21" customHeight="1" thickBot="1" x14ac:dyDescent="0.4">
      <c r="A339" s="470" t="s">
        <v>62</v>
      </c>
      <c r="B339" s="471" t="s">
        <v>141</v>
      </c>
      <c r="C339" s="471" t="s">
        <v>828</v>
      </c>
      <c r="D339" s="483">
        <f>'Daily Product Breakdown'!$H$179+'Daily Product Breakdown'!$B$179+'Daily Product Breakdown'!$C$179</f>
        <v>3</v>
      </c>
      <c r="E339" s="482"/>
      <c r="F339" s="470"/>
      <c r="G339" s="470"/>
    </row>
    <row r="340" spans="1:7" ht="21" customHeight="1" thickBot="1" x14ac:dyDescent="0.4">
      <c r="A340" s="856" t="s">
        <v>1875</v>
      </c>
      <c r="B340" s="857"/>
      <c r="C340" s="857"/>
      <c r="D340" s="857"/>
      <c r="E340" s="857"/>
      <c r="F340" s="857"/>
      <c r="G340" s="858"/>
    </row>
    <row r="341" spans="1:7" ht="21" customHeight="1" x14ac:dyDescent="0.35">
      <c r="A341" s="805" t="s">
        <v>1870</v>
      </c>
      <c r="B341" s="806" t="s">
        <v>1871</v>
      </c>
      <c r="C341" s="806" t="s">
        <v>828</v>
      </c>
      <c r="D341" s="804">
        <f>'Daily Product Breakdown'!$H$51+'Daily Product Breakdown'!$B$51</f>
        <v>12</v>
      </c>
      <c r="E341" s="802"/>
      <c r="F341" s="475"/>
      <c r="G341" s="475"/>
    </row>
    <row r="342" spans="1:7" ht="21" customHeight="1" x14ac:dyDescent="0.35">
      <c r="A342" s="472" t="s">
        <v>231</v>
      </c>
      <c r="B342" s="473" t="s">
        <v>814</v>
      </c>
      <c r="C342" s="473" t="s">
        <v>828</v>
      </c>
      <c r="D342" s="477">
        <v>1</v>
      </c>
      <c r="E342" s="481"/>
      <c r="F342" s="472"/>
      <c r="G342" s="472"/>
    </row>
    <row r="343" spans="1:7" ht="21" customHeight="1" x14ac:dyDescent="0.35">
      <c r="A343" s="472" t="s">
        <v>1872</v>
      </c>
      <c r="B343" s="473" t="s">
        <v>816</v>
      </c>
      <c r="C343" s="473" t="s">
        <v>828</v>
      </c>
      <c r="D343" s="477">
        <v>1</v>
      </c>
      <c r="E343" s="481"/>
      <c r="F343" s="472"/>
      <c r="G343" s="472"/>
    </row>
    <row r="344" spans="1:7" ht="21" customHeight="1" x14ac:dyDescent="0.35">
      <c r="A344" s="470" t="s">
        <v>1873</v>
      </c>
      <c r="B344" s="471" t="s">
        <v>816</v>
      </c>
      <c r="C344" s="471" t="s">
        <v>828</v>
      </c>
      <c r="D344" s="483">
        <v>1</v>
      </c>
      <c r="E344" s="482"/>
      <c r="F344" s="470"/>
      <c r="G344" s="470"/>
    </row>
    <row r="345" spans="1:7" ht="21" customHeight="1" x14ac:dyDescent="0.35">
      <c r="A345" s="472" t="s">
        <v>234</v>
      </c>
      <c r="B345" s="473" t="s">
        <v>816</v>
      </c>
      <c r="C345" s="473" t="s">
        <v>828</v>
      </c>
      <c r="D345" s="477">
        <v>1</v>
      </c>
      <c r="E345" s="481"/>
      <c r="F345" s="472"/>
      <c r="G345" s="472"/>
    </row>
    <row r="346" spans="1:7" ht="21" customHeight="1" x14ac:dyDescent="0.35">
      <c r="A346" s="472" t="s">
        <v>847</v>
      </c>
      <c r="B346" s="473" t="s">
        <v>816</v>
      </c>
      <c r="C346" s="473"/>
      <c r="D346" s="477">
        <v>1</v>
      </c>
      <c r="E346" s="481"/>
      <c r="F346" s="472"/>
      <c r="G346" s="472"/>
    </row>
    <row r="347" spans="1:7" ht="21" customHeight="1" x14ac:dyDescent="0.35">
      <c r="A347" s="470" t="s">
        <v>849</v>
      </c>
      <c r="B347" s="471" t="s">
        <v>816</v>
      </c>
      <c r="C347" s="471"/>
      <c r="D347" s="483">
        <v>1</v>
      </c>
      <c r="E347" s="482"/>
      <c r="F347" s="470"/>
      <c r="G347" s="470"/>
    </row>
    <row r="348" spans="1:7" ht="21" customHeight="1" thickBot="1" x14ac:dyDescent="0.4">
      <c r="A348" s="470" t="s">
        <v>1884</v>
      </c>
      <c r="B348" s="471" t="s">
        <v>816</v>
      </c>
      <c r="C348" s="471"/>
      <c r="D348" s="483">
        <v>1</v>
      </c>
      <c r="E348" s="482"/>
      <c r="F348" s="470"/>
      <c r="G348" s="470"/>
    </row>
    <row r="349" spans="1:7" ht="21" customHeight="1" thickBot="1" x14ac:dyDescent="0.4">
      <c r="A349" s="856" t="s">
        <v>1876</v>
      </c>
      <c r="B349" s="857"/>
      <c r="C349" s="857"/>
      <c r="D349" s="857"/>
      <c r="E349" s="857"/>
      <c r="F349" s="857"/>
      <c r="G349" s="858"/>
    </row>
    <row r="350" spans="1:7" ht="21" customHeight="1" x14ac:dyDescent="0.35">
      <c r="A350" s="475" t="s">
        <v>1877</v>
      </c>
      <c r="B350" s="476" t="s">
        <v>157</v>
      </c>
      <c r="C350" s="476"/>
      <c r="D350" s="804">
        <v>1</v>
      </c>
      <c r="E350" s="802"/>
      <c r="F350" s="475"/>
      <c r="G350" s="475"/>
    </row>
    <row r="351" spans="1:7" ht="21" customHeight="1" thickBot="1" x14ac:dyDescent="0.4">
      <c r="A351" s="470" t="s">
        <v>466</v>
      </c>
      <c r="B351" s="471" t="s">
        <v>1878</v>
      </c>
      <c r="C351" s="471"/>
      <c r="D351" s="483">
        <v>1</v>
      </c>
      <c r="E351" s="482"/>
      <c r="F351" s="470"/>
      <c r="G351" s="470"/>
    </row>
    <row r="352" spans="1:7" ht="21" customHeight="1" thickBot="1" x14ac:dyDescent="0.4">
      <c r="A352" s="886" t="s">
        <v>1879</v>
      </c>
      <c r="B352" s="887"/>
      <c r="C352" s="887"/>
      <c r="D352" s="887"/>
      <c r="E352" s="887"/>
      <c r="F352" s="887"/>
      <c r="G352" s="888"/>
    </row>
    <row r="353" spans="1:7" ht="21" customHeight="1" x14ac:dyDescent="0.35">
      <c r="A353" s="475" t="s">
        <v>339</v>
      </c>
      <c r="B353" s="476" t="s">
        <v>814</v>
      </c>
      <c r="C353" s="476"/>
      <c r="D353" s="804">
        <v>1</v>
      </c>
      <c r="E353" s="802"/>
      <c r="F353" s="475"/>
      <c r="G353" s="475"/>
    </row>
    <row r="354" spans="1:7" ht="21" customHeight="1" x14ac:dyDescent="0.35">
      <c r="A354" s="472" t="s">
        <v>1880</v>
      </c>
      <c r="B354" s="473" t="s">
        <v>814</v>
      </c>
      <c r="C354" s="473"/>
      <c r="D354" s="477">
        <v>1</v>
      </c>
      <c r="E354" s="481"/>
      <c r="F354" s="472"/>
      <c r="G354" s="472"/>
    </row>
    <row r="355" spans="1:7" ht="21" customHeight="1" x14ac:dyDescent="0.35">
      <c r="A355" s="472" t="s">
        <v>1943</v>
      </c>
      <c r="B355" s="473" t="s">
        <v>157</v>
      </c>
      <c r="C355" s="473"/>
      <c r="D355" s="807">
        <f>IF('Daily Product Breakdown'!$H$77+'Daily Product Breakdown'!$B$77,'Daily Product Breakdown'!$E$77+'Daily Product Breakdown'!$F$77)/64</f>
        <v>0.46875</v>
      </c>
      <c r="E355" s="481"/>
      <c r="F355" s="472"/>
      <c r="G355" s="472"/>
    </row>
    <row r="356" spans="1:7" ht="21" customHeight="1" x14ac:dyDescent="0.35">
      <c r="A356" s="472" t="s">
        <v>578</v>
      </c>
      <c r="B356" s="473" t="s">
        <v>157</v>
      </c>
      <c r="C356" s="473"/>
      <c r="D356" s="477">
        <f>('Daily Product Breakdown'!$H$65+'Daily Product Breakdown'!$B$65+'Daily Product Breakdown'!$C$65)/104</f>
        <v>3.6024999999999996</v>
      </c>
      <c r="E356" s="481"/>
      <c r="F356" s="472"/>
      <c r="G356" s="472"/>
    </row>
    <row r="357" spans="1:7" ht="21" customHeight="1" thickBot="1" x14ac:dyDescent="0.4">
      <c r="A357" s="470" t="s">
        <v>64</v>
      </c>
      <c r="B357" s="471" t="s">
        <v>157</v>
      </c>
      <c r="C357" s="471"/>
      <c r="D357" s="483">
        <f>('Daily Product Breakdown'!$H$73+'Daily Product Breakdown'!$B$73)/64</f>
        <v>3.171875</v>
      </c>
      <c r="E357" s="482"/>
      <c r="F357" s="470"/>
      <c r="G357" s="470"/>
    </row>
    <row r="358" spans="1:7" ht="21" customHeight="1" thickBot="1" x14ac:dyDescent="0.4">
      <c r="A358" s="856" t="s">
        <v>1881</v>
      </c>
      <c r="B358" s="857"/>
      <c r="C358" s="857"/>
      <c r="D358" s="857"/>
      <c r="E358" s="857"/>
      <c r="F358" s="857"/>
      <c r="G358" s="858"/>
    </row>
    <row r="359" spans="1:7" ht="21" customHeight="1" x14ac:dyDescent="0.35">
      <c r="A359" s="475" t="s">
        <v>596</v>
      </c>
      <c r="B359" s="476" t="s">
        <v>1944</v>
      </c>
      <c r="C359" s="476"/>
      <c r="D359" s="804">
        <f>('Daily Product Breakdown'!$H$129+'Daily Product Breakdown'!$B$129+'Daily Product Breakdown'!$C$129)/8</f>
        <v>41.25</v>
      </c>
      <c r="E359" s="802"/>
      <c r="F359" s="475"/>
      <c r="G359" s="475"/>
    </row>
    <row r="360" spans="1:7" ht="21" customHeight="1" x14ac:dyDescent="0.35">
      <c r="A360" s="472" t="s">
        <v>1882</v>
      </c>
      <c r="B360" s="473" t="s">
        <v>1807</v>
      </c>
      <c r="C360" s="473"/>
      <c r="D360" s="477">
        <f>('Daily Product Breakdown'!$H$127+'Daily Product Breakdown'!$B$127+'Daily Product Breakdown'!$C$127)/6</f>
        <v>12.833333333333334</v>
      </c>
      <c r="E360" s="481"/>
      <c r="F360" s="472"/>
      <c r="G360" s="472"/>
    </row>
    <row r="361" spans="1:7" ht="21" customHeight="1" x14ac:dyDescent="0.35">
      <c r="A361" s="472" t="s">
        <v>465</v>
      </c>
      <c r="B361" s="473" t="s">
        <v>1883</v>
      </c>
      <c r="C361" s="473"/>
      <c r="D361" s="477">
        <f>('Daily Product Breakdown'!$H$107+'Daily Product Breakdown'!$B$107+'Daily Product Breakdown'!$C$107)/8</f>
        <v>10</v>
      </c>
      <c r="E361" s="481"/>
      <c r="F361" s="472"/>
      <c r="G361" s="472"/>
    </row>
    <row r="362" spans="1:7" ht="21" customHeight="1" x14ac:dyDescent="0.35">
      <c r="A362" s="889" t="s">
        <v>1950</v>
      </c>
      <c r="B362" s="890"/>
      <c r="C362" s="890"/>
      <c r="D362" s="890"/>
      <c r="E362" s="890"/>
      <c r="F362" s="890"/>
      <c r="G362" s="891"/>
    </row>
    <row r="363" spans="1:7" ht="21" customHeight="1" x14ac:dyDescent="0.35">
      <c r="A363" s="892"/>
      <c r="B363" s="893"/>
      <c r="C363" s="893"/>
      <c r="D363" s="893"/>
      <c r="E363" s="893"/>
      <c r="F363" s="893"/>
      <c r="G363" s="894"/>
    </row>
    <row r="364" spans="1:7" ht="21" customHeight="1" x14ac:dyDescent="0.35">
      <c r="A364" s="895"/>
      <c r="B364" s="896"/>
      <c r="C364" s="896"/>
      <c r="D364" s="896"/>
      <c r="E364" s="896"/>
      <c r="F364" s="896"/>
      <c r="G364" s="897"/>
    </row>
    <row r="365" spans="1:7" ht="21" customHeight="1" x14ac:dyDescent="0.35"/>
    <row r="366" spans="1:7" ht="21" customHeight="1" x14ac:dyDescent="0.35"/>
    <row r="367" spans="1:7" ht="21" customHeight="1" x14ac:dyDescent="0.35"/>
    <row r="368" spans="1:7" ht="21" customHeight="1" x14ac:dyDescent="0.35"/>
    <row r="369" ht="21" customHeight="1" x14ac:dyDescent="0.35"/>
    <row r="370" ht="21" customHeight="1" x14ac:dyDescent="0.35"/>
    <row r="371" ht="21" customHeight="1" x14ac:dyDescent="0.35"/>
    <row r="372" ht="21" customHeight="1" x14ac:dyDescent="0.35"/>
    <row r="373" ht="21" customHeight="1" x14ac:dyDescent="0.35"/>
    <row r="374" ht="21" customHeight="1" x14ac:dyDescent="0.35"/>
    <row r="375" ht="21" customHeight="1" x14ac:dyDescent="0.35"/>
    <row r="376" ht="21" customHeight="1" x14ac:dyDescent="0.35"/>
    <row r="377" ht="21" customHeight="1" x14ac:dyDescent="0.35"/>
    <row r="378" ht="21" customHeight="1" x14ac:dyDescent="0.35"/>
    <row r="379" ht="21" customHeight="1" x14ac:dyDescent="0.35"/>
    <row r="380" ht="21" customHeight="1" x14ac:dyDescent="0.35"/>
    <row r="381" ht="21" customHeight="1" x14ac:dyDescent="0.35"/>
    <row r="382" ht="21" customHeight="1" x14ac:dyDescent="0.35"/>
    <row r="383" ht="21" customHeight="1" x14ac:dyDescent="0.35"/>
    <row r="384" ht="21" customHeight="1" x14ac:dyDescent="0.35"/>
    <row r="385" ht="21" customHeight="1" x14ac:dyDescent="0.35"/>
    <row r="386" ht="21" customHeight="1" x14ac:dyDescent="0.35"/>
    <row r="387" ht="21" customHeight="1" x14ac:dyDescent="0.35"/>
    <row r="388" ht="21" customHeight="1" x14ac:dyDescent="0.35"/>
  </sheetData>
  <mergeCells count="294">
    <mergeCell ref="A362:G364"/>
    <mergeCell ref="G323:G324"/>
    <mergeCell ref="A328:G328"/>
    <mergeCell ref="A340:G340"/>
    <mergeCell ref="A349:G349"/>
    <mergeCell ref="A352:G352"/>
    <mergeCell ref="A358:G358"/>
    <mergeCell ref="A323:A324"/>
    <mergeCell ref="B323:B324"/>
    <mergeCell ref="C323:C324"/>
    <mergeCell ref="D323:D324"/>
    <mergeCell ref="E323:E324"/>
    <mergeCell ref="F323:F324"/>
    <mergeCell ref="A310:G312"/>
    <mergeCell ref="A314:G314"/>
    <mergeCell ref="A319:A320"/>
    <mergeCell ref="B319:B320"/>
    <mergeCell ref="C319:C320"/>
    <mergeCell ref="D319:D320"/>
    <mergeCell ref="E319:E320"/>
    <mergeCell ref="F319:F320"/>
    <mergeCell ref="G319:G320"/>
    <mergeCell ref="G271:G272"/>
    <mergeCell ref="A276:G276"/>
    <mergeCell ref="A288:G288"/>
    <mergeCell ref="A297:G297"/>
    <mergeCell ref="A300:G300"/>
    <mergeCell ref="A306:G306"/>
    <mergeCell ref="A271:A272"/>
    <mergeCell ref="B271:B272"/>
    <mergeCell ref="E271:E272"/>
    <mergeCell ref="F271:F272"/>
    <mergeCell ref="A258:G260"/>
    <mergeCell ref="A262:G262"/>
    <mergeCell ref="A267:A268"/>
    <mergeCell ref="B267:B268"/>
    <mergeCell ref="C267:C268"/>
    <mergeCell ref="D267:D268"/>
    <mergeCell ref="E267:E268"/>
    <mergeCell ref="F267:F268"/>
    <mergeCell ref="G267:G268"/>
    <mergeCell ref="G219:G220"/>
    <mergeCell ref="A224:G224"/>
    <mergeCell ref="A236:G236"/>
    <mergeCell ref="A245:G245"/>
    <mergeCell ref="A248:G248"/>
    <mergeCell ref="A254:G254"/>
    <mergeCell ref="A219:A220"/>
    <mergeCell ref="B219:B220"/>
    <mergeCell ref="C219:C220"/>
    <mergeCell ref="D219:D220"/>
    <mergeCell ref="E219:E220"/>
    <mergeCell ref="F219:F220"/>
    <mergeCell ref="A202:G202"/>
    <mergeCell ref="A206:G208"/>
    <mergeCell ref="A210:G210"/>
    <mergeCell ref="A215:A216"/>
    <mergeCell ref="B215:B216"/>
    <mergeCell ref="E215:E216"/>
    <mergeCell ref="F215:F216"/>
    <mergeCell ref="G215:G216"/>
    <mergeCell ref="A54:G54"/>
    <mergeCell ref="A59:A60"/>
    <mergeCell ref="B59:B60"/>
    <mergeCell ref="C59:C60"/>
    <mergeCell ref="D59:D60"/>
    <mergeCell ref="A68:G68"/>
    <mergeCell ref="A50:G52"/>
    <mergeCell ref="E59:E60"/>
    <mergeCell ref="F59:F60"/>
    <mergeCell ref="G59:G60"/>
    <mergeCell ref="A63:A64"/>
    <mergeCell ref="B63:B64"/>
    <mergeCell ref="C63:C64"/>
    <mergeCell ref="D63:D64"/>
    <mergeCell ref="A40:G40"/>
    <mergeCell ref="A46:G46"/>
    <mergeCell ref="G63:G64"/>
    <mergeCell ref="F63:F64"/>
    <mergeCell ref="E63:E64"/>
    <mergeCell ref="F55:F56"/>
    <mergeCell ref="G55:G56"/>
    <mergeCell ref="A57:A58"/>
    <mergeCell ref="A2:G2"/>
    <mergeCell ref="A16:G16"/>
    <mergeCell ref="B7:B8"/>
    <mergeCell ref="B11:B12"/>
    <mergeCell ref="E11:E12"/>
    <mergeCell ref="F11:F12"/>
    <mergeCell ref="G11:G12"/>
    <mergeCell ref="A92:G92"/>
    <mergeCell ref="A98:G98"/>
    <mergeCell ref="A102:G104"/>
    <mergeCell ref="A106:G106"/>
    <mergeCell ref="A11:A12"/>
    <mergeCell ref="A7:A8"/>
    <mergeCell ref="C11:C12"/>
    <mergeCell ref="C7:C8"/>
    <mergeCell ref="A28:G28"/>
    <mergeCell ref="A37:G37"/>
    <mergeCell ref="A111:A112"/>
    <mergeCell ref="B111:B112"/>
    <mergeCell ref="C111:C112"/>
    <mergeCell ref="D111:D112"/>
    <mergeCell ref="E111:E112"/>
    <mergeCell ref="F111:F112"/>
    <mergeCell ref="A150:G150"/>
    <mergeCell ref="A154:G156"/>
    <mergeCell ref="G111:G112"/>
    <mergeCell ref="A115:A116"/>
    <mergeCell ref="B115:B116"/>
    <mergeCell ref="C115:C116"/>
    <mergeCell ref="D115:D116"/>
    <mergeCell ref="E115:E116"/>
    <mergeCell ref="F115:F116"/>
    <mergeCell ref="G115:G116"/>
    <mergeCell ref="A196:G196"/>
    <mergeCell ref="F167:F168"/>
    <mergeCell ref="D7:D8"/>
    <mergeCell ref="E7:E8"/>
    <mergeCell ref="F7:F8"/>
    <mergeCell ref="G7:G8"/>
    <mergeCell ref="D11:D12"/>
    <mergeCell ref="A167:A168"/>
    <mergeCell ref="B167:B168"/>
    <mergeCell ref="D163:D164"/>
    <mergeCell ref="A184:G184"/>
    <mergeCell ref="C167:C168"/>
    <mergeCell ref="D167:D168"/>
    <mergeCell ref="E167:E168"/>
    <mergeCell ref="C163:C164"/>
    <mergeCell ref="A193:G193"/>
    <mergeCell ref="E163:E164"/>
    <mergeCell ref="F163:F164"/>
    <mergeCell ref="G163:G164"/>
    <mergeCell ref="G3:G4"/>
    <mergeCell ref="A158:G158"/>
    <mergeCell ref="A163:A164"/>
    <mergeCell ref="B163:B164"/>
    <mergeCell ref="G167:G168"/>
    <mergeCell ref="A172:G172"/>
    <mergeCell ref="A120:G120"/>
    <mergeCell ref="A132:G132"/>
    <mergeCell ref="A141:G141"/>
    <mergeCell ref="A144:G144"/>
    <mergeCell ref="A3:A4"/>
    <mergeCell ref="B3:B4"/>
    <mergeCell ref="C3:C4"/>
    <mergeCell ref="D3:D4"/>
    <mergeCell ref="E3:E4"/>
    <mergeCell ref="F3:F4"/>
    <mergeCell ref="E9:E10"/>
    <mergeCell ref="F9:F10"/>
    <mergeCell ref="G9:G10"/>
    <mergeCell ref="A5:A6"/>
    <mergeCell ref="B5:B6"/>
    <mergeCell ref="C5:C6"/>
    <mergeCell ref="D5:D6"/>
    <mergeCell ref="E5:E6"/>
    <mergeCell ref="F5:F6"/>
    <mergeCell ref="A55:A56"/>
    <mergeCell ref="B55:B56"/>
    <mergeCell ref="C55:C56"/>
    <mergeCell ref="D55:D56"/>
    <mergeCell ref="E55:E56"/>
    <mergeCell ref="G5:G6"/>
    <mergeCell ref="A9:A10"/>
    <mergeCell ref="B9:B10"/>
    <mergeCell ref="C9:C10"/>
    <mergeCell ref="D9:D10"/>
    <mergeCell ref="B57:B58"/>
    <mergeCell ref="C57:C58"/>
    <mergeCell ref="D57:D58"/>
    <mergeCell ref="E57:E58"/>
    <mergeCell ref="F57:F58"/>
    <mergeCell ref="G57:G58"/>
    <mergeCell ref="F107:F108"/>
    <mergeCell ref="G107:G108"/>
    <mergeCell ref="A61:A62"/>
    <mergeCell ref="B61:B62"/>
    <mergeCell ref="C61:C62"/>
    <mergeCell ref="D61:D62"/>
    <mergeCell ref="E61:E62"/>
    <mergeCell ref="F61:F62"/>
    <mergeCell ref="A80:G80"/>
    <mergeCell ref="A89:G89"/>
    <mergeCell ref="C109:C110"/>
    <mergeCell ref="D109:D110"/>
    <mergeCell ref="E109:E110"/>
    <mergeCell ref="F109:F110"/>
    <mergeCell ref="G61:G62"/>
    <mergeCell ref="A107:A108"/>
    <mergeCell ref="B107:B108"/>
    <mergeCell ref="C107:C108"/>
    <mergeCell ref="D107:D108"/>
    <mergeCell ref="E107:E108"/>
    <mergeCell ref="G109:G110"/>
    <mergeCell ref="A113:A114"/>
    <mergeCell ref="B113:B114"/>
    <mergeCell ref="C113:C114"/>
    <mergeCell ref="D113:D114"/>
    <mergeCell ref="E113:E114"/>
    <mergeCell ref="F113:F114"/>
    <mergeCell ref="G113:G114"/>
    <mergeCell ref="A109:A110"/>
    <mergeCell ref="B109:B110"/>
    <mergeCell ref="F161:F162"/>
    <mergeCell ref="G161:G162"/>
    <mergeCell ref="A159:A160"/>
    <mergeCell ref="B159:B160"/>
    <mergeCell ref="C159:C160"/>
    <mergeCell ref="D159:D160"/>
    <mergeCell ref="E159:E160"/>
    <mergeCell ref="F159:F160"/>
    <mergeCell ref="C165:C166"/>
    <mergeCell ref="D165:D166"/>
    <mergeCell ref="E165:E166"/>
    <mergeCell ref="F165:F166"/>
    <mergeCell ref="G159:G160"/>
    <mergeCell ref="A161:A162"/>
    <mergeCell ref="B161:B162"/>
    <mergeCell ref="C161:C162"/>
    <mergeCell ref="D161:D162"/>
    <mergeCell ref="E161:E162"/>
    <mergeCell ref="G165:G166"/>
    <mergeCell ref="A211:A212"/>
    <mergeCell ref="B211:B212"/>
    <mergeCell ref="C211:C212"/>
    <mergeCell ref="D211:D212"/>
    <mergeCell ref="E211:E212"/>
    <mergeCell ref="F211:F212"/>
    <mergeCell ref="G211:G212"/>
    <mergeCell ref="A165:A166"/>
    <mergeCell ref="B165:B166"/>
    <mergeCell ref="F217:F218"/>
    <mergeCell ref="G217:G218"/>
    <mergeCell ref="A213:A214"/>
    <mergeCell ref="B213:B214"/>
    <mergeCell ref="C213:C214"/>
    <mergeCell ref="D213:D214"/>
    <mergeCell ref="E213:E214"/>
    <mergeCell ref="F213:F214"/>
    <mergeCell ref="C215:C216"/>
    <mergeCell ref="D215:D216"/>
    <mergeCell ref="C263:C264"/>
    <mergeCell ref="D263:D264"/>
    <mergeCell ref="E263:E264"/>
    <mergeCell ref="F263:F264"/>
    <mergeCell ref="G213:G214"/>
    <mergeCell ref="A217:A218"/>
    <mergeCell ref="B217:B218"/>
    <mergeCell ref="C217:C218"/>
    <mergeCell ref="D217:D218"/>
    <mergeCell ref="E217:E218"/>
    <mergeCell ref="G263:G264"/>
    <mergeCell ref="A265:A266"/>
    <mergeCell ref="B265:B266"/>
    <mergeCell ref="C265:C266"/>
    <mergeCell ref="D265:D266"/>
    <mergeCell ref="E265:E266"/>
    <mergeCell ref="F265:F266"/>
    <mergeCell ref="G265:G266"/>
    <mergeCell ref="A263:A264"/>
    <mergeCell ref="B263:B264"/>
    <mergeCell ref="F315:F316"/>
    <mergeCell ref="G315:G316"/>
    <mergeCell ref="A269:A270"/>
    <mergeCell ref="B269:B270"/>
    <mergeCell ref="C269:C270"/>
    <mergeCell ref="D269:D270"/>
    <mergeCell ref="E269:E270"/>
    <mergeCell ref="F269:F270"/>
    <mergeCell ref="C271:C272"/>
    <mergeCell ref="D271:D272"/>
    <mergeCell ref="C317:C318"/>
    <mergeCell ref="D317:D318"/>
    <mergeCell ref="E317:E318"/>
    <mergeCell ref="F317:F318"/>
    <mergeCell ref="G269:G270"/>
    <mergeCell ref="A315:A316"/>
    <mergeCell ref="B315:B316"/>
    <mergeCell ref="C315:C316"/>
    <mergeCell ref="D315:D316"/>
    <mergeCell ref="E315:E316"/>
    <mergeCell ref="G317:G318"/>
    <mergeCell ref="A321:A322"/>
    <mergeCell ref="B321:B322"/>
    <mergeCell ref="C321:C322"/>
    <mergeCell ref="D321:D322"/>
    <mergeCell ref="E321:E322"/>
    <mergeCell ref="F321:F322"/>
    <mergeCell ref="G321:G322"/>
    <mergeCell ref="A317:A318"/>
    <mergeCell ref="B317:B318"/>
  </mergeCells>
  <printOptions horizontalCentered="1" verticalCentered="1"/>
  <pageMargins left="0.23622047244094491" right="0.23622047244094491" top="0.15748031496062992" bottom="0.15748031496062992" header="0" footer="0"/>
  <pageSetup scale="68" fitToHeight="0" orientation="portrait" r:id="rId1"/>
  <headerFooter alignWithMargins="0"/>
  <rowBreaks count="6" manualBreakCount="6">
    <brk id="52" max="6" man="1"/>
    <brk id="104" max="6" man="1"/>
    <brk id="156" max="6" man="1"/>
    <brk id="208" max="6" man="1"/>
    <brk id="260" max="6" man="1"/>
    <brk id="312" max="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E8C43-7B07-4513-8070-ED37725D2CFF}">
  <dimension ref="A1:P76"/>
  <sheetViews>
    <sheetView view="pageBreakPreview" zoomScale="60" zoomScaleNormal="100" workbookViewId="0">
      <selection activeCell="E76" sqref="E76:M76"/>
    </sheetView>
  </sheetViews>
  <sheetFormatPr defaultRowHeight="15" x14ac:dyDescent="0.25"/>
  <sheetData>
    <row r="1" spans="1:16" x14ac:dyDescent="0.25">
      <c r="A1" s="903" t="s">
        <v>1918</v>
      </c>
      <c r="B1" s="904"/>
      <c r="C1" s="904"/>
      <c r="D1" s="904"/>
      <c r="E1" s="904"/>
      <c r="F1" s="904"/>
      <c r="G1" s="904"/>
      <c r="H1" s="905"/>
      <c r="I1" s="903" t="s">
        <v>1918</v>
      </c>
      <c r="J1" s="904"/>
      <c r="K1" s="904"/>
      <c r="L1" s="904"/>
      <c r="M1" s="904"/>
      <c r="N1" s="904"/>
      <c r="O1" s="904"/>
      <c r="P1" s="905"/>
    </row>
    <row r="2" spans="1:16" ht="15.75" thickBot="1" x14ac:dyDescent="0.3">
      <c r="A2" s="906"/>
      <c r="B2" s="907"/>
      <c r="C2" s="907"/>
      <c r="D2" s="907"/>
      <c r="E2" s="907"/>
      <c r="F2" s="907"/>
      <c r="G2" s="907"/>
      <c r="H2" s="908"/>
      <c r="I2" s="906"/>
      <c r="J2" s="907"/>
      <c r="K2" s="907"/>
      <c r="L2" s="907"/>
      <c r="M2" s="907"/>
      <c r="N2" s="907"/>
      <c r="O2" s="907"/>
      <c r="P2" s="908"/>
    </row>
    <row r="3" spans="1:16" x14ac:dyDescent="0.25">
      <c r="A3" s="909" t="s">
        <v>1803</v>
      </c>
      <c r="B3" s="910"/>
      <c r="C3" s="910"/>
      <c r="D3" s="910"/>
      <c r="E3" s="910"/>
      <c r="F3" s="910"/>
      <c r="G3" s="910"/>
      <c r="H3" s="911"/>
      <c r="I3" s="909" t="s">
        <v>1935</v>
      </c>
      <c r="J3" s="910"/>
      <c r="K3" s="910"/>
      <c r="L3" s="910"/>
      <c r="M3" s="910"/>
      <c r="N3" s="910"/>
      <c r="O3" s="910"/>
      <c r="P3" s="911"/>
    </row>
    <row r="4" spans="1:16" x14ac:dyDescent="0.25">
      <c r="A4" s="900" t="s">
        <v>131</v>
      </c>
      <c r="B4" s="900"/>
      <c r="C4" s="813" t="s">
        <v>32</v>
      </c>
      <c r="D4" s="900" t="s">
        <v>1325</v>
      </c>
      <c r="E4" s="900"/>
      <c r="F4" s="900" t="s">
        <v>1919</v>
      </c>
      <c r="G4" s="900"/>
      <c r="H4" s="812" t="s">
        <v>820</v>
      </c>
      <c r="I4" s="900" t="s">
        <v>131</v>
      </c>
      <c r="J4" s="900"/>
      <c r="K4" s="813" t="s">
        <v>32</v>
      </c>
      <c r="L4" s="900" t="s">
        <v>1325</v>
      </c>
      <c r="M4" s="900"/>
      <c r="N4" s="900" t="s">
        <v>1919</v>
      </c>
      <c r="O4" s="900"/>
      <c r="P4" s="813" t="s">
        <v>820</v>
      </c>
    </row>
    <row r="5" spans="1:16" x14ac:dyDescent="0.25">
      <c r="A5" s="900" t="s">
        <v>886</v>
      </c>
      <c r="B5" s="900"/>
      <c r="C5" s="813" t="s">
        <v>141</v>
      </c>
      <c r="D5" s="900">
        <f>'Daily Product Breakdown'!$C$179+'Daily Product Breakdown'!$D$179+'Daily Product Breakdown'!$E$179</f>
        <v>1</v>
      </c>
      <c r="E5" s="900"/>
      <c r="F5" s="900"/>
      <c r="G5" s="900"/>
      <c r="H5" s="571"/>
      <c r="I5" s="900" t="s">
        <v>886</v>
      </c>
      <c r="J5" s="900"/>
      <c r="K5" s="813" t="s">
        <v>141</v>
      </c>
      <c r="L5" s="900">
        <f>'Daily Product Breakdown'!$D$179+'Daily Product Breakdown'!$E$179+'Daily Product Breakdown'!$F$179</f>
        <v>2</v>
      </c>
      <c r="M5" s="900"/>
      <c r="N5" s="900"/>
      <c r="O5" s="900"/>
      <c r="P5" s="571"/>
    </row>
    <row r="6" spans="1:16" x14ac:dyDescent="0.25">
      <c r="A6" s="900" t="s">
        <v>1920</v>
      </c>
      <c r="B6" s="900"/>
      <c r="C6" s="813" t="s">
        <v>141</v>
      </c>
      <c r="D6" s="900">
        <f>'Daily Product Breakdown'!$C$187+'Daily Product Breakdown'!$D$187+'Daily Product Breakdown'!$E$187</f>
        <v>3.5</v>
      </c>
      <c r="E6" s="900"/>
      <c r="F6" s="900"/>
      <c r="G6" s="900"/>
      <c r="H6" s="571"/>
      <c r="I6" s="900" t="s">
        <v>1920</v>
      </c>
      <c r="J6" s="900"/>
      <c r="K6" s="813" t="s">
        <v>141</v>
      </c>
      <c r="L6" s="900">
        <f>'Daily Product Breakdown'!$D$187+'Daily Product Breakdown'!$E$187+'Daily Product Breakdown'!$F$187</f>
        <v>6.5</v>
      </c>
      <c r="M6" s="900"/>
      <c r="N6" s="900"/>
      <c r="O6" s="900"/>
      <c r="P6" s="571"/>
    </row>
    <row r="7" spans="1:16" x14ac:dyDescent="0.25">
      <c r="A7" s="900" t="s">
        <v>1921</v>
      </c>
      <c r="B7" s="900"/>
      <c r="C7" s="813" t="s">
        <v>157</v>
      </c>
      <c r="D7" s="902">
        <f>('Daily Product Breakdown'!$C$153+'Daily Product Breakdown'!$D$153+'Daily Product Breakdown'!$E$153)/6</f>
        <v>1.1666666666666667</v>
      </c>
      <c r="E7" s="902"/>
      <c r="F7" s="900"/>
      <c r="G7" s="900"/>
      <c r="H7" s="571"/>
      <c r="I7" s="900" t="s">
        <v>1921</v>
      </c>
      <c r="J7" s="900"/>
      <c r="K7" s="813" t="s">
        <v>157</v>
      </c>
      <c r="L7" s="902">
        <f>('Daily Product Breakdown'!$D$153+'Daily Product Breakdown'!$E$153+'Daily Product Breakdown'!$F$153)/6</f>
        <v>1</v>
      </c>
      <c r="M7" s="902"/>
      <c r="N7" s="900"/>
      <c r="O7" s="900"/>
      <c r="P7" s="571"/>
    </row>
    <row r="8" spans="1:16" x14ac:dyDescent="0.25">
      <c r="A8" s="900" t="s">
        <v>1922</v>
      </c>
      <c r="B8" s="900"/>
      <c r="C8" s="813" t="s">
        <v>141</v>
      </c>
      <c r="D8" s="900">
        <f>'Daily Product Breakdown'!$C$47+'Daily Product Breakdown'!$D$47+'Daily Product Breakdown'!$E$47</f>
        <v>7</v>
      </c>
      <c r="E8" s="900"/>
      <c r="F8" s="900"/>
      <c r="G8" s="900"/>
      <c r="H8" s="571"/>
      <c r="I8" s="900" t="s">
        <v>1922</v>
      </c>
      <c r="J8" s="900"/>
      <c r="K8" s="813" t="s">
        <v>141</v>
      </c>
      <c r="L8" s="900">
        <f>'Daily Product Breakdown'!$D$47+'Daily Product Breakdown'!$E$47+'Daily Product Breakdown'!$F$47</f>
        <v>6</v>
      </c>
      <c r="M8" s="900"/>
      <c r="N8" s="900"/>
      <c r="O8" s="900"/>
      <c r="P8" s="571"/>
    </row>
    <row r="9" spans="1:16" x14ac:dyDescent="0.25">
      <c r="A9" s="900" t="s">
        <v>1923</v>
      </c>
      <c r="B9" s="900"/>
      <c r="C9" s="813" t="s">
        <v>168</v>
      </c>
      <c r="D9" s="900">
        <f>('Daily Product Breakdown'!$C$125+'Daily Product Breakdown'!$D$125+'Daily Product Breakdown'!$E$125)/100</f>
        <v>0.4</v>
      </c>
      <c r="E9" s="900"/>
      <c r="F9" s="900"/>
      <c r="G9" s="900"/>
      <c r="H9" s="571"/>
      <c r="I9" s="900" t="s">
        <v>1923</v>
      </c>
      <c r="J9" s="900"/>
      <c r="K9" s="813" t="s">
        <v>168</v>
      </c>
      <c r="L9" s="900">
        <f>('Daily Product Breakdown'!$D$125+'Daily Product Breakdown'!$E$125+'Daily Product Breakdown'!$F$125)/100</f>
        <v>0.69</v>
      </c>
      <c r="M9" s="900"/>
      <c r="N9" s="900"/>
      <c r="O9" s="900"/>
      <c r="P9" s="571"/>
    </row>
    <row r="10" spans="1:16" x14ac:dyDescent="0.25">
      <c r="A10" s="900" t="s">
        <v>1924</v>
      </c>
      <c r="B10" s="900"/>
      <c r="C10" s="813" t="s">
        <v>214</v>
      </c>
      <c r="D10" s="902">
        <f>('Daily Product Breakdown'!$C$157+'Daily Product Breakdown'!$D$157+'Daily Product Breakdown'!$E$157)/8</f>
        <v>1.25</v>
      </c>
      <c r="E10" s="902"/>
      <c r="F10" s="900"/>
      <c r="G10" s="900"/>
      <c r="H10" s="571"/>
      <c r="I10" s="900" t="s">
        <v>1924</v>
      </c>
      <c r="J10" s="900"/>
      <c r="K10" s="813" t="s">
        <v>214</v>
      </c>
      <c r="L10" s="902">
        <f>('Daily Product Breakdown'!$D$157+'Daily Product Breakdown'!$E$157+'Daily Product Breakdown'!$F$157)/8</f>
        <v>2</v>
      </c>
      <c r="M10" s="902"/>
      <c r="N10" s="900"/>
      <c r="O10" s="900"/>
      <c r="P10" s="571"/>
    </row>
    <row r="11" spans="1:16" x14ac:dyDescent="0.25">
      <c r="A11" s="900" t="s">
        <v>1925</v>
      </c>
      <c r="B11" s="900"/>
      <c r="C11" s="813" t="s">
        <v>157</v>
      </c>
      <c r="D11" s="902">
        <f>('Daily Product Breakdown'!$C$81+'Daily Product Breakdown'!$D$81+'Daily Product Breakdown'!$E$81)/30</f>
        <v>1.4666666666666666</v>
      </c>
      <c r="E11" s="902"/>
      <c r="F11" s="900"/>
      <c r="G11" s="900"/>
      <c r="H11" s="571"/>
      <c r="I11" s="900" t="s">
        <v>1925</v>
      </c>
      <c r="J11" s="900"/>
      <c r="K11" s="813" t="s">
        <v>157</v>
      </c>
      <c r="L11" s="902">
        <f>('Daily Product Breakdown'!$D$81+'Daily Product Breakdown'!$E$81+'Daily Product Breakdown'!$F$81)/30</f>
        <v>1.6666666666666667</v>
      </c>
      <c r="M11" s="902"/>
      <c r="N11" s="900"/>
      <c r="O11" s="900"/>
      <c r="P11" s="571"/>
    </row>
    <row r="12" spans="1:16" x14ac:dyDescent="0.25">
      <c r="A12" s="900" t="s">
        <v>889</v>
      </c>
      <c r="B12" s="900"/>
      <c r="C12" s="813" t="s">
        <v>157</v>
      </c>
      <c r="D12" s="900">
        <v>2</v>
      </c>
      <c r="E12" s="900"/>
      <c r="F12" s="900"/>
      <c r="G12" s="900"/>
      <c r="H12" s="571"/>
      <c r="I12" s="900" t="s">
        <v>889</v>
      </c>
      <c r="J12" s="900"/>
      <c r="K12" s="813" t="s">
        <v>157</v>
      </c>
      <c r="L12" s="900">
        <v>2</v>
      </c>
      <c r="M12" s="900"/>
      <c r="N12" s="900"/>
      <c r="O12" s="900"/>
      <c r="P12" s="571"/>
    </row>
    <row r="13" spans="1:16" x14ac:dyDescent="0.25">
      <c r="A13" s="900" t="s">
        <v>1926</v>
      </c>
      <c r="B13" s="900"/>
      <c r="C13" s="813" t="s">
        <v>190</v>
      </c>
      <c r="D13" s="900">
        <v>1</v>
      </c>
      <c r="E13" s="900"/>
      <c r="F13" s="900"/>
      <c r="G13" s="900"/>
      <c r="H13" s="571"/>
      <c r="I13" s="900" t="s">
        <v>1926</v>
      </c>
      <c r="J13" s="900"/>
      <c r="K13" s="813" t="s">
        <v>190</v>
      </c>
      <c r="L13" s="900">
        <v>1</v>
      </c>
      <c r="M13" s="900"/>
      <c r="N13" s="900"/>
      <c r="O13" s="900"/>
      <c r="P13" s="571"/>
    </row>
    <row r="14" spans="1:16" x14ac:dyDescent="0.25">
      <c r="A14" s="900" t="s">
        <v>883</v>
      </c>
      <c r="B14" s="900"/>
      <c r="C14" s="813" t="s">
        <v>157</v>
      </c>
      <c r="D14" s="900">
        <v>1</v>
      </c>
      <c r="E14" s="900"/>
      <c r="F14" s="900"/>
      <c r="G14" s="900"/>
      <c r="H14" s="571"/>
      <c r="I14" s="900" t="s">
        <v>883</v>
      </c>
      <c r="J14" s="900"/>
      <c r="K14" s="813" t="s">
        <v>157</v>
      </c>
      <c r="L14" s="900">
        <v>1</v>
      </c>
      <c r="M14" s="900"/>
      <c r="N14" s="900"/>
      <c r="O14" s="900"/>
      <c r="P14" s="571"/>
    </row>
    <row r="15" spans="1:16" x14ac:dyDescent="0.25">
      <c r="A15" s="898" t="s">
        <v>1933</v>
      </c>
      <c r="B15" s="899"/>
      <c r="C15" s="798" t="s">
        <v>157</v>
      </c>
      <c r="D15" s="898">
        <v>1</v>
      </c>
      <c r="E15" s="899"/>
      <c r="F15" s="898"/>
      <c r="G15" s="899"/>
      <c r="H15" s="571"/>
      <c r="I15" s="898" t="s">
        <v>1933</v>
      </c>
      <c r="J15" s="899"/>
      <c r="K15" s="798" t="s">
        <v>157</v>
      </c>
      <c r="L15" s="898">
        <v>1</v>
      </c>
      <c r="M15" s="899"/>
      <c r="N15" s="898"/>
      <c r="O15" s="899"/>
      <c r="P15" s="571"/>
    </row>
    <row r="16" spans="1:16" x14ac:dyDescent="0.25">
      <c r="A16" s="898" t="s">
        <v>885</v>
      </c>
      <c r="B16" s="899"/>
      <c r="C16" s="798" t="s">
        <v>157</v>
      </c>
      <c r="D16" s="898">
        <v>1</v>
      </c>
      <c r="E16" s="899"/>
      <c r="F16" s="898"/>
      <c r="G16" s="899"/>
      <c r="H16" s="571"/>
      <c r="I16" s="898" t="s">
        <v>885</v>
      </c>
      <c r="J16" s="899"/>
      <c r="K16" s="798" t="s">
        <v>157</v>
      </c>
      <c r="L16" s="898">
        <v>1</v>
      </c>
      <c r="M16" s="899"/>
      <c r="N16" s="898"/>
      <c r="O16" s="899"/>
      <c r="P16" s="571"/>
    </row>
    <row r="17" spans="1:16" x14ac:dyDescent="0.25">
      <c r="A17" s="898" t="s">
        <v>1945</v>
      </c>
      <c r="B17" s="899"/>
      <c r="C17" s="798" t="s">
        <v>157</v>
      </c>
      <c r="D17" s="898">
        <v>1</v>
      </c>
      <c r="E17" s="899"/>
      <c r="F17" s="898"/>
      <c r="G17" s="899"/>
      <c r="H17" s="571"/>
      <c r="I17" s="898" t="s">
        <v>1945</v>
      </c>
      <c r="J17" s="899"/>
      <c r="K17" s="798" t="s">
        <v>157</v>
      </c>
      <c r="L17" s="898">
        <v>1</v>
      </c>
      <c r="M17" s="899"/>
      <c r="N17" s="898"/>
      <c r="O17" s="899"/>
      <c r="P17" s="571"/>
    </row>
    <row r="18" spans="1:16" ht="15.75" thickBot="1" x14ac:dyDescent="0.3">
      <c r="A18" s="900" t="s">
        <v>1927</v>
      </c>
      <c r="B18" s="900"/>
      <c r="C18" s="813" t="s">
        <v>157</v>
      </c>
      <c r="D18" s="901" t="s">
        <v>1934</v>
      </c>
      <c r="E18" s="901"/>
      <c r="F18" s="900"/>
      <c r="G18" s="900"/>
      <c r="H18" s="812"/>
      <c r="I18" s="900" t="s">
        <v>1927</v>
      </c>
      <c r="J18" s="900"/>
      <c r="K18" s="813" t="s">
        <v>157</v>
      </c>
      <c r="L18" s="901" t="s">
        <v>1934</v>
      </c>
      <c r="M18" s="901"/>
      <c r="N18" s="900"/>
      <c r="O18" s="900"/>
      <c r="P18" s="813"/>
    </row>
    <row r="19" spans="1:16" x14ac:dyDescent="0.25">
      <c r="A19" s="903" t="s">
        <v>1918</v>
      </c>
      <c r="B19" s="904"/>
      <c r="C19" s="904"/>
      <c r="D19" s="904"/>
      <c r="E19" s="904"/>
      <c r="F19" s="904"/>
      <c r="G19" s="904"/>
      <c r="H19" s="905"/>
      <c r="I19" s="903" t="s">
        <v>1918</v>
      </c>
      <c r="J19" s="904"/>
      <c r="K19" s="904"/>
      <c r="L19" s="904"/>
      <c r="M19" s="904"/>
      <c r="N19" s="904"/>
      <c r="O19" s="904"/>
      <c r="P19" s="905"/>
    </row>
    <row r="20" spans="1:16" ht="15.75" thickBot="1" x14ac:dyDescent="0.3">
      <c r="A20" s="906"/>
      <c r="B20" s="907"/>
      <c r="C20" s="907"/>
      <c r="D20" s="907"/>
      <c r="E20" s="907"/>
      <c r="F20" s="907"/>
      <c r="G20" s="907"/>
      <c r="H20" s="908"/>
      <c r="I20" s="906"/>
      <c r="J20" s="907"/>
      <c r="K20" s="907"/>
      <c r="L20" s="907"/>
      <c r="M20" s="907"/>
      <c r="N20" s="907"/>
      <c r="O20" s="907"/>
      <c r="P20" s="908"/>
    </row>
    <row r="21" spans="1:16" x14ac:dyDescent="0.25">
      <c r="A21" s="909" t="s">
        <v>1804</v>
      </c>
      <c r="B21" s="910"/>
      <c r="C21" s="910"/>
      <c r="D21" s="910"/>
      <c r="E21" s="910"/>
      <c r="F21" s="910"/>
      <c r="G21" s="910"/>
      <c r="H21" s="911"/>
      <c r="I21" s="909" t="s">
        <v>1936</v>
      </c>
      <c r="J21" s="910"/>
      <c r="K21" s="910"/>
      <c r="L21" s="910"/>
      <c r="M21" s="910"/>
      <c r="N21" s="910"/>
      <c r="O21" s="910"/>
      <c r="P21" s="911"/>
    </row>
    <row r="22" spans="1:16" x14ac:dyDescent="0.25">
      <c r="A22" s="900" t="s">
        <v>131</v>
      </c>
      <c r="B22" s="900"/>
      <c r="C22" s="813" t="s">
        <v>32</v>
      </c>
      <c r="D22" s="900" t="s">
        <v>1325</v>
      </c>
      <c r="E22" s="900"/>
      <c r="F22" s="900" t="s">
        <v>1919</v>
      </c>
      <c r="G22" s="900"/>
      <c r="H22" s="813" t="s">
        <v>820</v>
      </c>
      <c r="I22" s="900" t="s">
        <v>131</v>
      </c>
      <c r="J22" s="900"/>
      <c r="K22" s="813" t="s">
        <v>32</v>
      </c>
      <c r="L22" s="900" t="s">
        <v>1325</v>
      </c>
      <c r="M22" s="900"/>
      <c r="N22" s="900" t="s">
        <v>1919</v>
      </c>
      <c r="O22" s="900"/>
      <c r="P22" s="813" t="s">
        <v>820</v>
      </c>
    </row>
    <row r="23" spans="1:16" x14ac:dyDescent="0.25">
      <c r="A23" s="900" t="s">
        <v>886</v>
      </c>
      <c r="B23" s="900"/>
      <c r="C23" s="813" t="s">
        <v>141</v>
      </c>
      <c r="D23" s="900">
        <f>'Daily Product Breakdown'!$E$179+'Daily Product Breakdown'!$F$179+'Daily Product Breakdown'!$G$179</f>
        <v>8</v>
      </c>
      <c r="E23" s="900"/>
      <c r="F23" s="900"/>
      <c r="G23" s="900"/>
      <c r="H23" s="571"/>
      <c r="I23" s="900" t="s">
        <v>886</v>
      </c>
      <c r="J23" s="900"/>
      <c r="K23" s="813" t="s">
        <v>141</v>
      </c>
      <c r="L23" s="900">
        <f>'Daily Product Breakdown'!$F$179+'Daily Product Breakdown'!$G$179+'Daily Product Breakdown'!$H$179</f>
        <v>8</v>
      </c>
      <c r="M23" s="900"/>
      <c r="N23" s="900"/>
      <c r="O23" s="900"/>
      <c r="P23" s="571"/>
    </row>
    <row r="24" spans="1:16" x14ac:dyDescent="0.25">
      <c r="A24" s="900" t="s">
        <v>1920</v>
      </c>
      <c r="B24" s="900"/>
      <c r="C24" s="813" t="s">
        <v>141</v>
      </c>
      <c r="D24" s="900">
        <f>'Daily Product Breakdown'!$E$187+'Daily Product Breakdown'!$F$187+'Daily Product Breakdown'!$G$187</f>
        <v>18</v>
      </c>
      <c r="E24" s="900"/>
      <c r="F24" s="900"/>
      <c r="G24" s="900"/>
      <c r="H24" s="571"/>
      <c r="I24" s="900" t="s">
        <v>1920</v>
      </c>
      <c r="J24" s="900"/>
      <c r="K24" s="813" t="s">
        <v>141</v>
      </c>
      <c r="L24" s="900">
        <f>'Daily Product Breakdown'!$F$187+'Daily Product Breakdown'!$G$187+'Daily Product Breakdown'!$H$187</f>
        <v>22</v>
      </c>
      <c r="M24" s="900"/>
      <c r="N24" s="900"/>
      <c r="O24" s="900"/>
      <c r="P24" s="571"/>
    </row>
    <row r="25" spans="1:16" x14ac:dyDescent="0.25">
      <c r="A25" s="900" t="s">
        <v>1921</v>
      </c>
      <c r="B25" s="900"/>
      <c r="C25" s="813" t="s">
        <v>157</v>
      </c>
      <c r="D25" s="902">
        <f>('Daily Product Breakdown'!$E$153+'Daily Product Breakdown'!$F$153+'Daily Product Breakdown'!$G$153)/6</f>
        <v>1.1666666666666667</v>
      </c>
      <c r="E25" s="902"/>
      <c r="F25" s="900"/>
      <c r="G25" s="900"/>
      <c r="H25" s="571"/>
      <c r="I25" s="900" t="s">
        <v>1921</v>
      </c>
      <c r="J25" s="900"/>
      <c r="K25" s="813" t="s">
        <v>157</v>
      </c>
      <c r="L25" s="902">
        <f>('Daily Product Breakdown'!$F$153+'Daily Product Breakdown'!$G$153+'Daily Product Breakdown'!$H$153)/6</f>
        <v>1.8333333333333333</v>
      </c>
      <c r="M25" s="902"/>
      <c r="N25" s="900"/>
      <c r="O25" s="900"/>
      <c r="P25" s="571"/>
    </row>
    <row r="26" spans="1:16" x14ac:dyDescent="0.25">
      <c r="A26" s="900" t="s">
        <v>1922</v>
      </c>
      <c r="B26" s="900"/>
      <c r="C26" s="813" t="s">
        <v>141</v>
      </c>
      <c r="D26" s="900">
        <f>'Daily Product Breakdown'!$E$47+'Daily Product Breakdown'!$F$47+'Daily Product Breakdown'!$G$47</f>
        <v>7</v>
      </c>
      <c r="E26" s="900"/>
      <c r="F26" s="900"/>
      <c r="G26" s="900"/>
      <c r="H26" s="571"/>
      <c r="I26" s="900" t="s">
        <v>1922</v>
      </c>
      <c r="J26" s="900"/>
      <c r="K26" s="813" t="s">
        <v>141</v>
      </c>
      <c r="L26" s="900">
        <f>'Daily Product Breakdown'!$F$47+'Daily Product Breakdown'!$G$47+'Daily Product Breakdown'!$H$47</f>
        <v>13</v>
      </c>
      <c r="M26" s="900"/>
      <c r="N26" s="900"/>
      <c r="O26" s="900"/>
      <c r="P26" s="571"/>
    </row>
    <row r="27" spans="1:16" x14ac:dyDescent="0.25">
      <c r="A27" s="900" t="s">
        <v>1923</v>
      </c>
      <c r="B27" s="900"/>
      <c r="C27" s="813" t="s">
        <v>168</v>
      </c>
      <c r="D27" s="902">
        <f>('Daily Product Breakdown'!$E$125+'Daily Product Breakdown'!$F$125+'Daily Product Breakdown'!$G$125)/100</f>
        <v>0.9</v>
      </c>
      <c r="E27" s="902"/>
      <c r="F27" s="900"/>
      <c r="G27" s="900"/>
      <c r="H27" s="571"/>
      <c r="I27" s="900" t="s">
        <v>1923</v>
      </c>
      <c r="J27" s="900"/>
      <c r="K27" s="813" t="s">
        <v>168</v>
      </c>
      <c r="L27" s="900">
        <f>('Daily Product Breakdown'!$F$125+'Daily Product Breakdown'!$G$125+'Daily Product Breakdown'!$H$125)/100</f>
        <v>1</v>
      </c>
      <c r="M27" s="900"/>
      <c r="N27" s="900"/>
      <c r="O27" s="900"/>
      <c r="P27" s="571"/>
    </row>
    <row r="28" spans="1:16" x14ac:dyDescent="0.25">
      <c r="A28" s="900" t="s">
        <v>1924</v>
      </c>
      <c r="B28" s="900"/>
      <c r="C28" s="813" t="s">
        <v>214</v>
      </c>
      <c r="D28" s="902">
        <f>('Daily Product Breakdown'!$E$157+'Daily Product Breakdown'!$F$157+'Daily Product Breakdown'!$G$157)/8</f>
        <v>4</v>
      </c>
      <c r="E28" s="902"/>
      <c r="F28" s="900"/>
      <c r="G28" s="900"/>
      <c r="H28" s="571"/>
      <c r="I28" s="900" t="s">
        <v>1924</v>
      </c>
      <c r="J28" s="900"/>
      <c r="K28" s="813" t="s">
        <v>214</v>
      </c>
      <c r="L28" s="902">
        <f>('Daily Product Breakdown'!$F$157+'Daily Product Breakdown'!$G$157+'Daily Product Breakdown'!$H$157)/8</f>
        <v>4.75</v>
      </c>
      <c r="M28" s="902"/>
      <c r="N28" s="900"/>
      <c r="O28" s="900"/>
      <c r="P28" s="571"/>
    </row>
    <row r="29" spans="1:16" x14ac:dyDescent="0.25">
      <c r="A29" s="900" t="s">
        <v>1925</v>
      </c>
      <c r="B29" s="900"/>
      <c r="C29" s="813" t="s">
        <v>157</v>
      </c>
      <c r="D29" s="902">
        <f>('Daily Product Breakdown'!$E$81+'Daily Product Breakdown'!$F$81+'Daily Product Breakdown'!$G$81)/30</f>
        <v>4.4666666666666668</v>
      </c>
      <c r="E29" s="902"/>
      <c r="F29" s="900"/>
      <c r="G29" s="900"/>
      <c r="H29" s="571"/>
      <c r="I29" s="900" t="s">
        <v>1925</v>
      </c>
      <c r="J29" s="900"/>
      <c r="K29" s="813" t="s">
        <v>157</v>
      </c>
      <c r="L29" s="902">
        <f>('Daily Product Breakdown'!$F$81+'Daily Product Breakdown'!$G$81+'Daily Product Breakdown'!$H$81)/30</f>
        <v>4.666666666666667</v>
      </c>
      <c r="M29" s="902"/>
      <c r="N29" s="900"/>
      <c r="O29" s="900"/>
      <c r="P29" s="571"/>
    </row>
    <row r="30" spans="1:16" x14ac:dyDescent="0.25">
      <c r="A30" s="900" t="s">
        <v>889</v>
      </c>
      <c r="B30" s="900"/>
      <c r="C30" s="813" t="s">
        <v>157</v>
      </c>
      <c r="D30" s="900">
        <v>2</v>
      </c>
      <c r="E30" s="900"/>
      <c r="F30" s="900"/>
      <c r="G30" s="900"/>
      <c r="H30" s="571"/>
      <c r="I30" s="900" t="s">
        <v>889</v>
      </c>
      <c r="J30" s="900"/>
      <c r="K30" s="813" t="s">
        <v>157</v>
      </c>
      <c r="L30" s="900">
        <v>3</v>
      </c>
      <c r="M30" s="900"/>
      <c r="N30" s="900"/>
      <c r="O30" s="900"/>
      <c r="P30" s="571"/>
    </row>
    <row r="31" spans="1:16" x14ac:dyDescent="0.25">
      <c r="A31" s="900" t="s">
        <v>1926</v>
      </c>
      <c r="B31" s="900"/>
      <c r="C31" s="813" t="s">
        <v>190</v>
      </c>
      <c r="D31" s="900">
        <v>1</v>
      </c>
      <c r="E31" s="900"/>
      <c r="F31" s="900"/>
      <c r="G31" s="900"/>
      <c r="H31" s="571"/>
      <c r="I31" s="900" t="s">
        <v>1926</v>
      </c>
      <c r="J31" s="900"/>
      <c r="K31" s="813" t="s">
        <v>190</v>
      </c>
      <c r="L31" s="900">
        <v>1</v>
      </c>
      <c r="M31" s="900"/>
      <c r="N31" s="900"/>
      <c r="O31" s="900"/>
      <c r="P31" s="571"/>
    </row>
    <row r="32" spans="1:16" x14ac:dyDescent="0.25">
      <c r="A32" s="900" t="s">
        <v>883</v>
      </c>
      <c r="B32" s="900"/>
      <c r="C32" s="813" t="s">
        <v>157</v>
      </c>
      <c r="D32" s="900">
        <v>1</v>
      </c>
      <c r="E32" s="900"/>
      <c r="F32" s="900"/>
      <c r="G32" s="900"/>
      <c r="H32" s="571"/>
      <c r="I32" s="900" t="s">
        <v>883</v>
      </c>
      <c r="J32" s="900"/>
      <c r="K32" s="813" t="s">
        <v>157</v>
      </c>
      <c r="L32" s="900">
        <v>1</v>
      </c>
      <c r="M32" s="900"/>
      <c r="N32" s="900"/>
      <c r="O32" s="900"/>
      <c r="P32" s="571"/>
    </row>
    <row r="33" spans="1:16" x14ac:dyDescent="0.25">
      <c r="A33" s="898" t="s">
        <v>1933</v>
      </c>
      <c r="B33" s="899"/>
      <c r="C33" s="798" t="s">
        <v>157</v>
      </c>
      <c r="D33" s="898">
        <v>1</v>
      </c>
      <c r="E33" s="899"/>
      <c r="F33" s="898"/>
      <c r="G33" s="899"/>
      <c r="H33" s="571"/>
      <c r="I33" s="898" t="s">
        <v>1933</v>
      </c>
      <c r="J33" s="899"/>
      <c r="K33" s="798" t="s">
        <v>157</v>
      </c>
      <c r="L33" s="898">
        <v>1</v>
      </c>
      <c r="M33" s="899"/>
      <c r="N33" s="898"/>
      <c r="O33" s="899"/>
      <c r="P33" s="571"/>
    </row>
    <row r="34" spans="1:16" x14ac:dyDescent="0.25">
      <c r="A34" s="898" t="s">
        <v>885</v>
      </c>
      <c r="B34" s="899"/>
      <c r="C34" s="798" t="s">
        <v>157</v>
      </c>
      <c r="D34" s="898">
        <v>1</v>
      </c>
      <c r="E34" s="899"/>
      <c r="F34" s="898"/>
      <c r="G34" s="899"/>
      <c r="H34" s="571"/>
      <c r="I34" s="898" t="s">
        <v>885</v>
      </c>
      <c r="J34" s="899"/>
      <c r="K34" s="798" t="s">
        <v>157</v>
      </c>
      <c r="L34" s="898">
        <v>1</v>
      </c>
      <c r="M34" s="899"/>
      <c r="N34" s="898"/>
      <c r="O34" s="899"/>
      <c r="P34" s="571"/>
    </row>
    <row r="35" spans="1:16" x14ac:dyDescent="0.25">
      <c r="A35" s="898" t="s">
        <v>1945</v>
      </c>
      <c r="B35" s="899"/>
      <c r="C35" s="798" t="s">
        <v>157</v>
      </c>
      <c r="D35" s="898">
        <v>1</v>
      </c>
      <c r="E35" s="899"/>
      <c r="F35" s="898"/>
      <c r="G35" s="899"/>
      <c r="H35" s="571"/>
      <c r="I35" s="898" t="s">
        <v>1945</v>
      </c>
      <c r="J35" s="899"/>
      <c r="K35" s="798" t="s">
        <v>157</v>
      </c>
      <c r="L35" s="898">
        <v>2</v>
      </c>
      <c r="M35" s="899"/>
      <c r="N35" s="898"/>
      <c r="O35" s="899"/>
      <c r="P35" s="571"/>
    </row>
    <row r="36" spans="1:16" ht="15.75" thickBot="1" x14ac:dyDescent="0.3">
      <c r="A36" s="900" t="s">
        <v>1927</v>
      </c>
      <c r="B36" s="900"/>
      <c r="C36" s="813" t="s">
        <v>157</v>
      </c>
      <c r="D36" s="901" t="s">
        <v>1934</v>
      </c>
      <c r="E36" s="901"/>
      <c r="F36" s="900"/>
      <c r="G36" s="900"/>
      <c r="H36" s="813"/>
      <c r="I36" s="900" t="s">
        <v>1927</v>
      </c>
      <c r="J36" s="900"/>
      <c r="K36" s="813" t="s">
        <v>157</v>
      </c>
      <c r="L36" s="901" t="s">
        <v>1934</v>
      </c>
      <c r="M36" s="901"/>
      <c r="N36" s="900"/>
      <c r="O36" s="900"/>
      <c r="P36" s="813"/>
    </row>
    <row r="37" spans="1:16" x14ac:dyDescent="0.25">
      <c r="A37" s="903" t="s">
        <v>1918</v>
      </c>
      <c r="B37" s="904"/>
      <c r="C37" s="904"/>
      <c r="D37" s="904"/>
      <c r="E37" s="904"/>
      <c r="F37" s="904"/>
      <c r="G37" s="904"/>
      <c r="H37" s="905"/>
      <c r="I37" s="903" t="s">
        <v>1918</v>
      </c>
      <c r="J37" s="904"/>
      <c r="K37" s="904"/>
      <c r="L37" s="904"/>
      <c r="M37" s="904"/>
      <c r="N37" s="904"/>
      <c r="O37" s="904"/>
      <c r="P37" s="905"/>
    </row>
    <row r="38" spans="1:16" ht="15.75" thickBot="1" x14ac:dyDescent="0.3">
      <c r="A38" s="906"/>
      <c r="B38" s="907"/>
      <c r="C38" s="907"/>
      <c r="D38" s="907"/>
      <c r="E38" s="907"/>
      <c r="F38" s="907"/>
      <c r="G38" s="907"/>
      <c r="H38" s="908"/>
      <c r="I38" s="906"/>
      <c r="J38" s="907"/>
      <c r="K38" s="907"/>
      <c r="L38" s="907"/>
      <c r="M38" s="907"/>
      <c r="N38" s="907"/>
      <c r="O38" s="907"/>
      <c r="P38" s="908"/>
    </row>
    <row r="39" spans="1:16" x14ac:dyDescent="0.25">
      <c r="A39" s="909" t="s">
        <v>1885</v>
      </c>
      <c r="B39" s="910"/>
      <c r="C39" s="910"/>
      <c r="D39" s="910"/>
      <c r="E39" s="910"/>
      <c r="F39" s="910"/>
      <c r="G39" s="910"/>
      <c r="H39" s="911"/>
      <c r="I39" s="909" t="s">
        <v>1937</v>
      </c>
      <c r="J39" s="910"/>
      <c r="K39" s="910"/>
      <c r="L39" s="910"/>
      <c r="M39" s="910"/>
      <c r="N39" s="910"/>
      <c r="O39" s="910"/>
      <c r="P39" s="911"/>
    </row>
    <row r="40" spans="1:16" x14ac:dyDescent="0.25">
      <c r="A40" s="900"/>
      <c r="B40" s="900"/>
      <c r="C40" s="813" t="s">
        <v>32</v>
      </c>
      <c r="D40" s="900" t="s">
        <v>1325</v>
      </c>
      <c r="E40" s="900"/>
      <c r="F40" s="900" t="s">
        <v>1919</v>
      </c>
      <c r="G40" s="900"/>
      <c r="H40" s="813" t="s">
        <v>820</v>
      </c>
      <c r="I40" s="900" t="s">
        <v>131</v>
      </c>
      <c r="J40" s="900"/>
      <c r="K40" s="813" t="s">
        <v>32</v>
      </c>
      <c r="L40" s="900" t="s">
        <v>1325</v>
      </c>
      <c r="M40" s="900"/>
      <c r="N40" s="900" t="s">
        <v>1919</v>
      </c>
      <c r="O40" s="900"/>
      <c r="P40" s="813" t="s">
        <v>820</v>
      </c>
    </row>
    <row r="41" spans="1:16" x14ac:dyDescent="0.25">
      <c r="A41" s="900" t="s">
        <v>886</v>
      </c>
      <c r="B41" s="900"/>
      <c r="C41" s="813" t="s">
        <v>141</v>
      </c>
      <c r="D41" s="900">
        <f>'Daily Product Breakdown'!$G$179+'Daily Product Breakdown'!$H$179</f>
        <v>6</v>
      </c>
      <c r="E41" s="900"/>
      <c r="F41" s="900"/>
      <c r="G41" s="900"/>
      <c r="H41" s="571"/>
      <c r="I41" s="900" t="s">
        <v>886</v>
      </c>
      <c r="J41" s="900"/>
      <c r="K41" s="813" t="s">
        <v>141</v>
      </c>
      <c r="L41" s="900">
        <f>'Daily Product Breakdown'!$H$179+'Daily Product Breakdown'!$B$179</f>
        <v>2</v>
      </c>
      <c r="M41" s="900"/>
      <c r="N41" s="900"/>
      <c r="O41" s="900"/>
      <c r="P41" s="571"/>
    </row>
    <row r="42" spans="1:16" x14ac:dyDescent="0.25">
      <c r="A42" s="900" t="s">
        <v>1920</v>
      </c>
      <c r="B42" s="900"/>
      <c r="C42" s="813" t="s">
        <v>141</v>
      </c>
      <c r="D42" s="900">
        <f>'Daily Product Breakdown'!$G$187+'Daily Product Breakdown'!$H$187</f>
        <v>17</v>
      </c>
      <c r="E42" s="900"/>
      <c r="F42" s="900"/>
      <c r="G42" s="900"/>
      <c r="H42" s="571"/>
      <c r="I42" s="900" t="s">
        <v>1920</v>
      </c>
      <c r="J42" s="900"/>
      <c r="K42" s="813" t="s">
        <v>141</v>
      </c>
      <c r="L42" s="900">
        <f>'Daily Product Breakdown'!$H$187+'Daily Product Breakdown'!$B$187</f>
        <v>4</v>
      </c>
      <c r="M42" s="900"/>
      <c r="N42" s="900"/>
      <c r="O42" s="900"/>
      <c r="P42" s="571"/>
    </row>
    <row r="43" spans="1:16" x14ac:dyDescent="0.25">
      <c r="A43" s="900" t="s">
        <v>1921</v>
      </c>
      <c r="B43" s="900"/>
      <c r="C43" s="813" t="s">
        <v>157</v>
      </c>
      <c r="D43" s="902">
        <f>('Daily Product Breakdown'!$G$153+'Daily Product Breakdown'!$H$153)/6</f>
        <v>1.3333333333333333</v>
      </c>
      <c r="E43" s="902"/>
      <c r="F43" s="900"/>
      <c r="G43" s="900"/>
      <c r="H43" s="571"/>
      <c r="I43" s="900" t="s">
        <v>1921</v>
      </c>
      <c r="J43" s="900"/>
      <c r="K43" s="813" t="s">
        <v>157</v>
      </c>
      <c r="L43" s="902">
        <f>('Daily Product Breakdown'!$H$153+'Daily Product Breakdown'!$B$153)/6</f>
        <v>1.3333333333333333</v>
      </c>
      <c r="M43" s="902"/>
      <c r="N43" s="900"/>
      <c r="O43" s="900"/>
      <c r="P43" s="571"/>
    </row>
    <row r="44" spans="1:16" x14ac:dyDescent="0.25">
      <c r="A44" s="900" t="s">
        <v>1922</v>
      </c>
      <c r="B44" s="900"/>
      <c r="C44" s="813" t="s">
        <v>141</v>
      </c>
      <c r="D44" s="900">
        <f>'Daily Product Breakdown'!$G$47+'Daily Product Breakdown'!$H$47</f>
        <v>10</v>
      </c>
      <c r="E44" s="900"/>
      <c r="F44" s="900"/>
      <c r="G44" s="900"/>
      <c r="H44" s="571"/>
      <c r="I44" s="900" t="s">
        <v>1922</v>
      </c>
      <c r="J44" s="900"/>
      <c r="K44" s="813" t="s">
        <v>141</v>
      </c>
      <c r="L44" s="900">
        <f>'Daily Product Breakdown'!$H$47+'Daily Product Breakdown'!$B$47</f>
        <v>10</v>
      </c>
      <c r="M44" s="900"/>
      <c r="N44" s="900"/>
      <c r="O44" s="900"/>
      <c r="P44" s="571"/>
    </row>
    <row r="45" spans="1:16" x14ac:dyDescent="0.25">
      <c r="A45" s="900" t="s">
        <v>1923</v>
      </c>
      <c r="B45" s="900"/>
      <c r="C45" s="813" t="s">
        <v>168</v>
      </c>
      <c r="D45" s="900">
        <f>('Daily Product Breakdown'!$G$125+'Daily Product Breakdown'!$H$125)/100</f>
        <v>0.65</v>
      </c>
      <c r="E45" s="900"/>
      <c r="F45" s="900"/>
      <c r="G45" s="900"/>
      <c r="H45" s="571"/>
      <c r="I45" s="900" t="s">
        <v>1923</v>
      </c>
      <c r="J45" s="900"/>
      <c r="K45" s="813" t="s">
        <v>168</v>
      </c>
      <c r="L45" s="900">
        <f>('Daily Product Breakdown'!$H$125+'Daily Product Breakdown'!$B$125)/100</f>
        <v>0.44</v>
      </c>
      <c r="M45" s="900"/>
      <c r="N45" s="900"/>
      <c r="O45" s="900"/>
      <c r="P45" s="571"/>
    </row>
    <row r="46" spans="1:16" x14ac:dyDescent="0.25">
      <c r="A46" s="900" t="s">
        <v>1924</v>
      </c>
      <c r="B46" s="900"/>
      <c r="C46" s="813" t="s">
        <v>214</v>
      </c>
      <c r="D46" s="902">
        <f>('Daily Product Breakdown'!$G$157+'Daily Product Breakdown'!$H$157)/8</f>
        <v>3</v>
      </c>
      <c r="E46" s="902"/>
      <c r="F46" s="900"/>
      <c r="G46" s="900"/>
      <c r="H46" s="571"/>
      <c r="I46" s="900" t="s">
        <v>1924</v>
      </c>
      <c r="J46" s="900"/>
      <c r="K46" s="813" t="s">
        <v>214</v>
      </c>
      <c r="L46" s="902">
        <f>('Daily Product Breakdown'!$H$157+'Daily Product Breakdown'!$B$157)/8</f>
        <v>1.5</v>
      </c>
      <c r="M46" s="902"/>
      <c r="N46" s="900"/>
      <c r="O46" s="900"/>
      <c r="P46" s="571"/>
    </row>
    <row r="47" spans="1:16" x14ac:dyDescent="0.25">
      <c r="A47" s="900" t="s">
        <v>1925</v>
      </c>
      <c r="B47" s="900"/>
      <c r="C47" s="813" t="s">
        <v>157</v>
      </c>
      <c r="D47" s="902">
        <f>('Daily Product Breakdown'!$G$81+'Daily Product Breakdown'!$H$81)/30</f>
        <v>3.9333333333333331</v>
      </c>
      <c r="E47" s="902"/>
      <c r="F47" s="900"/>
      <c r="G47" s="900"/>
      <c r="H47" s="571"/>
      <c r="I47" s="900" t="s">
        <v>1925</v>
      </c>
      <c r="J47" s="900"/>
      <c r="K47" s="813" t="s">
        <v>157</v>
      </c>
      <c r="L47" s="902">
        <f>('Daily Product Breakdown'!$H$81+'Daily Product Breakdown'!$B$81)/30</f>
        <v>1.3333333333333333</v>
      </c>
      <c r="M47" s="902"/>
      <c r="N47" s="900"/>
      <c r="O47" s="900"/>
      <c r="P47" s="571"/>
    </row>
    <row r="48" spans="1:16" x14ac:dyDescent="0.25">
      <c r="A48" s="900" t="s">
        <v>889</v>
      </c>
      <c r="B48" s="900"/>
      <c r="C48" s="813" t="s">
        <v>157</v>
      </c>
      <c r="D48" s="900">
        <v>3</v>
      </c>
      <c r="E48" s="900"/>
      <c r="F48" s="900"/>
      <c r="G48" s="900"/>
      <c r="H48" s="571"/>
      <c r="I48" s="900" t="s">
        <v>889</v>
      </c>
      <c r="J48" s="900"/>
      <c r="K48" s="813" t="s">
        <v>157</v>
      </c>
      <c r="L48" s="900">
        <v>2</v>
      </c>
      <c r="M48" s="900"/>
      <c r="N48" s="900"/>
      <c r="O48" s="900"/>
      <c r="P48" s="571"/>
    </row>
    <row r="49" spans="1:16" x14ac:dyDescent="0.25">
      <c r="A49" s="900" t="s">
        <v>1926</v>
      </c>
      <c r="B49" s="900"/>
      <c r="C49" s="813" t="s">
        <v>190</v>
      </c>
      <c r="D49" s="900">
        <v>1</v>
      </c>
      <c r="E49" s="900"/>
      <c r="F49" s="900"/>
      <c r="G49" s="900"/>
      <c r="H49" s="571"/>
      <c r="I49" s="900" t="s">
        <v>1926</v>
      </c>
      <c r="J49" s="900"/>
      <c r="K49" s="813" t="s">
        <v>190</v>
      </c>
      <c r="L49" s="900">
        <v>1</v>
      </c>
      <c r="M49" s="900"/>
      <c r="N49" s="900"/>
      <c r="O49" s="900"/>
      <c r="P49" s="571"/>
    </row>
    <row r="50" spans="1:16" x14ac:dyDescent="0.25">
      <c r="A50" s="900" t="s">
        <v>883</v>
      </c>
      <c r="B50" s="900"/>
      <c r="C50" s="813" t="s">
        <v>157</v>
      </c>
      <c r="D50" s="900">
        <v>2</v>
      </c>
      <c r="E50" s="900"/>
      <c r="F50" s="900"/>
      <c r="G50" s="900"/>
      <c r="H50" s="571"/>
      <c r="I50" s="900" t="s">
        <v>883</v>
      </c>
      <c r="J50" s="900"/>
      <c r="K50" s="813" t="s">
        <v>157</v>
      </c>
      <c r="L50" s="900">
        <v>1</v>
      </c>
      <c r="M50" s="900"/>
      <c r="N50" s="900"/>
      <c r="O50" s="900"/>
      <c r="P50" s="571"/>
    </row>
    <row r="51" spans="1:16" x14ac:dyDescent="0.25">
      <c r="A51" s="898" t="s">
        <v>1933</v>
      </c>
      <c r="B51" s="899"/>
      <c r="C51" s="798" t="s">
        <v>157</v>
      </c>
      <c r="D51" s="898">
        <v>2</v>
      </c>
      <c r="E51" s="899"/>
      <c r="F51" s="898"/>
      <c r="G51" s="899"/>
      <c r="H51" s="571"/>
      <c r="I51" s="898" t="s">
        <v>1933</v>
      </c>
      <c r="J51" s="899"/>
      <c r="K51" s="798" t="s">
        <v>157</v>
      </c>
      <c r="L51" s="898">
        <v>1</v>
      </c>
      <c r="M51" s="899"/>
      <c r="N51" s="898"/>
      <c r="O51" s="899"/>
      <c r="P51" s="571"/>
    </row>
    <row r="52" spans="1:16" x14ac:dyDescent="0.25">
      <c r="A52" s="898" t="s">
        <v>885</v>
      </c>
      <c r="B52" s="899"/>
      <c r="C52" s="798" t="s">
        <v>157</v>
      </c>
      <c r="D52" s="898">
        <v>2</v>
      </c>
      <c r="E52" s="899"/>
      <c r="F52" s="898"/>
      <c r="G52" s="899"/>
      <c r="H52" s="571"/>
      <c r="I52" s="898" t="s">
        <v>885</v>
      </c>
      <c r="J52" s="899"/>
      <c r="K52" s="798" t="s">
        <v>157</v>
      </c>
      <c r="L52" s="898">
        <v>1</v>
      </c>
      <c r="M52" s="899"/>
      <c r="N52" s="898"/>
      <c r="O52" s="899"/>
      <c r="P52" s="571"/>
    </row>
    <row r="53" spans="1:16" x14ac:dyDescent="0.25">
      <c r="A53" s="898" t="s">
        <v>1945</v>
      </c>
      <c r="B53" s="899"/>
      <c r="C53" s="798" t="s">
        <v>157</v>
      </c>
      <c r="D53" s="898">
        <v>2</v>
      </c>
      <c r="E53" s="899"/>
      <c r="F53" s="898"/>
      <c r="G53" s="899"/>
      <c r="H53" s="571"/>
      <c r="I53" s="898" t="s">
        <v>1945</v>
      </c>
      <c r="J53" s="899"/>
      <c r="K53" s="798" t="s">
        <v>157</v>
      </c>
      <c r="L53" s="898">
        <v>1</v>
      </c>
      <c r="M53" s="899"/>
      <c r="N53" s="898"/>
      <c r="O53" s="899"/>
      <c r="P53" s="571"/>
    </row>
    <row r="54" spans="1:16" ht="15.75" thickBot="1" x14ac:dyDescent="0.3">
      <c r="A54" s="900" t="s">
        <v>1927</v>
      </c>
      <c r="B54" s="900"/>
      <c r="C54" s="813" t="s">
        <v>157</v>
      </c>
      <c r="D54" s="901" t="s">
        <v>1934</v>
      </c>
      <c r="E54" s="901"/>
      <c r="F54" s="900"/>
      <c r="G54" s="900"/>
      <c r="H54" s="813"/>
      <c r="I54" s="900" t="s">
        <v>1927</v>
      </c>
      <c r="J54" s="900"/>
      <c r="K54" s="813" t="s">
        <v>157</v>
      </c>
      <c r="L54" s="901" t="s">
        <v>1934</v>
      </c>
      <c r="M54" s="901"/>
      <c r="N54" s="900"/>
      <c r="O54" s="900"/>
      <c r="P54" s="813"/>
    </row>
    <row r="55" spans="1:16" x14ac:dyDescent="0.25">
      <c r="A55" s="903" t="s">
        <v>1918</v>
      </c>
      <c r="B55" s="904"/>
      <c r="C55" s="904"/>
      <c r="D55" s="904"/>
      <c r="E55" s="904"/>
      <c r="F55" s="904"/>
      <c r="G55" s="904"/>
      <c r="H55" s="905"/>
    </row>
    <row r="56" spans="1:16" ht="15.75" thickBot="1" x14ac:dyDescent="0.3">
      <c r="A56" s="906"/>
      <c r="B56" s="907"/>
      <c r="C56" s="907"/>
      <c r="D56" s="907"/>
      <c r="E56" s="907"/>
      <c r="F56" s="907"/>
      <c r="G56" s="907"/>
      <c r="H56" s="908"/>
    </row>
    <row r="57" spans="1:16" x14ac:dyDescent="0.25">
      <c r="A57" s="909" t="s">
        <v>1938</v>
      </c>
      <c r="B57" s="910"/>
      <c r="C57" s="910"/>
      <c r="D57" s="910"/>
      <c r="E57" s="910"/>
      <c r="F57" s="910"/>
      <c r="G57" s="910"/>
      <c r="H57" s="911"/>
    </row>
    <row r="58" spans="1:16" x14ac:dyDescent="0.25">
      <c r="A58" s="900" t="s">
        <v>131</v>
      </c>
      <c r="B58" s="900"/>
      <c r="C58" s="813" t="s">
        <v>32</v>
      </c>
      <c r="D58" s="900" t="s">
        <v>1325</v>
      </c>
      <c r="E58" s="900"/>
      <c r="F58" s="900" t="s">
        <v>1919</v>
      </c>
      <c r="G58" s="900"/>
      <c r="H58" s="813" t="s">
        <v>820</v>
      </c>
      <c r="J58" s="914" t="s">
        <v>1949</v>
      </c>
      <c r="K58" s="914"/>
      <c r="L58" s="914"/>
      <c r="M58" s="914"/>
      <c r="N58" s="914"/>
      <c r="O58" s="914"/>
    </row>
    <row r="59" spans="1:16" x14ac:dyDescent="0.25">
      <c r="A59" s="900" t="s">
        <v>886</v>
      </c>
      <c r="B59" s="900"/>
      <c r="C59" s="813" t="s">
        <v>141</v>
      </c>
      <c r="D59" s="900">
        <f>'Daily Product Breakdown'!$C$179+'Daily Product Breakdown'!$D$179+'Daily Product Breakdown'!$E$179</f>
        <v>1</v>
      </c>
      <c r="E59" s="900"/>
      <c r="F59" s="900"/>
      <c r="G59" s="900"/>
      <c r="H59" s="571"/>
      <c r="J59" s="914"/>
      <c r="K59" s="914"/>
      <c r="L59" s="914"/>
      <c r="M59" s="914"/>
      <c r="N59" s="914"/>
      <c r="O59" s="914"/>
    </row>
    <row r="60" spans="1:16" x14ac:dyDescent="0.25">
      <c r="A60" s="900" t="s">
        <v>1920</v>
      </c>
      <c r="B60" s="900"/>
      <c r="C60" s="813" t="s">
        <v>141</v>
      </c>
      <c r="D60" s="900">
        <f>'Daily Product Breakdown'!$C$187+'Daily Product Breakdown'!$D$187+'Daily Product Breakdown'!$E$187</f>
        <v>3.5</v>
      </c>
      <c r="E60" s="900"/>
      <c r="F60" s="900"/>
      <c r="G60" s="900"/>
      <c r="H60" s="571"/>
      <c r="J60" s="914"/>
      <c r="K60" s="914"/>
      <c r="L60" s="914"/>
      <c r="M60" s="914"/>
      <c r="N60" s="914"/>
      <c r="O60" s="914"/>
    </row>
    <row r="61" spans="1:16" x14ac:dyDescent="0.25">
      <c r="A61" s="900" t="s">
        <v>1921</v>
      </c>
      <c r="B61" s="900"/>
      <c r="C61" s="813" t="s">
        <v>157</v>
      </c>
      <c r="D61" s="902">
        <f>('Daily Product Breakdown'!$C$153+'Daily Product Breakdown'!$D$153+'Daily Product Breakdown'!$E$153)/6</f>
        <v>1.1666666666666667</v>
      </c>
      <c r="E61" s="902"/>
      <c r="F61" s="900"/>
      <c r="G61" s="900"/>
      <c r="H61" s="571"/>
      <c r="J61" s="914"/>
      <c r="K61" s="914"/>
      <c r="L61" s="914"/>
      <c r="M61" s="914"/>
      <c r="N61" s="914"/>
      <c r="O61" s="914"/>
    </row>
    <row r="62" spans="1:16" x14ac:dyDescent="0.25">
      <c r="A62" s="900" t="s">
        <v>1922</v>
      </c>
      <c r="B62" s="900"/>
      <c r="C62" s="813" t="s">
        <v>141</v>
      </c>
      <c r="D62" s="900">
        <f>'Daily Product Breakdown'!$C$47+'Daily Product Breakdown'!$D$47+'Daily Product Breakdown'!$E$47</f>
        <v>7</v>
      </c>
      <c r="E62" s="900"/>
      <c r="F62" s="900"/>
      <c r="G62" s="900"/>
      <c r="H62" s="571"/>
    </row>
    <row r="63" spans="1:16" x14ac:dyDescent="0.25">
      <c r="A63" s="900" t="s">
        <v>1923</v>
      </c>
      <c r="B63" s="900"/>
      <c r="C63" s="813" t="s">
        <v>168</v>
      </c>
      <c r="D63" s="900">
        <f>('Daily Product Breakdown'!$C$125+'Daily Product Breakdown'!$D$125+'Daily Product Breakdown'!$E$125)/100</f>
        <v>0.4</v>
      </c>
      <c r="E63" s="900"/>
      <c r="F63" s="900"/>
      <c r="G63" s="900"/>
      <c r="H63" s="571"/>
    </row>
    <row r="64" spans="1:16" x14ac:dyDescent="0.25">
      <c r="A64" s="900" t="s">
        <v>1924</v>
      </c>
      <c r="B64" s="900"/>
      <c r="C64" s="813" t="s">
        <v>214</v>
      </c>
      <c r="D64" s="902">
        <f>('Daily Product Breakdown'!$C$157+'Daily Product Breakdown'!$D$157+'Daily Product Breakdown'!$E$157)/8</f>
        <v>1.25</v>
      </c>
      <c r="E64" s="902"/>
      <c r="F64" s="900"/>
      <c r="G64" s="900"/>
      <c r="H64" s="571"/>
    </row>
    <row r="65" spans="1:15" x14ac:dyDescent="0.25">
      <c r="A65" s="900" t="s">
        <v>1925</v>
      </c>
      <c r="B65" s="900"/>
      <c r="C65" s="813" t="s">
        <v>157</v>
      </c>
      <c r="D65" s="902">
        <f>('Daily Product Breakdown'!$C$81+'Daily Product Breakdown'!$D$81+'Daily Product Breakdown'!$E$81)/26</f>
        <v>1.6923076923076923</v>
      </c>
      <c r="E65" s="902"/>
      <c r="F65" s="900"/>
      <c r="G65" s="900"/>
      <c r="H65" s="571"/>
    </row>
    <row r="66" spans="1:15" x14ac:dyDescent="0.25">
      <c r="A66" s="900" t="s">
        <v>889</v>
      </c>
      <c r="B66" s="900"/>
      <c r="C66" s="813" t="s">
        <v>157</v>
      </c>
      <c r="D66" s="900">
        <v>2</v>
      </c>
      <c r="E66" s="900"/>
      <c r="F66" s="900"/>
      <c r="G66" s="900"/>
      <c r="H66" s="571"/>
    </row>
    <row r="67" spans="1:15" x14ac:dyDescent="0.25">
      <c r="A67" s="900" t="s">
        <v>1926</v>
      </c>
      <c r="B67" s="900"/>
      <c r="C67" s="813" t="s">
        <v>190</v>
      </c>
      <c r="D67" s="900">
        <v>1</v>
      </c>
      <c r="E67" s="900"/>
      <c r="F67" s="900"/>
      <c r="G67" s="900"/>
      <c r="H67" s="571"/>
    </row>
    <row r="68" spans="1:15" x14ac:dyDescent="0.25">
      <c r="A68" s="900" t="s">
        <v>883</v>
      </c>
      <c r="B68" s="900"/>
      <c r="C68" s="813" t="s">
        <v>157</v>
      </c>
      <c r="D68" s="900">
        <v>1</v>
      </c>
      <c r="E68" s="900"/>
      <c r="F68" s="900"/>
      <c r="G68" s="900"/>
      <c r="H68" s="571"/>
    </row>
    <row r="69" spans="1:15" x14ac:dyDescent="0.25">
      <c r="A69" s="898" t="s">
        <v>1933</v>
      </c>
      <c r="B69" s="899"/>
      <c r="C69" s="798" t="s">
        <v>157</v>
      </c>
      <c r="D69" s="898">
        <v>1</v>
      </c>
      <c r="E69" s="899"/>
      <c r="F69" s="898"/>
      <c r="G69" s="899"/>
      <c r="H69" s="571"/>
    </row>
    <row r="70" spans="1:15" x14ac:dyDescent="0.25">
      <c r="A70" s="898" t="s">
        <v>885</v>
      </c>
      <c r="B70" s="899"/>
      <c r="C70" s="798" t="s">
        <v>157</v>
      </c>
      <c r="D70" s="898">
        <v>1</v>
      </c>
      <c r="E70" s="899"/>
      <c r="F70" s="898"/>
      <c r="G70" s="899"/>
      <c r="H70" s="571"/>
    </row>
    <row r="71" spans="1:15" x14ac:dyDescent="0.25">
      <c r="A71" s="898" t="s">
        <v>1945</v>
      </c>
      <c r="B71" s="899"/>
      <c r="C71" s="798" t="s">
        <v>157</v>
      </c>
      <c r="D71" s="898">
        <v>1</v>
      </c>
      <c r="E71" s="899"/>
      <c r="F71" s="898"/>
      <c r="G71" s="899"/>
      <c r="H71" s="571"/>
    </row>
    <row r="72" spans="1:15" x14ac:dyDescent="0.25">
      <c r="A72" s="900" t="s">
        <v>1927</v>
      </c>
      <c r="B72" s="900"/>
      <c r="C72" s="813" t="s">
        <v>157</v>
      </c>
      <c r="D72" s="901" t="s">
        <v>1934</v>
      </c>
      <c r="E72" s="901"/>
      <c r="F72" s="900"/>
      <c r="G72" s="900"/>
      <c r="H72" s="813"/>
    </row>
    <row r="74" spans="1:15" ht="26.25" x14ac:dyDescent="0.4">
      <c r="C74" s="912" t="s">
        <v>1946</v>
      </c>
      <c r="D74" s="912"/>
      <c r="E74" s="912"/>
      <c r="F74" s="912"/>
      <c r="G74" s="912"/>
      <c r="H74" s="912"/>
      <c r="I74" s="912"/>
      <c r="J74" s="912"/>
      <c r="K74" s="912"/>
      <c r="L74" s="912"/>
      <c r="M74" s="912"/>
      <c r="N74" s="912"/>
      <c r="O74" s="912"/>
    </row>
    <row r="75" spans="1:15" ht="23.25" x14ac:dyDescent="0.35">
      <c r="E75" s="913" t="s">
        <v>1947</v>
      </c>
      <c r="F75" s="913"/>
      <c r="G75" s="913"/>
      <c r="H75" s="913"/>
      <c r="I75" s="913"/>
      <c r="J75" s="913"/>
      <c r="K75" s="913"/>
      <c r="L75" s="913"/>
      <c r="M75" s="913"/>
    </row>
    <row r="76" spans="1:15" ht="23.25" x14ac:dyDescent="0.35">
      <c r="E76" s="913" t="s">
        <v>1948</v>
      </c>
      <c r="F76" s="913"/>
      <c r="G76" s="913"/>
      <c r="H76" s="913"/>
      <c r="I76" s="913"/>
      <c r="J76" s="913"/>
      <c r="K76" s="913"/>
      <c r="L76" s="913"/>
      <c r="M76" s="913"/>
    </row>
  </sheetData>
  <mergeCells count="333">
    <mergeCell ref="C74:O74"/>
    <mergeCell ref="E75:M75"/>
    <mergeCell ref="E76:M76"/>
    <mergeCell ref="J58:O61"/>
    <mergeCell ref="F17:G17"/>
    <mergeCell ref="I17:J17"/>
    <mergeCell ref="L17:M17"/>
    <mergeCell ref="N17:O17"/>
    <mergeCell ref="F18:G18"/>
    <mergeCell ref="A19:H20"/>
    <mergeCell ref="F11:G11"/>
    <mergeCell ref="A35:B35"/>
    <mergeCell ref="D35:E35"/>
    <mergeCell ref="F35:G35"/>
    <mergeCell ref="I35:J35"/>
    <mergeCell ref="L35:M35"/>
    <mergeCell ref="F12:G12"/>
    <mergeCell ref="F13:G13"/>
    <mergeCell ref="F14:G14"/>
    <mergeCell ref="D12:E12"/>
    <mergeCell ref="D13:E13"/>
    <mergeCell ref="D14:E14"/>
    <mergeCell ref="A10:B10"/>
    <mergeCell ref="D6:E6"/>
    <mergeCell ref="D7:E7"/>
    <mergeCell ref="D8:E8"/>
    <mergeCell ref="D9:E9"/>
    <mergeCell ref="D10:E10"/>
    <mergeCell ref="D11:E11"/>
    <mergeCell ref="A13:B13"/>
    <mergeCell ref="F8:G8"/>
    <mergeCell ref="F9:G9"/>
    <mergeCell ref="F10:G10"/>
    <mergeCell ref="A18:B18"/>
    <mergeCell ref="D18:E18"/>
    <mergeCell ref="A8:B8"/>
    <mergeCell ref="A9:B9"/>
    <mergeCell ref="A17:B17"/>
    <mergeCell ref="D17:E17"/>
    <mergeCell ref="A14:B14"/>
    <mergeCell ref="A1:H2"/>
    <mergeCell ref="A3:H3"/>
    <mergeCell ref="A4:B4"/>
    <mergeCell ref="A5:B5"/>
    <mergeCell ref="A6:B6"/>
    <mergeCell ref="A7:B7"/>
    <mergeCell ref="F4:G4"/>
    <mergeCell ref="F5:G5"/>
    <mergeCell ref="D4:E4"/>
    <mergeCell ref="D5:E5"/>
    <mergeCell ref="F6:G6"/>
    <mergeCell ref="F7:G7"/>
    <mergeCell ref="A16:B16"/>
    <mergeCell ref="D16:E16"/>
    <mergeCell ref="F16:G16"/>
    <mergeCell ref="A15:B15"/>
    <mergeCell ref="D15:E15"/>
    <mergeCell ref="F15:G15"/>
    <mergeCell ref="A11:B11"/>
    <mergeCell ref="A12:B12"/>
    <mergeCell ref="I1:P2"/>
    <mergeCell ref="I3:P3"/>
    <mergeCell ref="I4:J4"/>
    <mergeCell ref="L4:M4"/>
    <mergeCell ref="N4:O4"/>
    <mergeCell ref="I5:J5"/>
    <mergeCell ref="L5:M5"/>
    <mergeCell ref="N5:O5"/>
    <mergeCell ref="I6:J6"/>
    <mergeCell ref="L6:M6"/>
    <mergeCell ref="N6:O6"/>
    <mergeCell ref="I7:J7"/>
    <mergeCell ref="L7:M7"/>
    <mergeCell ref="N7:O7"/>
    <mergeCell ref="I8:J8"/>
    <mergeCell ref="L8:M8"/>
    <mergeCell ref="N8:O8"/>
    <mergeCell ref="I9:J9"/>
    <mergeCell ref="L9:M9"/>
    <mergeCell ref="N9:O9"/>
    <mergeCell ref="I10:J10"/>
    <mergeCell ref="L10:M10"/>
    <mergeCell ref="N10:O10"/>
    <mergeCell ref="I11:J11"/>
    <mergeCell ref="L11:M11"/>
    <mergeCell ref="N11:O11"/>
    <mergeCell ref="I12:J12"/>
    <mergeCell ref="L12:M12"/>
    <mergeCell ref="N12:O12"/>
    <mergeCell ref="I13:J13"/>
    <mergeCell ref="L13:M13"/>
    <mergeCell ref="N13:O13"/>
    <mergeCell ref="I14:J14"/>
    <mergeCell ref="L14:M14"/>
    <mergeCell ref="N14:O14"/>
    <mergeCell ref="I15:J15"/>
    <mergeCell ref="L15:M15"/>
    <mergeCell ref="N15:O15"/>
    <mergeCell ref="I16:J16"/>
    <mergeCell ref="L16:M16"/>
    <mergeCell ref="N16:O16"/>
    <mergeCell ref="I18:J18"/>
    <mergeCell ref="L18:M18"/>
    <mergeCell ref="N18:O18"/>
    <mergeCell ref="A21:H21"/>
    <mergeCell ref="A22:B22"/>
    <mergeCell ref="D22:E22"/>
    <mergeCell ref="F22:G22"/>
    <mergeCell ref="A23:B23"/>
    <mergeCell ref="D23:E23"/>
    <mergeCell ref="F23:G23"/>
    <mergeCell ref="A24:B24"/>
    <mergeCell ref="D24:E24"/>
    <mergeCell ref="F24:G24"/>
    <mergeCell ref="A25:B25"/>
    <mergeCell ref="D25:E25"/>
    <mergeCell ref="F25:G25"/>
    <mergeCell ref="A26:B26"/>
    <mergeCell ref="D26:E26"/>
    <mergeCell ref="F26:G26"/>
    <mergeCell ref="A27:B27"/>
    <mergeCell ref="D27:E27"/>
    <mergeCell ref="F27:G27"/>
    <mergeCell ref="A28:B28"/>
    <mergeCell ref="D28:E28"/>
    <mergeCell ref="F28:G28"/>
    <mergeCell ref="A29:B29"/>
    <mergeCell ref="D29:E29"/>
    <mergeCell ref="F29:G29"/>
    <mergeCell ref="A30:B30"/>
    <mergeCell ref="D30:E30"/>
    <mergeCell ref="F30:G30"/>
    <mergeCell ref="A31:B31"/>
    <mergeCell ref="D31:E31"/>
    <mergeCell ref="F31:G31"/>
    <mergeCell ref="A32:B32"/>
    <mergeCell ref="D32:E32"/>
    <mergeCell ref="F32:G32"/>
    <mergeCell ref="A33:B33"/>
    <mergeCell ref="D33:E33"/>
    <mergeCell ref="F33:G33"/>
    <mergeCell ref="A34:B34"/>
    <mergeCell ref="D34:E34"/>
    <mergeCell ref="F34:G34"/>
    <mergeCell ref="A36:B36"/>
    <mergeCell ref="D36:E36"/>
    <mergeCell ref="F36:G36"/>
    <mergeCell ref="I19:P20"/>
    <mergeCell ref="I21:P21"/>
    <mergeCell ref="I22:J22"/>
    <mergeCell ref="L22:M22"/>
    <mergeCell ref="N22:O22"/>
    <mergeCell ref="I23:J23"/>
    <mergeCell ref="L23:M23"/>
    <mergeCell ref="N23:O23"/>
    <mergeCell ref="I24:J24"/>
    <mergeCell ref="L24:M24"/>
    <mergeCell ref="N24:O24"/>
    <mergeCell ref="I25:J25"/>
    <mergeCell ref="L25:M25"/>
    <mergeCell ref="N25:O25"/>
    <mergeCell ref="I26:J26"/>
    <mergeCell ref="L26:M26"/>
    <mergeCell ref="N26:O26"/>
    <mergeCell ref="I27:J27"/>
    <mergeCell ref="L27:M27"/>
    <mergeCell ref="N27:O27"/>
    <mergeCell ref="I28:J28"/>
    <mergeCell ref="L28:M28"/>
    <mergeCell ref="N28:O28"/>
    <mergeCell ref="I29:J29"/>
    <mergeCell ref="L29:M29"/>
    <mergeCell ref="N29:O29"/>
    <mergeCell ref="I30:J30"/>
    <mergeCell ref="L30:M30"/>
    <mergeCell ref="N30:O30"/>
    <mergeCell ref="I31:J31"/>
    <mergeCell ref="L31:M31"/>
    <mergeCell ref="N31:O31"/>
    <mergeCell ref="I32:J32"/>
    <mergeCell ref="L32:M32"/>
    <mergeCell ref="N32:O32"/>
    <mergeCell ref="I33:J33"/>
    <mergeCell ref="L33:M33"/>
    <mergeCell ref="N33:O33"/>
    <mergeCell ref="I34:J34"/>
    <mergeCell ref="L34:M34"/>
    <mergeCell ref="N34:O34"/>
    <mergeCell ref="I36:J36"/>
    <mergeCell ref="L36:M36"/>
    <mergeCell ref="N36:O36"/>
    <mergeCell ref="N35:O35"/>
    <mergeCell ref="A37:H38"/>
    <mergeCell ref="A39:H39"/>
    <mergeCell ref="A40:B40"/>
    <mergeCell ref="D40:E40"/>
    <mergeCell ref="F40:G40"/>
    <mergeCell ref="A41:B41"/>
    <mergeCell ref="D41:E41"/>
    <mergeCell ref="F41:G41"/>
    <mergeCell ref="A42:B42"/>
    <mergeCell ref="D42:E42"/>
    <mergeCell ref="F42:G42"/>
    <mergeCell ref="A43:B43"/>
    <mergeCell ref="D43:E43"/>
    <mergeCell ref="F43:G43"/>
    <mergeCell ref="A44:B44"/>
    <mergeCell ref="D44:E44"/>
    <mergeCell ref="F44:G44"/>
    <mergeCell ref="A45:B45"/>
    <mergeCell ref="D45:E45"/>
    <mergeCell ref="F45:G45"/>
    <mergeCell ref="A46:B46"/>
    <mergeCell ref="D46:E46"/>
    <mergeCell ref="F46:G46"/>
    <mergeCell ref="A47:B47"/>
    <mergeCell ref="D47:E47"/>
    <mergeCell ref="F47:G47"/>
    <mergeCell ref="A48:B48"/>
    <mergeCell ref="D48:E48"/>
    <mergeCell ref="F48:G48"/>
    <mergeCell ref="A49:B49"/>
    <mergeCell ref="D49:E49"/>
    <mergeCell ref="F49:G49"/>
    <mergeCell ref="A50:B50"/>
    <mergeCell ref="D50:E50"/>
    <mergeCell ref="F50:G50"/>
    <mergeCell ref="A51:B51"/>
    <mergeCell ref="D51:E51"/>
    <mergeCell ref="F51:G51"/>
    <mergeCell ref="A52:B52"/>
    <mergeCell ref="D52:E52"/>
    <mergeCell ref="F52:G52"/>
    <mergeCell ref="A54:B54"/>
    <mergeCell ref="D54:E54"/>
    <mergeCell ref="F54:G54"/>
    <mergeCell ref="A53:B53"/>
    <mergeCell ref="D53:E53"/>
    <mergeCell ref="F53:G53"/>
    <mergeCell ref="I37:P38"/>
    <mergeCell ref="I39:P39"/>
    <mergeCell ref="I40:J40"/>
    <mergeCell ref="L40:M40"/>
    <mergeCell ref="N40:O40"/>
    <mergeCell ref="I41:J41"/>
    <mergeCell ref="L41:M41"/>
    <mergeCell ref="N41:O41"/>
    <mergeCell ref="I42:J42"/>
    <mergeCell ref="L42:M42"/>
    <mergeCell ref="N42:O42"/>
    <mergeCell ref="I43:J43"/>
    <mergeCell ref="L43:M43"/>
    <mergeCell ref="N43:O43"/>
    <mergeCell ref="I44:J44"/>
    <mergeCell ref="L44:M44"/>
    <mergeCell ref="N44:O44"/>
    <mergeCell ref="I45:J45"/>
    <mergeCell ref="L45:M45"/>
    <mergeCell ref="N45:O45"/>
    <mergeCell ref="I46:J46"/>
    <mergeCell ref="L46:M46"/>
    <mergeCell ref="N46:O46"/>
    <mergeCell ref="I47:J47"/>
    <mergeCell ref="L47:M47"/>
    <mergeCell ref="N47:O47"/>
    <mergeCell ref="I48:J48"/>
    <mergeCell ref="L48:M48"/>
    <mergeCell ref="N48:O48"/>
    <mergeCell ref="I49:J49"/>
    <mergeCell ref="L49:M49"/>
    <mergeCell ref="N49:O49"/>
    <mergeCell ref="I50:J50"/>
    <mergeCell ref="L50:M50"/>
    <mergeCell ref="N50:O50"/>
    <mergeCell ref="I51:J51"/>
    <mergeCell ref="L51:M51"/>
    <mergeCell ref="N51:O51"/>
    <mergeCell ref="I52:J52"/>
    <mergeCell ref="L52:M52"/>
    <mergeCell ref="N52:O52"/>
    <mergeCell ref="I54:J54"/>
    <mergeCell ref="L54:M54"/>
    <mergeCell ref="N54:O54"/>
    <mergeCell ref="I53:J53"/>
    <mergeCell ref="L53:M53"/>
    <mergeCell ref="N53:O53"/>
    <mergeCell ref="A55:H56"/>
    <mergeCell ref="A57:H57"/>
    <mergeCell ref="A58:B58"/>
    <mergeCell ref="D58:E58"/>
    <mergeCell ref="F58:G58"/>
    <mergeCell ref="A59:B59"/>
    <mergeCell ref="D59:E59"/>
    <mergeCell ref="F59:G59"/>
    <mergeCell ref="A60:B60"/>
    <mergeCell ref="D60:E60"/>
    <mergeCell ref="F60:G60"/>
    <mergeCell ref="A61:B61"/>
    <mergeCell ref="D61:E61"/>
    <mergeCell ref="F61:G61"/>
    <mergeCell ref="A62:B62"/>
    <mergeCell ref="D62:E62"/>
    <mergeCell ref="F62:G62"/>
    <mergeCell ref="A63:B63"/>
    <mergeCell ref="D63:E63"/>
    <mergeCell ref="F63:G63"/>
    <mergeCell ref="A64:B64"/>
    <mergeCell ref="D64:E64"/>
    <mergeCell ref="F64:G64"/>
    <mergeCell ref="A65:B65"/>
    <mergeCell ref="D65:E65"/>
    <mergeCell ref="F65:G65"/>
    <mergeCell ref="A66:B66"/>
    <mergeCell ref="D66:E66"/>
    <mergeCell ref="F66:G66"/>
    <mergeCell ref="A67:B67"/>
    <mergeCell ref="D67:E67"/>
    <mergeCell ref="F67:G67"/>
    <mergeCell ref="A68:B68"/>
    <mergeCell ref="D68:E68"/>
    <mergeCell ref="F68:G68"/>
    <mergeCell ref="A69:B69"/>
    <mergeCell ref="D69:E69"/>
    <mergeCell ref="F69:G69"/>
    <mergeCell ref="A70:B70"/>
    <mergeCell ref="D70:E70"/>
    <mergeCell ref="F70:G70"/>
    <mergeCell ref="A72:B72"/>
    <mergeCell ref="D72:E72"/>
    <mergeCell ref="F72:G72"/>
    <mergeCell ref="A71:B71"/>
    <mergeCell ref="D71:E71"/>
    <mergeCell ref="F71:G71"/>
  </mergeCells>
  <pageMargins left="0.70866141732283472" right="0.70866141732283472" top="0.74803149606299213" bottom="0.74803149606299213" header="0.31496062992125984" footer="0.31496062992125984"/>
  <pageSetup scale="5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8289A-DB6D-4CCC-89E1-46833F218B19}">
  <sheetPr codeName="Sheet5">
    <pageSetUpPr fitToPage="1"/>
  </sheetPr>
  <dimension ref="A2:Q798"/>
  <sheetViews>
    <sheetView workbookViewId="0">
      <selection sqref="A1:Q741"/>
    </sheetView>
  </sheetViews>
  <sheetFormatPr defaultRowHeight="15" x14ac:dyDescent="0.25"/>
  <cols>
    <col min="1" max="1" width="20.42578125" bestFit="1" customWidth="1"/>
    <col min="2" max="2" width="8.7109375" bestFit="1" customWidth="1"/>
    <col min="3" max="3" width="7.7109375" bestFit="1" customWidth="1"/>
    <col min="4" max="4" width="8.5703125" bestFit="1" customWidth="1"/>
    <col min="5" max="5" width="7.28515625" bestFit="1" customWidth="1"/>
    <col min="6" max="6" width="8.7109375" bestFit="1" customWidth="1"/>
    <col min="7" max="7" width="8" bestFit="1" customWidth="1"/>
    <col min="8" max="8" width="8.7109375" bestFit="1" customWidth="1"/>
    <col min="9" max="9" width="7.28515625" bestFit="1" customWidth="1"/>
    <col min="10" max="10" width="8.7109375" bestFit="1" customWidth="1"/>
    <col min="11" max="11" width="6.140625" bestFit="1" customWidth="1"/>
    <col min="12" max="12" width="8.7109375" bestFit="1" customWidth="1"/>
    <col min="13" max="13" width="6.85546875" bestFit="1" customWidth="1"/>
    <col min="14" max="14" width="8.5703125" bestFit="1" customWidth="1"/>
    <col min="15" max="15" width="7.42578125" bestFit="1" customWidth="1"/>
    <col min="16" max="16" width="9.85546875" bestFit="1" customWidth="1"/>
    <col min="17" max="17" width="6.140625" bestFit="1" customWidth="1"/>
  </cols>
  <sheetData>
    <row r="2" spans="1:17" x14ac:dyDescent="0.25">
      <c r="A2" s="799" t="s">
        <v>1965</v>
      </c>
    </row>
    <row r="3" spans="1:17" x14ac:dyDescent="0.25">
      <c r="A3" s="799" t="s">
        <v>1966</v>
      </c>
    </row>
    <row r="4" spans="1:17" x14ac:dyDescent="0.25">
      <c r="A4" s="799" t="s">
        <v>850</v>
      </c>
    </row>
    <row r="5" spans="1:17" x14ac:dyDescent="0.25">
      <c r="A5" s="484" t="s">
        <v>851</v>
      </c>
      <c r="B5" s="484" t="s">
        <v>852</v>
      </c>
      <c r="C5" s="484" t="s">
        <v>853</v>
      </c>
      <c r="D5" s="484" t="s">
        <v>854</v>
      </c>
      <c r="E5" s="484" t="s">
        <v>855</v>
      </c>
      <c r="F5" s="484" t="s">
        <v>856</v>
      </c>
      <c r="G5" s="484" t="s">
        <v>857</v>
      </c>
      <c r="H5" s="484" t="s">
        <v>858</v>
      </c>
      <c r="I5" s="484" t="s">
        <v>859</v>
      </c>
      <c r="J5" s="484" t="s">
        <v>860</v>
      </c>
      <c r="K5" s="484" t="s">
        <v>861</v>
      </c>
      <c r="L5" s="484" t="s">
        <v>862</v>
      </c>
      <c r="M5" s="484" t="s">
        <v>863</v>
      </c>
      <c r="N5" s="484" t="s">
        <v>864</v>
      </c>
      <c r="O5" s="484" t="s">
        <v>865</v>
      </c>
      <c r="P5" s="484" t="s">
        <v>866</v>
      </c>
      <c r="Q5" s="484" t="s">
        <v>1836</v>
      </c>
    </row>
    <row r="6" spans="1:17" x14ac:dyDescent="0.25">
      <c r="A6" s="800" t="s">
        <v>1939</v>
      </c>
      <c r="B6" s="485">
        <v>38.14</v>
      </c>
      <c r="C6" s="486">
        <v>83</v>
      </c>
      <c r="D6" s="485">
        <v>54.390000000000015</v>
      </c>
      <c r="E6" s="486">
        <v>91</v>
      </c>
      <c r="F6" s="485">
        <v>43.400000000000006</v>
      </c>
      <c r="G6" s="486">
        <v>146</v>
      </c>
      <c r="H6" s="485">
        <v>38.270000000000003</v>
      </c>
      <c r="I6" s="486">
        <v>70</v>
      </c>
      <c r="J6" s="485">
        <v>89.61</v>
      </c>
      <c r="K6" s="486">
        <v>256</v>
      </c>
      <c r="L6" s="485">
        <v>88.610000000000014</v>
      </c>
      <c r="M6" s="486">
        <v>268</v>
      </c>
      <c r="N6" s="485">
        <v>102.88000000000001</v>
      </c>
      <c r="O6" s="486">
        <v>206</v>
      </c>
      <c r="P6" s="485">
        <v>455.3</v>
      </c>
      <c r="Q6" s="486">
        <v>1120</v>
      </c>
    </row>
    <row r="7" spans="1:17" x14ac:dyDescent="0.25">
      <c r="A7" s="800" t="s">
        <v>1939</v>
      </c>
      <c r="B7" s="485">
        <v>0</v>
      </c>
      <c r="C7" s="486">
        <v>0</v>
      </c>
      <c r="D7" s="485">
        <v>0</v>
      </c>
      <c r="E7" s="486">
        <v>1</v>
      </c>
      <c r="F7" s="485">
        <v>0</v>
      </c>
      <c r="G7" s="486">
        <v>2</v>
      </c>
      <c r="H7" s="485">
        <v>0</v>
      </c>
      <c r="I7" s="486">
        <v>0</v>
      </c>
      <c r="J7" s="485">
        <v>0</v>
      </c>
      <c r="K7" s="486">
        <v>1</v>
      </c>
      <c r="L7" s="485">
        <v>0</v>
      </c>
      <c r="M7" s="486">
        <v>5</v>
      </c>
      <c r="N7" s="485">
        <v>0</v>
      </c>
      <c r="O7" s="486">
        <v>1</v>
      </c>
      <c r="P7" s="485">
        <v>0</v>
      </c>
      <c r="Q7" s="486">
        <v>10</v>
      </c>
    </row>
    <row r="8" spans="1:17" x14ac:dyDescent="0.25">
      <c r="A8" s="453">
        <v>6450018</v>
      </c>
      <c r="B8" s="487">
        <v>0</v>
      </c>
      <c r="C8" s="453">
        <v>0</v>
      </c>
      <c r="D8" s="487">
        <v>0</v>
      </c>
      <c r="E8" s="453">
        <v>1</v>
      </c>
      <c r="F8" s="487">
        <v>0</v>
      </c>
      <c r="G8" s="453">
        <v>2</v>
      </c>
      <c r="H8" s="487">
        <v>0</v>
      </c>
      <c r="I8" s="453">
        <v>0</v>
      </c>
      <c r="J8" s="487">
        <v>0</v>
      </c>
      <c r="K8" s="453">
        <v>1</v>
      </c>
      <c r="L8" s="487">
        <v>0</v>
      </c>
      <c r="M8" s="453">
        <v>5</v>
      </c>
      <c r="N8" s="487">
        <v>0</v>
      </c>
      <c r="O8" s="453">
        <v>1</v>
      </c>
      <c r="P8" s="487">
        <v>0</v>
      </c>
      <c r="Q8" s="453">
        <v>10</v>
      </c>
    </row>
    <row r="9" spans="1:17" x14ac:dyDescent="0.25">
      <c r="A9" s="800" t="s">
        <v>1939</v>
      </c>
      <c r="B9" s="485">
        <v>38.14</v>
      </c>
      <c r="C9" s="486">
        <v>83</v>
      </c>
      <c r="D9" s="485">
        <v>54.390000000000015</v>
      </c>
      <c r="E9" s="486">
        <v>90</v>
      </c>
      <c r="F9" s="485">
        <v>43.400000000000006</v>
      </c>
      <c r="G9" s="486">
        <v>144</v>
      </c>
      <c r="H9" s="485">
        <v>38.270000000000003</v>
      </c>
      <c r="I9" s="486">
        <v>70</v>
      </c>
      <c r="J9" s="485">
        <v>89.61</v>
      </c>
      <c r="K9" s="486">
        <v>255</v>
      </c>
      <c r="L9" s="485">
        <v>88.610000000000014</v>
      </c>
      <c r="M9" s="486">
        <v>263</v>
      </c>
      <c r="N9" s="485">
        <v>102.88000000000001</v>
      </c>
      <c r="O9" s="486">
        <v>205</v>
      </c>
      <c r="P9" s="485">
        <v>455.3</v>
      </c>
      <c r="Q9" s="486">
        <v>1110</v>
      </c>
    </row>
    <row r="10" spans="1:17" x14ac:dyDescent="0.25">
      <c r="A10" s="453">
        <v>6470114</v>
      </c>
      <c r="B10" s="487">
        <v>1</v>
      </c>
      <c r="C10" s="453">
        <v>1</v>
      </c>
      <c r="D10" s="487">
        <v>2</v>
      </c>
      <c r="E10" s="453">
        <v>2</v>
      </c>
      <c r="F10" s="487">
        <v>0</v>
      </c>
      <c r="G10" s="453">
        <v>0</v>
      </c>
      <c r="H10" s="487">
        <v>0</v>
      </c>
      <c r="I10" s="453">
        <v>0</v>
      </c>
      <c r="J10" s="487">
        <v>0</v>
      </c>
      <c r="K10" s="453">
        <v>0</v>
      </c>
      <c r="L10" s="487">
        <v>0</v>
      </c>
      <c r="M10" s="453">
        <v>0</v>
      </c>
      <c r="N10" s="487">
        <v>1</v>
      </c>
      <c r="O10" s="453">
        <v>1</v>
      </c>
      <c r="P10" s="487">
        <v>4</v>
      </c>
      <c r="Q10" s="453">
        <v>4</v>
      </c>
    </row>
    <row r="11" spans="1:17" x14ac:dyDescent="0.25">
      <c r="A11" s="453">
        <v>6480135</v>
      </c>
      <c r="B11" s="487">
        <v>0</v>
      </c>
      <c r="C11" s="453">
        <v>0</v>
      </c>
      <c r="D11" s="487">
        <v>0</v>
      </c>
      <c r="E11" s="453">
        <v>0</v>
      </c>
      <c r="F11" s="487">
        <v>0.89</v>
      </c>
      <c r="G11" s="453">
        <v>1</v>
      </c>
      <c r="H11" s="487">
        <v>0</v>
      </c>
      <c r="I11" s="453">
        <v>0</v>
      </c>
      <c r="J11" s="487">
        <v>0</v>
      </c>
      <c r="K11" s="453">
        <v>0</v>
      </c>
      <c r="L11" s="487">
        <v>0</v>
      </c>
      <c r="M11" s="453">
        <v>0</v>
      </c>
      <c r="N11" s="487">
        <v>0</v>
      </c>
      <c r="O11" s="453">
        <v>0</v>
      </c>
      <c r="P11" s="487">
        <v>0.89</v>
      </c>
      <c r="Q11" s="453">
        <v>1</v>
      </c>
    </row>
    <row r="12" spans="1:17" x14ac:dyDescent="0.25">
      <c r="A12" s="453">
        <v>6480168</v>
      </c>
      <c r="B12" s="487">
        <v>0</v>
      </c>
      <c r="C12" s="453">
        <v>0</v>
      </c>
      <c r="D12" s="487">
        <v>0</v>
      </c>
      <c r="E12" s="453">
        <v>0</v>
      </c>
      <c r="F12" s="487">
        <v>0</v>
      </c>
      <c r="G12" s="453">
        <v>0</v>
      </c>
      <c r="H12" s="487">
        <v>0</v>
      </c>
      <c r="I12" s="453">
        <v>0</v>
      </c>
      <c r="J12" s="487">
        <v>1.99</v>
      </c>
      <c r="K12" s="453">
        <v>1</v>
      </c>
      <c r="L12" s="487">
        <v>0</v>
      </c>
      <c r="M12" s="453">
        <v>0</v>
      </c>
      <c r="N12" s="487">
        <v>0</v>
      </c>
      <c r="O12" s="453">
        <v>0</v>
      </c>
      <c r="P12" s="487">
        <v>1.99</v>
      </c>
      <c r="Q12" s="453">
        <v>1</v>
      </c>
    </row>
    <row r="13" spans="1:17" x14ac:dyDescent="0.25">
      <c r="A13" s="453">
        <v>6480169</v>
      </c>
      <c r="B13" s="487">
        <v>0</v>
      </c>
      <c r="C13" s="453">
        <v>0</v>
      </c>
      <c r="D13" s="487">
        <v>0</v>
      </c>
      <c r="E13" s="453">
        <v>0</v>
      </c>
      <c r="F13" s="487">
        <v>0</v>
      </c>
      <c r="G13" s="453">
        <v>0</v>
      </c>
      <c r="H13" s="487">
        <v>0</v>
      </c>
      <c r="I13" s="453">
        <v>0</v>
      </c>
      <c r="J13" s="487">
        <v>0</v>
      </c>
      <c r="K13" s="453">
        <v>0</v>
      </c>
      <c r="L13" s="487">
        <v>1.99</v>
      </c>
      <c r="M13" s="453">
        <v>1</v>
      </c>
      <c r="N13" s="487">
        <v>0</v>
      </c>
      <c r="O13" s="453">
        <v>0</v>
      </c>
      <c r="P13" s="487">
        <v>1.99</v>
      </c>
      <c r="Q13" s="453">
        <v>1</v>
      </c>
    </row>
    <row r="14" spans="1:17" x14ac:dyDescent="0.25">
      <c r="A14" s="453">
        <v>6480140</v>
      </c>
      <c r="B14" s="487">
        <v>0.89</v>
      </c>
      <c r="C14" s="453">
        <v>1</v>
      </c>
      <c r="D14" s="487">
        <v>0</v>
      </c>
      <c r="E14" s="453">
        <v>0</v>
      </c>
      <c r="F14" s="487">
        <v>0</v>
      </c>
      <c r="G14" s="453">
        <v>0</v>
      </c>
      <c r="H14" s="487">
        <v>0</v>
      </c>
      <c r="I14" s="453">
        <v>0</v>
      </c>
      <c r="J14" s="487">
        <v>0</v>
      </c>
      <c r="K14" s="453">
        <v>0</v>
      </c>
      <c r="L14" s="487">
        <v>0</v>
      </c>
      <c r="M14" s="453">
        <v>0</v>
      </c>
      <c r="N14" s="487">
        <v>0</v>
      </c>
      <c r="O14" s="453">
        <v>0</v>
      </c>
      <c r="P14" s="487">
        <v>0.89</v>
      </c>
      <c r="Q14" s="453">
        <v>1</v>
      </c>
    </row>
    <row r="15" spans="1:17" x14ac:dyDescent="0.25">
      <c r="A15" s="453">
        <v>6480174</v>
      </c>
      <c r="B15" s="487">
        <v>0</v>
      </c>
      <c r="C15" s="453">
        <v>0</v>
      </c>
      <c r="D15" s="487">
        <v>0</v>
      </c>
      <c r="E15" s="453">
        <v>0</v>
      </c>
      <c r="F15" s="487">
        <v>0</v>
      </c>
      <c r="G15" s="453">
        <v>0</v>
      </c>
      <c r="H15" s="487">
        <v>0</v>
      </c>
      <c r="I15" s="453">
        <v>0</v>
      </c>
      <c r="J15" s="487">
        <v>1.99</v>
      </c>
      <c r="K15" s="453">
        <v>1</v>
      </c>
      <c r="L15" s="487">
        <v>0</v>
      </c>
      <c r="M15" s="453">
        <v>0</v>
      </c>
      <c r="N15" s="487">
        <v>0</v>
      </c>
      <c r="O15" s="453">
        <v>0</v>
      </c>
      <c r="P15" s="487">
        <v>1.99</v>
      </c>
      <c r="Q15" s="453">
        <v>1</v>
      </c>
    </row>
    <row r="16" spans="1:17" x14ac:dyDescent="0.25">
      <c r="A16" s="453">
        <v>6480411</v>
      </c>
      <c r="B16" s="487">
        <v>0</v>
      </c>
      <c r="C16" s="453">
        <v>0</v>
      </c>
      <c r="D16" s="487">
        <v>0</v>
      </c>
      <c r="E16" s="453">
        <v>0</v>
      </c>
      <c r="F16" s="487">
        <v>0</v>
      </c>
      <c r="G16" s="453">
        <v>0</v>
      </c>
      <c r="H16" s="487">
        <v>0.75</v>
      </c>
      <c r="I16" s="453">
        <v>1</v>
      </c>
      <c r="J16" s="487">
        <v>0</v>
      </c>
      <c r="K16" s="453">
        <v>0</v>
      </c>
      <c r="L16" s="487">
        <v>0</v>
      </c>
      <c r="M16" s="453">
        <v>0</v>
      </c>
      <c r="N16" s="487">
        <v>0.75</v>
      </c>
      <c r="O16" s="453">
        <v>1</v>
      </c>
      <c r="P16" s="487">
        <v>1.5</v>
      </c>
      <c r="Q16" s="453">
        <v>2</v>
      </c>
    </row>
    <row r="17" spans="1:17" x14ac:dyDescent="0.25">
      <c r="A17" s="453">
        <v>6440648</v>
      </c>
      <c r="B17" s="487">
        <v>0</v>
      </c>
      <c r="C17" s="453">
        <v>0</v>
      </c>
      <c r="D17" s="487">
        <v>0</v>
      </c>
      <c r="E17" s="453">
        <v>0</v>
      </c>
      <c r="F17" s="487">
        <v>0</v>
      </c>
      <c r="G17" s="453">
        <v>0</v>
      </c>
      <c r="H17" s="487">
        <v>0</v>
      </c>
      <c r="I17" s="453">
        <v>0</v>
      </c>
      <c r="J17" s="487">
        <v>0</v>
      </c>
      <c r="K17" s="453">
        <v>0</v>
      </c>
      <c r="L17" s="487">
        <v>0</v>
      </c>
      <c r="M17" s="453">
        <v>1</v>
      </c>
      <c r="N17" s="487">
        <v>0</v>
      </c>
      <c r="O17" s="453">
        <v>0</v>
      </c>
      <c r="P17" s="487">
        <v>0</v>
      </c>
      <c r="Q17" s="453">
        <v>1</v>
      </c>
    </row>
    <row r="18" spans="1:17" x14ac:dyDescent="0.25">
      <c r="A18" s="453">
        <v>6480571</v>
      </c>
      <c r="B18" s="487">
        <v>3.99</v>
      </c>
      <c r="C18" s="453">
        <v>1</v>
      </c>
      <c r="D18" s="487">
        <v>0</v>
      </c>
      <c r="E18" s="453">
        <v>0</v>
      </c>
      <c r="F18" s="487">
        <v>0</v>
      </c>
      <c r="G18" s="453">
        <v>0</v>
      </c>
      <c r="H18" s="487">
        <v>0</v>
      </c>
      <c r="I18" s="453">
        <v>0</v>
      </c>
      <c r="J18" s="487">
        <v>0</v>
      </c>
      <c r="K18" s="453">
        <v>0</v>
      </c>
      <c r="L18" s="487">
        <v>0</v>
      </c>
      <c r="M18" s="453">
        <v>0</v>
      </c>
      <c r="N18" s="487">
        <v>0</v>
      </c>
      <c r="O18" s="453">
        <v>0</v>
      </c>
      <c r="P18" s="487">
        <v>3.99</v>
      </c>
      <c r="Q18" s="453">
        <v>1</v>
      </c>
    </row>
    <row r="19" spans="1:17" x14ac:dyDescent="0.25">
      <c r="A19" s="453">
        <v>6480003</v>
      </c>
      <c r="B19" s="487">
        <v>5.99</v>
      </c>
      <c r="C19" s="453">
        <v>1</v>
      </c>
      <c r="D19" s="487">
        <v>5.99</v>
      </c>
      <c r="E19" s="453">
        <v>1</v>
      </c>
      <c r="F19" s="487">
        <v>6.59</v>
      </c>
      <c r="G19" s="453">
        <v>1</v>
      </c>
      <c r="H19" s="487">
        <v>0</v>
      </c>
      <c r="I19" s="453">
        <v>0</v>
      </c>
      <c r="J19" s="487">
        <v>0</v>
      </c>
      <c r="K19" s="453">
        <v>0</v>
      </c>
      <c r="L19" s="487">
        <v>5.99</v>
      </c>
      <c r="M19" s="453">
        <v>1</v>
      </c>
      <c r="N19" s="487">
        <v>5.99</v>
      </c>
      <c r="O19" s="453">
        <v>1</v>
      </c>
      <c r="P19" s="487">
        <v>30.550000000000004</v>
      </c>
      <c r="Q19" s="453">
        <v>5</v>
      </c>
    </row>
    <row r="20" spans="1:17" x14ac:dyDescent="0.25">
      <c r="A20" s="453">
        <v>6480142</v>
      </c>
      <c r="B20" s="487">
        <v>0</v>
      </c>
      <c r="C20" s="453">
        <v>0</v>
      </c>
      <c r="D20" s="487">
        <v>0</v>
      </c>
      <c r="E20" s="453">
        <v>0</v>
      </c>
      <c r="F20" s="487">
        <v>0</v>
      </c>
      <c r="G20" s="453">
        <v>0</v>
      </c>
      <c r="H20" s="487">
        <v>0</v>
      </c>
      <c r="I20" s="453">
        <v>0</v>
      </c>
      <c r="J20" s="487">
        <v>4.29</v>
      </c>
      <c r="K20" s="453">
        <v>1</v>
      </c>
      <c r="L20" s="487">
        <v>0</v>
      </c>
      <c r="M20" s="453">
        <v>0</v>
      </c>
      <c r="N20" s="487">
        <v>0</v>
      </c>
      <c r="O20" s="453">
        <v>0</v>
      </c>
      <c r="P20" s="487">
        <v>4.29</v>
      </c>
      <c r="Q20" s="453">
        <v>1</v>
      </c>
    </row>
    <row r="21" spans="1:17" x14ac:dyDescent="0.25">
      <c r="A21" s="453">
        <v>6480459</v>
      </c>
      <c r="B21" s="487">
        <v>0</v>
      </c>
      <c r="C21" s="453">
        <v>0</v>
      </c>
      <c r="D21" s="487">
        <v>11.98</v>
      </c>
      <c r="E21" s="453">
        <v>2</v>
      </c>
      <c r="F21" s="487">
        <v>0</v>
      </c>
      <c r="G21" s="453">
        <v>0</v>
      </c>
      <c r="H21" s="487">
        <v>0</v>
      </c>
      <c r="I21" s="453">
        <v>0</v>
      </c>
      <c r="J21" s="487">
        <v>0</v>
      </c>
      <c r="K21" s="453">
        <v>0</v>
      </c>
      <c r="L21" s="487">
        <v>0</v>
      </c>
      <c r="M21" s="453">
        <v>0</v>
      </c>
      <c r="N21" s="487">
        <v>0</v>
      </c>
      <c r="O21" s="453">
        <v>0</v>
      </c>
      <c r="P21" s="487">
        <v>11.98</v>
      </c>
      <c r="Q21" s="453">
        <v>2</v>
      </c>
    </row>
    <row r="22" spans="1:17" x14ac:dyDescent="0.25">
      <c r="A22" s="453">
        <v>6480418</v>
      </c>
      <c r="B22" s="487">
        <v>1.49</v>
      </c>
      <c r="C22" s="453">
        <v>1</v>
      </c>
      <c r="D22" s="487">
        <v>0</v>
      </c>
      <c r="E22" s="453">
        <v>0</v>
      </c>
      <c r="F22" s="487">
        <v>0</v>
      </c>
      <c r="G22" s="453">
        <v>0</v>
      </c>
      <c r="H22" s="487">
        <v>0</v>
      </c>
      <c r="I22" s="453">
        <v>0</v>
      </c>
      <c r="J22" s="487">
        <v>0</v>
      </c>
      <c r="K22" s="453">
        <v>0</v>
      </c>
      <c r="L22" s="487">
        <v>0</v>
      </c>
      <c r="M22" s="453">
        <v>0</v>
      </c>
      <c r="N22" s="487">
        <v>1.49</v>
      </c>
      <c r="O22" s="453">
        <v>1</v>
      </c>
      <c r="P22" s="487">
        <v>2.98</v>
      </c>
      <c r="Q22" s="453">
        <v>2</v>
      </c>
    </row>
    <row r="23" spans="1:17" x14ac:dyDescent="0.25">
      <c r="A23" s="453">
        <v>6480182</v>
      </c>
      <c r="B23" s="487">
        <v>2.99</v>
      </c>
      <c r="C23" s="453">
        <v>1</v>
      </c>
      <c r="D23" s="487">
        <v>0</v>
      </c>
      <c r="E23" s="453">
        <v>0</v>
      </c>
      <c r="F23" s="487">
        <v>0</v>
      </c>
      <c r="G23" s="453">
        <v>0</v>
      </c>
      <c r="H23" s="487">
        <v>0</v>
      </c>
      <c r="I23" s="453">
        <v>0</v>
      </c>
      <c r="J23" s="487">
        <v>0</v>
      </c>
      <c r="K23" s="453">
        <v>0</v>
      </c>
      <c r="L23" s="487">
        <v>0</v>
      </c>
      <c r="M23" s="453">
        <v>0</v>
      </c>
      <c r="N23" s="487">
        <v>2.99</v>
      </c>
      <c r="O23" s="453">
        <v>1</v>
      </c>
      <c r="P23" s="487">
        <v>5.98</v>
      </c>
      <c r="Q23" s="453">
        <v>2</v>
      </c>
    </row>
    <row r="24" spans="1:17" x14ac:dyDescent="0.25">
      <c r="A24" s="453">
        <v>6480021</v>
      </c>
      <c r="B24" s="487">
        <v>0</v>
      </c>
      <c r="C24" s="453">
        <v>0</v>
      </c>
      <c r="D24" s="487">
        <v>0</v>
      </c>
      <c r="E24" s="453">
        <v>0</v>
      </c>
      <c r="F24" s="487">
        <v>2.78</v>
      </c>
      <c r="G24" s="453">
        <v>2</v>
      </c>
      <c r="H24" s="487">
        <v>0</v>
      </c>
      <c r="I24" s="453">
        <v>0</v>
      </c>
      <c r="J24" s="487">
        <v>0</v>
      </c>
      <c r="K24" s="453">
        <v>0</v>
      </c>
      <c r="L24" s="487">
        <v>2.78</v>
      </c>
      <c r="M24" s="453">
        <v>2</v>
      </c>
      <c r="N24" s="487">
        <v>1.39</v>
      </c>
      <c r="O24" s="453">
        <v>1</v>
      </c>
      <c r="P24" s="487">
        <v>6.9499999999999993</v>
      </c>
      <c r="Q24" s="453">
        <v>5</v>
      </c>
    </row>
    <row r="25" spans="1:17" x14ac:dyDescent="0.25">
      <c r="A25" s="453">
        <v>6480493</v>
      </c>
      <c r="B25" s="487">
        <v>1.99</v>
      </c>
      <c r="C25" s="453">
        <v>1</v>
      </c>
      <c r="D25" s="487">
        <v>4.3499999999999996</v>
      </c>
      <c r="E25" s="453">
        <v>2</v>
      </c>
      <c r="F25" s="487">
        <v>3.98</v>
      </c>
      <c r="G25" s="453">
        <v>2</v>
      </c>
      <c r="H25" s="487">
        <v>6.91</v>
      </c>
      <c r="I25" s="453">
        <v>3</v>
      </c>
      <c r="J25" s="487">
        <v>10.69</v>
      </c>
      <c r="K25" s="453">
        <v>5</v>
      </c>
      <c r="L25" s="487">
        <v>4.3499999999999996</v>
      </c>
      <c r="M25" s="453">
        <v>2</v>
      </c>
      <c r="N25" s="487">
        <v>5.97</v>
      </c>
      <c r="O25" s="453">
        <v>3</v>
      </c>
      <c r="P25" s="487">
        <v>38.24</v>
      </c>
      <c r="Q25" s="453">
        <v>18</v>
      </c>
    </row>
    <row r="26" spans="1:17" x14ac:dyDescent="0.25">
      <c r="A26" s="453">
        <v>6480081</v>
      </c>
      <c r="B26" s="487">
        <v>0</v>
      </c>
      <c r="C26" s="453">
        <v>0</v>
      </c>
      <c r="D26" s="487">
        <v>0</v>
      </c>
      <c r="E26" s="453">
        <v>0</v>
      </c>
      <c r="F26" s="487">
        <v>0</v>
      </c>
      <c r="G26" s="453">
        <v>1</v>
      </c>
      <c r="H26" s="487">
        <v>0</v>
      </c>
      <c r="I26" s="453">
        <v>0</v>
      </c>
      <c r="J26" s="487">
        <v>0</v>
      </c>
      <c r="K26" s="453">
        <v>1</v>
      </c>
      <c r="L26" s="487">
        <v>0</v>
      </c>
      <c r="M26" s="453">
        <v>0</v>
      </c>
      <c r="N26" s="487">
        <v>0</v>
      </c>
      <c r="O26" s="453">
        <v>0</v>
      </c>
      <c r="P26" s="487">
        <v>0</v>
      </c>
      <c r="Q26" s="453">
        <v>2</v>
      </c>
    </row>
    <row r="27" spans="1:17" x14ac:dyDescent="0.25">
      <c r="A27" s="453">
        <v>6480180</v>
      </c>
      <c r="B27" s="487">
        <v>0</v>
      </c>
      <c r="C27" s="453">
        <v>0</v>
      </c>
      <c r="D27" s="487">
        <v>0</v>
      </c>
      <c r="E27" s="453">
        <v>0</v>
      </c>
      <c r="F27" s="487">
        <v>0</v>
      </c>
      <c r="G27" s="453">
        <v>0</v>
      </c>
      <c r="H27" s="487">
        <v>0</v>
      </c>
      <c r="I27" s="453">
        <v>0</v>
      </c>
      <c r="J27" s="487">
        <v>1.99</v>
      </c>
      <c r="K27" s="453">
        <v>1</v>
      </c>
      <c r="L27" s="487">
        <v>1.99</v>
      </c>
      <c r="M27" s="453">
        <v>1</v>
      </c>
      <c r="N27" s="487">
        <v>1.99</v>
      </c>
      <c r="O27" s="453">
        <v>1</v>
      </c>
      <c r="P27" s="487">
        <v>5.97</v>
      </c>
      <c r="Q27" s="453">
        <v>3</v>
      </c>
    </row>
    <row r="28" spans="1:17" x14ac:dyDescent="0.25">
      <c r="A28" s="453">
        <v>6480143</v>
      </c>
      <c r="B28" s="487">
        <v>0</v>
      </c>
      <c r="C28" s="453">
        <v>0</v>
      </c>
      <c r="D28" s="487">
        <v>0</v>
      </c>
      <c r="E28" s="453">
        <v>0</v>
      </c>
      <c r="F28" s="487">
        <v>0</v>
      </c>
      <c r="G28" s="453">
        <v>0</v>
      </c>
      <c r="H28" s="487">
        <v>3.99</v>
      </c>
      <c r="I28" s="453">
        <v>1</v>
      </c>
      <c r="J28" s="487">
        <v>3.99</v>
      </c>
      <c r="K28" s="453">
        <v>1</v>
      </c>
      <c r="L28" s="487">
        <v>0</v>
      </c>
      <c r="M28" s="453">
        <v>0</v>
      </c>
      <c r="N28" s="487">
        <v>12.37</v>
      </c>
      <c r="O28" s="453">
        <v>3</v>
      </c>
      <c r="P28" s="487">
        <v>20.350000000000001</v>
      </c>
      <c r="Q28" s="453">
        <v>5</v>
      </c>
    </row>
    <row r="29" spans="1:17" x14ac:dyDescent="0.25">
      <c r="A29" s="453">
        <v>6480010</v>
      </c>
      <c r="B29" s="487">
        <v>0</v>
      </c>
      <c r="C29" s="453">
        <v>0</v>
      </c>
      <c r="D29" s="487">
        <v>9.99</v>
      </c>
      <c r="E29" s="453">
        <v>1</v>
      </c>
      <c r="F29" s="487">
        <v>0</v>
      </c>
      <c r="G29" s="453">
        <v>0</v>
      </c>
      <c r="H29" s="487">
        <v>0</v>
      </c>
      <c r="I29" s="453">
        <v>0</v>
      </c>
      <c r="J29" s="487">
        <v>0</v>
      </c>
      <c r="K29" s="453">
        <v>0</v>
      </c>
      <c r="L29" s="487">
        <v>0</v>
      </c>
      <c r="M29" s="453">
        <v>0</v>
      </c>
      <c r="N29" s="487">
        <v>0</v>
      </c>
      <c r="O29" s="453">
        <v>0</v>
      </c>
      <c r="P29" s="487">
        <v>9.99</v>
      </c>
      <c r="Q29" s="453">
        <v>1</v>
      </c>
    </row>
    <row r="30" spans="1:17" x14ac:dyDescent="0.25">
      <c r="A30" s="453">
        <v>6480083</v>
      </c>
      <c r="B30" s="487">
        <v>0</v>
      </c>
      <c r="C30" s="453">
        <v>0</v>
      </c>
      <c r="D30" s="487">
        <v>0</v>
      </c>
      <c r="E30" s="453">
        <v>0</v>
      </c>
      <c r="F30" s="487">
        <v>0</v>
      </c>
      <c r="G30" s="453">
        <v>0</v>
      </c>
      <c r="H30" s="487">
        <v>0</v>
      </c>
      <c r="I30" s="453">
        <v>0</v>
      </c>
      <c r="J30" s="487">
        <v>0</v>
      </c>
      <c r="K30" s="453">
        <v>0</v>
      </c>
      <c r="L30" s="487">
        <v>0</v>
      </c>
      <c r="M30" s="453">
        <v>0</v>
      </c>
      <c r="N30" s="487">
        <v>5.99</v>
      </c>
      <c r="O30" s="453">
        <v>1</v>
      </c>
      <c r="P30" s="487">
        <v>5.99</v>
      </c>
      <c r="Q30" s="453">
        <v>1</v>
      </c>
    </row>
    <row r="31" spans="1:17" x14ac:dyDescent="0.25">
      <c r="A31" s="453">
        <v>6480009</v>
      </c>
      <c r="B31" s="487">
        <v>0</v>
      </c>
      <c r="C31" s="453">
        <v>0</v>
      </c>
      <c r="D31" s="487">
        <v>0</v>
      </c>
      <c r="E31" s="453">
        <v>0</v>
      </c>
      <c r="F31" s="487">
        <v>6.59</v>
      </c>
      <c r="G31" s="453">
        <v>1</v>
      </c>
      <c r="H31" s="487">
        <v>5.99</v>
      </c>
      <c r="I31" s="453">
        <v>1</v>
      </c>
      <c r="J31" s="487">
        <v>5.99</v>
      </c>
      <c r="K31" s="453">
        <v>1</v>
      </c>
      <c r="L31" s="487">
        <v>5.99</v>
      </c>
      <c r="M31" s="453">
        <v>1</v>
      </c>
      <c r="N31" s="487">
        <v>0</v>
      </c>
      <c r="O31" s="453">
        <v>0</v>
      </c>
      <c r="P31" s="487">
        <v>24.560000000000002</v>
      </c>
      <c r="Q31" s="453">
        <v>4</v>
      </c>
    </row>
    <row r="32" spans="1:17" x14ac:dyDescent="0.25">
      <c r="A32" s="453">
        <v>6480008</v>
      </c>
      <c r="B32" s="487">
        <v>0</v>
      </c>
      <c r="C32" s="453">
        <v>0</v>
      </c>
      <c r="D32" s="487">
        <v>0</v>
      </c>
      <c r="E32" s="453">
        <v>0</v>
      </c>
      <c r="F32" s="487">
        <v>0</v>
      </c>
      <c r="G32" s="453">
        <v>0</v>
      </c>
      <c r="H32" s="487">
        <v>0</v>
      </c>
      <c r="I32" s="453">
        <v>0</v>
      </c>
      <c r="J32" s="487">
        <v>8.98</v>
      </c>
      <c r="K32" s="453">
        <v>2</v>
      </c>
      <c r="L32" s="487">
        <v>0</v>
      </c>
      <c r="M32" s="453">
        <v>0</v>
      </c>
      <c r="N32" s="487">
        <v>0</v>
      </c>
      <c r="O32" s="453">
        <v>0</v>
      </c>
      <c r="P32" s="487">
        <v>8.98</v>
      </c>
      <c r="Q32" s="453">
        <v>2</v>
      </c>
    </row>
    <row r="33" spans="1:17" x14ac:dyDescent="0.25">
      <c r="A33" s="453">
        <v>6480487</v>
      </c>
      <c r="B33" s="487">
        <v>0</v>
      </c>
      <c r="C33" s="453">
        <v>0</v>
      </c>
      <c r="D33" s="487">
        <v>0</v>
      </c>
      <c r="E33" s="453">
        <v>0</v>
      </c>
      <c r="F33" s="487">
        <v>2.25</v>
      </c>
      <c r="G33" s="453">
        <v>3</v>
      </c>
      <c r="H33" s="487">
        <v>0</v>
      </c>
      <c r="I33" s="453">
        <v>0</v>
      </c>
      <c r="J33" s="487">
        <v>0.75</v>
      </c>
      <c r="K33" s="453">
        <v>1</v>
      </c>
      <c r="L33" s="487">
        <v>3.89</v>
      </c>
      <c r="M33" s="453">
        <v>5</v>
      </c>
      <c r="N33" s="487">
        <v>1.78</v>
      </c>
      <c r="O33" s="453">
        <v>2</v>
      </c>
      <c r="P33" s="487">
        <v>8.67</v>
      </c>
      <c r="Q33" s="453">
        <v>11</v>
      </c>
    </row>
    <row r="34" spans="1:17" x14ac:dyDescent="0.25">
      <c r="A34" s="453">
        <v>6480489</v>
      </c>
      <c r="B34" s="487">
        <v>0</v>
      </c>
      <c r="C34" s="453">
        <v>0</v>
      </c>
      <c r="D34" s="487">
        <v>0</v>
      </c>
      <c r="E34" s="453">
        <v>0</v>
      </c>
      <c r="F34" s="487">
        <v>0</v>
      </c>
      <c r="G34" s="453">
        <v>0</v>
      </c>
      <c r="H34" s="487">
        <v>0</v>
      </c>
      <c r="I34" s="453">
        <v>0</v>
      </c>
      <c r="J34" s="487">
        <v>0.75</v>
      </c>
      <c r="K34" s="453">
        <v>1</v>
      </c>
      <c r="L34" s="487">
        <v>0</v>
      </c>
      <c r="M34" s="453">
        <v>0</v>
      </c>
      <c r="N34" s="487">
        <v>0</v>
      </c>
      <c r="O34" s="453">
        <v>0</v>
      </c>
      <c r="P34" s="487">
        <v>0.75</v>
      </c>
      <c r="Q34" s="453">
        <v>1</v>
      </c>
    </row>
    <row r="35" spans="1:17" x14ac:dyDescent="0.25">
      <c r="A35" s="453">
        <v>6480517</v>
      </c>
      <c r="B35" s="487">
        <v>0</v>
      </c>
      <c r="C35" s="453">
        <v>0</v>
      </c>
      <c r="D35" s="487">
        <v>0.89</v>
      </c>
      <c r="E35" s="453">
        <v>1</v>
      </c>
      <c r="F35" s="487">
        <v>1.5</v>
      </c>
      <c r="G35" s="453">
        <v>2</v>
      </c>
      <c r="H35" s="487">
        <v>0.89</v>
      </c>
      <c r="I35" s="453">
        <v>1</v>
      </c>
      <c r="J35" s="487">
        <v>0</v>
      </c>
      <c r="K35" s="453">
        <v>0</v>
      </c>
      <c r="L35" s="487">
        <v>1.64</v>
      </c>
      <c r="M35" s="453">
        <v>2</v>
      </c>
      <c r="N35" s="487">
        <v>0.89</v>
      </c>
      <c r="O35" s="453">
        <v>1</v>
      </c>
      <c r="P35" s="487">
        <v>5.81</v>
      </c>
      <c r="Q35" s="453">
        <v>7</v>
      </c>
    </row>
    <row r="36" spans="1:17" x14ac:dyDescent="0.25">
      <c r="A36" s="453">
        <v>1500</v>
      </c>
      <c r="B36" s="487">
        <v>0</v>
      </c>
      <c r="C36" s="453">
        <v>3</v>
      </c>
      <c r="D36" s="487">
        <v>0</v>
      </c>
      <c r="E36" s="453">
        <v>3</v>
      </c>
      <c r="F36" s="487">
        <v>0</v>
      </c>
      <c r="G36" s="453">
        <v>9</v>
      </c>
      <c r="H36" s="487">
        <v>0</v>
      </c>
      <c r="I36" s="453">
        <v>3</v>
      </c>
      <c r="J36" s="487">
        <v>0</v>
      </c>
      <c r="K36" s="453">
        <v>5</v>
      </c>
      <c r="L36" s="487">
        <v>0</v>
      </c>
      <c r="M36" s="453">
        <v>1</v>
      </c>
      <c r="N36" s="487">
        <v>0</v>
      </c>
      <c r="O36" s="453">
        <v>6</v>
      </c>
      <c r="P36" s="487">
        <v>0</v>
      </c>
      <c r="Q36" s="453">
        <v>30</v>
      </c>
    </row>
    <row r="37" spans="1:17" x14ac:dyDescent="0.25">
      <c r="A37" s="453">
        <v>6480094</v>
      </c>
      <c r="B37" s="487">
        <v>0</v>
      </c>
      <c r="C37" s="453">
        <v>0</v>
      </c>
      <c r="D37" s="487">
        <v>3.93</v>
      </c>
      <c r="E37" s="453">
        <v>3</v>
      </c>
      <c r="F37" s="487">
        <v>0</v>
      </c>
      <c r="G37" s="453">
        <v>0</v>
      </c>
      <c r="H37" s="487">
        <v>0</v>
      </c>
      <c r="I37" s="453">
        <v>0</v>
      </c>
      <c r="J37" s="487">
        <v>0</v>
      </c>
      <c r="K37" s="453">
        <v>0</v>
      </c>
      <c r="L37" s="487">
        <v>0</v>
      </c>
      <c r="M37" s="453">
        <v>0</v>
      </c>
      <c r="N37" s="487">
        <v>0</v>
      </c>
      <c r="O37" s="453">
        <v>0</v>
      </c>
      <c r="P37" s="487">
        <v>3.93</v>
      </c>
      <c r="Q37" s="453">
        <v>3</v>
      </c>
    </row>
    <row r="38" spans="1:17" x14ac:dyDescent="0.25">
      <c r="A38" s="453">
        <v>6490136</v>
      </c>
      <c r="B38" s="487">
        <v>0.99</v>
      </c>
      <c r="C38" s="453">
        <v>1</v>
      </c>
      <c r="D38" s="487">
        <v>0</v>
      </c>
      <c r="E38" s="453">
        <v>0</v>
      </c>
      <c r="F38" s="487">
        <v>0</v>
      </c>
      <c r="G38" s="453">
        <v>0</v>
      </c>
      <c r="H38" s="487">
        <v>0.99</v>
      </c>
      <c r="I38" s="453">
        <v>1</v>
      </c>
      <c r="J38" s="487">
        <v>1.31</v>
      </c>
      <c r="K38" s="453">
        <v>1</v>
      </c>
      <c r="L38" s="487">
        <v>0.99</v>
      </c>
      <c r="M38" s="453">
        <v>1</v>
      </c>
      <c r="N38" s="487">
        <v>0</v>
      </c>
      <c r="O38" s="453">
        <v>0</v>
      </c>
      <c r="P38" s="487">
        <v>4.28</v>
      </c>
      <c r="Q38" s="453">
        <v>4</v>
      </c>
    </row>
    <row r="39" spans="1:17" x14ac:dyDescent="0.25">
      <c r="A39" s="453">
        <v>1501</v>
      </c>
      <c r="B39" s="487">
        <v>0</v>
      </c>
      <c r="C39" s="453">
        <v>3</v>
      </c>
      <c r="D39" s="487">
        <v>0</v>
      </c>
      <c r="E39" s="453">
        <v>3</v>
      </c>
      <c r="F39" s="487">
        <v>0</v>
      </c>
      <c r="G39" s="453">
        <v>9</v>
      </c>
      <c r="H39" s="487">
        <v>0</v>
      </c>
      <c r="I39" s="453">
        <v>3</v>
      </c>
      <c r="J39" s="487">
        <v>0</v>
      </c>
      <c r="K39" s="453">
        <v>5</v>
      </c>
      <c r="L39" s="487">
        <v>0</v>
      </c>
      <c r="M39" s="453">
        <v>1</v>
      </c>
      <c r="N39" s="487">
        <v>0</v>
      </c>
      <c r="O39" s="453">
        <v>6</v>
      </c>
      <c r="P39" s="487">
        <v>0</v>
      </c>
      <c r="Q39" s="453">
        <v>30</v>
      </c>
    </row>
    <row r="40" spans="1:17" x14ac:dyDescent="0.25">
      <c r="A40" s="453">
        <v>6480096</v>
      </c>
      <c r="B40" s="487">
        <v>0</v>
      </c>
      <c r="C40" s="453">
        <v>0</v>
      </c>
      <c r="D40" s="487">
        <v>0</v>
      </c>
      <c r="E40" s="453">
        <v>0</v>
      </c>
      <c r="F40" s="487">
        <v>0</v>
      </c>
      <c r="G40" s="453">
        <v>0</v>
      </c>
      <c r="H40" s="487">
        <v>0</v>
      </c>
      <c r="I40" s="453">
        <v>0</v>
      </c>
      <c r="J40" s="487">
        <v>0</v>
      </c>
      <c r="K40" s="453">
        <v>0</v>
      </c>
      <c r="L40" s="487">
        <v>6.93</v>
      </c>
      <c r="M40" s="453">
        <v>7</v>
      </c>
      <c r="N40" s="487">
        <v>2.97</v>
      </c>
      <c r="O40" s="453">
        <v>3</v>
      </c>
      <c r="P40" s="487">
        <v>9.9</v>
      </c>
      <c r="Q40" s="453">
        <v>10</v>
      </c>
    </row>
    <row r="41" spans="1:17" x14ac:dyDescent="0.25">
      <c r="A41" s="453">
        <v>6490138</v>
      </c>
      <c r="B41" s="487">
        <v>0</v>
      </c>
      <c r="C41" s="453">
        <v>0</v>
      </c>
      <c r="D41" s="487">
        <v>0</v>
      </c>
      <c r="E41" s="453">
        <v>0</v>
      </c>
      <c r="F41" s="487">
        <v>0</v>
      </c>
      <c r="G41" s="453">
        <v>0</v>
      </c>
      <c r="H41" s="487">
        <v>0</v>
      </c>
      <c r="I41" s="453">
        <v>0</v>
      </c>
      <c r="J41" s="487">
        <v>1.98</v>
      </c>
      <c r="K41" s="453">
        <v>2</v>
      </c>
      <c r="L41" s="487">
        <v>4.95</v>
      </c>
      <c r="M41" s="453">
        <v>5</v>
      </c>
      <c r="N41" s="487">
        <v>0.99</v>
      </c>
      <c r="O41" s="453">
        <v>1</v>
      </c>
      <c r="P41" s="487">
        <v>7.92</v>
      </c>
      <c r="Q41" s="453">
        <v>8</v>
      </c>
    </row>
    <row r="42" spans="1:17" x14ac:dyDescent="0.25">
      <c r="A42" s="453">
        <v>6480064</v>
      </c>
      <c r="B42" s="487">
        <v>0</v>
      </c>
      <c r="C42" s="453">
        <v>0</v>
      </c>
      <c r="D42" s="487">
        <v>0</v>
      </c>
      <c r="E42" s="453">
        <v>0</v>
      </c>
      <c r="F42" s="487">
        <v>0</v>
      </c>
      <c r="G42" s="453">
        <v>0</v>
      </c>
      <c r="H42" s="487">
        <v>0</v>
      </c>
      <c r="I42" s="453">
        <v>0</v>
      </c>
      <c r="J42" s="487">
        <v>1.99</v>
      </c>
      <c r="K42" s="453">
        <v>1</v>
      </c>
      <c r="L42" s="487">
        <v>1.99</v>
      </c>
      <c r="M42" s="453">
        <v>1</v>
      </c>
      <c r="N42" s="487">
        <v>3.98</v>
      </c>
      <c r="O42" s="453">
        <v>2</v>
      </c>
      <c r="P42" s="487">
        <v>7.96</v>
      </c>
      <c r="Q42" s="453">
        <v>4</v>
      </c>
    </row>
    <row r="43" spans="1:17" x14ac:dyDescent="0.25">
      <c r="A43" s="453">
        <v>6480068</v>
      </c>
      <c r="B43" s="487">
        <v>0</v>
      </c>
      <c r="C43" s="453">
        <v>0</v>
      </c>
      <c r="D43" s="487">
        <v>0</v>
      </c>
      <c r="E43" s="453">
        <v>0</v>
      </c>
      <c r="F43" s="487">
        <v>2.99</v>
      </c>
      <c r="G43" s="453">
        <v>1</v>
      </c>
      <c r="H43" s="487">
        <v>0</v>
      </c>
      <c r="I43" s="453">
        <v>0</v>
      </c>
      <c r="J43" s="487">
        <v>0</v>
      </c>
      <c r="K43" s="453">
        <v>0</v>
      </c>
      <c r="L43" s="487">
        <v>0</v>
      </c>
      <c r="M43" s="453">
        <v>0</v>
      </c>
      <c r="N43" s="487">
        <v>0</v>
      </c>
      <c r="O43" s="453">
        <v>0</v>
      </c>
      <c r="P43" s="487">
        <v>2.99</v>
      </c>
      <c r="Q43" s="453">
        <v>1</v>
      </c>
    </row>
    <row r="44" spans="1:17" x14ac:dyDescent="0.25">
      <c r="A44" s="453">
        <v>6480072</v>
      </c>
      <c r="B44" s="487">
        <v>0</v>
      </c>
      <c r="C44" s="453">
        <v>0</v>
      </c>
      <c r="D44" s="487">
        <v>0</v>
      </c>
      <c r="E44" s="453">
        <v>0</v>
      </c>
      <c r="F44" s="487">
        <v>0</v>
      </c>
      <c r="G44" s="453">
        <v>0</v>
      </c>
      <c r="H44" s="487">
        <v>0</v>
      </c>
      <c r="I44" s="453">
        <v>0</v>
      </c>
      <c r="J44" s="487">
        <v>1.99</v>
      </c>
      <c r="K44" s="453">
        <v>1</v>
      </c>
      <c r="L44" s="487">
        <v>0</v>
      </c>
      <c r="M44" s="453">
        <v>0</v>
      </c>
      <c r="N44" s="487">
        <v>0</v>
      </c>
      <c r="O44" s="453">
        <v>0</v>
      </c>
      <c r="P44" s="487">
        <v>1.99</v>
      </c>
      <c r="Q44" s="453">
        <v>1</v>
      </c>
    </row>
    <row r="45" spans="1:17" x14ac:dyDescent="0.25">
      <c r="A45" s="453">
        <v>6480528</v>
      </c>
      <c r="B45" s="487">
        <v>0</v>
      </c>
      <c r="C45" s="453">
        <v>0</v>
      </c>
      <c r="D45" s="487">
        <v>0</v>
      </c>
      <c r="E45" s="453">
        <v>0</v>
      </c>
      <c r="F45" s="487">
        <v>0</v>
      </c>
      <c r="G45" s="453">
        <v>0</v>
      </c>
      <c r="H45" s="487">
        <v>0</v>
      </c>
      <c r="I45" s="453">
        <v>0</v>
      </c>
      <c r="J45" s="487">
        <v>1.19</v>
      </c>
      <c r="K45" s="453">
        <v>1</v>
      </c>
      <c r="L45" s="487">
        <v>0</v>
      </c>
      <c r="M45" s="453">
        <v>0</v>
      </c>
      <c r="N45" s="487">
        <v>0</v>
      </c>
      <c r="O45" s="453">
        <v>0</v>
      </c>
      <c r="P45" s="487">
        <v>1.19</v>
      </c>
      <c r="Q45" s="453">
        <v>1</v>
      </c>
    </row>
    <row r="46" spans="1:17" x14ac:dyDescent="0.25">
      <c r="A46" s="453">
        <v>6480476</v>
      </c>
      <c r="B46" s="487">
        <v>0</v>
      </c>
      <c r="C46" s="453">
        <v>0</v>
      </c>
      <c r="D46" s="487">
        <v>0</v>
      </c>
      <c r="E46" s="453">
        <v>0</v>
      </c>
      <c r="F46" s="487">
        <v>0</v>
      </c>
      <c r="G46" s="453">
        <v>0</v>
      </c>
      <c r="H46" s="487">
        <v>0</v>
      </c>
      <c r="I46" s="453">
        <v>0</v>
      </c>
      <c r="J46" s="487">
        <v>0</v>
      </c>
      <c r="K46" s="453">
        <v>0</v>
      </c>
      <c r="L46" s="487">
        <v>0</v>
      </c>
      <c r="M46" s="453">
        <v>0</v>
      </c>
      <c r="N46" s="487">
        <v>1.78</v>
      </c>
      <c r="O46" s="453">
        <v>2</v>
      </c>
      <c r="P46" s="487">
        <v>1.78</v>
      </c>
      <c r="Q46" s="453">
        <v>2</v>
      </c>
    </row>
    <row r="47" spans="1:17" x14ac:dyDescent="0.25">
      <c r="A47" s="453">
        <v>6410054</v>
      </c>
      <c r="B47" s="487">
        <v>0</v>
      </c>
      <c r="C47" s="453">
        <v>0</v>
      </c>
      <c r="D47" s="487">
        <v>0</v>
      </c>
      <c r="E47" s="453">
        <v>0</v>
      </c>
      <c r="F47" s="487">
        <v>0</v>
      </c>
      <c r="G47" s="453">
        <v>1</v>
      </c>
      <c r="H47" s="487">
        <v>0</v>
      </c>
      <c r="I47" s="453">
        <v>0</v>
      </c>
      <c r="J47" s="487">
        <v>0</v>
      </c>
      <c r="K47" s="453">
        <v>0</v>
      </c>
      <c r="L47" s="487">
        <v>0</v>
      </c>
      <c r="M47" s="453">
        <v>1</v>
      </c>
      <c r="N47" s="487">
        <v>0</v>
      </c>
      <c r="O47" s="453">
        <v>0</v>
      </c>
      <c r="P47" s="487">
        <v>0</v>
      </c>
      <c r="Q47" s="453">
        <v>2</v>
      </c>
    </row>
    <row r="48" spans="1:17" x14ac:dyDescent="0.25">
      <c r="A48" s="453">
        <v>6410055</v>
      </c>
      <c r="B48" s="487">
        <v>0</v>
      </c>
      <c r="C48" s="453">
        <v>0</v>
      </c>
      <c r="D48" s="487">
        <v>0</v>
      </c>
      <c r="E48" s="453">
        <v>0</v>
      </c>
      <c r="F48" s="487">
        <v>0</v>
      </c>
      <c r="G48" s="453">
        <v>0</v>
      </c>
      <c r="H48" s="487">
        <v>0</v>
      </c>
      <c r="I48" s="453">
        <v>0</v>
      </c>
      <c r="J48" s="487">
        <v>0</v>
      </c>
      <c r="K48" s="453">
        <v>0</v>
      </c>
      <c r="L48" s="487">
        <v>0</v>
      </c>
      <c r="M48" s="453">
        <v>1</v>
      </c>
      <c r="N48" s="487">
        <v>0</v>
      </c>
      <c r="O48" s="453">
        <v>0</v>
      </c>
      <c r="P48" s="487">
        <v>0</v>
      </c>
      <c r="Q48" s="453">
        <v>1</v>
      </c>
    </row>
    <row r="49" spans="1:17" x14ac:dyDescent="0.25">
      <c r="A49" s="453">
        <v>6480326</v>
      </c>
      <c r="B49" s="487">
        <v>0</v>
      </c>
      <c r="C49" s="453">
        <v>0</v>
      </c>
      <c r="D49" s="487">
        <v>0</v>
      </c>
      <c r="E49" s="453">
        <v>0</v>
      </c>
      <c r="F49" s="487">
        <v>0</v>
      </c>
      <c r="G49" s="453">
        <v>0</v>
      </c>
      <c r="H49" s="487">
        <v>0</v>
      </c>
      <c r="I49" s="453">
        <v>0</v>
      </c>
      <c r="J49" s="487">
        <v>0</v>
      </c>
      <c r="K49" s="453">
        <v>1</v>
      </c>
      <c r="L49" s="487">
        <v>0</v>
      </c>
      <c r="M49" s="453">
        <v>0</v>
      </c>
      <c r="N49" s="487">
        <v>0</v>
      </c>
      <c r="O49" s="453">
        <v>0</v>
      </c>
      <c r="P49" s="487">
        <v>0</v>
      </c>
      <c r="Q49" s="453">
        <v>1</v>
      </c>
    </row>
    <row r="50" spans="1:17" x14ac:dyDescent="0.25">
      <c r="A50" s="453">
        <v>6490840</v>
      </c>
      <c r="B50" s="487">
        <v>0</v>
      </c>
      <c r="C50" s="453">
        <v>0</v>
      </c>
      <c r="D50" s="487">
        <v>3.49</v>
      </c>
      <c r="E50" s="453">
        <v>1</v>
      </c>
      <c r="F50" s="487">
        <v>0</v>
      </c>
      <c r="G50" s="453">
        <v>0</v>
      </c>
      <c r="H50" s="487">
        <v>0</v>
      </c>
      <c r="I50" s="453">
        <v>0</v>
      </c>
      <c r="J50" s="487">
        <v>0</v>
      </c>
      <c r="K50" s="453">
        <v>0</v>
      </c>
      <c r="L50" s="487">
        <v>3.49</v>
      </c>
      <c r="M50" s="453">
        <v>1</v>
      </c>
      <c r="N50" s="487">
        <v>0</v>
      </c>
      <c r="O50" s="453">
        <v>0</v>
      </c>
      <c r="P50" s="487">
        <v>6.98</v>
      </c>
      <c r="Q50" s="453">
        <v>2</v>
      </c>
    </row>
    <row r="51" spans="1:17" x14ac:dyDescent="0.25">
      <c r="A51" s="453">
        <v>6490841</v>
      </c>
      <c r="B51" s="487">
        <v>3.49</v>
      </c>
      <c r="C51" s="453">
        <v>1</v>
      </c>
      <c r="D51" s="487">
        <v>0</v>
      </c>
      <c r="E51" s="453">
        <v>0</v>
      </c>
      <c r="F51" s="487">
        <v>0</v>
      </c>
      <c r="G51" s="453">
        <v>0</v>
      </c>
      <c r="H51" s="487">
        <v>0</v>
      </c>
      <c r="I51" s="453">
        <v>0</v>
      </c>
      <c r="J51" s="487">
        <v>3.49</v>
      </c>
      <c r="K51" s="453">
        <v>1</v>
      </c>
      <c r="L51" s="487">
        <v>3.49</v>
      </c>
      <c r="M51" s="453">
        <v>1</v>
      </c>
      <c r="N51" s="487">
        <v>0</v>
      </c>
      <c r="O51" s="453">
        <v>0</v>
      </c>
      <c r="P51" s="487">
        <v>10.47</v>
      </c>
      <c r="Q51" s="453">
        <v>3</v>
      </c>
    </row>
    <row r="52" spans="1:17" x14ac:dyDescent="0.25">
      <c r="A52" s="453">
        <v>6480565</v>
      </c>
      <c r="B52" s="487">
        <v>0</v>
      </c>
      <c r="C52" s="453">
        <v>0</v>
      </c>
      <c r="D52" s="487">
        <v>0</v>
      </c>
      <c r="E52" s="453">
        <v>0</v>
      </c>
      <c r="F52" s="487">
        <v>0</v>
      </c>
      <c r="G52" s="453">
        <v>0</v>
      </c>
      <c r="H52" s="487">
        <v>0</v>
      </c>
      <c r="I52" s="453">
        <v>0</v>
      </c>
      <c r="J52" s="487">
        <v>0</v>
      </c>
      <c r="K52" s="453">
        <v>0</v>
      </c>
      <c r="L52" s="487">
        <v>0</v>
      </c>
      <c r="M52" s="453">
        <v>1</v>
      </c>
      <c r="N52" s="487">
        <v>0</v>
      </c>
      <c r="O52" s="453">
        <v>0</v>
      </c>
      <c r="P52" s="487">
        <v>0</v>
      </c>
      <c r="Q52" s="453">
        <v>1</v>
      </c>
    </row>
    <row r="53" spans="1:17" x14ac:dyDescent="0.25">
      <c r="A53" s="453">
        <v>6480159</v>
      </c>
      <c r="B53" s="487">
        <v>0</v>
      </c>
      <c r="C53" s="453">
        <v>0</v>
      </c>
      <c r="D53" s="487">
        <v>0</v>
      </c>
      <c r="E53" s="453">
        <v>0</v>
      </c>
      <c r="F53" s="487">
        <v>3.99</v>
      </c>
      <c r="G53" s="453">
        <v>1</v>
      </c>
      <c r="H53" s="487">
        <v>0</v>
      </c>
      <c r="I53" s="453">
        <v>0</v>
      </c>
      <c r="J53" s="487">
        <v>0</v>
      </c>
      <c r="K53" s="453">
        <v>0</v>
      </c>
      <c r="L53" s="487">
        <v>0</v>
      </c>
      <c r="M53" s="453">
        <v>0</v>
      </c>
      <c r="N53" s="487">
        <v>0</v>
      </c>
      <c r="O53" s="453">
        <v>0</v>
      </c>
      <c r="P53" s="487">
        <v>3.99</v>
      </c>
      <c r="Q53" s="453">
        <v>1</v>
      </c>
    </row>
    <row r="54" spans="1:17" x14ac:dyDescent="0.25">
      <c r="A54" s="453">
        <v>6480055</v>
      </c>
      <c r="B54" s="487">
        <v>0</v>
      </c>
      <c r="C54" s="453">
        <v>6</v>
      </c>
      <c r="D54" s="487">
        <v>0</v>
      </c>
      <c r="E54" s="453">
        <v>5</v>
      </c>
      <c r="F54" s="487">
        <v>0</v>
      </c>
      <c r="G54" s="453">
        <v>13</v>
      </c>
      <c r="H54" s="487">
        <v>0</v>
      </c>
      <c r="I54" s="453">
        <v>8</v>
      </c>
      <c r="J54" s="487">
        <v>0</v>
      </c>
      <c r="K54" s="453">
        <v>36</v>
      </c>
      <c r="L54" s="487">
        <v>0</v>
      </c>
      <c r="M54" s="453">
        <v>28</v>
      </c>
      <c r="N54" s="487">
        <v>0</v>
      </c>
      <c r="O54" s="453">
        <v>14</v>
      </c>
      <c r="P54" s="487">
        <v>0</v>
      </c>
      <c r="Q54" s="453">
        <v>110</v>
      </c>
    </row>
    <row r="55" spans="1:17" x14ac:dyDescent="0.25">
      <c r="A55" s="453">
        <v>6480419</v>
      </c>
      <c r="B55" s="487">
        <v>0</v>
      </c>
      <c r="C55" s="453">
        <v>0</v>
      </c>
      <c r="D55" s="487">
        <v>0</v>
      </c>
      <c r="E55" s="453">
        <v>0</v>
      </c>
      <c r="F55" s="487">
        <v>0</v>
      </c>
      <c r="G55" s="453">
        <v>0</v>
      </c>
      <c r="H55" s="487">
        <v>0</v>
      </c>
      <c r="I55" s="453">
        <v>1</v>
      </c>
      <c r="J55" s="487">
        <v>0</v>
      </c>
      <c r="K55" s="453">
        <v>0</v>
      </c>
      <c r="L55" s="487">
        <v>0</v>
      </c>
      <c r="M55" s="453">
        <v>0</v>
      </c>
      <c r="N55" s="487">
        <v>0</v>
      </c>
      <c r="O55" s="453">
        <v>0</v>
      </c>
      <c r="P55" s="487">
        <v>0</v>
      </c>
      <c r="Q55" s="453">
        <v>1</v>
      </c>
    </row>
    <row r="56" spans="1:17" x14ac:dyDescent="0.25">
      <c r="A56" s="453">
        <v>6480488</v>
      </c>
      <c r="B56" s="487">
        <v>0</v>
      </c>
      <c r="C56" s="453">
        <v>0</v>
      </c>
      <c r="D56" s="487">
        <v>0</v>
      </c>
      <c r="E56" s="453">
        <v>3</v>
      </c>
      <c r="F56" s="487">
        <v>0</v>
      </c>
      <c r="G56" s="453">
        <v>5</v>
      </c>
      <c r="H56" s="487">
        <v>0</v>
      </c>
      <c r="I56" s="453">
        <v>0</v>
      </c>
      <c r="J56" s="487">
        <v>0</v>
      </c>
      <c r="K56" s="453">
        <v>4</v>
      </c>
      <c r="L56" s="487">
        <v>0</v>
      </c>
      <c r="M56" s="453">
        <v>4</v>
      </c>
      <c r="N56" s="487">
        <v>0</v>
      </c>
      <c r="O56" s="453">
        <v>5</v>
      </c>
      <c r="P56" s="487">
        <v>0</v>
      </c>
      <c r="Q56" s="453">
        <v>21</v>
      </c>
    </row>
    <row r="57" spans="1:17" x14ac:dyDescent="0.25">
      <c r="A57" s="453">
        <v>6480496</v>
      </c>
      <c r="B57" s="487">
        <v>0</v>
      </c>
      <c r="C57" s="453">
        <v>5</v>
      </c>
      <c r="D57" s="487">
        <v>0</v>
      </c>
      <c r="E57" s="453">
        <v>6</v>
      </c>
      <c r="F57" s="487">
        <v>0</v>
      </c>
      <c r="G57" s="453">
        <v>10</v>
      </c>
      <c r="H57" s="487">
        <v>0</v>
      </c>
      <c r="I57" s="453">
        <v>2</v>
      </c>
      <c r="J57" s="487">
        <v>0</v>
      </c>
      <c r="K57" s="453">
        <v>13</v>
      </c>
      <c r="L57" s="487">
        <v>0</v>
      </c>
      <c r="M57" s="453">
        <v>13</v>
      </c>
      <c r="N57" s="487">
        <v>0</v>
      </c>
      <c r="O57" s="453">
        <v>9</v>
      </c>
      <c r="P57" s="487">
        <v>0</v>
      </c>
      <c r="Q57" s="453">
        <v>58</v>
      </c>
    </row>
    <row r="58" spans="1:17" x14ac:dyDescent="0.25">
      <c r="A58" s="453">
        <v>6480520</v>
      </c>
      <c r="B58" s="487">
        <v>0</v>
      </c>
      <c r="C58" s="453">
        <v>0</v>
      </c>
      <c r="D58" s="487">
        <v>0</v>
      </c>
      <c r="E58" s="453">
        <v>2</v>
      </c>
      <c r="F58" s="487">
        <v>0</v>
      </c>
      <c r="G58" s="453">
        <v>2</v>
      </c>
      <c r="H58" s="487">
        <v>0</v>
      </c>
      <c r="I58" s="453">
        <v>0</v>
      </c>
      <c r="J58" s="487">
        <v>0</v>
      </c>
      <c r="K58" s="453">
        <v>8</v>
      </c>
      <c r="L58" s="487">
        <v>0</v>
      </c>
      <c r="M58" s="453">
        <v>4</v>
      </c>
      <c r="N58" s="487">
        <v>0</v>
      </c>
      <c r="O58" s="453">
        <v>6</v>
      </c>
      <c r="P58" s="487">
        <v>0</v>
      </c>
      <c r="Q58" s="453">
        <v>22</v>
      </c>
    </row>
    <row r="59" spans="1:17" x14ac:dyDescent="0.25">
      <c r="A59" s="453">
        <v>6480540</v>
      </c>
      <c r="B59" s="487">
        <v>0</v>
      </c>
      <c r="C59" s="453">
        <v>1</v>
      </c>
      <c r="D59" s="487">
        <v>0</v>
      </c>
      <c r="E59" s="453">
        <v>0</v>
      </c>
      <c r="F59" s="487">
        <v>0</v>
      </c>
      <c r="G59" s="453">
        <v>0</v>
      </c>
      <c r="H59" s="487">
        <v>0</v>
      </c>
      <c r="I59" s="453">
        <v>0</v>
      </c>
      <c r="J59" s="487">
        <v>0</v>
      </c>
      <c r="K59" s="453">
        <v>1</v>
      </c>
      <c r="L59" s="487">
        <v>0</v>
      </c>
      <c r="M59" s="453">
        <v>0</v>
      </c>
      <c r="N59" s="487">
        <v>0</v>
      </c>
      <c r="O59" s="453">
        <v>0</v>
      </c>
      <c r="P59" s="487">
        <v>0</v>
      </c>
      <c r="Q59" s="453">
        <v>2</v>
      </c>
    </row>
    <row r="60" spans="1:17" x14ac:dyDescent="0.25">
      <c r="A60" s="453">
        <v>6480541</v>
      </c>
      <c r="B60" s="487">
        <v>0</v>
      </c>
      <c r="C60" s="453">
        <v>0</v>
      </c>
      <c r="D60" s="487">
        <v>0</v>
      </c>
      <c r="E60" s="453">
        <v>0</v>
      </c>
      <c r="F60" s="487">
        <v>0</v>
      </c>
      <c r="G60" s="453">
        <v>0</v>
      </c>
      <c r="H60" s="487">
        <v>0</v>
      </c>
      <c r="I60" s="453">
        <v>1</v>
      </c>
      <c r="J60" s="487">
        <v>0</v>
      </c>
      <c r="K60" s="453">
        <v>1</v>
      </c>
      <c r="L60" s="487">
        <v>0</v>
      </c>
      <c r="M60" s="453">
        <v>1</v>
      </c>
      <c r="N60" s="487">
        <v>0</v>
      </c>
      <c r="O60" s="453">
        <v>0</v>
      </c>
      <c r="P60" s="487">
        <v>0</v>
      </c>
      <c r="Q60" s="453">
        <v>3</v>
      </c>
    </row>
    <row r="61" spans="1:17" x14ac:dyDescent="0.25">
      <c r="A61" s="453">
        <v>6480558</v>
      </c>
      <c r="B61" s="487">
        <v>0</v>
      </c>
      <c r="C61" s="453">
        <v>2</v>
      </c>
      <c r="D61" s="487">
        <v>0</v>
      </c>
      <c r="E61" s="453">
        <v>1</v>
      </c>
      <c r="F61" s="487">
        <v>0</v>
      </c>
      <c r="G61" s="453">
        <v>0</v>
      </c>
      <c r="H61" s="487">
        <v>0</v>
      </c>
      <c r="I61" s="453">
        <v>0</v>
      </c>
      <c r="J61" s="487">
        <v>0</v>
      </c>
      <c r="K61" s="453">
        <v>2</v>
      </c>
      <c r="L61" s="487">
        <v>0</v>
      </c>
      <c r="M61" s="453">
        <v>6</v>
      </c>
      <c r="N61" s="487">
        <v>0</v>
      </c>
      <c r="O61" s="453">
        <v>0</v>
      </c>
      <c r="P61" s="487">
        <v>0</v>
      </c>
      <c r="Q61" s="453">
        <v>11</v>
      </c>
    </row>
    <row r="62" spans="1:17" x14ac:dyDescent="0.25">
      <c r="A62" s="453">
        <v>6480548</v>
      </c>
      <c r="B62" s="487">
        <v>0</v>
      </c>
      <c r="C62" s="453">
        <v>0</v>
      </c>
      <c r="D62" s="487">
        <v>0</v>
      </c>
      <c r="E62" s="453">
        <v>0</v>
      </c>
      <c r="F62" s="487">
        <v>0</v>
      </c>
      <c r="G62" s="453">
        <v>0</v>
      </c>
      <c r="H62" s="487">
        <v>1.31</v>
      </c>
      <c r="I62" s="453">
        <v>1</v>
      </c>
      <c r="J62" s="487">
        <v>1.98</v>
      </c>
      <c r="K62" s="453">
        <v>2</v>
      </c>
      <c r="L62" s="487">
        <v>0.99</v>
      </c>
      <c r="M62" s="453">
        <v>1</v>
      </c>
      <c r="N62" s="487">
        <v>0</v>
      </c>
      <c r="O62" s="453">
        <v>0</v>
      </c>
      <c r="P62" s="487">
        <v>4.28</v>
      </c>
      <c r="Q62" s="453">
        <v>4</v>
      </c>
    </row>
    <row r="63" spans="1:17" x14ac:dyDescent="0.25">
      <c r="A63" s="453">
        <v>6440647</v>
      </c>
      <c r="B63" s="487">
        <v>0</v>
      </c>
      <c r="C63" s="453">
        <v>0</v>
      </c>
      <c r="D63" s="487">
        <v>0</v>
      </c>
      <c r="E63" s="453">
        <v>0</v>
      </c>
      <c r="F63" s="487">
        <v>0</v>
      </c>
      <c r="G63" s="453">
        <v>0</v>
      </c>
      <c r="H63" s="487">
        <v>0</v>
      </c>
      <c r="I63" s="453">
        <v>0</v>
      </c>
      <c r="J63" s="487">
        <v>0</v>
      </c>
      <c r="K63" s="453">
        <v>0</v>
      </c>
      <c r="L63" s="487">
        <v>0</v>
      </c>
      <c r="M63" s="453">
        <v>1</v>
      </c>
      <c r="N63" s="487">
        <v>0</v>
      </c>
      <c r="O63" s="453">
        <v>0</v>
      </c>
      <c r="P63" s="487">
        <v>0</v>
      </c>
      <c r="Q63" s="453">
        <v>1</v>
      </c>
    </row>
    <row r="64" spans="1:17" x14ac:dyDescent="0.25">
      <c r="A64" s="453">
        <v>6480505</v>
      </c>
      <c r="B64" s="487">
        <v>0</v>
      </c>
      <c r="C64" s="453">
        <v>0</v>
      </c>
      <c r="D64" s="487">
        <v>0</v>
      </c>
      <c r="E64" s="453">
        <v>0</v>
      </c>
      <c r="F64" s="487">
        <v>1.49</v>
      </c>
      <c r="G64" s="453">
        <v>1</v>
      </c>
      <c r="H64" s="487">
        <v>0</v>
      </c>
      <c r="I64" s="453">
        <v>0</v>
      </c>
      <c r="J64" s="487">
        <v>0</v>
      </c>
      <c r="K64" s="453">
        <v>0</v>
      </c>
      <c r="L64" s="487">
        <v>0</v>
      </c>
      <c r="M64" s="453">
        <v>0</v>
      </c>
      <c r="N64" s="487">
        <v>0</v>
      </c>
      <c r="O64" s="453">
        <v>0</v>
      </c>
      <c r="P64" s="487">
        <v>1.49</v>
      </c>
      <c r="Q64" s="453">
        <v>1</v>
      </c>
    </row>
    <row r="65" spans="1:17" x14ac:dyDescent="0.25">
      <c r="A65" s="453">
        <v>6480507</v>
      </c>
      <c r="B65" s="487">
        <v>0</v>
      </c>
      <c r="C65" s="453">
        <v>0</v>
      </c>
      <c r="D65" s="487">
        <v>0</v>
      </c>
      <c r="E65" s="453">
        <v>0</v>
      </c>
      <c r="F65" s="487">
        <v>0</v>
      </c>
      <c r="G65" s="453">
        <v>0</v>
      </c>
      <c r="H65" s="487">
        <v>0</v>
      </c>
      <c r="I65" s="453">
        <v>0</v>
      </c>
      <c r="J65" s="487">
        <v>2.98</v>
      </c>
      <c r="K65" s="453">
        <v>2</v>
      </c>
      <c r="L65" s="487">
        <v>0</v>
      </c>
      <c r="M65" s="453">
        <v>0</v>
      </c>
      <c r="N65" s="487">
        <v>0</v>
      </c>
      <c r="O65" s="453">
        <v>0</v>
      </c>
      <c r="P65" s="487">
        <v>2.98</v>
      </c>
      <c r="Q65" s="453">
        <v>2</v>
      </c>
    </row>
    <row r="66" spans="1:17" x14ac:dyDescent="0.25">
      <c r="A66" s="453">
        <v>6480204</v>
      </c>
      <c r="B66" s="487">
        <v>0</v>
      </c>
      <c r="C66" s="453">
        <v>0</v>
      </c>
      <c r="D66" s="487">
        <v>0</v>
      </c>
      <c r="E66" s="453">
        <v>0</v>
      </c>
      <c r="F66" s="487">
        <v>0</v>
      </c>
      <c r="G66" s="453">
        <v>0</v>
      </c>
      <c r="H66" s="487">
        <v>0</v>
      </c>
      <c r="I66" s="453">
        <v>0</v>
      </c>
      <c r="J66" s="487">
        <v>0</v>
      </c>
      <c r="K66" s="453">
        <v>0</v>
      </c>
      <c r="L66" s="487">
        <v>3.99</v>
      </c>
      <c r="M66" s="453">
        <v>1</v>
      </c>
      <c r="N66" s="487">
        <v>0</v>
      </c>
      <c r="O66" s="453">
        <v>0</v>
      </c>
      <c r="P66" s="487">
        <v>3.99</v>
      </c>
      <c r="Q66" s="453">
        <v>1</v>
      </c>
    </row>
    <row r="67" spans="1:17" x14ac:dyDescent="0.25">
      <c r="A67" s="453">
        <v>6480038</v>
      </c>
      <c r="B67" s="487">
        <v>0</v>
      </c>
      <c r="C67" s="453">
        <v>0</v>
      </c>
      <c r="D67" s="487">
        <v>0</v>
      </c>
      <c r="E67" s="453">
        <v>0</v>
      </c>
      <c r="F67" s="487">
        <v>0</v>
      </c>
      <c r="G67" s="453">
        <v>0</v>
      </c>
      <c r="H67" s="487">
        <v>0</v>
      </c>
      <c r="I67" s="453">
        <v>0</v>
      </c>
      <c r="J67" s="487">
        <v>15.96</v>
      </c>
      <c r="K67" s="453">
        <v>4</v>
      </c>
      <c r="L67" s="487">
        <v>11.97</v>
      </c>
      <c r="M67" s="453">
        <v>3</v>
      </c>
      <c r="N67" s="487">
        <v>3.99</v>
      </c>
      <c r="O67" s="453">
        <v>1</v>
      </c>
      <c r="P67" s="487">
        <v>31.92</v>
      </c>
      <c r="Q67" s="453">
        <v>8</v>
      </c>
    </row>
    <row r="68" spans="1:17" x14ac:dyDescent="0.25">
      <c r="A68" s="453">
        <v>6480203</v>
      </c>
      <c r="B68" s="487">
        <v>0</v>
      </c>
      <c r="C68" s="453">
        <v>0</v>
      </c>
      <c r="D68" s="487">
        <v>3.99</v>
      </c>
      <c r="E68" s="453">
        <v>1</v>
      </c>
      <c r="F68" s="487">
        <v>0</v>
      </c>
      <c r="G68" s="453">
        <v>0</v>
      </c>
      <c r="H68" s="487">
        <v>0</v>
      </c>
      <c r="I68" s="453">
        <v>0</v>
      </c>
      <c r="J68" s="487">
        <v>0</v>
      </c>
      <c r="K68" s="453">
        <v>0</v>
      </c>
      <c r="L68" s="487">
        <v>0</v>
      </c>
      <c r="M68" s="453">
        <v>0</v>
      </c>
      <c r="N68" s="487">
        <v>3.99</v>
      </c>
      <c r="O68" s="453">
        <v>1</v>
      </c>
      <c r="P68" s="487">
        <v>7.98</v>
      </c>
      <c r="Q68" s="453">
        <v>2</v>
      </c>
    </row>
    <row r="69" spans="1:17" x14ac:dyDescent="0.25">
      <c r="A69" s="453">
        <v>6480039</v>
      </c>
      <c r="B69" s="487">
        <v>13.93</v>
      </c>
      <c r="C69" s="453">
        <v>7</v>
      </c>
      <c r="D69" s="487">
        <v>1.99</v>
      </c>
      <c r="E69" s="453">
        <v>1</v>
      </c>
      <c r="F69" s="487">
        <v>10.35</v>
      </c>
      <c r="G69" s="453">
        <v>5</v>
      </c>
      <c r="H69" s="487">
        <v>11.46</v>
      </c>
      <c r="I69" s="453">
        <v>5</v>
      </c>
      <c r="J69" s="487">
        <v>8.56</v>
      </c>
      <c r="K69" s="453">
        <v>4</v>
      </c>
      <c r="L69" s="487">
        <v>12.34</v>
      </c>
      <c r="M69" s="453">
        <v>6</v>
      </c>
      <c r="N69" s="487">
        <v>38.409999999999997</v>
      </c>
      <c r="O69" s="453">
        <v>19</v>
      </c>
      <c r="P69" s="487">
        <v>97.04</v>
      </c>
      <c r="Q69" s="453">
        <v>47</v>
      </c>
    </row>
    <row r="70" spans="1:17" x14ac:dyDescent="0.25">
      <c r="A70" s="453">
        <v>6480029</v>
      </c>
      <c r="B70" s="487">
        <v>0</v>
      </c>
      <c r="C70" s="453">
        <v>0</v>
      </c>
      <c r="D70" s="487">
        <v>0</v>
      </c>
      <c r="E70" s="453">
        <v>0</v>
      </c>
      <c r="F70" s="487">
        <v>0</v>
      </c>
      <c r="G70" s="453">
        <v>0</v>
      </c>
      <c r="H70" s="487">
        <v>4.49</v>
      </c>
      <c r="I70" s="453">
        <v>1</v>
      </c>
      <c r="J70" s="487">
        <v>0</v>
      </c>
      <c r="K70" s="453">
        <v>0</v>
      </c>
      <c r="L70" s="487">
        <v>4.49</v>
      </c>
      <c r="M70" s="453">
        <v>1</v>
      </c>
      <c r="N70" s="487">
        <v>0</v>
      </c>
      <c r="O70" s="453">
        <v>0</v>
      </c>
      <c r="P70" s="487">
        <v>8.98</v>
      </c>
      <c r="Q70" s="453">
        <v>2</v>
      </c>
    </row>
    <row r="71" spans="1:17" x14ac:dyDescent="0.25">
      <c r="A71" s="453">
        <v>6480277</v>
      </c>
      <c r="B71" s="487">
        <v>0</v>
      </c>
      <c r="C71" s="453">
        <v>0</v>
      </c>
      <c r="D71" s="487">
        <v>0</v>
      </c>
      <c r="E71" s="453">
        <v>0</v>
      </c>
      <c r="F71" s="487">
        <v>0</v>
      </c>
      <c r="G71" s="453">
        <v>0</v>
      </c>
      <c r="H71" s="487">
        <v>0</v>
      </c>
      <c r="I71" s="453">
        <v>0</v>
      </c>
      <c r="J71" s="487">
        <v>3.99</v>
      </c>
      <c r="K71" s="453">
        <v>1</v>
      </c>
      <c r="L71" s="487">
        <v>0</v>
      </c>
      <c r="M71" s="453">
        <v>0</v>
      </c>
      <c r="N71" s="487">
        <v>0</v>
      </c>
      <c r="O71" s="453">
        <v>0</v>
      </c>
      <c r="P71" s="487">
        <v>3.99</v>
      </c>
      <c r="Q71" s="453">
        <v>1</v>
      </c>
    </row>
    <row r="72" spans="1:17" x14ac:dyDescent="0.25">
      <c r="A72" s="453">
        <v>6480506</v>
      </c>
      <c r="B72" s="487">
        <v>0</v>
      </c>
      <c r="C72" s="453">
        <v>0</v>
      </c>
      <c r="D72" s="487">
        <v>0</v>
      </c>
      <c r="E72" s="453">
        <v>0</v>
      </c>
      <c r="F72" s="487">
        <v>0</v>
      </c>
      <c r="G72" s="453">
        <v>0</v>
      </c>
      <c r="H72" s="487">
        <v>1.49</v>
      </c>
      <c r="I72" s="453">
        <v>1</v>
      </c>
      <c r="J72" s="487">
        <v>0</v>
      </c>
      <c r="K72" s="453">
        <v>0</v>
      </c>
      <c r="L72" s="487">
        <v>0</v>
      </c>
      <c r="M72" s="453">
        <v>0</v>
      </c>
      <c r="N72" s="487">
        <v>0</v>
      </c>
      <c r="O72" s="453">
        <v>0</v>
      </c>
      <c r="P72" s="487">
        <v>1.49</v>
      </c>
      <c r="Q72" s="453">
        <v>1</v>
      </c>
    </row>
    <row r="73" spans="1:17" x14ac:dyDescent="0.25">
      <c r="A73" s="453">
        <v>6480524</v>
      </c>
      <c r="B73" s="487">
        <v>0</v>
      </c>
      <c r="C73" s="453">
        <v>0</v>
      </c>
      <c r="D73" s="487">
        <v>1.49</v>
      </c>
      <c r="E73" s="453">
        <v>1</v>
      </c>
      <c r="F73" s="487">
        <v>0</v>
      </c>
      <c r="G73" s="453">
        <v>0</v>
      </c>
      <c r="H73" s="487">
        <v>0</v>
      </c>
      <c r="I73" s="453">
        <v>0</v>
      </c>
      <c r="J73" s="487">
        <v>0</v>
      </c>
      <c r="K73" s="453">
        <v>0</v>
      </c>
      <c r="L73" s="487">
        <v>2.98</v>
      </c>
      <c r="M73" s="453">
        <v>2</v>
      </c>
      <c r="N73" s="487">
        <v>0</v>
      </c>
      <c r="O73" s="453">
        <v>0</v>
      </c>
      <c r="P73" s="487">
        <v>4.47</v>
      </c>
      <c r="Q73" s="453">
        <v>3</v>
      </c>
    </row>
    <row r="74" spans="1:17" x14ac:dyDescent="0.25">
      <c r="A74" s="453">
        <v>6480164</v>
      </c>
      <c r="B74" s="487">
        <v>0</v>
      </c>
      <c r="C74" s="453">
        <v>0</v>
      </c>
      <c r="D74" s="487">
        <v>1.31</v>
      </c>
      <c r="E74" s="453">
        <v>1</v>
      </c>
      <c r="F74" s="487">
        <v>0</v>
      </c>
      <c r="G74" s="453">
        <v>0</v>
      </c>
      <c r="H74" s="487">
        <v>0</v>
      </c>
      <c r="I74" s="453">
        <v>0</v>
      </c>
      <c r="J74" s="487">
        <v>0</v>
      </c>
      <c r="K74" s="453">
        <v>0</v>
      </c>
      <c r="L74" s="487">
        <v>0</v>
      </c>
      <c r="M74" s="453">
        <v>0</v>
      </c>
      <c r="N74" s="487">
        <v>0</v>
      </c>
      <c r="O74" s="453">
        <v>0</v>
      </c>
      <c r="P74" s="487">
        <v>1.31</v>
      </c>
      <c r="Q74" s="453">
        <v>1</v>
      </c>
    </row>
    <row r="75" spans="1:17" x14ac:dyDescent="0.25">
      <c r="A75" s="453">
        <v>6490526</v>
      </c>
      <c r="B75" s="487">
        <v>0</v>
      </c>
      <c r="C75" s="453">
        <v>0</v>
      </c>
      <c r="D75" s="487">
        <v>0</v>
      </c>
      <c r="E75" s="453">
        <v>0</v>
      </c>
      <c r="F75" s="487">
        <v>0</v>
      </c>
      <c r="G75" s="453">
        <v>0</v>
      </c>
      <c r="H75" s="487">
        <v>0</v>
      </c>
      <c r="I75" s="453">
        <v>1</v>
      </c>
      <c r="J75" s="487">
        <v>0</v>
      </c>
      <c r="K75" s="453">
        <v>0</v>
      </c>
      <c r="L75" s="487">
        <v>0</v>
      </c>
      <c r="M75" s="453">
        <v>0</v>
      </c>
      <c r="N75" s="487">
        <v>0</v>
      </c>
      <c r="O75" s="453">
        <v>0</v>
      </c>
      <c r="P75" s="487">
        <v>0</v>
      </c>
      <c r="Q75" s="453">
        <v>1</v>
      </c>
    </row>
    <row r="76" spans="1:17" x14ac:dyDescent="0.25">
      <c r="A76" s="453">
        <v>6490525</v>
      </c>
      <c r="B76" s="487">
        <v>0</v>
      </c>
      <c r="C76" s="453">
        <v>4</v>
      </c>
      <c r="D76" s="487">
        <v>0</v>
      </c>
      <c r="E76" s="453">
        <v>2</v>
      </c>
      <c r="F76" s="487">
        <v>0</v>
      </c>
      <c r="G76" s="453">
        <v>5</v>
      </c>
      <c r="H76" s="487">
        <v>0</v>
      </c>
      <c r="I76" s="453">
        <v>1</v>
      </c>
      <c r="J76" s="487">
        <v>0</v>
      </c>
      <c r="K76" s="453">
        <v>19</v>
      </c>
      <c r="L76" s="487">
        <v>0</v>
      </c>
      <c r="M76" s="453">
        <v>13</v>
      </c>
      <c r="N76" s="487">
        <v>0</v>
      </c>
      <c r="O76" s="453">
        <v>4</v>
      </c>
      <c r="P76" s="487">
        <v>0</v>
      </c>
      <c r="Q76" s="453">
        <v>48</v>
      </c>
    </row>
    <row r="77" spans="1:17" x14ac:dyDescent="0.25">
      <c r="A77" s="453">
        <v>6480106</v>
      </c>
      <c r="B77" s="487">
        <v>0</v>
      </c>
      <c r="C77" s="453">
        <v>1</v>
      </c>
      <c r="D77" s="487">
        <v>0</v>
      </c>
      <c r="E77" s="453">
        <v>0</v>
      </c>
      <c r="F77" s="487">
        <v>0</v>
      </c>
      <c r="G77" s="453">
        <v>1</v>
      </c>
      <c r="H77" s="487">
        <v>0</v>
      </c>
      <c r="I77" s="453">
        <v>0</v>
      </c>
      <c r="J77" s="487">
        <v>0</v>
      </c>
      <c r="K77" s="453">
        <v>5</v>
      </c>
      <c r="L77" s="487">
        <v>0</v>
      </c>
      <c r="M77" s="453">
        <v>4</v>
      </c>
      <c r="N77" s="487">
        <v>0</v>
      </c>
      <c r="O77" s="453">
        <v>4</v>
      </c>
      <c r="P77" s="487">
        <v>0</v>
      </c>
      <c r="Q77" s="453">
        <v>15</v>
      </c>
    </row>
    <row r="78" spans="1:17" x14ac:dyDescent="0.25">
      <c r="A78" s="453">
        <v>6480109</v>
      </c>
      <c r="B78" s="487">
        <v>0</v>
      </c>
      <c r="C78" s="453">
        <v>0</v>
      </c>
      <c r="D78" s="487">
        <v>0</v>
      </c>
      <c r="E78" s="453">
        <v>3</v>
      </c>
      <c r="F78" s="487">
        <v>0</v>
      </c>
      <c r="G78" s="453">
        <v>0</v>
      </c>
      <c r="H78" s="487">
        <v>0</v>
      </c>
      <c r="I78" s="453">
        <v>2</v>
      </c>
      <c r="J78" s="487">
        <v>0</v>
      </c>
      <c r="K78" s="453">
        <v>4</v>
      </c>
      <c r="L78" s="487">
        <v>0</v>
      </c>
      <c r="M78" s="453">
        <v>4</v>
      </c>
      <c r="N78" s="487">
        <v>0</v>
      </c>
      <c r="O78" s="453">
        <v>2</v>
      </c>
      <c r="P78" s="487">
        <v>0</v>
      </c>
      <c r="Q78" s="453">
        <v>15</v>
      </c>
    </row>
    <row r="79" spans="1:17" x14ac:dyDescent="0.25">
      <c r="A79" s="453">
        <v>6480107</v>
      </c>
      <c r="B79" s="487">
        <v>0</v>
      </c>
      <c r="C79" s="453">
        <v>0</v>
      </c>
      <c r="D79" s="487">
        <v>0</v>
      </c>
      <c r="E79" s="453">
        <v>4</v>
      </c>
      <c r="F79" s="487">
        <v>0</v>
      </c>
      <c r="G79" s="453">
        <v>0</v>
      </c>
      <c r="H79" s="487">
        <v>0</v>
      </c>
      <c r="I79" s="453">
        <v>2</v>
      </c>
      <c r="J79" s="487">
        <v>0</v>
      </c>
      <c r="K79" s="453">
        <v>4</v>
      </c>
      <c r="L79" s="487">
        <v>0</v>
      </c>
      <c r="M79" s="453">
        <v>4</v>
      </c>
      <c r="N79" s="487">
        <v>0</v>
      </c>
      <c r="O79" s="453">
        <v>5</v>
      </c>
      <c r="P79" s="487">
        <v>0</v>
      </c>
      <c r="Q79" s="453">
        <v>19</v>
      </c>
    </row>
    <row r="80" spans="1:17" x14ac:dyDescent="0.25">
      <c r="A80" s="453">
        <v>6480542</v>
      </c>
      <c r="B80" s="487">
        <v>0</v>
      </c>
      <c r="C80" s="453">
        <v>0</v>
      </c>
      <c r="D80" s="487">
        <v>0</v>
      </c>
      <c r="E80" s="453">
        <v>0</v>
      </c>
      <c r="F80" s="487">
        <v>0</v>
      </c>
      <c r="G80" s="453">
        <v>0</v>
      </c>
      <c r="H80" s="487">
        <v>0</v>
      </c>
      <c r="I80" s="453">
        <v>0</v>
      </c>
      <c r="J80" s="487">
        <v>0</v>
      </c>
      <c r="K80" s="453">
        <v>1</v>
      </c>
      <c r="L80" s="487">
        <v>0</v>
      </c>
      <c r="M80" s="453">
        <v>4</v>
      </c>
      <c r="N80" s="487">
        <v>0</v>
      </c>
      <c r="O80" s="453">
        <v>3</v>
      </c>
      <c r="P80" s="487">
        <v>0</v>
      </c>
      <c r="Q80" s="453">
        <v>8</v>
      </c>
    </row>
    <row r="81" spans="1:17" x14ac:dyDescent="0.25">
      <c r="A81" s="453">
        <v>6480108</v>
      </c>
      <c r="B81" s="487">
        <v>0</v>
      </c>
      <c r="C81" s="453">
        <v>1</v>
      </c>
      <c r="D81" s="487">
        <v>0</v>
      </c>
      <c r="E81" s="453">
        <v>1</v>
      </c>
      <c r="F81" s="487">
        <v>0</v>
      </c>
      <c r="G81" s="453">
        <v>1</v>
      </c>
      <c r="H81" s="487">
        <v>0</v>
      </c>
      <c r="I81" s="453">
        <v>0</v>
      </c>
      <c r="J81" s="487">
        <v>0</v>
      </c>
      <c r="K81" s="453">
        <v>4</v>
      </c>
      <c r="L81" s="487">
        <v>0</v>
      </c>
      <c r="M81" s="453">
        <v>0</v>
      </c>
      <c r="N81" s="487">
        <v>0</v>
      </c>
      <c r="O81" s="453">
        <v>4</v>
      </c>
      <c r="P81" s="487">
        <v>0</v>
      </c>
      <c r="Q81" s="453">
        <v>11</v>
      </c>
    </row>
    <row r="82" spans="1:17" x14ac:dyDescent="0.25">
      <c r="A82" s="453">
        <v>6480052</v>
      </c>
      <c r="B82" s="487">
        <v>0</v>
      </c>
      <c r="C82" s="453">
        <v>0</v>
      </c>
      <c r="D82" s="487">
        <v>0</v>
      </c>
      <c r="E82" s="453">
        <v>1</v>
      </c>
      <c r="F82" s="487">
        <v>0</v>
      </c>
      <c r="G82" s="453">
        <v>1</v>
      </c>
      <c r="H82" s="487">
        <v>0</v>
      </c>
      <c r="I82" s="453">
        <v>0</v>
      </c>
      <c r="J82" s="487">
        <v>0</v>
      </c>
      <c r="K82" s="453">
        <v>2</v>
      </c>
      <c r="L82" s="487">
        <v>0</v>
      </c>
      <c r="M82" s="453">
        <v>7</v>
      </c>
      <c r="N82" s="487">
        <v>0</v>
      </c>
      <c r="O82" s="453">
        <v>3</v>
      </c>
      <c r="P82" s="487">
        <v>0</v>
      </c>
      <c r="Q82" s="453">
        <v>14</v>
      </c>
    </row>
    <row r="83" spans="1:17" x14ac:dyDescent="0.25">
      <c r="A83" s="453">
        <v>6480224</v>
      </c>
      <c r="B83" s="487">
        <v>0</v>
      </c>
      <c r="C83" s="453">
        <v>2</v>
      </c>
      <c r="D83" s="487">
        <v>0</v>
      </c>
      <c r="E83" s="453">
        <v>10</v>
      </c>
      <c r="F83" s="487">
        <v>0</v>
      </c>
      <c r="G83" s="453">
        <v>7</v>
      </c>
      <c r="H83" s="487">
        <v>0</v>
      </c>
      <c r="I83" s="453">
        <v>2</v>
      </c>
      <c r="J83" s="487">
        <v>0</v>
      </c>
      <c r="K83" s="453">
        <v>13</v>
      </c>
      <c r="L83" s="487">
        <v>0</v>
      </c>
      <c r="M83" s="453">
        <v>13</v>
      </c>
      <c r="N83" s="487">
        <v>0</v>
      </c>
      <c r="O83" s="453">
        <v>10</v>
      </c>
      <c r="P83" s="487">
        <v>0</v>
      </c>
      <c r="Q83" s="453">
        <v>57</v>
      </c>
    </row>
    <row r="84" spans="1:17" x14ac:dyDescent="0.25">
      <c r="A84" s="453">
        <v>6480420</v>
      </c>
      <c r="B84" s="487">
        <v>0</v>
      </c>
      <c r="C84" s="453">
        <v>0</v>
      </c>
      <c r="D84" s="487">
        <v>0</v>
      </c>
      <c r="E84" s="453">
        <v>0</v>
      </c>
      <c r="F84" s="487">
        <v>0</v>
      </c>
      <c r="G84" s="453">
        <v>1</v>
      </c>
      <c r="H84" s="487">
        <v>0</v>
      </c>
      <c r="I84" s="453">
        <v>0</v>
      </c>
      <c r="J84" s="487">
        <v>0</v>
      </c>
      <c r="K84" s="453">
        <v>2</v>
      </c>
      <c r="L84" s="487">
        <v>0</v>
      </c>
      <c r="M84" s="453">
        <v>2</v>
      </c>
      <c r="N84" s="487">
        <v>0</v>
      </c>
      <c r="O84" s="453">
        <v>1</v>
      </c>
      <c r="P84" s="487">
        <v>0</v>
      </c>
      <c r="Q84" s="453">
        <v>6</v>
      </c>
    </row>
    <row r="85" spans="1:17" x14ac:dyDescent="0.25">
      <c r="A85" s="453">
        <v>6480533</v>
      </c>
      <c r="B85" s="487">
        <v>0</v>
      </c>
      <c r="C85" s="453">
        <v>18</v>
      </c>
      <c r="D85" s="487">
        <v>0</v>
      </c>
      <c r="E85" s="453">
        <v>8</v>
      </c>
      <c r="F85" s="487">
        <v>0</v>
      </c>
      <c r="G85" s="453">
        <v>13</v>
      </c>
      <c r="H85" s="487">
        <v>0</v>
      </c>
      <c r="I85" s="453">
        <v>13</v>
      </c>
      <c r="J85" s="487">
        <v>0</v>
      </c>
      <c r="K85" s="453">
        <v>36</v>
      </c>
      <c r="L85" s="487">
        <v>0</v>
      </c>
      <c r="M85" s="453">
        <v>30</v>
      </c>
      <c r="N85" s="487">
        <v>0</v>
      </c>
      <c r="O85" s="453">
        <v>15</v>
      </c>
      <c r="P85" s="487">
        <v>0</v>
      </c>
      <c r="Q85" s="453">
        <v>133</v>
      </c>
    </row>
    <row r="86" spans="1:17" x14ac:dyDescent="0.25">
      <c r="A86" s="453">
        <v>6480047</v>
      </c>
      <c r="B86" s="487">
        <v>0</v>
      </c>
      <c r="C86" s="453">
        <v>3</v>
      </c>
      <c r="D86" s="487">
        <v>0</v>
      </c>
      <c r="E86" s="453">
        <v>7</v>
      </c>
      <c r="F86" s="487">
        <v>0</v>
      </c>
      <c r="G86" s="453">
        <v>10</v>
      </c>
      <c r="H86" s="487">
        <v>0</v>
      </c>
      <c r="I86" s="453">
        <v>4</v>
      </c>
      <c r="J86" s="487">
        <v>0</v>
      </c>
      <c r="K86" s="453">
        <v>13</v>
      </c>
      <c r="L86" s="487">
        <v>0</v>
      </c>
      <c r="M86" s="453">
        <v>29</v>
      </c>
      <c r="N86" s="487">
        <v>0</v>
      </c>
      <c r="O86" s="453">
        <v>20</v>
      </c>
      <c r="P86" s="487">
        <v>0</v>
      </c>
      <c r="Q86" s="453">
        <v>86</v>
      </c>
    </row>
    <row r="87" spans="1:17" x14ac:dyDescent="0.25">
      <c r="A87" s="453">
        <v>6480219</v>
      </c>
      <c r="B87" s="487">
        <v>0</v>
      </c>
      <c r="C87" s="453">
        <v>0</v>
      </c>
      <c r="D87" s="487">
        <v>0</v>
      </c>
      <c r="E87" s="453">
        <v>0</v>
      </c>
      <c r="F87" s="487">
        <v>0</v>
      </c>
      <c r="G87" s="453">
        <v>0</v>
      </c>
      <c r="H87" s="487">
        <v>0</v>
      </c>
      <c r="I87" s="453">
        <v>0</v>
      </c>
      <c r="J87" s="487">
        <v>0</v>
      </c>
      <c r="K87" s="453">
        <v>2</v>
      </c>
      <c r="L87" s="487">
        <v>0</v>
      </c>
      <c r="M87" s="453">
        <v>1</v>
      </c>
      <c r="N87" s="487">
        <v>0</v>
      </c>
      <c r="O87" s="453">
        <v>2</v>
      </c>
      <c r="P87" s="487">
        <v>0</v>
      </c>
      <c r="Q87" s="453">
        <v>5</v>
      </c>
    </row>
    <row r="88" spans="1:17" x14ac:dyDescent="0.25">
      <c r="A88" s="453">
        <v>6480092</v>
      </c>
      <c r="B88" s="487">
        <v>1.39</v>
      </c>
      <c r="C88" s="453">
        <v>1</v>
      </c>
      <c r="D88" s="487">
        <v>0</v>
      </c>
      <c r="E88" s="453">
        <v>0</v>
      </c>
      <c r="F88" s="487">
        <v>0</v>
      </c>
      <c r="G88" s="453">
        <v>0</v>
      </c>
      <c r="H88" s="487">
        <v>0</v>
      </c>
      <c r="I88" s="453">
        <v>0</v>
      </c>
      <c r="J88" s="487">
        <v>2.78</v>
      </c>
      <c r="K88" s="453">
        <v>2</v>
      </c>
      <c r="L88" s="487">
        <v>1.39</v>
      </c>
      <c r="M88" s="453">
        <v>1</v>
      </c>
      <c r="N88" s="487">
        <v>4.17</v>
      </c>
      <c r="O88" s="453">
        <v>3</v>
      </c>
      <c r="P88" s="487">
        <v>9.73</v>
      </c>
      <c r="Q88" s="453">
        <v>7</v>
      </c>
    </row>
    <row r="89" spans="1:17" x14ac:dyDescent="0.25">
      <c r="A89" s="453">
        <v>6480051</v>
      </c>
      <c r="B89" s="487">
        <v>0</v>
      </c>
      <c r="C89" s="453">
        <v>0</v>
      </c>
      <c r="D89" s="487">
        <v>0</v>
      </c>
      <c r="E89" s="453">
        <v>0</v>
      </c>
      <c r="F89" s="487">
        <v>0</v>
      </c>
      <c r="G89" s="453">
        <v>1</v>
      </c>
      <c r="H89" s="487">
        <v>0</v>
      </c>
      <c r="I89" s="453">
        <v>0</v>
      </c>
      <c r="J89" s="487">
        <v>0</v>
      </c>
      <c r="K89" s="453">
        <v>4</v>
      </c>
      <c r="L89" s="487">
        <v>0</v>
      </c>
      <c r="M89" s="453">
        <v>1</v>
      </c>
      <c r="N89" s="487">
        <v>0</v>
      </c>
      <c r="O89" s="453">
        <v>0</v>
      </c>
      <c r="P89" s="487">
        <v>0</v>
      </c>
      <c r="Q89" s="453">
        <v>6</v>
      </c>
    </row>
    <row r="90" spans="1:17" x14ac:dyDescent="0.25">
      <c r="A90" s="453">
        <v>6480223</v>
      </c>
      <c r="B90" s="487">
        <v>0</v>
      </c>
      <c r="C90" s="453">
        <v>3</v>
      </c>
      <c r="D90" s="487">
        <v>0</v>
      </c>
      <c r="E90" s="453">
        <v>0</v>
      </c>
      <c r="F90" s="487">
        <v>0</v>
      </c>
      <c r="G90" s="453">
        <v>3</v>
      </c>
      <c r="H90" s="487">
        <v>0</v>
      </c>
      <c r="I90" s="453">
        <v>4</v>
      </c>
      <c r="J90" s="487">
        <v>0</v>
      </c>
      <c r="K90" s="453">
        <v>4</v>
      </c>
      <c r="L90" s="487">
        <v>0</v>
      </c>
      <c r="M90" s="453">
        <v>0</v>
      </c>
      <c r="N90" s="487">
        <v>0</v>
      </c>
      <c r="O90" s="453">
        <v>6</v>
      </c>
      <c r="P90" s="487">
        <v>0</v>
      </c>
      <c r="Q90" s="453">
        <v>20</v>
      </c>
    </row>
    <row r="91" spans="1:17" x14ac:dyDescent="0.25">
      <c r="A91" s="453">
        <v>6480020</v>
      </c>
      <c r="B91" s="487">
        <v>0</v>
      </c>
      <c r="C91" s="453">
        <v>0</v>
      </c>
      <c r="D91" s="487">
        <v>0</v>
      </c>
      <c r="E91" s="453">
        <v>0</v>
      </c>
      <c r="F91" s="487">
        <v>0</v>
      </c>
      <c r="G91" s="453">
        <v>0</v>
      </c>
      <c r="H91" s="487">
        <v>0</v>
      </c>
      <c r="I91" s="453">
        <v>0</v>
      </c>
      <c r="J91" s="487">
        <v>0</v>
      </c>
      <c r="K91" s="453">
        <v>0</v>
      </c>
      <c r="L91" s="487">
        <v>0</v>
      </c>
      <c r="M91" s="453">
        <v>1</v>
      </c>
      <c r="N91" s="487">
        <v>0</v>
      </c>
      <c r="O91" s="453">
        <v>2</v>
      </c>
      <c r="P91" s="487">
        <v>0</v>
      </c>
      <c r="Q91" s="453">
        <v>3</v>
      </c>
    </row>
    <row r="92" spans="1:17" x14ac:dyDescent="0.25">
      <c r="A92" s="453">
        <v>6480220</v>
      </c>
      <c r="B92" s="487">
        <v>0</v>
      </c>
      <c r="C92" s="453">
        <v>1</v>
      </c>
      <c r="D92" s="487">
        <v>0</v>
      </c>
      <c r="E92" s="453">
        <v>0</v>
      </c>
      <c r="F92" s="487">
        <v>0</v>
      </c>
      <c r="G92" s="453">
        <v>0</v>
      </c>
      <c r="H92" s="487">
        <v>0</v>
      </c>
      <c r="I92" s="453">
        <v>0</v>
      </c>
      <c r="J92" s="487">
        <v>0</v>
      </c>
      <c r="K92" s="453">
        <v>0</v>
      </c>
      <c r="L92" s="487">
        <v>0</v>
      </c>
      <c r="M92" s="453">
        <v>3</v>
      </c>
      <c r="N92" s="487">
        <v>0</v>
      </c>
      <c r="O92" s="453">
        <v>2</v>
      </c>
      <c r="P92" s="487">
        <v>0</v>
      </c>
      <c r="Q92" s="453">
        <v>6</v>
      </c>
    </row>
    <row r="93" spans="1:17" x14ac:dyDescent="0.25">
      <c r="A93" s="453">
        <v>6480547</v>
      </c>
      <c r="B93" s="487">
        <v>0</v>
      </c>
      <c r="C93" s="453">
        <v>0</v>
      </c>
      <c r="D93" s="487">
        <v>2.99</v>
      </c>
      <c r="E93" s="453">
        <v>1</v>
      </c>
      <c r="F93" s="487">
        <v>0</v>
      </c>
      <c r="G93" s="453">
        <v>0</v>
      </c>
      <c r="H93" s="487">
        <v>0</v>
      </c>
      <c r="I93" s="453">
        <v>0</v>
      </c>
      <c r="J93" s="487">
        <v>0</v>
      </c>
      <c r="K93" s="453">
        <v>0</v>
      </c>
      <c r="L93" s="487">
        <v>0</v>
      </c>
      <c r="M93" s="453">
        <v>0</v>
      </c>
      <c r="N93" s="487">
        <v>0</v>
      </c>
      <c r="O93" s="453">
        <v>0</v>
      </c>
      <c r="P93" s="487">
        <v>2.99</v>
      </c>
      <c r="Q93" s="453">
        <v>1</v>
      </c>
    </row>
    <row r="94" spans="1:17" x14ac:dyDescent="0.25">
      <c r="A94" s="453">
        <v>6480240</v>
      </c>
      <c r="B94" s="487">
        <v>0</v>
      </c>
      <c r="C94" s="453">
        <v>8</v>
      </c>
      <c r="D94" s="487">
        <v>0</v>
      </c>
      <c r="E94" s="453">
        <v>10</v>
      </c>
      <c r="F94" s="487">
        <v>0</v>
      </c>
      <c r="G94" s="453">
        <v>15</v>
      </c>
      <c r="H94" s="487">
        <v>0</v>
      </c>
      <c r="I94" s="453">
        <v>6</v>
      </c>
      <c r="J94" s="487">
        <v>0</v>
      </c>
      <c r="K94" s="453">
        <v>22</v>
      </c>
      <c r="L94" s="487">
        <v>0</v>
      </c>
      <c r="M94" s="453">
        <v>24</v>
      </c>
      <c r="N94" s="487">
        <v>0</v>
      </c>
      <c r="O94" s="453">
        <v>18</v>
      </c>
      <c r="P94" s="487">
        <v>0</v>
      </c>
      <c r="Q94" s="453">
        <v>103</v>
      </c>
    </row>
    <row r="95" spans="1:17" x14ac:dyDescent="0.25">
      <c r="A95" s="453">
        <v>6480278</v>
      </c>
      <c r="B95" s="487">
        <v>0</v>
      </c>
      <c r="C95" s="453">
        <v>0</v>
      </c>
      <c r="D95" s="487">
        <v>0</v>
      </c>
      <c r="E95" s="453">
        <v>0</v>
      </c>
      <c r="F95" s="487">
        <v>0</v>
      </c>
      <c r="G95" s="453">
        <v>1</v>
      </c>
      <c r="H95" s="487">
        <v>0</v>
      </c>
      <c r="I95" s="453">
        <v>0</v>
      </c>
      <c r="J95" s="487">
        <v>0</v>
      </c>
      <c r="K95" s="453">
        <v>0</v>
      </c>
      <c r="L95" s="487">
        <v>0</v>
      </c>
      <c r="M95" s="453">
        <v>1</v>
      </c>
      <c r="N95" s="487">
        <v>0</v>
      </c>
      <c r="O95" s="453">
        <v>0</v>
      </c>
      <c r="P95" s="487">
        <v>0</v>
      </c>
      <c r="Q95" s="453">
        <v>2</v>
      </c>
    </row>
    <row r="96" spans="1:17" x14ac:dyDescent="0.25">
      <c r="A96" s="453">
        <v>6480048</v>
      </c>
      <c r="B96" s="487">
        <v>0</v>
      </c>
      <c r="C96" s="453">
        <v>3</v>
      </c>
      <c r="D96" s="487">
        <v>0</v>
      </c>
      <c r="E96" s="453">
        <v>2</v>
      </c>
      <c r="F96" s="487">
        <v>0</v>
      </c>
      <c r="G96" s="453">
        <v>7</v>
      </c>
      <c r="H96" s="487">
        <v>0</v>
      </c>
      <c r="I96" s="453">
        <v>0</v>
      </c>
      <c r="J96" s="487">
        <v>0</v>
      </c>
      <c r="K96" s="453">
        <v>1</v>
      </c>
      <c r="L96" s="487">
        <v>0</v>
      </c>
      <c r="M96" s="453">
        <v>7</v>
      </c>
      <c r="N96" s="487">
        <v>0</v>
      </c>
      <c r="O96" s="453">
        <v>5</v>
      </c>
      <c r="P96" s="487">
        <v>0</v>
      </c>
      <c r="Q96" s="453">
        <v>25</v>
      </c>
    </row>
    <row r="97" spans="1:17" x14ac:dyDescent="0.25">
      <c r="A97" s="453">
        <v>6480232</v>
      </c>
      <c r="B97" s="487">
        <v>0</v>
      </c>
      <c r="C97" s="453">
        <v>0</v>
      </c>
      <c r="D97" s="487">
        <v>0</v>
      </c>
      <c r="E97" s="453">
        <v>0</v>
      </c>
      <c r="F97" s="487">
        <v>0</v>
      </c>
      <c r="G97" s="453">
        <v>2</v>
      </c>
      <c r="H97" s="487">
        <v>0</v>
      </c>
      <c r="I97" s="453">
        <v>0</v>
      </c>
      <c r="J97" s="487">
        <v>0</v>
      </c>
      <c r="K97" s="453">
        <v>1</v>
      </c>
      <c r="L97" s="487">
        <v>0</v>
      </c>
      <c r="M97" s="453">
        <v>0</v>
      </c>
      <c r="N97" s="487">
        <v>0</v>
      </c>
      <c r="O97" s="453">
        <v>0</v>
      </c>
      <c r="P97" s="487">
        <v>0</v>
      </c>
      <c r="Q97" s="453">
        <v>3</v>
      </c>
    </row>
    <row r="98" spans="1:17" x14ac:dyDescent="0.25">
      <c r="A98" s="453">
        <v>6480049</v>
      </c>
      <c r="B98" s="487">
        <v>0</v>
      </c>
      <c r="C98" s="453">
        <v>0</v>
      </c>
      <c r="D98" s="487">
        <v>0</v>
      </c>
      <c r="E98" s="453">
        <v>1</v>
      </c>
      <c r="F98" s="487">
        <v>0</v>
      </c>
      <c r="G98" s="453">
        <v>2</v>
      </c>
      <c r="H98" s="487">
        <v>0</v>
      </c>
      <c r="I98" s="453">
        <v>0</v>
      </c>
      <c r="J98" s="487">
        <v>0</v>
      </c>
      <c r="K98" s="453">
        <v>1</v>
      </c>
      <c r="L98" s="487">
        <v>0</v>
      </c>
      <c r="M98" s="453">
        <v>3</v>
      </c>
      <c r="N98" s="487">
        <v>0</v>
      </c>
      <c r="O98" s="453">
        <v>1</v>
      </c>
      <c r="P98" s="487">
        <v>0</v>
      </c>
      <c r="Q98" s="453">
        <v>8</v>
      </c>
    </row>
    <row r="99" spans="1:17" x14ac:dyDescent="0.25">
      <c r="A99" s="453">
        <v>6480053</v>
      </c>
      <c r="B99" s="487">
        <v>0</v>
      </c>
      <c r="C99" s="453">
        <v>0</v>
      </c>
      <c r="D99" s="487">
        <v>0</v>
      </c>
      <c r="E99" s="453">
        <v>0</v>
      </c>
      <c r="F99" s="487">
        <v>0</v>
      </c>
      <c r="G99" s="453">
        <v>1</v>
      </c>
      <c r="H99" s="487">
        <v>0</v>
      </c>
      <c r="I99" s="453">
        <v>1</v>
      </c>
      <c r="J99" s="487">
        <v>0</v>
      </c>
      <c r="K99" s="453">
        <v>1</v>
      </c>
      <c r="L99" s="487">
        <v>0</v>
      </c>
      <c r="M99" s="453">
        <v>1</v>
      </c>
      <c r="N99" s="487">
        <v>0</v>
      </c>
      <c r="O99" s="453">
        <v>0</v>
      </c>
      <c r="P99" s="487">
        <v>0</v>
      </c>
      <c r="Q99" s="453">
        <v>4</v>
      </c>
    </row>
    <row r="100" spans="1:17" x14ac:dyDescent="0.25">
      <c r="A100" s="453">
        <v>6480221</v>
      </c>
      <c r="B100" s="487">
        <v>0</v>
      </c>
      <c r="C100" s="453">
        <v>2</v>
      </c>
      <c r="D100" s="487">
        <v>0</v>
      </c>
      <c r="E100" s="453">
        <v>0</v>
      </c>
      <c r="F100" s="487">
        <v>0</v>
      </c>
      <c r="G100" s="453">
        <v>3</v>
      </c>
      <c r="H100" s="487">
        <v>0</v>
      </c>
      <c r="I100" s="453">
        <v>0</v>
      </c>
      <c r="J100" s="487">
        <v>0</v>
      </c>
      <c r="K100" s="453">
        <v>2</v>
      </c>
      <c r="L100" s="487">
        <v>0</v>
      </c>
      <c r="M100" s="453">
        <v>2</v>
      </c>
      <c r="N100" s="487">
        <v>0</v>
      </c>
      <c r="O100" s="453">
        <v>3</v>
      </c>
      <c r="P100" s="487">
        <v>0</v>
      </c>
      <c r="Q100" s="453">
        <v>12</v>
      </c>
    </row>
    <row r="101" spans="1:17" x14ac:dyDescent="0.25">
      <c r="A101" s="800" t="s">
        <v>1939</v>
      </c>
      <c r="B101" s="485">
        <v>204.3</v>
      </c>
      <c r="C101" s="486">
        <v>62</v>
      </c>
      <c r="D101" s="485">
        <v>126.38000000000001</v>
      </c>
      <c r="E101" s="486">
        <v>55</v>
      </c>
      <c r="F101" s="485">
        <v>501.88</v>
      </c>
      <c r="G101" s="486">
        <v>115</v>
      </c>
      <c r="H101" s="485">
        <v>269.01000000000005</v>
      </c>
      <c r="I101" s="486">
        <v>80</v>
      </c>
      <c r="J101" s="485">
        <v>698.84</v>
      </c>
      <c r="K101" s="486">
        <v>203</v>
      </c>
      <c r="L101" s="485">
        <v>813.7600000000001</v>
      </c>
      <c r="M101" s="486">
        <v>279</v>
      </c>
      <c r="N101" s="485">
        <v>501.66</v>
      </c>
      <c r="O101" s="486">
        <v>117</v>
      </c>
      <c r="P101" s="485">
        <v>3115.83</v>
      </c>
      <c r="Q101" s="486">
        <v>911</v>
      </c>
    </row>
    <row r="102" spans="1:17" x14ac:dyDescent="0.25">
      <c r="A102" s="800" t="s">
        <v>1939</v>
      </c>
      <c r="B102" s="485">
        <v>153.36000000000001</v>
      </c>
      <c r="C102" s="486">
        <v>56</v>
      </c>
      <c r="D102" s="485">
        <v>110.4</v>
      </c>
      <c r="E102" s="486">
        <v>53</v>
      </c>
      <c r="F102" s="485">
        <v>461.13</v>
      </c>
      <c r="G102" s="486">
        <v>110</v>
      </c>
      <c r="H102" s="485">
        <v>269.01000000000005</v>
      </c>
      <c r="I102" s="486">
        <v>80</v>
      </c>
      <c r="J102" s="485">
        <v>674.07</v>
      </c>
      <c r="K102" s="486">
        <v>200</v>
      </c>
      <c r="L102" s="485">
        <v>780.30000000000007</v>
      </c>
      <c r="M102" s="486">
        <v>275</v>
      </c>
      <c r="N102" s="485">
        <v>493.67</v>
      </c>
      <c r="O102" s="486">
        <v>116</v>
      </c>
      <c r="P102" s="485">
        <v>2941.9400000000005</v>
      </c>
      <c r="Q102" s="486">
        <v>890</v>
      </c>
    </row>
    <row r="103" spans="1:17" x14ac:dyDescent="0.25">
      <c r="A103" s="453">
        <v>6410106</v>
      </c>
      <c r="B103" s="487">
        <v>5.99</v>
      </c>
      <c r="C103" s="453">
        <v>1</v>
      </c>
      <c r="D103" s="487">
        <v>0</v>
      </c>
      <c r="E103" s="453">
        <v>0</v>
      </c>
      <c r="F103" s="487">
        <v>17.97</v>
      </c>
      <c r="G103" s="453">
        <v>3</v>
      </c>
      <c r="H103" s="487">
        <v>11.98</v>
      </c>
      <c r="I103" s="453">
        <v>2</v>
      </c>
      <c r="J103" s="487">
        <v>11.98</v>
      </c>
      <c r="K103" s="453">
        <v>2</v>
      </c>
      <c r="L103" s="487">
        <v>53.91</v>
      </c>
      <c r="M103" s="453">
        <v>9</v>
      </c>
      <c r="N103" s="487">
        <v>17.97</v>
      </c>
      <c r="O103" s="453">
        <v>3</v>
      </c>
      <c r="P103" s="487">
        <v>119.8</v>
      </c>
      <c r="Q103" s="453">
        <v>20</v>
      </c>
    </row>
    <row r="104" spans="1:17" x14ac:dyDescent="0.25">
      <c r="A104" s="453">
        <v>6410105</v>
      </c>
      <c r="B104" s="487">
        <v>5.99</v>
      </c>
      <c r="C104" s="453">
        <v>1</v>
      </c>
      <c r="D104" s="487">
        <v>5.99</v>
      </c>
      <c r="E104" s="453">
        <v>1</v>
      </c>
      <c r="F104" s="487">
        <v>5.99</v>
      </c>
      <c r="G104" s="453">
        <v>1</v>
      </c>
      <c r="H104" s="487">
        <v>17.97</v>
      </c>
      <c r="I104" s="453">
        <v>3</v>
      </c>
      <c r="J104" s="487">
        <v>11.98</v>
      </c>
      <c r="K104" s="453">
        <v>2</v>
      </c>
      <c r="L104" s="487">
        <v>17.97</v>
      </c>
      <c r="M104" s="453">
        <v>3</v>
      </c>
      <c r="N104" s="487">
        <v>5.99</v>
      </c>
      <c r="O104" s="453">
        <v>1</v>
      </c>
      <c r="P104" s="487">
        <v>71.88</v>
      </c>
      <c r="Q104" s="453">
        <v>12</v>
      </c>
    </row>
    <row r="105" spans="1:17" x14ac:dyDescent="0.25">
      <c r="A105" s="453">
        <v>6400347</v>
      </c>
      <c r="B105" s="487">
        <v>0</v>
      </c>
      <c r="C105" s="453">
        <v>0</v>
      </c>
      <c r="D105" s="487">
        <v>0</v>
      </c>
      <c r="E105" s="453">
        <v>0</v>
      </c>
      <c r="F105" s="487">
        <v>0</v>
      </c>
      <c r="G105" s="453">
        <v>0</v>
      </c>
      <c r="H105" s="487">
        <v>0</v>
      </c>
      <c r="I105" s="453">
        <v>3</v>
      </c>
      <c r="J105" s="487">
        <v>0</v>
      </c>
      <c r="K105" s="453">
        <v>0</v>
      </c>
      <c r="L105" s="487">
        <v>0</v>
      </c>
      <c r="M105" s="453">
        <v>0</v>
      </c>
      <c r="N105" s="487">
        <v>0</v>
      </c>
      <c r="O105" s="453">
        <v>0</v>
      </c>
      <c r="P105" s="487">
        <v>0</v>
      </c>
      <c r="Q105" s="453">
        <v>3</v>
      </c>
    </row>
    <row r="106" spans="1:17" x14ac:dyDescent="0.25">
      <c r="A106" s="453">
        <v>6410104</v>
      </c>
      <c r="B106" s="487">
        <v>0</v>
      </c>
      <c r="C106" s="453">
        <v>18</v>
      </c>
      <c r="D106" s="487">
        <v>0</v>
      </c>
      <c r="E106" s="453">
        <v>18</v>
      </c>
      <c r="F106" s="487">
        <v>0</v>
      </c>
      <c r="G106" s="453">
        <v>41</v>
      </c>
      <c r="H106" s="487">
        <v>0</v>
      </c>
      <c r="I106" s="453">
        <v>21</v>
      </c>
      <c r="J106" s="487">
        <v>0</v>
      </c>
      <c r="K106" s="453">
        <v>71</v>
      </c>
      <c r="L106" s="487">
        <v>0</v>
      </c>
      <c r="M106" s="453">
        <v>93</v>
      </c>
      <c r="N106" s="487">
        <v>0</v>
      </c>
      <c r="O106" s="453">
        <v>28</v>
      </c>
      <c r="P106" s="487">
        <v>0</v>
      </c>
      <c r="Q106" s="453">
        <v>290</v>
      </c>
    </row>
    <row r="107" spans="1:17" x14ac:dyDescent="0.25">
      <c r="A107" s="453">
        <v>6410103</v>
      </c>
      <c r="B107" s="487">
        <v>0</v>
      </c>
      <c r="C107" s="453">
        <v>14</v>
      </c>
      <c r="D107" s="487">
        <v>0</v>
      </c>
      <c r="E107" s="453">
        <v>4</v>
      </c>
      <c r="F107" s="487">
        <v>0</v>
      </c>
      <c r="G107" s="453">
        <v>14</v>
      </c>
      <c r="H107" s="487">
        <v>0</v>
      </c>
      <c r="I107" s="453">
        <v>16</v>
      </c>
      <c r="J107" s="487">
        <v>0</v>
      </c>
      <c r="K107" s="453">
        <v>23</v>
      </c>
      <c r="L107" s="487">
        <v>0</v>
      </c>
      <c r="M107" s="453">
        <v>44</v>
      </c>
      <c r="N107" s="487">
        <v>0</v>
      </c>
      <c r="O107" s="453">
        <v>11</v>
      </c>
      <c r="P107" s="487">
        <v>0</v>
      </c>
      <c r="Q107" s="453">
        <v>126</v>
      </c>
    </row>
    <row r="108" spans="1:17" x14ac:dyDescent="0.25">
      <c r="A108" s="453">
        <v>6410028</v>
      </c>
      <c r="B108" s="487">
        <v>0</v>
      </c>
      <c r="C108" s="453">
        <v>0</v>
      </c>
      <c r="D108" s="487">
        <v>0</v>
      </c>
      <c r="E108" s="453">
        <v>0</v>
      </c>
      <c r="F108" s="487">
        <v>0</v>
      </c>
      <c r="G108" s="453">
        <v>0</v>
      </c>
      <c r="H108" s="487">
        <v>0</v>
      </c>
      <c r="I108" s="453">
        <v>2</v>
      </c>
      <c r="J108" s="487">
        <v>0</v>
      </c>
      <c r="K108" s="453">
        <v>0</v>
      </c>
      <c r="L108" s="487">
        <v>0</v>
      </c>
      <c r="M108" s="453">
        <v>0</v>
      </c>
      <c r="N108" s="487">
        <v>0</v>
      </c>
      <c r="O108" s="453">
        <v>0</v>
      </c>
      <c r="P108" s="487">
        <v>0</v>
      </c>
      <c r="Q108" s="453">
        <v>2</v>
      </c>
    </row>
    <row r="109" spans="1:17" x14ac:dyDescent="0.25">
      <c r="A109" s="453">
        <v>6410029</v>
      </c>
      <c r="B109" s="487">
        <v>0</v>
      </c>
      <c r="C109" s="453">
        <v>8</v>
      </c>
      <c r="D109" s="487">
        <v>0</v>
      </c>
      <c r="E109" s="453">
        <v>13</v>
      </c>
      <c r="F109" s="487">
        <v>0</v>
      </c>
      <c r="G109" s="453">
        <v>14</v>
      </c>
      <c r="H109" s="487">
        <v>0</v>
      </c>
      <c r="I109" s="453">
        <v>9</v>
      </c>
      <c r="J109" s="487">
        <v>0</v>
      </c>
      <c r="K109" s="453">
        <v>27</v>
      </c>
      <c r="L109" s="487">
        <v>0</v>
      </c>
      <c r="M109" s="453">
        <v>42</v>
      </c>
      <c r="N109" s="487">
        <v>0</v>
      </c>
      <c r="O109" s="453">
        <v>18</v>
      </c>
      <c r="P109" s="487">
        <v>0</v>
      </c>
      <c r="Q109" s="453">
        <v>131</v>
      </c>
    </row>
    <row r="110" spans="1:17" x14ac:dyDescent="0.25">
      <c r="A110" s="453">
        <v>6410039</v>
      </c>
      <c r="B110" s="487">
        <v>5.99</v>
      </c>
      <c r="C110" s="453">
        <v>1</v>
      </c>
      <c r="D110" s="487">
        <v>5.99</v>
      </c>
      <c r="E110" s="453">
        <v>1</v>
      </c>
      <c r="F110" s="487">
        <v>5.99</v>
      </c>
      <c r="G110" s="453">
        <v>1</v>
      </c>
      <c r="H110" s="487">
        <v>0</v>
      </c>
      <c r="I110" s="453">
        <v>0</v>
      </c>
      <c r="J110" s="487">
        <v>29.95</v>
      </c>
      <c r="K110" s="453">
        <v>5</v>
      </c>
      <c r="L110" s="487">
        <v>29.95</v>
      </c>
      <c r="M110" s="453">
        <v>5</v>
      </c>
      <c r="N110" s="487">
        <v>23.96</v>
      </c>
      <c r="O110" s="453">
        <v>4</v>
      </c>
      <c r="P110" s="487">
        <v>101.83000000000001</v>
      </c>
      <c r="Q110" s="453">
        <v>17</v>
      </c>
    </row>
    <row r="111" spans="1:17" x14ac:dyDescent="0.25">
      <c r="A111" s="453">
        <v>6400261</v>
      </c>
      <c r="B111" s="487">
        <v>0</v>
      </c>
      <c r="C111" s="453">
        <v>0</v>
      </c>
      <c r="D111" s="487">
        <v>0</v>
      </c>
      <c r="E111" s="453">
        <v>0</v>
      </c>
      <c r="F111" s="487">
        <v>31.97</v>
      </c>
      <c r="G111" s="453">
        <v>3</v>
      </c>
      <c r="H111" s="487">
        <v>9.99</v>
      </c>
      <c r="I111" s="453">
        <v>1</v>
      </c>
      <c r="J111" s="487">
        <v>19.98</v>
      </c>
      <c r="K111" s="453">
        <v>2</v>
      </c>
      <c r="L111" s="487">
        <v>39.96</v>
      </c>
      <c r="M111" s="453">
        <v>4</v>
      </c>
      <c r="N111" s="487">
        <v>19.98</v>
      </c>
      <c r="O111" s="453">
        <v>2</v>
      </c>
      <c r="P111" s="487">
        <v>121.88000000000001</v>
      </c>
      <c r="Q111" s="453">
        <v>12</v>
      </c>
    </row>
    <row r="112" spans="1:17" x14ac:dyDescent="0.25">
      <c r="A112" s="453">
        <v>6400262</v>
      </c>
      <c r="B112" s="487">
        <v>0</v>
      </c>
      <c r="C112" s="453">
        <v>0</v>
      </c>
      <c r="D112" s="487">
        <v>0</v>
      </c>
      <c r="E112" s="453">
        <v>0</v>
      </c>
      <c r="F112" s="487">
        <v>9.99</v>
      </c>
      <c r="G112" s="453">
        <v>1</v>
      </c>
      <c r="H112" s="487">
        <v>0</v>
      </c>
      <c r="I112" s="453">
        <v>0</v>
      </c>
      <c r="J112" s="487">
        <v>9.99</v>
      </c>
      <c r="K112" s="453">
        <v>1</v>
      </c>
      <c r="L112" s="487">
        <v>0</v>
      </c>
      <c r="M112" s="453">
        <v>0</v>
      </c>
      <c r="N112" s="487">
        <v>21.86</v>
      </c>
      <c r="O112" s="453">
        <v>2</v>
      </c>
      <c r="P112" s="487">
        <v>41.84</v>
      </c>
      <c r="Q112" s="453">
        <v>4</v>
      </c>
    </row>
    <row r="113" spans="1:17" x14ac:dyDescent="0.25">
      <c r="A113" s="453">
        <v>6400342</v>
      </c>
      <c r="B113" s="487">
        <v>12.99</v>
      </c>
      <c r="C113" s="453">
        <v>1</v>
      </c>
      <c r="D113" s="487">
        <v>12.99</v>
      </c>
      <c r="E113" s="453">
        <v>1</v>
      </c>
      <c r="F113" s="487">
        <v>53.26</v>
      </c>
      <c r="G113" s="453">
        <v>4</v>
      </c>
      <c r="H113" s="487">
        <v>12.99</v>
      </c>
      <c r="I113" s="453">
        <v>1</v>
      </c>
      <c r="J113" s="487">
        <v>77.94</v>
      </c>
      <c r="K113" s="453">
        <v>6</v>
      </c>
      <c r="L113" s="487">
        <v>116.91</v>
      </c>
      <c r="M113" s="453">
        <v>9</v>
      </c>
      <c r="N113" s="487">
        <v>66.25</v>
      </c>
      <c r="O113" s="453">
        <v>5</v>
      </c>
      <c r="P113" s="487">
        <v>353.33</v>
      </c>
      <c r="Q113" s="453">
        <v>27</v>
      </c>
    </row>
    <row r="114" spans="1:17" x14ac:dyDescent="0.25">
      <c r="A114" s="453">
        <v>6400344</v>
      </c>
      <c r="B114" s="487">
        <v>0</v>
      </c>
      <c r="C114" s="453">
        <v>0</v>
      </c>
      <c r="D114" s="487">
        <v>0</v>
      </c>
      <c r="E114" s="453">
        <v>0</v>
      </c>
      <c r="F114" s="487">
        <v>0</v>
      </c>
      <c r="G114" s="453">
        <v>0</v>
      </c>
      <c r="H114" s="487">
        <v>0</v>
      </c>
      <c r="I114" s="453">
        <v>0</v>
      </c>
      <c r="J114" s="487">
        <v>0</v>
      </c>
      <c r="K114" s="453">
        <v>0</v>
      </c>
      <c r="L114" s="487">
        <v>0</v>
      </c>
      <c r="M114" s="453">
        <v>0</v>
      </c>
      <c r="N114" s="487">
        <v>28.42</v>
      </c>
      <c r="O114" s="453">
        <v>2</v>
      </c>
      <c r="P114" s="487">
        <v>28.42</v>
      </c>
      <c r="Q114" s="453">
        <v>2</v>
      </c>
    </row>
    <row r="115" spans="1:17" x14ac:dyDescent="0.25">
      <c r="A115" s="453">
        <v>6400365</v>
      </c>
      <c r="B115" s="487">
        <v>0</v>
      </c>
      <c r="C115" s="453">
        <v>0</v>
      </c>
      <c r="D115" s="487">
        <v>0</v>
      </c>
      <c r="E115" s="453">
        <v>0</v>
      </c>
      <c r="F115" s="487">
        <v>0</v>
      </c>
      <c r="G115" s="453">
        <v>0</v>
      </c>
      <c r="H115" s="487">
        <v>9.99</v>
      </c>
      <c r="I115" s="453">
        <v>1</v>
      </c>
      <c r="J115" s="487">
        <v>0</v>
      </c>
      <c r="K115" s="453">
        <v>0</v>
      </c>
      <c r="L115" s="487">
        <v>9.99</v>
      </c>
      <c r="M115" s="453">
        <v>1</v>
      </c>
      <c r="N115" s="487">
        <v>0</v>
      </c>
      <c r="O115" s="453">
        <v>0</v>
      </c>
      <c r="P115" s="487">
        <v>19.98</v>
      </c>
      <c r="Q115" s="453">
        <v>2</v>
      </c>
    </row>
    <row r="116" spans="1:17" x14ac:dyDescent="0.25">
      <c r="A116" s="453">
        <v>6400143</v>
      </c>
      <c r="B116" s="487">
        <v>0</v>
      </c>
      <c r="C116" s="453">
        <v>0</v>
      </c>
      <c r="D116" s="487">
        <v>0</v>
      </c>
      <c r="E116" s="453">
        <v>0</v>
      </c>
      <c r="F116" s="487">
        <v>0</v>
      </c>
      <c r="G116" s="453">
        <v>0</v>
      </c>
      <c r="H116" s="487">
        <v>0</v>
      </c>
      <c r="I116" s="453">
        <v>0</v>
      </c>
      <c r="J116" s="487">
        <v>0</v>
      </c>
      <c r="K116" s="453">
        <v>0</v>
      </c>
      <c r="L116" s="487">
        <v>9.99</v>
      </c>
      <c r="M116" s="453">
        <v>1</v>
      </c>
      <c r="N116" s="487">
        <v>9.99</v>
      </c>
      <c r="O116" s="453">
        <v>1</v>
      </c>
      <c r="P116" s="487">
        <v>19.98</v>
      </c>
      <c r="Q116" s="453">
        <v>2</v>
      </c>
    </row>
    <row r="117" spans="1:17" x14ac:dyDescent="0.25">
      <c r="A117" s="453">
        <v>6400009</v>
      </c>
      <c r="B117" s="487">
        <v>31.98</v>
      </c>
      <c r="C117" s="453">
        <v>2</v>
      </c>
      <c r="D117" s="487">
        <v>15.99</v>
      </c>
      <c r="E117" s="453">
        <v>1</v>
      </c>
      <c r="F117" s="487">
        <v>31.98</v>
      </c>
      <c r="G117" s="453">
        <v>2</v>
      </c>
      <c r="H117" s="487">
        <v>31.98</v>
      </c>
      <c r="I117" s="453">
        <v>2</v>
      </c>
      <c r="J117" s="487">
        <v>15.99</v>
      </c>
      <c r="K117" s="453">
        <v>1</v>
      </c>
      <c r="L117" s="487">
        <v>0</v>
      </c>
      <c r="M117" s="453">
        <v>0</v>
      </c>
      <c r="N117" s="487">
        <v>31.98</v>
      </c>
      <c r="O117" s="453">
        <v>2</v>
      </c>
      <c r="P117" s="487">
        <v>159.9</v>
      </c>
      <c r="Q117" s="453">
        <v>10</v>
      </c>
    </row>
    <row r="118" spans="1:17" x14ac:dyDescent="0.25">
      <c r="A118" s="453">
        <v>6400376</v>
      </c>
      <c r="B118" s="487">
        <v>0</v>
      </c>
      <c r="C118" s="453">
        <v>0</v>
      </c>
      <c r="D118" s="487">
        <v>0</v>
      </c>
      <c r="E118" s="453">
        <v>0</v>
      </c>
      <c r="F118" s="487">
        <v>0</v>
      </c>
      <c r="G118" s="453">
        <v>0</v>
      </c>
      <c r="H118" s="487">
        <v>0</v>
      </c>
      <c r="I118" s="453">
        <v>0</v>
      </c>
      <c r="J118" s="487">
        <v>0</v>
      </c>
      <c r="K118" s="453">
        <v>0</v>
      </c>
      <c r="L118" s="487">
        <v>0</v>
      </c>
      <c r="M118" s="453">
        <v>0</v>
      </c>
      <c r="N118" s="487">
        <v>15.99</v>
      </c>
      <c r="O118" s="453">
        <v>1</v>
      </c>
      <c r="P118" s="487">
        <v>15.99</v>
      </c>
      <c r="Q118" s="453">
        <v>1</v>
      </c>
    </row>
    <row r="119" spans="1:17" x14ac:dyDescent="0.25">
      <c r="A119" s="453">
        <v>6400010</v>
      </c>
      <c r="B119" s="487">
        <v>0</v>
      </c>
      <c r="C119" s="453">
        <v>0</v>
      </c>
      <c r="D119" s="487">
        <v>14.99</v>
      </c>
      <c r="E119" s="453">
        <v>1</v>
      </c>
      <c r="F119" s="487">
        <v>29.98</v>
      </c>
      <c r="G119" s="453">
        <v>2</v>
      </c>
      <c r="H119" s="487">
        <v>14.99</v>
      </c>
      <c r="I119" s="453">
        <v>1</v>
      </c>
      <c r="J119" s="487">
        <v>31.48</v>
      </c>
      <c r="K119" s="453">
        <v>2</v>
      </c>
      <c r="L119" s="487">
        <v>29.98</v>
      </c>
      <c r="M119" s="453">
        <v>2</v>
      </c>
      <c r="N119" s="487">
        <v>0</v>
      </c>
      <c r="O119" s="453">
        <v>0</v>
      </c>
      <c r="P119" s="487">
        <v>121.42</v>
      </c>
      <c r="Q119" s="453">
        <v>8</v>
      </c>
    </row>
    <row r="120" spans="1:17" x14ac:dyDescent="0.25">
      <c r="A120" s="453">
        <v>6400377</v>
      </c>
      <c r="B120" s="487">
        <v>0</v>
      </c>
      <c r="C120" s="453">
        <v>0</v>
      </c>
      <c r="D120" s="487">
        <v>0</v>
      </c>
      <c r="E120" s="453">
        <v>0</v>
      </c>
      <c r="F120" s="487">
        <v>0</v>
      </c>
      <c r="G120" s="453">
        <v>0</v>
      </c>
      <c r="H120" s="487">
        <v>0</v>
      </c>
      <c r="I120" s="453">
        <v>0</v>
      </c>
      <c r="J120" s="487">
        <v>0</v>
      </c>
      <c r="K120" s="453">
        <v>0</v>
      </c>
      <c r="L120" s="487">
        <v>0</v>
      </c>
      <c r="M120" s="453">
        <v>0</v>
      </c>
      <c r="N120" s="487">
        <v>14.99</v>
      </c>
      <c r="O120" s="453">
        <v>1</v>
      </c>
      <c r="P120" s="487">
        <v>14.99</v>
      </c>
      <c r="Q120" s="453">
        <v>1</v>
      </c>
    </row>
    <row r="121" spans="1:17" x14ac:dyDescent="0.25">
      <c r="A121" s="453">
        <v>6400172</v>
      </c>
      <c r="B121" s="487">
        <v>0</v>
      </c>
      <c r="C121" s="453">
        <v>0</v>
      </c>
      <c r="D121" s="487">
        <v>0</v>
      </c>
      <c r="E121" s="453">
        <v>0</v>
      </c>
      <c r="F121" s="487">
        <v>0</v>
      </c>
      <c r="G121" s="453">
        <v>0</v>
      </c>
      <c r="H121" s="487">
        <v>19.98</v>
      </c>
      <c r="I121" s="453">
        <v>2</v>
      </c>
      <c r="J121" s="487">
        <v>0</v>
      </c>
      <c r="K121" s="453">
        <v>0</v>
      </c>
      <c r="L121" s="487">
        <v>0</v>
      </c>
      <c r="M121" s="453">
        <v>0</v>
      </c>
      <c r="N121" s="487">
        <v>0</v>
      </c>
      <c r="O121" s="453">
        <v>0</v>
      </c>
      <c r="P121" s="487">
        <v>19.98</v>
      </c>
      <c r="Q121" s="453">
        <v>2</v>
      </c>
    </row>
    <row r="122" spans="1:17" x14ac:dyDescent="0.25">
      <c r="A122" s="453">
        <v>6400147</v>
      </c>
      <c r="B122" s="487">
        <v>0</v>
      </c>
      <c r="C122" s="453">
        <v>0</v>
      </c>
      <c r="D122" s="487">
        <v>0</v>
      </c>
      <c r="E122" s="453">
        <v>0</v>
      </c>
      <c r="F122" s="487">
        <v>9.99</v>
      </c>
      <c r="G122" s="453">
        <v>1</v>
      </c>
      <c r="H122" s="487">
        <v>9.99</v>
      </c>
      <c r="I122" s="453">
        <v>1</v>
      </c>
      <c r="J122" s="487">
        <v>0</v>
      </c>
      <c r="K122" s="453">
        <v>0</v>
      </c>
      <c r="L122" s="487">
        <v>9.99</v>
      </c>
      <c r="M122" s="453">
        <v>1</v>
      </c>
      <c r="N122" s="487">
        <v>0</v>
      </c>
      <c r="O122" s="453">
        <v>0</v>
      </c>
      <c r="P122" s="487">
        <v>29.97</v>
      </c>
      <c r="Q122" s="453">
        <v>3</v>
      </c>
    </row>
    <row r="123" spans="1:17" x14ac:dyDescent="0.25">
      <c r="A123" s="453">
        <v>6404044</v>
      </c>
      <c r="B123" s="487">
        <v>0</v>
      </c>
      <c r="C123" s="453">
        <v>0</v>
      </c>
      <c r="D123" s="487">
        <v>0</v>
      </c>
      <c r="E123" s="453">
        <v>0</v>
      </c>
      <c r="F123" s="487">
        <v>0</v>
      </c>
      <c r="G123" s="453">
        <v>0</v>
      </c>
      <c r="H123" s="487">
        <v>0</v>
      </c>
      <c r="I123" s="453">
        <v>0</v>
      </c>
      <c r="J123" s="487">
        <v>19.989999999999998</v>
      </c>
      <c r="K123" s="453">
        <v>1</v>
      </c>
      <c r="L123" s="487">
        <v>0</v>
      </c>
      <c r="M123" s="453">
        <v>0</v>
      </c>
      <c r="N123" s="487">
        <v>0</v>
      </c>
      <c r="O123" s="453">
        <v>0</v>
      </c>
      <c r="P123" s="487">
        <v>19.989999999999998</v>
      </c>
      <c r="Q123" s="453">
        <v>1</v>
      </c>
    </row>
    <row r="124" spans="1:17" x14ac:dyDescent="0.25">
      <c r="A124" s="453">
        <v>6404045</v>
      </c>
      <c r="B124" s="487">
        <v>0</v>
      </c>
      <c r="C124" s="453">
        <v>0</v>
      </c>
      <c r="D124" s="487">
        <v>0</v>
      </c>
      <c r="E124" s="453">
        <v>0</v>
      </c>
      <c r="F124" s="487">
        <v>19.989999999999998</v>
      </c>
      <c r="G124" s="453">
        <v>1</v>
      </c>
      <c r="H124" s="487">
        <v>0</v>
      </c>
      <c r="I124" s="453">
        <v>0</v>
      </c>
      <c r="J124" s="487">
        <v>0</v>
      </c>
      <c r="K124" s="453">
        <v>0</v>
      </c>
      <c r="L124" s="487">
        <v>59.97</v>
      </c>
      <c r="M124" s="453">
        <v>3</v>
      </c>
      <c r="N124" s="487">
        <v>19.989999999999998</v>
      </c>
      <c r="O124" s="453">
        <v>1</v>
      </c>
      <c r="P124" s="487">
        <v>99.949999999999989</v>
      </c>
      <c r="Q124" s="453">
        <v>5</v>
      </c>
    </row>
    <row r="125" spans="1:17" x14ac:dyDescent="0.25">
      <c r="A125" s="453">
        <v>6400187</v>
      </c>
      <c r="B125" s="487">
        <v>7.99</v>
      </c>
      <c r="C125" s="453">
        <v>1</v>
      </c>
      <c r="D125" s="487">
        <v>0</v>
      </c>
      <c r="E125" s="453">
        <v>0</v>
      </c>
      <c r="F125" s="487">
        <v>0</v>
      </c>
      <c r="G125" s="453">
        <v>0</v>
      </c>
      <c r="H125" s="487">
        <v>7.99</v>
      </c>
      <c r="I125" s="453">
        <v>1</v>
      </c>
      <c r="J125" s="487">
        <v>0</v>
      </c>
      <c r="K125" s="453">
        <v>0</v>
      </c>
      <c r="L125" s="487">
        <v>0</v>
      </c>
      <c r="M125" s="453">
        <v>0</v>
      </c>
      <c r="N125" s="487">
        <v>7.99</v>
      </c>
      <c r="O125" s="453">
        <v>1</v>
      </c>
      <c r="P125" s="487">
        <v>23.97</v>
      </c>
      <c r="Q125" s="453">
        <v>3</v>
      </c>
    </row>
    <row r="126" spans="1:17" x14ac:dyDescent="0.25">
      <c r="A126" s="453">
        <v>6400343</v>
      </c>
      <c r="B126" s="487">
        <v>0</v>
      </c>
      <c r="C126" s="453">
        <v>0</v>
      </c>
      <c r="D126" s="487">
        <v>16.48</v>
      </c>
      <c r="E126" s="453">
        <v>1</v>
      </c>
      <c r="F126" s="487">
        <v>0</v>
      </c>
      <c r="G126" s="453">
        <v>0</v>
      </c>
      <c r="H126" s="487">
        <v>0</v>
      </c>
      <c r="I126" s="453">
        <v>0</v>
      </c>
      <c r="J126" s="487">
        <v>0</v>
      </c>
      <c r="K126" s="453">
        <v>0</v>
      </c>
      <c r="L126" s="487">
        <v>0</v>
      </c>
      <c r="M126" s="453">
        <v>0</v>
      </c>
      <c r="N126" s="487">
        <v>0</v>
      </c>
      <c r="O126" s="453">
        <v>0</v>
      </c>
      <c r="P126" s="487">
        <v>16.48</v>
      </c>
      <c r="Q126" s="453">
        <v>1</v>
      </c>
    </row>
    <row r="127" spans="1:17" x14ac:dyDescent="0.25">
      <c r="A127" s="453">
        <v>6400372</v>
      </c>
      <c r="B127" s="487">
        <v>15.98</v>
      </c>
      <c r="C127" s="453">
        <v>2</v>
      </c>
      <c r="D127" s="487">
        <v>0</v>
      </c>
      <c r="E127" s="453">
        <v>0</v>
      </c>
      <c r="F127" s="487">
        <v>23.97</v>
      </c>
      <c r="G127" s="453">
        <v>3</v>
      </c>
      <c r="H127" s="487">
        <v>7.99</v>
      </c>
      <c r="I127" s="453">
        <v>1</v>
      </c>
      <c r="J127" s="487">
        <v>31.96</v>
      </c>
      <c r="K127" s="453">
        <v>4</v>
      </c>
      <c r="L127" s="487">
        <v>15.98</v>
      </c>
      <c r="M127" s="453">
        <v>2</v>
      </c>
      <c r="N127" s="487">
        <v>63.92</v>
      </c>
      <c r="O127" s="453">
        <v>8</v>
      </c>
      <c r="P127" s="487">
        <v>159.80000000000001</v>
      </c>
      <c r="Q127" s="453">
        <v>20</v>
      </c>
    </row>
    <row r="128" spans="1:17" x14ac:dyDescent="0.25">
      <c r="A128" s="453">
        <v>6400130</v>
      </c>
      <c r="B128" s="487">
        <v>35.97</v>
      </c>
      <c r="C128" s="453">
        <v>3</v>
      </c>
      <c r="D128" s="487">
        <v>23.98</v>
      </c>
      <c r="E128" s="453">
        <v>2</v>
      </c>
      <c r="F128" s="487">
        <v>37.17</v>
      </c>
      <c r="G128" s="453">
        <v>3</v>
      </c>
      <c r="H128" s="487">
        <v>23.98</v>
      </c>
      <c r="I128" s="453">
        <v>2</v>
      </c>
      <c r="J128" s="487">
        <v>131.88999999999999</v>
      </c>
      <c r="K128" s="453">
        <v>11</v>
      </c>
      <c r="L128" s="487">
        <v>251.79</v>
      </c>
      <c r="M128" s="453">
        <v>21</v>
      </c>
      <c r="N128" s="487">
        <v>59.95</v>
      </c>
      <c r="O128" s="453">
        <v>5</v>
      </c>
      <c r="P128" s="487">
        <v>564.73</v>
      </c>
      <c r="Q128" s="453">
        <v>47</v>
      </c>
    </row>
    <row r="129" spans="1:17" x14ac:dyDescent="0.25">
      <c r="A129" s="453">
        <v>6404015</v>
      </c>
      <c r="B129" s="487">
        <v>0</v>
      </c>
      <c r="C129" s="453">
        <v>0</v>
      </c>
      <c r="D129" s="487">
        <v>0</v>
      </c>
      <c r="E129" s="453">
        <v>0</v>
      </c>
      <c r="F129" s="487">
        <v>0</v>
      </c>
      <c r="G129" s="453">
        <v>0</v>
      </c>
      <c r="H129" s="487">
        <v>14.24</v>
      </c>
      <c r="I129" s="453">
        <v>1</v>
      </c>
      <c r="J129" s="487">
        <v>0</v>
      </c>
      <c r="K129" s="453">
        <v>0</v>
      </c>
      <c r="L129" s="487">
        <v>28.48</v>
      </c>
      <c r="M129" s="453">
        <v>2</v>
      </c>
      <c r="N129" s="487">
        <v>11.99</v>
      </c>
      <c r="O129" s="453">
        <v>1</v>
      </c>
      <c r="P129" s="487">
        <v>54.71</v>
      </c>
      <c r="Q129" s="453">
        <v>4</v>
      </c>
    </row>
    <row r="130" spans="1:17" x14ac:dyDescent="0.25">
      <c r="A130" s="453">
        <v>6410015</v>
      </c>
      <c r="B130" s="487">
        <v>0</v>
      </c>
      <c r="C130" s="453">
        <v>0</v>
      </c>
      <c r="D130" s="487">
        <v>0</v>
      </c>
      <c r="E130" s="453">
        <v>0</v>
      </c>
      <c r="F130" s="487">
        <v>0</v>
      </c>
      <c r="G130" s="453">
        <v>0</v>
      </c>
      <c r="H130" s="487">
        <v>0</v>
      </c>
      <c r="I130" s="453">
        <v>0</v>
      </c>
      <c r="J130" s="487">
        <v>0</v>
      </c>
      <c r="K130" s="453">
        <v>1</v>
      </c>
      <c r="L130" s="487">
        <v>0</v>
      </c>
      <c r="M130" s="453">
        <v>0</v>
      </c>
      <c r="N130" s="487">
        <v>0</v>
      </c>
      <c r="O130" s="453">
        <v>0</v>
      </c>
      <c r="P130" s="487">
        <v>0</v>
      </c>
      <c r="Q130" s="453">
        <v>1</v>
      </c>
    </row>
    <row r="131" spans="1:17" x14ac:dyDescent="0.25">
      <c r="A131" s="453">
        <v>6410108</v>
      </c>
      <c r="B131" s="487">
        <v>0</v>
      </c>
      <c r="C131" s="453">
        <v>1</v>
      </c>
      <c r="D131" s="487">
        <v>0</v>
      </c>
      <c r="E131" s="453">
        <v>6</v>
      </c>
      <c r="F131" s="487">
        <v>0</v>
      </c>
      <c r="G131" s="453">
        <v>4</v>
      </c>
      <c r="H131" s="487">
        <v>0</v>
      </c>
      <c r="I131" s="453">
        <v>3</v>
      </c>
      <c r="J131" s="487">
        <v>0</v>
      </c>
      <c r="K131" s="453">
        <v>10</v>
      </c>
      <c r="L131" s="487">
        <v>0</v>
      </c>
      <c r="M131" s="453">
        <v>11</v>
      </c>
      <c r="N131" s="487">
        <v>0</v>
      </c>
      <c r="O131" s="453">
        <v>4</v>
      </c>
      <c r="P131" s="487">
        <v>0</v>
      </c>
      <c r="Q131" s="453">
        <v>39</v>
      </c>
    </row>
    <row r="132" spans="1:17" x14ac:dyDescent="0.25">
      <c r="A132" s="453">
        <v>6410107</v>
      </c>
      <c r="B132" s="487">
        <v>0</v>
      </c>
      <c r="C132" s="453">
        <v>1</v>
      </c>
      <c r="D132" s="487">
        <v>0</v>
      </c>
      <c r="E132" s="453">
        <v>3</v>
      </c>
      <c r="F132" s="487">
        <v>0</v>
      </c>
      <c r="G132" s="453">
        <v>0</v>
      </c>
      <c r="H132" s="487">
        <v>0</v>
      </c>
      <c r="I132" s="453">
        <v>2</v>
      </c>
      <c r="J132" s="487">
        <v>0</v>
      </c>
      <c r="K132" s="453">
        <v>6</v>
      </c>
      <c r="L132" s="487">
        <v>0</v>
      </c>
      <c r="M132" s="453">
        <v>14</v>
      </c>
      <c r="N132" s="487">
        <v>0</v>
      </c>
      <c r="O132" s="453">
        <v>3</v>
      </c>
      <c r="P132" s="487">
        <v>0</v>
      </c>
      <c r="Q132" s="453">
        <v>29</v>
      </c>
    </row>
    <row r="133" spans="1:17" x14ac:dyDescent="0.25">
      <c r="A133" s="453">
        <v>6410017</v>
      </c>
      <c r="B133" s="487">
        <v>0</v>
      </c>
      <c r="C133" s="453">
        <v>0</v>
      </c>
      <c r="D133" s="487">
        <v>0</v>
      </c>
      <c r="E133" s="453">
        <v>0</v>
      </c>
      <c r="F133" s="487">
        <v>0</v>
      </c>
      <c r="G133" s="453">
        <v>0</v>
      </c>
      <c r="H133" s="487">
        <v>0</v>
      </c>
      <c r="I133" s="453">
        <v>0</v>
      </c>
      <c r="J133" s="487">
        <v>0</v>
      </c>
      <c r="K133" s="453">
        <v>6</v>
      </c>
      <c r="L133" s="487">
        <v>0</v>
      </c>
      <c r="M133" s="453">
        <v>1</v>
      </c>
      <c r="N133" s="487">
        <v>0</v>
      </c>
      <c r="O133" s="453">
        <v>7</v>
      </c>
      <c r="P133" s="487">
        <v>0</v>
      </c>
      <c r="Q133" s="453">
        <v>14</v>
      </c>
    </row>
    <row r="134" spans="1:17" x14ac:dyDescent="0.25">
      <c r="A134" s="453">
        <v>6400374</v>
      </c>
      <c r="B134" s="487">
        <v>0</v>
      </c>
      <c r="C134" s="453">
        <v>0</v>
      </c>
      <c r="D134" s="487">
        <v>0</v>
      </c>
      <c r="E134" s="453">
        <v>0</v>
      </c>
      <c r="F134" s="487">
        <v>83.94</v>
      </c>
      <c r="G134" s="453">
        <v>6</v>
      </c>
      <c r="H134" s="487">
        <v>41.97</v>
      </c>
      <c r="I134" s="453">
        <v>3</v>
      </c>
      <c r="J134" s="487">
        <v>167.88</v>
      </c>
      <c r="K134" s="453">
        <v>12</v>
      </c>
      <c r="L134" s="487">
        <v>55.96</v>
      </c>
      <c r="M134" s="453">
        <v>4</v>
      </c>
      <c r="N134" s="487">
        <v>55.96</v>
      </c>
      <c r="O134" s="453">
        <v>4</v>
      </c>
      <c r="P134" s="487">
        <v>405.70999999999992</v>
      </c>
      <c r="Q134" s="453">
        <v>29</v>
      </c>
    </row>
    <row r="135" spans="1:17" x14ac:dyDescent="0.25">
      <c r="A135" s="453">
        <v>6400375</v>
      </c>
      <c r="B135" s="487">
        <v>13.99</v>
      </c>
      <c r="C135" s="453">
        <v>1</v>
      </c>
      <c r="D135" s="487">
        <v>13.99</v>
      </c>
      <c r="E135" s="453">
        <v>1</v>
      </c>
      <c r="F135" s="487">
        <v>0</v>
      </c>
      <c r="G135" s="453">
        <v>0</v>
      </c>
      <c r="H135" s="487">
        <v>0</v>
      </c>
      <c r="I135" s="453">
        <v>0</v>
      </c>
      <c r="J135" s="487">
        <v>30.61</v>
      </c>
      <c r="K135" s="453">
        <v>2</v>
      </c>
      <c r="L135" s="487">
        <v>0</v>
      </c>
      <c r="M135" s="453">
        <v>0</v>
      </c>
      <c r="N135" s="487">
        <v>0</v>
      </c>
      <c r="O135" s="453">
        <v>0</v>
      </c>
      <c r="P135" s="487">
        <v>58.59</v>
      </c>
      <c r="Q135" s="453">
        <v>4</v>
      </c>
    </row>
    <row r="136" spans="1:17" x14ac:dyDescent="0.25">
      <c r="A136" s="453">
        <v>6400005</v>
      </c>
      <c r="B136" s="487">
        <v>16.489999999999998</v>
      </c>
      <c r="C136" s="453">
        <v>1</v>
      </c>
      <c r="D136" s="487">
        <v>0</v>
      </c>
      <c r="E136" s="453">
        <v>0</v>
      </c>
      <c r="F136" s="487">
        <v>98.94</v>
      </c>
      <c r="G136" s="453">
        <v>6</v>
      </c>
      <c r="H136" s="487">
        <v>32.979999999999997</v>
      </c>
      <c r="I136" s="453">
        <v>2</v>
      </c>
      <c r="J136" s="487">
        <v>65.959999999999994</v>
      </c>
      <c r="K136" s="453">
        <v>4</v>
      </c>
      <c r="L136" s="487">
        <v>49.47</v>
      </c>
      <c r="M136" s="453">
        <v>3</v>
      </c>
      <c r="N136" s="487">
        <v>16.489999999999998</v>
      </c>
      <c r="O136" s="453">
        <v>1</v>
      </c>
      <c r="P136" s="487">
        <v>280.33000000000004</v>
      </c>
      <c r="Q136" s="453">
        <v>17</v>
      </c>
    </row>
    <row r="137" spans="1:17" x14ac:dyDescent="0.25">
      <c r="A137" s="453">
        <v>6400094</v>
      </c>
      <c r="B137" s="487">
        <v>0</v>
      </c>
      <c r="C137" s="453">
        <v>0</v>
      </c>
      <c r="D137" s="487">
        <v>0</v>
      </c>
      <c r="E137" s="453">
        <v>0</v>
      </c>
      <c r="F137" s="487">
        <v>0</v>
      </c>
      <c r="G137" s="453">
        <v>0</v>
      </c>
      <c r="H137" s="487">
        <v>0</v>
      </c>
      <c r="I137" s="453">
        <v>0</v>
      </c>
      <c r="J137" s="487">
        <v>16.489999999999998</v>
      </c>
      <c r="K137" s="453">
        <v>1</v>
      </c>
      <c r="L137" s="487">
        <v>0</v>
      </c>
      <c r="M137" s="453">
        <v>0</v>
      </c>
      <c r="N137" s="487">
        <v>0</v>
      </c>
      <c r="O137" s="453">
        <v>0</v>
      </c>
      <c r="P137" s="487">
        <v>16.489999999999998</v>
      </c>
      <c r="Q137" s="453">
        <v>1</v>
      </c>
    </row>
    <row r="138" spans="1:17" x14ac:dyDescent="0.25">
      <c r="A138" s="800" t="s">
        <v>1939</v>
      </c>
      <c r="B138" s="485">
        <v>50.940000000000005</v>
      </c>
      <c r="C138" s="486">
        <v>6</v>
      </c>
      <c r="D138" s="485">
        <v>15.98</v>
      </c>
      <c r="E138" s="486">
        <v>2</v>
      </c>
      <c r="F138" s="485">
        <v>40.75</v>
      </c>
      <c r="G138" s="486">
        <v>5</v>
      </c>
      <c r="H138" s="485">
        <v>0</v>
      </c>
      <c r="I138" s="486">
        <v>0</v>
      </c>
      <c r="J138" s="485">
        <v>24.77</v>
      </c>
      <c r="K138" s="486">
        <v>3</v>
      </c>
      <c r="L138" s="485">
        <v>33.46</v>
      </c>
      <c r="M138" s="486">
        <v>4</v>
      </c>
      <c r="N138" s="485">
        <v>7.99</v>
      </c>
      <c r="O138" s="486">
        <v>1</v>
      </c>
      <c r="P138" s="485">
        <v>173.89000000000001</v>
      </c>
      <c r="Q138" s="486">
        <v>21</v>
      </c>
    </row>
    <row r="139" spans="1:17" x14ac:dyDescent="0.25">
      <c r="A139" s="453">
        <v>6410124</v>
      </c>
      <c r="B139" s="487">
        <v>0</v>
      </c>
      <c r="C139" s="453">
        <v>0</v>
      </c>
      <c r="D139" s="487">
        <v>0</v>
      </c>
      <c r="E139" s="453">
        <v>0</v>
      </c>
      <c r="F139" s="487">
        <v>7.99</v>
      </c>
      <c r="G139" s="453">
        <v>1</v>
      </c>
      <c r="H139" s="487">
        <v>0</v>
      </c>
      <c r="I139" s="453">
        <v>0</v>
      </c>
      <c r="J139" s="487">
        <v>0</v>
      </c>
      <c r="K139" s="453">
        <v>0</v>
      </c>
      <c r="L139" s="487">
        <v>9.49</v>
      </c>
      <c r="M139" s="453">
        <v>1</v>
      </c>
      <c r="N139" s="487">
        <v>0</v>
      </c>
      <c r="O139" s="453">
        <v>0</v>
      </c>
      <c r="P139" s="487">
        <v>17.48</v>
      </c>
      <c r="Q139" s="453">
        <v>2</v>
      </c>
    </row>
    <row r="140" spans="1:17" x14ac:dyDescent="0.25">
      <c r="A140" s="453">
        <v>6410001</v>
      </c>
      <c r="B140" s="487">
        <v>7.99</v>
      </c>
      <c r="C140" s="453">
        <v>1</v>
      </c>
      <c r="D140" s="487">
        <v>7.99</v>
      </c>
      <c r="E140" s="453">
        <v>1</v>
      </c>
      <c r="F140" s="487">
        <v>0</v>
      </c>
      <c r="G140" s="453">
        <v>0</v>
      </c>
      <c r="H140" s="487">
        <v>0</v>
      </c>
      <c r="I140" s="453">
        <v>0</v>
      </c>
      <c r="J140" s="487">
        <v>0</v>
      </c>
      <c r="K140" s="453">
        <v>0</v>
      </c>
      <c r="L140" s="487">
        <v>0</v>
      </c>
      <c r="M140" s="453">
        <v>0</v>
      </c>
      <c r="N140" s="487">
        <v>0</v>
      </c>
      <c r="O140" s="453">
        <v>0</v>
      </c>
      <c r="P140" s="487">
        <v>15.98</v>
      </c>
      <c r="Q140" s="453">
        <v>2</v>
      </c>
    </row>
    <row r="141" spans="1:17" x14ac:dyDescent="0.25">
      <c r="A141" s="453">
        <v>6410119</v>
      </c>
      <c r="B141" s="487">
        <v>15.98</v>
      </c>
      <c r="C141" s="453">
        <v>2</v>
      </c>
      <c r="D141" s="487">
        <v>7.99</v>
      </c>
      <c r="E141" s="453">
        <v>1</v>
      </c>
      <c r="F141" s="487">
        <v>23.97</v>
      </c>
      <c r="G141" s="453">
        <v>3</v>
      </c>
      <c r="H141" s="487">
        <v>0</v>
      </c>
      <c r="I141" s="453">
        <v>0</v>
      </c>
      <c r="J141" s="487">
        <v>7.99</v>
      </c>
      <c r="K141" s="453">
        <v>1</v>
      </c>
      <c r="L141" s="487">
        <v>15.98</v>
      </c>
      <c r="M141" s="453">
        <v>2</v>
      </c>
      <c r="N141" s="487">
        <v>0</v>
      </c>
      <c r="O141" s="453">
        <v>0</v>
      </c>
      <c r="P141" s="487">
        <v>71.91</v>
      </c>
      <c r="Q141" s="453">
        <v>9</v>
      </c>
    </row>
    <row r="142" spans="1:17" x14ac:dyDescent="0.25">
      <c r="A142" s="453">
        <v>6410120</v>
      </c>
      <c r="B142" s="487">
        <v>18.98</v>
      </c>
      <c r="C142" s="453">
        <v>2</v>
      </c>
      <c r="D142" s="487">
        <v>0</v>
      </c>
      <c r="E142" s="453">
        <v>0</v>
      </c>
      <c r="F142" s="487">
        <v>0</v>
      </c>
      <c r="G142" s="453">
        <v>0</v>
      </c>
      <c r="H142" s="487">
        <v>0</v>
      </c>
      <c r="I142" s="453">
        <v>0</v>
      </c>
      <c r="J142" s="487">
        <v>0</v>
      </c>
      <c r="K142" s="453">
        <v>0</v>
      </c>
      <c r="L142" s="487">
        <v>0</v>
      </c>
      <c r="M142" s="453">
        <v>0</v>
      </c>
      <c r="N142" s="487">
        <v>0</v>
      </c>
      <c r="O142" s="453">
        <v>0</v>
      </c>
      <c r="P142" s="487">
        <v>18.98</v>
      </c>
      <c r="Q142" s="453">
        <v>2</v>
      </c>
    </row>
    <row r="143" spans="1:17" x14ac:dyDescent="0.25">
      <c r="A143" s="453">
        <v>6410002</v>
      </c>
      <c r="B143" s="487">
        <v>7.99</v>
      </c>
      <c r="C143" s="453">
        <v>1</v>
      </c>
      <c r="D143" s="487">
        <v>0</v>
      </c>
      <c r="E143" s="453">
        <v>0</v>
      </c>
      <c r="F143" s="487">
        <v>0</v>
      </c>
      <c r="G143" s="453">
        <v>0</v>
      </c>
      <c r="H143" s="487">
        <v>0</v>
      </c>
      <c r="I143" s="453">
        <v>0</v>
      </c>
      <c r="J143" s="487">
        <v>7.99</v>
      </c>
      <c r="K143" s="453">
        <v>1</v>
      </c>
      <c r="L143" s="487">
        <v>7.99</v>
      </c>
      <c r="M143" s="453">
        <v>1</v>
      </c>
      <c r="N143" s="487">
        <v>0</v>
      </c>
      <c r="O143" s="453">
        <v>0</v>
      </c>
      <c r="P143" s="487">
        <v>23.97</v>
      </c>
      <c r="Q143" s="453">
        <v>3</v>
      </c>
    </row>
    <row r="144" spans="1:17" x14ac:dyDescent="0.25">
      <c r="A144" s="453">
        <v>6410045</v>
      </c>
      <c r="B144" s="487">
        <v>0</v>
      </c>
      <c r="C144" s="453">
        <v>0</v>
      </c>
      <c r="D144" s="487">
        <v>0</v>
      </c>
      <c r="E144" s="453">
        <v>0</v>
      </c>
      <c r="F144" s="487">
        <v>8.7899999999999991</v>
      </c>
      <c r="G144" s="453">
        <v>1</v>
      </c>
      <c r="H144" s="487">
        <v>0</v>
      </c>
      <c r="I144" s="453">
        <v>0</v>
      </c>
      <c r="J144" s="487">
        <v>8.7899999999999991</v>
      </c>
      <c r="K144" s="453">
        <v>1</v>
      </c>
      <c r="L144" s="487">
        <v>0</v>
      </c>
      <c r="M144" s="453">
        <v>0</v>
      </c>
      <c r="N144" s="487">
        <v>7.99</v>
      </c>
      <c r="O144" s="453">
        <v>1</v>
      </c>
      <c r="P144" s="487">
        <v>25.57</v>
      </c>
      <c r="Q144" s="453">
        <v>3</v>
      </c>
    </row>
    <row r="145" spans="1:17" x14ac:dyDescent="0.25">
      <c r="A145" s="800" t="s">
        <v>1939</v>
      </c>
      <c r="B145" s="485">
        <v>36.49</v>
      </c>
      <c r="C145" s="486">
        <v>6</v>
      </c>
      <c r="D145" s="485">
        <v>23.2</v>
      </c>
      <c r="E145" s="486">
        <v>4</v>
      </c>
      <c r="F145" s="485">
        <v>19.78</v>
      </c>
      <c r="G145" s="486">
        <v>3</v>
      </c>
      <c r="H145" s="485">
        <v>17.399999999999999</v>
      </c>
      <c r="I145" s="486">
        <v>3</v>
      </c>
      <c r="J145" s="485">
        <v>5.8</v>
      </c>
      <c r="K145" s="486">
        <v>1</v>
      </c>
      <c r="L145" s="485">
        <v>210.54000000000002</v>
      </c>
      <c r="M145" s="486">
        <v>34</v>
      </c>
      <c r="N145" s="485">
        <v>0</v>
      </c>
      <c r="O145" s="486">
        <v>0</v>
      </c>
      <c r="P145" s="485">
        <v>313.21000000000004</v>
      </c>
      <c r="Q145" s="486">
        <v>51</v>
      </c>
    </row>
    <row r="146" spans="1:17" x14ac:dyDescent="0.25">
      <c r="A146" s="800" t="s">
        <v>1939</v>
      </c>
      <c r="B146" s="485">
        <v>29</v>
      </c>
      <c r="C146" s="486">
        <v>5</v>
      </c>
      <c r="D146" s="485">
        <v>23.2</v>
      </c>
      <c r="E146" s="486">
        <v>4</v>
      </c>
      <c r="F146" s="485">
        <v>19.78</v>
      </c>
      <c r="G146" s="486">
        <v>3</v>
      </c>
      <c r="H146" s="485">
        <v>17.399999999999999</v>
      </c>
      <c r="I146" s="486">
        <v>3</v>
      </c>
      <c r="J146" s="485">
        <v>5.8</v>
      </c>
      <c r="K146" s="486">
        <v>1</v>
      </c>
      <c r="L146" s="485">
        <v>135.19</v>
      </c>
      <c r="M146" s="486">
        <v>23</v>
      </c>
      <c r="N146" s="485">
        <v>0</v>
      </c>
      <c r="O146" s="486">
        <v>0</v>
      </c>
      <c r="P146" s="485">
        <v>230.37</v>
      </c>
      <c r="Q146" s="486">
        <v>39</v>
      </c>
    </row>
    <row r="147" spans="1:17" x14ac:dyDescent="0.25">
      <c r="A147" s="453">
        <v>6510001</v>
      </c>
      <c r="B147" s="487">
        <v>0</v>
      </c>
      <c r="C147" s="453">
        <v>0</v>
      </c>
      <c r="D147" s="487">
        <v>0</v>
      </c>
      <c r="E147" s="453">
        <v>0</v>
      </c>
      <c r="F147" s="487">
        <v>0</v>
      </c>
      <c r="G147" s="453">
        <v>0</v>
      </c>
      <c r="H147" s="487">
        <v>17.399999999999999</v>
      </c>
      <c r="I147" s="453">
        <v>3</v>
      </c>
      <c r="J147" s="487">
        <v>0</v>
      </c>
      <c r="K147" s="453">
        <v>0</v>
      </c>
      <c r="L147" s="487">
        <v>17.399999999999999</v>
      </c>
      <c r="M147" s="453">
        <v>3</v>
      </c>
      <c r="N147" s="487">
        <v>0</v>
      </c>
      <c r="O147" s="453">
        <v>0</v>
      </c>
      <c r="P147" s="487">
        <v>34.799999999999997</v>
      </c>
      <c r="Q147" s="453">
        <v>6</v>
      </c>
    </row>
    <row r="148" spans="1:17" x14ac:dyDescent="0.25">
      <c r="A148" s="453">
        <v>6510003</v>
      </c>
      <c r="B148" s="487">
        <v>29</v>
      </c>
      <c r="C148" s="453">
        <v>5</v>
      </c>
      <c r="D148" s="487">
        <v>11.6</v>
      </c>
      <c r="E148" s="453">
        <v>2</v>
      </c>
      <c r="F148" s="487">
        <v>5.8</v>
      </c>
      <c r="G148" s="453">
        <v>1</v>
      </c>
      <c r="H148" s="487">
        <v>0</v>
      </c>
      <c r="I148" s="453">
        <v>0</v>
      </c>
      <c r="J148" s="487">
        <v>5.8</v>
      </c>
      <c r="K148" s="453">
        <v>1</v>
      </c>
      <c r="L148" s="487">
        <v>11.6</v>
      </c>
      <c r="M148" s="453">
        <v>2</v>
      </c>
      <c r="N148" s="487">
        <v>0</v>
      </c>
      <c r="O148" s="453">
        <v>0</v>
      </c>
      <c r="P148" s="487">
        <v>63.8</v>
      </c>
      <c r="Q148" s="453">
        <v>11</v>
      </c>
    </row>
    <row r="149" spans="1:17" x14ac:dyDescent="0.25">
      <c r="A149" s="453">
        <v>6510004</v>
      </c>
      <c r="B149" s="487">
        <v>0</v>
      </c>
      <c r="C149" s="453">
        <v>0</v>
      </c>
      <c r="D149" s="487">
        <v>0</v>
      </c>
      <c r="E149" s="453">
        <v>0</v>
      </c>
      <c r="F149" s="487">
        <v>0</v>
      </c>
      <c r="G149" s="453">
        <v>0</v>
      </c>
      <c r="H149" s="487">
        <v>0</v>
      </c>
      <c r="I149" s="453">
        <v>0</v>
      </c>
      <c r="J149" s="487">
        <v>0</v>
      </c>
      <c r="K149" s="453">
        <v>0</v>
      </c>
      <c r="L149" s="487">
        <v>52.2</v>
      </c>
      <c r="M149" s="453">
        <v>9</v>
      </c>
      <c r="N149" s="487">
        <v>0</v>
      </c>
      <c r="O149" s="453">
        <v>0</v>
      </c>
      <c r="P149" s="487">
        <v>52.2</v>
      </c>
      <c r="Q149" s="453">
        <v>9</v>
      </c>
    </row>
    <row r="150" spans="1:17" x14ac:dyDescent="0.25">
      <c r="A150" s="453">
        <v>6510032</v>
      </c>
      <c r="B150" s="487">
        <v>0</v>
      </c>
      <c r="C150" s="453">
        <v>0</v>
      </c>
      <c r="D150" s="487">
        <v>11.6</v>
      </c>
      <c r="E150" s="453">
        <v>2</v>
      </c>
      <c r="F150" s="487">
        <v>0</v>
      </c>
      <c r="G150" s="453">
        <v>0</v>
      </c>
      <c r="H150" s="487">
        <v>0</v>
      </c>
      <c r="I150" s="453">
        <v>0</v>
      </c>
      <c r="J150" s="487">
        <v>0</v>
      </c>
      <c r="K150" s="453">
        <v>0</v>
      </c>
      <c r="L150" s="487">
        <v>0</v>
      </c>
      <c r="M150" s="453">
        <v>0</v>
      </c>
      <c r="N150" s="487">
        <v>0</v>
      </c>
      <c r="O150" s="453">
        <v>0</v>
      </c>
      <c r="P150" s="487">
        <v>11.6</v>
      </c>
      <c r="Q150" s="453">
        <v>2</v>
      </c>
    </row>
    <row r="151" spans="1:17" x14ac:dyDescent="0.25">
      <c r="A151" s="453">
        <v>6510033</v>
      </c>
      <c r="B151" s="487">
        <v>0</v>
      </c>
      <c r="C151" s="453">
        <v>0</v>
      </c>
      <c r="D151" s="487">
        <v>0</v>
      </c>
      <c r="E151" s="453">
        <v>0</v>
      </c>
      <c r="F151" s="487">
        <v>0</v>
      </c>
      <c r="G151" s="453">
        <v>0</v>
      </c>
      <c r="H151" s="487">
        <v>0</v>
      </c>
      <c r="I151" s="453">
        <v>0</v>
      </c>
      <c r="J151" s="487">
        <v>0</v>
      </c>
      <c r="K151" s="453">
        <v>0</v>
      </c>
      <c r="L151" s="487">
        <v>40.6</v>
      </c>
      <c r="M151" s="453">
        <v>7</v>
      </c>
      <c r="N151" s="487">
        <v>0</v>
      </c>
      <c r="O151" s="453">
        <v>0</v>
      </c>
      <c r="P151" s="487">
        <v>40.6</v>
      </c>
      <c r="Q151" s="453">
        <v>7</v>
      </c>
    </row>
    <row r="152" spans="1:17" x14ac:dyDescent="0.25">
      <c r="A152" s="453">
        <v>6510039</v>
      </c>
      <c r="B152" s="487">
        <v>0</v>
      </c>
      <c r="C152" s="453">
        <v>0</v>
      </c>
      <c r="D152" s="487">
        <v>0</v>
      </c>
      <c r="E152" s="453">
        <v>0</v>
      </c>
      <c r="F152" s="487">
        <v>0</v>
      </c>
      <c r="G152" s="453">
        <v>0</v>
      </c>
      <c r="H152" s="487">
        <v>0</v>
      </c>
      <c r="I152" s="453">
        <v>0</v>
      </c>
      <c r="J152" s="487">
        <v>0</v>
      </c>
      <c r="K152" s="453">
        <v>0</v>
      </c>
      <c r="L152" s="487">
        <v>6.4</v>
      </c>
      <c r="M152" s="453">
        <v>1</v>
      </c>
      <c r="N152" s="487">
        <v>0</v>
      </c>
      <c r="O152" s="453">
        <v>0</v>
      </c>
      <c r="P152" s="487">
        <v>6.4</v>
      </c>
      <c r="Q152" s="453">
        <v>1</v>
      </c>
    </row>
    <row r="153" spans="1:17" x14ac:dyDescent="0.25">
      <c r="A153" s="453">
        <v>6510218</v>
      </c>
      <c r="B153" s="487">
        <v>0</v>
      </c>
      <c r="C153" s="453">
        <v>0</v>
      </c>
      <c r="D153" s="487">
        <v>0</v>
      </c>
      <c r="E153" s="453">
        <v>0</v>
      </c>
      <c r="F153" s="487">
        <v>13.98</v>
      </c>
      <c r="G153" s="453">
        <v>2</v>
      </c>
      <c r="H153" s="487">
        <v>0</v>
      </c>
      <c r="I153" s="453">
        <v>0</v>
      </c>
      <c r="J153" s="487">
        <v>0</v>
      </c>
      <c r="K153" s="453">
        <v>0</v>
      </c>
      <c r="L153" s="487">
        <v>6.99</v>
      </c>
      <c r="M153" s="453">
        <v>1</v>
      </c>
      <c r="N153" s="487">
        <v>0</v>
      </c>
      <c r="O153" s="453">
        <v>0</v>
      </c>
      <c r="P153" s="487">
        <v>20.97</v>
      </c>
      <c r="Q153" s="453">
        <v>3</v>
      </c>
    </row>
    <row r="154" spans="1:17" x14ac:dyDescent="0.25">
      <c r="A154" s="800" t="s">
        <v>1939</v>
      </c>
      <c r="B154" s="485">
        <v>0</v>
      </c>
      <c r="C154" s="486">
        <v>0</v>
      </c>
      <c r="D154" s="485">
        <v>0</v>
      </c>
      <c r="E154" s="486">
        <v>0</v>
      </c>
      <c r="F154" s="485">
        <v>0</v>
      </c>
      <c r="G154" s="486">
        <v>0</v>
      </c>
      <c r="H154" s="485">
        <v>0</v>
      </c>
      <c r="I154" s="486">
        <v>0</v>
      </c>
      <c r="J154" s="485">
        <v>0</v>
      </c>
      <c r="K154" s="486">
        <v>0</v>
      </c>
      <c r="L154" s="485">
        <v>12.8</v>
      </c>
      <c r="M154" s="486">
        <v>2</v>
      </c>
      <c r="N154" s="485">
        <v>0</v>
      </c>
      <c r="O154" s="486">
        <v>0</v>
      </c>
      <c r="P154" s="485">
        <v>12.8</v>
      </c>
      <c r="Q154" s="486">
        <v>2</v>
      </c>
    </row>
    <row r="155" spans="1:17" x14ac:dyDescent="0.25">
      <c r="A155" s="453">
        <v>6510038</v>
      </c>
      <c r="B155" s="487">
        <v>0</v>
      </c>
      <c r="C155" s="453">
        <v>0</v>
      </c>
      <c r="D155" s="487">
        <v>0</v>
      </c>
      <c r="E155" s="453">
        <v>0</v>
      </c>
      <c r="F155" s="487">
        <v>0</v>
      </c>
      <c r="G155" s="453">
        <v>0</v>
      </c>
      <c r="H155" s="487">
        <v>0</v>
      </c>
      <c r="I155" s="453">
        <v>0</v>
      </c>
      <c r="J155" s="487">
        <v>0</v>
      </c>
      <c r="K155" s="453">
        <v>0</v>
      </c>
      <c r="L155" s="487">
        <v>12.8</v>
      </c>
      <c r="M155" s="453">
        <v>2</v>
      </c>
      <c r="N155" s="487">
        <v>0</v>
      </c>
      <c r="O155" s="453">
        <v>0</v>
      </c>
      <c r="P155" s="487">
        <v>12.8</v>
      </c>
      <c r="Q155" s="453">
        <v>2</v>
      </c>
    </row>
    <row r="156" spans="1:17" x14ac:dyDescent="0.25">
      <c r="A156" s="800" t="s">
        <v>1939</v>
      </c>
      <c r="B156" s="485">
        <v>7.49</v>
      </c>
      <c r="C156" s="486">
        <v>1</v>
      </c>
      <c r="D156" s="485">
        <v>0</v>
      </c>
      <c r="E156" s="486">
        <v>0</v>
      </c>
      <c r="F156" s="485">
        <v>0</v>
      </c>
      <c r="G156" s="486">
        <v>0</v>
      </c>
      <c r="H156" s="485">
        <v>0</v>
      </c>
      <c r="I156" s="486">
        <v>0</v>
      </c>
      <c r="J156" s="485">
        <v>0</v>
      </c>
      <c r="K156" s="486">
        <v>0</v>
      </c>
      <c r="L156" s="485">
        <v>62.55</v>
      </c>
      <c r="M156" s="486">
        <v>9</v>
      </c>
      <c r="N156" s="485">
        <v>0</v>
      </c>
      <c r="O156" s="486">
        <v>0</v>
      </c>
      <c r="P156" s="485">
        <v>70.039999999999992</v>
      </c>
      <c r="Q156" s="486">
        <v>10</v>
      </c>
    </row>
    <row r="157" spans="1:17" x14ac:dyDescent="0.25">
      <c r="A157" s="453">
        <v>6512012</v>
      </c>
      <c r="B157" s="487">
        <v>0</v>
      </c>
      <c r="C157" s="453">
        <v>0</v>
      </c>
      <c r="D157" s="487">
        <v>0</v>
      </c>
      <c r="E157" s="453">
        <v>0</v>
      </c>
      <c r="F157" s="487">
        <v>0</v>
      </c>
      <c r="G157" s="453">
        <v>0</v>
      </c>
      <c r="H157" s="487">
        <v>0</v>
      </c>
      <c r="I157" s="453">
        <v>0</v>
      </c>
      <c r="J157" s="487">
        <v>0</v>
      </c>
      <c r="K157" s="453">
        <v>0</v>
      </c>
      <c r="L157" s="487">
        <v>27.8</v>
      </c>
      <c r="M157" s="453">
        <v>4</v>
      </c>
      <c r="N157" s="487">
        <v>0</v>
      </c>
      <c r="O157" s="453">
        <v>0</v>
      </c>
      <c r="P157" s="487">
        <v>27.8</v>
      </c>
      <c r="Q157" s="453">
        <v>4</v>
      </c>
    </row>
    <row r="158" spans="1:17" x14ac:dyDescent="0.25">
      <c r="A158" s="453">
        <v>6512004</v>
      </c>
      <c r="B158" s="487">
        <v>7.49</v>
      </c>
      <c r="C158" s="453">
        <v>1</v>
      </c>
      <c r="D158" s="487">
        <v>0</v>
      </c>
      <c r="E158" s="453">
        <v>0</v>
      </c>
      <c r="F158" s="487">
        <v>0</v>
      </c>
      <c r="G158" s="453">
        <v>0</v>
      </c>
      <c r="H158" s="487">
        <v>0</v>
      </c>
      <c r="I158" s="453">
        <v>0</v>
      </c>
      <c r="J158" s="487">
        <v>0</v>
      </c>
      <c r="K158" s="453">
        <v>0</v>
      </c>
      <c r="L158" s="487">
        <v>0</v>
      </c>
      <c r="M158" s="453">
        <v>0</v>
      </c>
      <c r="N158" s="487">
        <v>0</v>
      </c>
      <c r="O158" s="453">
        <v>0</v>
      </c>
      <c r="P158" s="487">
        <v>7.49</v>
      </c>
      <c r="Q158" s="453">
        <v>1</v>
      </c>
    </row>
    <row r="159" spans="1:17" x14ac:dyDescent="0.25">
      <c r="A159" s="453">
        <v>6512013</v>
      </c>
      <c r="B159" s="487">
        <v>0</v>
      </c>
      <c r="C159" s="453">
        <v>0</v>
      </c>
      <c r="D159" s="487">
        <v>0</v>
      </c>
      <c r="E159" s="453">
        <v>0</v>
      </c>
      <c r="F159" s="487">
        <v>0</v>
      </c>
      <c r="G159" s="453">
        <v>0</v>
      </c>
      <c r="H159" s="487">
        <v>0</v>
      </c>
      <c r="I159" s="453">
        <v>0</v>
      </c>
      <c r="J159" s="487">
        <v>0</v>
      </c>
      <c r="K159" s="453">
        <v>0</v>
      </c>
      <c r="L159" s="487">
        <v>34.75</v>
      </c>
      <c r="M159" s="453">
        <v>5</v>
      </c>
      <c r="N159" s="487">
        <v>0</v>
      </c>
      <c r="O159" s="453">
        <v>0</v>
      </c>
      <c r="P159" s="487">
        <v>34.75</v>
      </c>
      <c r="Q159" s="453">
        <v>5</v>
      </c>
    </row>
    <row r="160" spans="1:17" x14ac:dyDescent="0.25">
      <c r="A160" s="800" t="s">
        <v>1939</v>
      </c>
      <c r="B160" s="485">
        <v>18.239999999999998</v>
      </c>
      <c r="C160" s="486">
        <v>12</v>
      </c>
      <c r="D160" s="485">
        <v>68.69</v>
      </c>
      <c r="E160" s="486">
        <v>26</v>
      </c>
      <c r="F160" s="485">
        <v>19.650000000000002</v>
      </c>
      <c r="G160" s="486">
        <v>16</v>
      </c>
      <c r="H160" s="485">
        <v>58.4</v>
      </c>
      <c r="I160" s="486">
        <v>17</v>
      </c>
      <c r="J160" s="485">
        <v>99.379999999999981</v>
      </c>
      <c r="K160" s="486">
        <v>55</v>
      </c>
      <c r="L160" s="485">
        <v>106.41</v>
      </c>
      <c r="M160" s="486">
        <v>44</v>
      </c>
      <c r="N160" s="485">
        <v>80.67</v>
      </c>
      <c r="O160" s="486">
        <v>45</v>
      </c>
      <c r="P160" s="485">
        <v>451.44</v>
      </c>
      <c r="Q160" s="486">
        <v>215</v>
      </c>
    </row>
    <row r="161" spans="1:17" x14ac:dyDescent="0.25">
      <c r="A161" s="800" t="s">
        <v>1939</v>
      </c>
      <c r="B161" s="485">
        <v>18.239999999999998</v>
      </c>
      <c r="C161" s="486">
        <v>12</v>
      </c>
      <c r="D161" s="485">
        <v>68.69</v>
      </c>
      <c r="E161" s="486">
        <v>26</v>
      </c>
      <c r="F161" s="485">
        <v>19.650000000000002</v>
      </c>
      <c r="G161" s="486">
        <v>16</v>
      </c>
      <c r="H161" s="485">
        <v>58.4</v>
      </c>
      <c r="I161" s="486">
        <v>17</v>
      </c>
      <c r="J161" s="485">
        <v>99.379999999999981</v>
      </c>
      <c r="K161" s="486">
        <v>55</v>
      </c>
      <c r="L161" s="485">
        <v>106.41</v>
      </c>
      <c r="M161" s="486">
        <v>44</v>
      </c>
      <c r="N161" s="485">
        <v>80.67</v>
      </c>
      <c r="O161" s="486">
        <v>45</v>
      </c>
      <c r="P161" s="485">
        <v>451.44</v>
      </c>
      <c r="Q161" s="486">
        <v>215</v>
      </c>
    </row>
    <row r="162" spans="1:17" x14ac:dyDescent="0.25">
      <c r="A162" s="453">
        <v>6460080</v>
      </c>
      <c r="B162" s="487">
        <v>0</v>
      </c>
      <c r="C162" s="453">
        <v>0</v>
      </c>
      <c r="D162" s="487">
        <v>0</v>
      </c>
      <c r="E162" s="453">
        <v>0</v>
      </c>
      <c r="F162" s="487">
        <v>0</v>
      </c>
      <c r="G162" s="453">
        <v>0</v>
      </c>
      <c r="H162" s="487">
        <v>0</v>
      </c>
      <c r="I162" s="453">
        <v>0</v>
      </c>
      <c r="J162" s="487">
        <v>3.98</v>
      </c>
      <c r="K162" s="453">
        <v>2</v>
      </c>
      <c r="L162" s="487">
        <v>1.99</v>
      </c>
      <c r="M162" s="453">
        <v>1</v>
      </c>
      <c r="N162" s="487">
        <v>0</v>
      </c>
      <c r="O162" s="453">
        <v>0</v>
      </c>
      <c r="P162" s="487">
        <v>5.97</v>
      </c>
      <c r="Q162" s="453">
        <v>3</v>
      </c>
    </row>
    <row r="163" spans="1:17" x14ac:dyDescent="0.25">
      <c r="A163" s="453">
        <v>6460081</v>
      </c>
      <c r="B163" s="487">
        <v>0</v>
      </c>
      <c r="C163" s="453">
        <v>0</v>
      </c>
      <c r="D163" s="487">
        <v>0</v>
      </c>
      <c r="E163" s="453">
        <v>0</v>
      </c>
      <c r="F163" s="487">
        <v>0</v>
      </c>
      <c r="G163" s="453">
        <v>0</v>
      </c>
      <c r="H163" s="487">
        <v>0</v>
      </c>
      <c r="I163" s="453">
        <v>0</v>
      </c>
      <c r="J163" s="487">
        <v>1.99</v>
      </c>
      <c r="K163" s="453">
        <v>1</v>
      </c>
      <c r="L163" s="487">
        <v>1.99</v>
      </c>
      <c r="M163" s="453">
        <v>1</v>
      </c>
      <c r="N163" s="487">
        <v>0</v>
      </c>
      <c r="O163" s="453">
        <v>0</v>
      </c>
      <c r="P163" s="487">
        <v>3.98</v>
      </c>
      <c r="Q163" s="453">
        <v>2</v>
      </c>
    </row>
    <row r="164" spans="1:17" x14ac:dyDescent="0.25">
      <c r="A164" s="453">
        <v>6470026</v>
      </c>
      <c r="B164" s="487">
        <v>0</v>
      </c>
      <c r="C164" s="453">
        <v>0</v>
      </c>
      <c r="D164" s="487">
        <v>0</v>
      </c>
      <c r="E164" s="453">
        <v>0</v>
      </c>
      <c r="F164" s="487">
        <v>0</v>
      </c>
      <c r="G164" s="453">
        <v>0</v>
      </c>
      <c r="H164" s="487">
        <v>0</v>
      </c>
      <c r="I164" s="453">
        <v>0</v>
      </c>
      <c r="J164" s="487">
        <v>0</v>
      </c>
      <c r="K164" s="453">
        <v>2</v>
      </c>
      <c r="L164" s="487">
        <v>0</v>
      </c>
      <c r="M164" s="453">
        <v>1</v>
      </c>
      <c r="N164" s="487">
        <v>0</v>
      </c>
      <c r="O164" s="453">
        <v>0</v>
      </c>
      <c r="P164" s="487">
        <v>0</v>
      </c>
      <c r="Q164" s="453">
        <v>3</v>
      </c>
    </row>
    <row r="165" spans="1:17" x14ac:dyDescent="0.25">
      <c r="A165" s="453">
        <v>6470027</v>
      </c>
      <c r="B165" s="487">
        <v>0</v>
      </c>
      <c r="C165" s="453">
        <v>1</v>
      </c>
      <c r="D165" s="487">
        <v>0</v>
      </c>
      <c r="E165" s="453">
        <v>0</v>
      </c>
      <c r="F165" s="487">
        <v>0</v>
      </c>
      <c r="G165" s="453">
        <v>1</v>
      </c>
      <c r="H165" s="487">
        <v>0</v>
      </c>
      <c r="I165" s="453">
        <v>0</v>
      </c>
      <c r="J165" s="487">
        <v>0</v>
      </c>
      <c r="K165" s="453">
        <v>0</v>
      </c>
      <c r="L165" s="487">
        <v>0</v>
      </c>
      <c r="M165" s="453">
        <v>0</v>
      </c>
      <c r="N165" s="487">
        <v>0</v>
      </c>
      <c r="O165" s="453">
        <v>0</v>
      </c>
      <c r="P165" s="487">
        <v>0</v>
      </c>
      <c r="Q165" s="453">
        <v>2</v>
      </c>
    </row>
    <row r="166" spans="1:17" x14ac:dyDescent="0.25">
      <c r="A166" s="453">
        <v>6470172</v>
      </c>
      <c r="B166" s="487">
        <v>0</v>
      </c>
      <c r="C166" s="453">
        <v>0</v>
      </c>
      <c r="D166" s="487">
        <v>0</v>
      </c>
      <c r="E166" s="453">
        <v>0</v>
      </c>
      <c r="F166" s="487">
        <v>0</v>
      </c>
      <c r="G166" s="453">
        <v>0</v>
      </c>
      <c r="H166" s="487">
        <v>0</v>
      </c>
      <c r="I166" s="453">
        <v>0</v>
      </c>
      <c r="J166" s="487">
        <v>0</v>
      </c>
      <c r="K166" s="453">
        <v>0</v>
      </c>
      <c r="L166" s="487">
        <v>7.1</v>
      </c>
      <c r="M166" s="453">
        <v>1</v>
      </c>
      <c r="N166" s="487">
        <v>0</v>
      </c>
      <c r="O166" s="453">
        <v>0</v>
      </c>
      <c r="P166" s="487">
        <v>7.1</v>
      </c>
      <c r="Q166" s="453">
        <v>1</v>
      </c>
    </row>
    <row r="167" spans="1:17" x14ac:dyDescent="0.25">
      <c r="A167" s="453">
        <v>6470165</v>
      </c>
      <c r="B167" s="487">
        <v>0</v>
      </c>
      <c r="C167" s="453">
        <v>0</v>
      </c>
      <c r="D167" s="487">
        <v>0</v>
      </c>
      <c r="E167" s="453">
        <v>0</v>
      </c>
      <c r="F167" s="487">
        <v>0</v>
      </c>
      <c r="G167" s="453">
        <v>0</v>
      </c>
      <c r="H167" s="487">
        <v>0</v>
      </c>
      <c r="I167" s="453">
        <v>3</v>
      </c>
      <c r="J167" s="487">
        <v>0</v>
      </c>
      <c r="K167" s="453">
        <v>0</v>
      </c>
      <c r="L167" s="487">
        <v>0</v>
      </c>
      <c r="M167" s="453">
        <v>0</v>
      </c>
      <c r="N167" s="487">
        <v>0</v>
      </c>
      <c r="O167" s="453">
        <v>0</v>
      </c>
      <c r="P167" s="487">
        <v>0</v>
      </c>
      <c r="Q167" s="453">
        <v>3</v>
      </c>
    </row>
    <row r="168" spans="1:17" x14ac:dyDescent="0.25">
      <c r="A168" s="453">
        <v>6470049</v>
      </c>
      <c r="B168" s="487">
        <v>0</v>
      </c>
      <c r="C168" s="453">
        <v>1</v>
      </c>
      <c r="D168" s="487">
        <v>0</v>
      </c>
      <c r="E168" s="453">
        <v>1</v>
      </c>
      <c r="F168" s="487">
        <v>0</v>
      </c>
      <c r="G168" s="453">
        <v>3</v>
      </c>
      <c r="H168" s="487">
        <v>0</v>
      </c>
      <c r="I168" s="453">
        <v>1</v>
      </c>
      <c r="J168" s="487">
        <v>0</v>
      </c>
      <c r="K168" s="453">
        <v>5</v>
      </c>
      <c r="L168" s="487">
        <v>0</v>
      </c>
      <c r="M168" s="453">
        <v>2</v>
      </c>
      <c r="N168" s="487">
        <v>0</v>
      </c>
      <c r="O168" s="453">
        <v>2</v>
      </c>
      <c r="P168" s="487">
        <v>0</v>
      </c>
      <c r="Q168" s="453">
        <v>15</v>
      </c>
    </row>
    <row r="169" spans="1:17" x14ac:dyDescent="0.25">
      <c r="A169" s="453">
        <v>6470051</v>
      </c>
      <c r="B169" s="487">
        <v>0</v>
      </c>
      <c r="C169" s="453">
        <v>0</v>
      </c>
      <c r="D169" s="487">
        <v>0</v>
      </c>
      <c r="E169" s="453">
        <v>0</v>
      </c>
      <c r="F169" s="487">
        <v>0</v>
      </c>
      <c r="G169" s="453">
        <v>1</v>
      </c>
      <c r="H169" s="487">
        <v>0</v>
      </c>
      <c r="I169" s="453">
        <v>0</v>
      </c>
      <c r="J169" s="487">
        <v>0</v>
      </c>
      <c r="K169" s="453">
        <v>1</v>
      </c>
      <c r="L169" s="487">
        <v>0</v>
      </c>
      <c r="M169" s="453">
        <v>1</v>
      </c>
      <c r="N169" s="487">
        <v>0</v>
      </c>
      <c r="O169" s="453">
        <v>0</v>
      </c>
      <c r="P169" s="487">
        <v>0</v>
      </c>
      <c r="Q169" s="453">
        <v>3</v>
      </c>
    </row>
    <row r="170" spans="1:17" x14ac:dyDescent="0.25">
      <c r="A170" s="453">
        <v>6470052</v>
      </c>
      <c r="B170" s="487">
        <v>0</v>
      </c>
      <c r="C170" s="453">
        <v>0</v>
      </c>
      <c r="D170" s="487">
        <v>0</v>
      </c>
      <c r="E170" s="453">
        <v>1</v>
      </c>
      <c r="F170" s="487">
        <v>0</v>
      </c>
      <c r="G170" s="453">
        <v>1</v>
      </c>
      <c r="H170" s="487">
        <v>0</v>
      </c>
      <c r="I170" s="453">
        <v>1</v>
      </c>
      <c r="J170" s="487">
        <v>0</v>
      </c>
      <c r="K170" s="453">
        <v>3</v>
      </c>
      <c r="L170" s="487">
        <v>0</v>
      </c>
      <c r="M170" s="453">
        <v>1</v>
      </c>
      <c r="N170" s="487">
        <v>0</v>
      </c>
      <c r="O170" s="453">
        <v>0</v>
      </c>
      <c r="P170" s="487">
        <v>0</v>
      </c>
      <c r="Q170" s="453">
        <v>7</v>
      </c>
    </row>
    <row r="171" spans="1:17" x14ac:dyDescent="0.25">
      <c r="A171" s="453">
        <v>6470177</v>
      </c>
      <c r="B171" s="487">
        <v>14.95</v>
      </c>
      <c r="C171" s="453">
        <v>5</v>
      </c>
      <c r="D171" s="487">
        <v>3.55</v>
      </c>
      <c r="E171" s="453">
        <v>1</v>
      </c>
      <c r="F171" s="487">
        <v>2.99</v>
      </c>
      <c r="G171" s="453">
        <v>1</v>
      </c>
      <c r="H171" s="487">
        <v>5.98</v>
      </c>
      <c r="I171" s="453">
        <v>2</v>
      </c>
      <c r="J171" s="487">
        <v>14.95</v>
      </c>
      <c r="K171" s="453">
        <v>5</v>
      </c>
      <c r="L171" s="487">
        <v>9.5299999999999994</v>
      </c>
      <c r="M171" s="453">
        <v>3</v>
      </c>
      <c r="N171" s="487">
        <v>0</v>
      </c>
      <c r="O171" s="453">
        <v>0</v>
      </c>
      <c r="P171" s="487">
        <v>51.95</v>
      </c>
      <c r="Q171" s="453">
        <v>17</v>
      </c>
    </row>
    <row r="172" spans="1:17" x14ac:dyDescent="0.25">
      <c r="A172" s="453">
        <v>6470009</v>
      </c>
      <c r="B172" s="487">
        <v>0</v>
      </c>
      <c r="C172" s="453">
        <v>0</v>
      </c>
      <c r="D172" s="487">
        <v>0</v>
      </c>
      <c r="E172" s="453">
        <v>0</v>
      </c>
      <c r="F172" s="487">
        <v>0</v>
      </c>
      <c r="G172" s="453">
        <v>0</v>
      </c>
      <c r="H172" s="487">
        <v>0</v>
      </c>
      <c r="I172" s="453">
        <v>0</v>
      </c>
      <c r="J172" s="487">
        <v>2.4900000000000002</v>
      </c>
      <c r="K172" s="453">
        <v>1</v>
      </c>
      <c r="L172" s="487">
        <v>0</v>
      </c>
      <c r="M172" s="453">
        <v>0</v>
      </c>
      <c r="N172" s="487">
        <v>0</v>
      </c>
      <c r="O172" s="453">
        <v>0</v>
      </c>
      <c r="P172" s="487">
        <v>2.4900000000000002</v>
      </c>
      <c r="Q172" s="453">
        <v>1</v>
      </c>
    </row>
    <row r="173" spans="1:17" x14ac:dyDescent="0.25">
      <c r="A173" s="453">
        <v>6470054</v>
      </c>
      <c r="B173" s="487">
        <v>0</v>
      </c>
      <c r="C173" s="453">
        <v>0</v>
      </c>
      <c r="D173" s="487">
        <v>0</v>
      </c>
      <c r="E173" s="453">
        <v>0</v>
      </c>
      <c r="F173" s="487">
        <v>0</v>
      </c>
      <c r="G173" s="453">
        <v>1</v>
      </c>
      <c r="H173" s="487">
        <v>0</v>
      </c>
      <c r="I173" s="453">
        <v>0</v>
      </c>
      <c r="J173" s="487">
        <v>0</v>
      </c>
      <c r="K173" s="453">
        <v>1</v>
      </c>
      <c r="L173" s="487">
        <v>0</v>
      </c>
      <c r="M173" s="453">
        <v>0</v>
      </c>
      <c r="N173" s="487">
        <v>0</v>
      </c>
      <c r="O173" s="453">
        <v>1</v>
      </c>
      <c r="P173" s="487">
        <v>0</v>
      </c>
      <c r="Q173" s="453">
        <v>3</v>
      </c>
    </row>
    <row r="174" spans="1:17" x14ac:dyDescent="0.25">
      <c r="A174" s="453">
        <v>6460338</v>
      </c>
      <c r="B174" s="487">
        <v>0</v>
      </c>
      <c r="C174" s="453">
        <v>0</v>
      </c>
      <c r="D174" s="487">
        <v>0</v>
      </c>
      <c r="E174" s="453">
        <v>0</v>
      </c>
      <c r="F174" s="487">
        <v>0</v>
      </c>
      <c r="G174" s="453">
        <v>2</v>
      </c>
      <c r="H174" s="487">
        <v>0</v>
      </c>
      <c r="I174" s="453">
        <v>0</v>
      </c>
      <c r="J174" s="487">
        <v>0</v>
      </c>
      <c r="K174" s="453">
        <v>6</v>
      </c>
      <c r="L174" s="487">
        <v>0</v>
      </c>
      <c r="M174" s="453">
        <v>3</v>
      </c>
      <c r="N174" s="487">
        <v>0</v>
      </c>
      <c r="O174" s="453">
        <v>3</v>
      </c>
      <c r="P174" s="487">
        <v>0</v>
      </c>
      <c r="Q174" s="453">
        <v>14</v>
      </c>
    </row>
    <row r="175" spans="1:17" x14ac:dyDescent="0.25">
      <c r="A175" s="453">
        <v>6470171</v>
      </c>
      <c r="B175" s="487">
        <v>0</v>
      </c>
      <c r="C175" s="453">
        <v>0</v>
      </c>
      <c r="D175" s="487">
        <v>5.98</v>
      </c>
      <c r="E175" s="453">
        <v>2</v>
      </c>
      <c r="F175" s="487">
        <v>2.99</v>
      </c>
      <c r="G175" s="453">
        <v>1</v>
      </c>
      <c r="H175" s="487">
        <v>5.98</v>
      </c>
      <c r="I175" s="453">
        <v>2</v>
      </c>
      <c r="J175" s="487">
        <v>0</v>
      </c>
      <c r="K175" s="453">
        <v>0</v>
      </c>
      <c r="L175" s="487">
        <v>3.29</v>
      </c>
      <c r="M175" s="453">
        <v>1</v>
      </c>
      <c r="N175" s="487">
        <v>2.99</v>
      </c>
      <c r="O175" s="453">
        <v>1</v>
      </c>
      <c r="P175" s="487">
        <v>21.230000000000004</v>
      </c>
      <c r="Q175" s="453">
        <v>7</v>
      </c>
    </row>
    <row r="176" spans="1:17" x14ac:dyDescent="0.25">
      <c r="A176" s="453">
        <v>6470176</v>
      </c>
      <c r="B176" s="487">
        <v>0</v>
      </c>
      <c r="C176" s="453">
        <v>0</v>
      </c>
      <c r="D176" s="487">
        <v>46.6</v>
      </c>
      <c r="E176" s="453">
        <v>5</v>
      </c>
      <c r="F176" s="487">
        <v>0</v>
      </c>
      <c r="G176" s="453">
        <v>0</v>
      </c>
      <c r="H176" s="487">
        <v>25.47</v>
      </c>
      <c r="I176" s="453">
        <v>3</v>
      </c>
      <c r="J176" s="487">
        <v>44.05</v>
      </c>
      <c r="K176" s="453">
        <v>5</v>
      </c>
      <c r="L176" s="487">
        <v>33.96</v>
      </c>
      <c r="M176" s="453">
        <v>4</v>
      </c>
      <c r="N176" s="487">
        <v>42.45</v>
      </c>
      <c r="O176" s="453">
        <v>5</v>
      </c>
      <c r="P176" s="487">
        <v>192.52999999999997</v>
      </c>
      <c r="Q176" s="453">
        <v>22</v>
      </c>
    </row>
    <row r="177" spans="1:17" x14ac:dyDescent="0.25">
      <c r="A177" s="453">
        <v>6470178</v>
      </c>
      <c r="B177" s="487">
        <v>3.29</v>
      </c>
      <c r="C177" s="453">
        <v>1</v>
      </c>
      <c r="D177" s="487">
        <v>12.56</v>
      </c>
      <c r="E177" s="453">
        <v>4</v>
      </c>
      <c r="F177" s="487">
        <v>5.98</v>
      </c>
      <c r="G177" s="453">
        <v>2</v>
      </c>
      <c r="H177" s="487">
        <v>0</v>
      </c>
      <c r="I177" s="453">
        <v>0</v>
      </c>
      <c r="J177" s="487">
        <v>17.940000000000001</v>
      </c>
      <c r="K177" s="453">
        <v>6</v>
      </c>
      <c r="L177" s="487">
        <v>3.29</v>
      </c>
      <c r="M177" s="453">
        <v>1</v>
      </c>
      <c r="N177" s="487">
        <v>12.86</v>
      </c>
      <c r="O177" s="453">
        <v>4</v>
      </c>
      <c r="P177" s="487">
        <v>55.92</v>
      </c>
      <c r="Q177" s="453">
        <v>18</v>
      </c>
    </row>
    <row r="178" spans="1:17" x14ac:dyDescent="0.25">
      <c r="A178" s="453">
        <v>6460082</v>
      </c>
      <c r="B178" s="487">
        <v>0</v>
      </c>
      <c r="C178" s="453">
        <v>2</v>
      </c>
      <c r="D178" s="487">
        <v>0</v>
      </c>
      <c r="E178" s="453">
        <v>3</v>
      </c>
      <c r="F178" s="487">
        <v>0</v>
      </c>
      <c r="G178" s="453">
        <v>0</v>
      </c>
      <c r="H178" s="487">
        <v>0</v>
      </c>
      <c r="I178" s="453">
        <v>0</v>
      </c>
      <c r="J178" s="487">
        <v>0</v>
      </c>
      <c r="K178" s="453">
        <v>7</v>
      </c>
      <c r="L178" s="487">
        <v>0</v>
      </c>
      <c r="M178" s="453">
        <v>13</v>
      </c>
      <c r="N178" s="487">
        <v>0</v>
      </c>
      <c r="O178" s="453">
        <v>8</v>
      </c>
      <c r="P178" s="487">
        <v>0</v>
      </c>
      <c r="Q178" s="453">
        <v>33</v>
      </c>
    </row>
    <row r="179" spans="1:17" x14ac:dyDescent="0.25">
      <c r="A179" s="453">
        <v>6460337</v>
      </c>
      <c r="B179" s="487">
        <v>0</v>
      </c>
      <c r="C179" s="453">
        <v>0</v>
      </c>
      <c r="D179" s="487">
        <v>0</v>
      </c>
      <c r="E179" s="453">
        <v>5</v>
      </c>
      <c r="F179" s="487">
        <v>0</v>
      </c>
      <c r="G179" s="453">
        <v>0</v>
      </c>
      <c r="H179" s="487">
        <v>0</v>
      </c>
      <c r="I179" s="453">
        <v>0</v>
      </c>
      <c r="J179" s="487">
        <v>0</v>
      </c>
      <c r="K179" s="453">
        <v>2</v>
      </c>
      <c r="L179" s="487">
        <v>0</v>
      </c>
      <c r="M179" s="453">
        <v>1</v>
      </c>
      <c r="N179" s="487">
        <v>0</v>
      </c>
      <c r="O179" s="453">
        <v>7</v>
      </c>
      <c r="P179" s="487">
        <v>0</v>
      </c>
      <c r="Q179" s="453">
        <v>15</v>
      </c>
    </row>
    <row r="180" spans="1:17" x14ac:dyDescent="0.25">
      <c r="A180" s="453">
        <v>6460017</v>
      </c>
      <c r="B180" s="487">
        <v>0</v>
      </c>
      <c r="C180" s="453">
        <v>1</v>
      </c>
      <c r="D180" s="487">
        <v>0</v>
      </c>
      <c r="E180" s="453">
        <v>0</v>
      </c>
      <c r="F180" s="487">
        <v>0</v>
      </c>
      <c r="G180" s="453">
        <v>0</v>
      </c>
      <c r="H180" s="487">
        <v>0</v>
      </c>
      <c r="I180" s="453">
        <v>0</v>
      </c>
      <c r="J180" s="487">
        <v>0</v>
      </c>
      <c r="K180" s="453">
        <v>0</v>
      </c>
      <c r="L180" s="487">
        <v>0</v>
      </c>
      <c r="M180" s="453">
        <v>0</v>
      </c>
      <c r="N180" s="487">
        <v>0</v>
      </c>
      <c r="O180" s="453">
        <v>0</v>
      </c>
      <c r="P180" s="487">
        <v>0</v>
      </c>
      <c r="Q180" s="453">
        <v>1</v>
      </c>
    </row>
    <row r="181" spans="1:17" x14ac:dyDescent="0.25">
      <c r="A181" s="453">
        <v>6460083</v>
      </c>
      <c r="B181" s="487">
        <v>0</v>
      </c>
      <c r="C181" s="453">
        <v>0</v>
      </c>
      <c r="D181" s="487">
        <v>0</v>
      </c>
      <c r="E181" s="453">
        <v>4</v>
      </c>
      <c r="F181" s="487">
        <v>0</v>
      </c>
      <c r="G181" s="453">
        <v>2</v>
      </c>
      <c r="H181" s="487">
        <v>0</v>
      </c>
      <c r="I181" s="453">
        <v>2</v>
      </c>
      <c r="J181" s="487">
        <v>0</v>
      </c>
      <c r="K181" s="453">
        <v>6</v>
      </c>
      <c r="L181" s="487">
        <v>0</v>
      </c>
      <c r="M181" s="453">
        <v>4</v>
      </c>
      <c r="N181" s="487">
        <v>0</v>
      </c>
      <c r="O181" s="453">
        <v>10</v>
      </c>
      <c r="P181" s="487">
        <v>0</v>
      </c>
      <c r="Q181" s="453">
        <v>28</v>
      </c>
    </row>
    <row r="182" spans="1:17" x14ac:dyDescent="0.25">
      <c r="A182" s="453">
        <v>6470090</v>
      </c>
      <c r="B182" s="487">
        <v>0</v>
      </c>
      <c r="C182" s="453">
        <v>0</v>
      </c>
      <c r="D182" s="487">
        <v>0</v>
      </c>
      <c r="E182" s="453">
        <v>0</v>
      </c>
      <c r="F182" s="487">
        <v>7.69</v>
      </c>
      <c r="G182" s="453">
        <v>1</v>
      </c>
      <c r="H182" s="487">
        <v>20.97</v>
      </c>
      <c r="I182" s="453">
        <v>3</v>
      </c>
      <c r="J182" s="487">
        <v>6.99</v>
      </c>
      <c r="K182" s="453">
        <v>1</v>
      </c>
      <c r="L182" s="487">
        <v>28.66</v>
      </c>
      <c r="M182" s="453">
        <v>4</v>
      </c>
      <c r="N182" s="487">
        <v>15.38</v>
      </c>
      <c r="O182" s="453">
        <v>2</v>
      </c>
      <c r="P182" s="487">
        <v>79.69</v>
      </c>
      <c r="Q182" s="453">
        <v>11</v>
      </c>
    </row>
    <row r="183" spans="1:17" x14ac:dyDescent="0.25">
      <c r="A183" s="453">
        <v>6470091</v>
      </c>
      <c r="B183" s="487">
        <v>0</v>
      </c>
      <c r="C183" s="453">
        <v>0</v>
      </c>
      <c r="D183" s="487">
        <v>0</v>
      </c>
      <c r="E183" s="453">
        <v>0</v>
      </c>
      <c r="F183" s="487">
        <v>0</v>
      </c>
      <c r="G183" s="453">
        <v>0</v>
      </c>
      <c r="H183" s="487">
        <v>0</v>
      </c>
      <c r="I183" s="453">
        <v>0</v>
      </c>
      <c r="J183" s="487">
        <v>6.99</v>
      </c>
      <c r="K183" s="453">
        <v>1</v>
      </c>
      <c r="L183" s="487">
        <v>16.600000000000001</v>
      </c>
      <c r="M183" s="453">
        <v>2</v>
      </c>
      <c r="N183" s="487">
        <v>6.99</v>
      </c>
      <c r="O183" s="453">
        <v>1</v>
      </c>
      <c r="P183" s="487">
        <v>30.580000000000005</v>
      </c>
      <c r="Q183" s="453">
        <v>4</v>
      </c>
    </row>
    <row r="184" spans="1:17" x14ac:dyDescent="0.25">
      <c r="A184" s="453">
        <v>6470098</v>
      </c>
      <c r="B184" s="487">
        <v>0</v>
      </c>
      <c r="C184" s="453">
        <v>0</v>
      </c>
      <c r="D184" s="487">
        <v>0</v>
      </c>
      <c r="E184" s="453">
        <v>0</v>
      </c>
      <c r="F184" s="487">
        <v>0</v>
      </c>
      <c r="G184" s="453">
        <v>0</v>
      </c>
      <c r="H184" s="487">
        <v>0</v>
      </c>
      <c r="I184" s="453">
        <v>0</v>
      </c>
      <c r="J184" s="487">
        <v>0</v>
      </c>
      <c r="K184" s="453">
        <v>0</v>
      </c>
      <c r="L184" s="487">
        <v>0</v>
      </c>
      <c r="M184" s="453">
        <v>0</v>
      </c>
      <c r="N184" s="487">
        <v>0</v>
      </c>
      <c r="O184" s="453">
        <v>1</v>
      </c>
      <c r="P184" s="487">
        <v>0</v>
      </c>
      <c r="Q184" s="453">
        <v>1</v>
      </c>
    </row>
    <row r="185" spans="1:17" x14ac:dyDescent="0.25">
      <c r="A185" s="453">
        <v>6470058</v>
      </c>
      <c r="B185" s="487">
        <v>0</v>
      </c>
      <c r="C185" s="453">
        <v>1</v>
      </c>
      <c r="D185" s="487">
        <v>0</v>
      </c>
      <c r="E185" s="453">
        <v>0</v>
      </c>
      <c r="F185" s="487">
        <v>0</v>
      </c>
      <c r="G185" s="453">
        <v>0</v>
      </c>
      <c r="H185" s="487">
        <v>0</v>
      </c>
      <c r="I185" s="453">
        <v>0</v>
      </c>
      <c r="J185" s="487">
        <v>0</v>
      </c>
      <c r="K185" s="453">
        <v>0</v>
      </c>
      <c r="L185" s="487">
        <v>0</v>
      </c>
      <c r="M185" s="453">
        <v>0</v>
      </c>
      <c r="N185" s="487">
        <v>0</v>
      </c>
      <c r="O185" s="453">
        <v>0</v>
      </c>
      <c r="P185" s="487">
        <v>0</v>
      </c>
      <c r="Q185" s="453">
        <v>1</v>
      </c>
    </row>
    <row r="186" spans="1:17" x14ac:dyDescent="0.25">
      <c r="A186" s="800" t="s">
        <v>1939</v>
      </c>
      <c r="B186" s="485">
        <v>135.05000000000001</v>
      </c>
      <c r="C186" s="486">
        <v>16</v>
      </c>
      <c r="D186" s="485">
        <v>160.60000000000002</v>
      </c>
      <c r="E186" s="486">
        <v>21</v>
      </c>
      <c r="F186" s="485">
        <v>52.05</v>
      </c>
      <c r="G186" s="486">
        <v>7</v>
      </c>
      <c r="H186" s="485">
        <v>220.10000000000002</v>
      </c>
      <c r="I186" s="486">
        <v>26</v>
      </c>
      <c r="J186" s="485">
        <v>482.15</v>
      </c>
      <c r="K186" s="486">
        <v>57</v>
      </c>
      <c r="L186" s="485">
        <v>669.35000000000014</v>
      </c>
      <c r="M186" s="486">
        <v>78</v>
      </c>
      <c r="N186" s="485">
        <v>86.550000000000011</v>
      </c>
      <c r="O186" s="486">
        <v>10</v>
      </c>
      <c r="P186" s="485">
        <v>1805.8500000000001</v>
      </c>
      <c r="Q186" s="486">
        <v>215</v>
      </c>
    </row>
    <row r="187" spans="1:17" x14ac:dyDescent="0.25">
      <c r="A187" s="800" t="s">
        <v>1939</v>
      </c>
      <c r="B187" s="485">
        <v>81.5</v>
      </c>
      <c r="C187" s="486">
        <v>10</v>
      </c>
      <c r="D187" s="485">
        <v>70.700000000000017</v>
      </c>
      <c r="E187" s="486">
        <v>10</v>
      </c>
      <c r="F187" s="485">
        <v>25.8</v>
      </c>
      <c r="G187" s="486">
        <v>4</v>
      </c>
      <c r="H187" s="485">
        <v>80.25</v>
      </c>
      <c r="I187" s="486">
        <v>10</v>
      </c>
      <c r="J187" s="485">
        <v>222.95000000000002</v>
      </c>
      <c r="K187" s="486">
        <v>28</v>
      </c>
      <c r="L187" s="485">
        <v>329.70000000000005</v>
      </c>
      <c r="M187" s="486">
        <v>42</v>
      </c>
      <c r="N187" s="485">
        <v>25.25</v>
      </c>
      <c r="O187" s="486">
        <v>4</v>
      </c>
      <c r="P187" s="485">
        <v>836.15000000000009</v>
      </c>
      <c r="Q187" s="486">
        <v>108</v>
      </c>
    </row>
    <row r="188" spans="1:17" x14ac:dyDescent="0.25">
      <c r="A188" s="453">
        <v>6520011</v>
      </c>
      <c r="B188" s="487">
        <v>7.4</v>
      </c>
      <c r="C188" s="453">
        <v>1</v>
      </c>
      <c r="D188" s="487">
        <v>7.4</v>
      </c>
      <c r="E188" s="453">
        <v>1</v>
      </c>
      <c r="F188" s="487">
        <v>0</v>
      </c>
      <c r="G188" s="453">
        <v>0</v>
      </c>
      <c r="H188" s="487">
        <v>7.4</v>
      </c>
      <c r="I188" s="453">
        <v>1</v>
      </c>
      <c r="J188" s="487">
        <v>29.6</v>
      </c>
      <c r="K188" s="453">
        <v>4</v>
      </c>
      <c r="L188" s="487">
        <v>0</v>
      </c>
      <c r="M188" s="453">
        <v>0</v>
      </c>
      <c r="N188" s="487">
        <v>0</v>
      </c>
      <c r="O188" s="453">
        <v>0</v>
      </c>
      <c r="P188" s="487">
        <v>51.800000000000004</v>
      </c>
      <c r="Q188" s="453">
        <v>7</v>
      </c>
    </row>
    <row r="189" spans="1:17" x14ac:dyDescent="0.25">
      <c r="A189" s="453">
        <v>6520023</v>
      </c>
      <c r="B189" s="487">
        <v>29.6</v>
      </c>
      <c r="C189" s="453">
        <v>4</v>
      </c>
      <c r="D189" s="487">
        <v>14.8</v>
      </c>
      <c r="E189" s="453">
        <v>2</v>
      </c>
      <c r="F189" s="487">
        <v>0</v>
      </c>
      <c r="G189" s="453">
        <v>0</v>
      </c>
      <c r="H189" s="487">
        <v>0</v>
      </c>
      <c r="I189" s="453">
        <v>0</v>
      </c>
      <c r="J189" s="487">
        <v>14.8</v>
      </c>
      <c r="K189" s="453">
        <v>2</v>
      </c>
      <c r="L189" s="487">
        <v>0</v>
      </c>
      <c r="M189" s="453">
        <v>0</v>
      </c>
      <c r="N189" s="487">
        <v>0</v>
      </c>
      <c r="O189" s="453">
        <v>0</v>
      </c>
      <c r="P189" s="487">
        <v>59.2</v>
      </c>
      <c r="Q189" s="453">
        <v>8</v>
      </c>
    </row>
    <row r="190" spans="1:17" x14ac:dyDescent="0.25">
      <c r="A190" s="453">
        <v>6520020</v>
      </c>
      <c r="B190" s="487">
        <v>0</v>
      </c>
      <c r="C190" s="453">
        <v>0</v>
      </c>
      <c r="D190" s="487">
        <v>0</v>
      </c>
      <c r="E190" s="453">
        <v>0</v>
      </c>
      <c r="F190" s="487">
        <v>0</v>
      </c>
      <c r="G190" s="453">
        <v>0</v>
      </c>
      <c r="H190" s="487">
        <v>0</v>
      </c>
      <c r="I190" s="453">
        <v>0</v>
      </c>
      <c r="J190" s="487">
        <v>0</v>
      </c>
      <c r="K190" s="453">
        <v>0</v>
      </c>
      <c r="L190" s="487">
        <v>125.8</v>
      </c>
      <c r="M190" s="453">
        <v>17</v>
      </c>
      <c r="N190" s="487">
        <v>0</v>
      </c>
      <c r="O190" s="453">
        <v>0</v>
      </c>
      <c r="P190" s="487">
        <v>125.8</v>
      </c>
      <c r="Q190" s="453">
        <v>17</v>
      </c>
    </row>
    <row r="191" spans="1:17" x14ac:dyDescent="0.25">
      <c r="A191" s="453">
        <v>6520021</v>
      </c>
      <c r="B191" s="487">
        <v>0</v>
      </c>
      <c r="C191" s="453">
        <v>0</v>
      </c>
      <c r="D191" s="487">
        <v>0</v>
      </c>
      <c r="E191" s="453">
        <v>0</v>
      </c>
      <c r="F191" s="487">
        <v>0</v>
      </c>
      <c r="G191" s="453">
        <v>0</v>
      </c>
      <c r="H191" s="487">
        <v>12</v>
      </c>
      <c r="I191" s="453">
        <v>1</v>
      </c>
      <c r="J191" s="487">
        <v>0</v>
      </c>
      <c r="K191" s="453">
        <v>0</v>
      </c>
      <c r="L191" s="487">
        <v>0</v>
      </c>
      <c r="M191" s="453">
        <v>0</v>
      </c>
      <c r="N191" s="487">
        <v>0</v>
      </c>
      <c r="O191" s="453">
        <v>0</v>
      </c>
      <c r="P191" s="487">
        <v>12</v>
      </c>
      <c r="Q191" s="453">
        <v>1</v>
      </c>
    </row>
    <row r="192" spans="1:17" x14ac:dyDescent="0.25">
      <c r="A192" s="453">
        <v>6522003</v>
      </c>
      <c r="B192" s="487">
        <v>17.8</v>
      </c>
      <c r="C192" s="453">
        <v>2</v>
      </c>
      <c r="D192" s="487">
        <v>8.9</v>
      </c>
      <c r="E192" s="453">
        <v>1</v>
      </c>
      <c r="F192" s="487">
        <v>8.9</v>
      </c>
      <c r="G192" s="453">
        <v>1</v>
      </c>
      <c r="H192" s="487">
        <v>0</v>
      </c>
      <c r="I192" s="453">
        <v>0</v>
      </c>
      <c r="J192" s="487">
        <v>53.4</v>
      </c>
      <c r="K192" s="453">
        <v>6</v>
      </c>
      <c r="L192" s="487">
        <v>106.8</v>
      </c>
      <c r="M192" s="453">
        <v>12</v>
      </c>
      <c r="N192" s="487">
        <v>0</v>
      </c>
      <c r="O192" s="453">
        <v>0</v>
      </c>
      <c r="P192" s="487">
        <v>195.8</v>
      </c>
      <c r="Q192" s="453">
        <v>22</v>
      </c>
    </row>
    <row r="193" spans="1:17" x14ac:dyDescent="0.25">
      <c r="A193" s="453">
        <v>6522017</v>
      </c>
      <c r="B193" s="487">
        <v>17.8</v>
      </c>
      <c r="C193" s="453">
        <v>2</v>
      </c>
      <c r="D193" s="487">
        <v>17.8</v>
      </c>
      <c r="E193" s="453">
        <v>2</v>
      </c>
      <c r="F193" s="487">
        <v>0</v>
      </c>
      <c r="G193" s="453">
        <v>0</v>
      </c>
      <c r="H193" s="487">
        <v>35.6</v>
      </c>
      <c r="I193" s="453">
        <v>4</v>
      </c>
      <c r="J193" s="487">
        <v>62.3</v>
      </c>
      <c r="K193" s="453">
        <v>7</v>
      </c>
      <c r="L193" s="487">
        <v>8.9</v>
      </c>
      <c r="M193" s="453">
        <v>1</v>
      </c>
      <c r="N193" s="487">
        <v>0</v>
      </c>
      <c r="O193" s="453">
        <v>0</v>
      </c>
      <c r="P193" s="487">
        <v>142.4</v>
      </c>
      <c r="Q193" s="453">
        <v>16</v>
      </c>
    </row>
    <row r="194" spans="1:17" x14ac:dyDescent="0.25">
      <c r="A194" s="453">
        <v>6522016</v>
      </c>
      <c r="B194" s="487">
        <v>8.9</v>
      </c>
      <c r="C194" s="453">
        <v>1</v>
      </c>
      <c r="D194" s="487">
        <v>0</v>
      </c>
      <c r="E194" s="453">
        <v>0</v>
      </c>
      <c r="F194" s="487">
        <v>0</v>
      </c>
      <c r="G194" s="453">
        <v>0</v>
      </c>
      <c r="H194" s="487">
        <v>8.9</v>
      </c>
      <c r="I194" s="453">
        <v>1</v>
      </c>
      <c r="J194" s="487">
        <v>35.6</v>
      </c>
      <c r="K194" s="453">
        <v>4</v>
      </c>
      <c r="L194" s="487">
        <v>17.8</v>
      </c>
      <c r="M194" s="453">
        <v>2</v>
      </c>
      <c r="N194" s="487">
        <v>8.9</v>
      </c>
      <c r="O194" s="453">
        <v>1</v>
      </c>
      <c r="P194" s="487">
        <v>80.100000000000009</v>
      </c>
      <c r="Q194" s="453">
        <v>9</v>
      </c>
    </row>
    <row r="195" spans="1:17" x14ac:dyDescent="0.25">
      <c r="A195" s="453">
        <v>6520587</v>
      </c>
      <c r="B195" s="487">
        <v>0</v>
      </c>
      <c r="C195" s="453">
        <v>0</v>
      </c>
      <c r="D195" s="487">
        <v>0</v>
      </c>
      <c r="E195" s="453">
        <v>0</v>
      </c>
      <c r="F195" s="487">
        <v>0</v>
      </c>
      <c r="G195" s="453">
        <v>0</v>
      </c>
      <c r="H195" s="487">
        <v>0</v>
      </c>
      <c r="I195" s="453">
        <v>0</v>
      </c>
      <c r="J195" s="487">
        <v>0</v>
      </c>
      <c r="K195" s="453">
        <v>0</v>
      </c>
      <c r="L195" s="487">
        <v>20.8</v>
      </c>
      <c r="M195" s="453">
        <v>1</v>
      </c>
      <c r="N195" s="487">
        <v>0</v>
      </c>
      <c r="O195" s="453">
        <v>0</v>
      </c>
      <c r="P195" s="487">
        <v>20.8</v>
      </c>
      <c r="Q195" s="453">
        <v>1</v>
      </c>
    </row>
    <row r="196" spans="1:17" x14ac:dyDescent="0.25">
      <c r="A196" s="453">
        <v>6520012</v>
      </c>
      <c r="B196" s="487">
        <v>0</v>
      </c>
      <c r="C196" s="453">
        <v>0</v>
      </c>
      <c r="D196" s="487">
        <v>5.45</v>
      </c>
      <c r="E196" s="453">
        <v>1</v>
      </c>
      <c r="F196" s="487">
        <v>0</v>
      </c>
      <c r="G196" s="453">
        <v>0</v>
      </c>
      <c r="H196" s="487">
        <v>0</v>
      </c>
      <c r="I196" s="453">
        <v>0</v>
      </c>
      <c r="J196" s="487">
        <v>0</v>
      </c>
      <c r="K196" s="453">
        <v>0</v>
      </c>
      <c r="L196" s="487">
        <v>16.350000000000001</v>
      </c>
      <c r="M196" s="453">
        <v>3</v>
      </c>
      <c r="N196" s="487">
        <v>5.45</v>
      </c>
      <c r="O196" s="453">
        <v>1</v>
      </c>
      <c r="P196" s="487">
        <v>27.25</v>
      </c>
      <c r="Q196" s="453">
        <v>5</v>
      </c>
    </row>
    <row r="197" spans="1:17" x14ac:dyDescent="0.25">
      <c r="A197" s="453">
        <v>6520025</v>
      </c>
      <c r="B197" s="487">
        <v>0</v>
      </c>
      <c r="C197" s="453">
        <v>0</v>
      </c>
      <c r="D197" s="487">
        <v>0</v>
      </c>
      <c r="E197" s="453">
        <v>0</v>
      </c>
      <c r="F197" s="487">
        <v>0</v>
      </c>
      <c r="G197" s="453">
        <v>0</v>
      </c>
      <c r="H197" s="487">
        <v>0</v>
      </c>
      <c r="I197" s="453">
        <v>0</v>
      </c>
      <c r="J197" s="487">
        <v>0</v>
      </c>
      <c r="K197" s="453">
        <v>0</v>
      </c>
      <c r="L197" s="487">
        <v>5.45</v>
      </c>
      <c r="M197" s="453">
        <v>1</v>
      </c>
      <c r="N197" s="487">
        <v>0</v>
      </c>
      <c r="O197" s="453">
        <v>0</v>
      </c>
      <c r="P197" s="487">
        <v>5.45</v>
      </c>
      <c r="Q197" s="453">
        <v>1</v>
      </c>
    </row>
    <row r="198" spans="1:17" x14ac:dyDescent="0.25">
      <c r="A198" s="453">
        <v>6520026</v>
      </c>
      <c r="B198" s="487">
        <v>0</v>
      </c>
      <c r="C198" s="453">
        <v>0</v>
      </c>
      <c r="D198" s="487">
        <v>16.350000000000001</v>
      </c>
      <c r="E198" s="453">
        <v>3</v>
      </c>
      <c r="F198" s="487">
        <v>10.9</v>
      </c>
      <c r="G198" s="453">
        <v>2</v>
      </c>
      <c r="H198" s="487">
        <v>16.350000000000001</v>
      </c>
      <c r="I198" s="453">
        <v>3</v>
      </c>
      <c r="J198" s="487">
        <v>27.25</v>
      </c>
      <c r="K198" s="453">
        <v>5</v>
      </c>
      <c r="L198" s="487">
        <v>21.8</v>
      </c>
      <c r="M198" s="453">
        <v>4</v>
      </c>
      <c r="N198" s="487">
        <v>10.9</v>
      </c>
      <c r="O198" s="453">
        <v>2</v>
      </c>
      <c r="P198" s="487">
        <v>103.55</v>
      </c>
      <c r="Q198" s="453">
        <v>19</v>
      </c>
    </row>
    <row r="199" spans="1:17" x14ac:dyDescent="0.25">
      <c r="A199" s="453">
        <v>6520091</v>
      </c>
      <c r="B199" s="487">
        <v>0</v>
      </c>
      <c r="C199" s="453">
        <v>0</v>
      </c>
      <c r="D199" s="487">
        <v>0</v>
      </c>
      <c r="E199" s="453">
        <v>0</v>
      </c>
      <c r="F199" s="487">
        <v>6</v>
      </c>
      <c r="G199" s="453">
        <v>1</v>
      </c>
      <c r="H199" s="487">
        <v>0</v>
      </c>
      <c r="I199" s="453">
        <v>0</v>
      </c>
      <c r="J199" s="487">
        <v>0</v>
      </c>
      <c r="K199" s="453">
        <v>0</v>
      </c>
      <c r="L199" s="487">
        <v>6</v>
      </c>
      <c r="M199" s="453">
        <v>1</v>
      </c>
      <c r="N199" s="487">
        <v>0</v>
      </c>
      <c r="O199" s="453">
        <v>0</v>
      </c>
      <c r="P199" s="487">
        <v>12</v>
      </c>
      <c r="Q199" s="453">
        <v>2</v>
      </c>
    </row>
    <row r="200" spans="1:17" x14ac:dyDescent="0.25">
      <c r="A200" s="800" t="s">
        <v>1939</v>
      </c>
      <c r="B200" s="485">
        <v>27.299999999999997</v>
      </c>
      <c r="C200" s="486">
        <v>3</v>
      </c>
      <c r="D200" s="485">
        <v>37.799999999999997</v>
      </c>
      <c r="E200" s="486">
        <v>5</v>
      </c>
      <c r="F200" s="485">
        <v>0</v>
      </c>
      <c r="G200" s="486">
        <v>0</v>
      </c>
      <c r="H200" s="485">
        <v>78.900000000000006</v>
      </c>
      <c r="I200" s="486">
        <v>9</v>
      </c>
      <c r="J200" s="485">
        <v>120.3</v>
      </c>
      <c r="K200" s="486">
        <v>13</v>
      </c>
      <c r="L200" s="485">
        <v>173.6</v>
      </c>
      <c r="M200" s="486">
        <v>17</v>
      </c>
      <c r="N200" s="485">
        <v>26.700000000000003</v>
      </c>
      <c r="O200" s="486">
        <v>2</v>
      </c>
      <c r="P200" s="485">
        <v>464.59999999999997</v>
      </c>
      <c r="Q200" s="486">
        <v>49</v>
      </c>
    </row>
    <row r="201" spans="1:17" x14ac:dyDescent="0.25">
      <c r="A201" s="453">
        <v>6524097</v>
      </c>
      <c r="B201" s="487">
        <v>0</v>
      </c>
      <c r="C201" s="453">
        <v>0</v>
      </c>
      <c r="D201" s="487">
        <v>0</v>
      </c>
      <c r="E201" s="453">
        <v>0</v>
      </c>
      <c r="F201" s="487">
        <v>0</v>
      </c>
      <c r="G201" s="453">
        <v>0</v>
      </c>
      <c r="H201" s="487">
        <v>40.5</v>
      </c>
      <c r="I201" s="453">
        <v>5</v>
      </c>
      <c r="J201" s="487">
        <v>8.1</v>
      </c>
      <c r="K201" s="453">
        <v>1</v>
      </c>
      <c r="L201" s="487">
        <v>16.2</v>
      </c>
      <c r="M201" s="453">
        <v>2</v>
      </c>
      <c r="N201" s="487">
        <v>0</v>
      </c>
      <c r="O201" s="453">
        <v>0</v>
      </c>
      <c r="P201" s="487">
        <v>64.8</v>
      </c>
      <c r="Q201" s="453">
        <v>8</v>
      </c>
    </row>
    <row r="202" spans="1:17" x14ac:dyDescent="0.25">
      <c r="A202" s="453">
        <v>6524066</v>
      </c>
      <c r="B202" s="487">
        <v>0</v>
      </c>
      <c r="C202" s="453">
        <v>0</v>
      </c>
      <c r="D202" s="487">
        <v>0</v>
      </c>
      <c r="E202" s="453">
        <v>0</v>
      </c>
      <c r="F202" s="487">
        <v>0</v>
      </c>
      <c r="G202" s="453">
        <v>0</v>
      </c>
      <c r="H202" s="487">
        <v>0</v>
      </c>
      <c r="I202" s="453">
        <v>0</v>
      </c>
      <c r="J202" s="487">
        <v>0</v>
      </c>
      <c r="K202" s="453">
        <v>0</v>
      </c>
      <c r="L202" s="487">
        <v>32.4</v>
      </c>
      <c r="M202" s="453">
        <v>4</v>
      </c>
      <c r="N202" s="487">
        <v>0</v>
      </c>
      <c r="O202" s="453">
        <v>0</v>
      </c>
      <c r="P202" s="487">
        <v>32.4</v>
      </c>
      <c r="Q202" s="453">
        <v>4</v>
      </c>
    </row>
    <row r="203" spans="1:17" x14ac:dyDescent="0.25">
      <c r="A203" s="453">
        <v>6524049</v>
      </c>
      <c r="B203" s="487">
        <v>8.1</v>
      </c>
      <c r="C203" s="453">
        <v>1</v>
      </c>
      <c r="D203" s="487">
        <v>16.2</v>
      </c>
      <c r="E203" s="453">
        <v>2</v>
      </c>
      <c r="F203" s="487">
        <v>0</v>
      </c>
      <c r="G203" s="453">
        <v>0</v>
      </c>
      <c r="H203" s="487">
        <v>0</v>
      </c>
      <c r="I203" s="453">
        <v>0</v>
      </c>
      <c r="J203" s="487">
        <v>16.2</v>
      </c>
      <c r="K203" s="453">
        <v>2</v>
      </c>
      <c r="L203" s="487">
        <v>16.2</v>
      </c>
      <c r="M203" s="453">
        <v>2</v>
      </c>
      <c r="N203" s="487">
        <v>0</v>
      </c>
      <c r="O203" s="453">
        <v>0</v>
      </c>
      <c r="P203" s="487">
        <v>56.7</v>
      </c>
      <c r="Q203" s="453">
        <v>7</v>
      </c>
    </row>
    <row r="204" spans="1:17" x14ac:dyDescent="0.25">
      <c r="A204" s="453">
        <v>6522055</v>
      </c>
      <c r="B204" s="487">
        <v>0</v>
      </c>
      <c r="C204" s="453">
        <v>0</v>
      </c>
      <c r="D204" s="487">
        <v>0</v>
      </c>
      <c r="E204" s="453">
        <v>0</v>
      </c>
      <c r="F204" s="487">
        <v>0</v>
      </c>
      <c r="G204" s="453">
        <v>0</v>
      </c>
      <c r="H204" s="487">
        <v>9.6</v>
      </c>
      <c r="I204" s="453">
        <v>1</v>
      </c>
      <c r="J204" s="487">
        <v>0</v>
      </c>
      <c r="K204" s="453">
        <v>0</v>
      </c>
      <c r="L204" s="487">
        <v>19.2</v>
      </c>
      <c r="M204" s="453">
        <v>2</v>
      </c>
      <c r="N204" s="487">
        <v>0</v>
      </c>
      <c r="O204" s="453">
        <v>0</v>
      </c>
      <c r="P204" s="487">
        <v>28.799999999999997</v>
      </c>
      <c r="Q204" s="453">
        <v>3</v>
      </c>
    </row>
    <row r="205" spans="1:17" x14ac:dyDescent="0.25">
      <c r="A205" s="453">
        <v>6522040</v>
      </c>
      <c r="B205" s="487">
        <v>0</v>
      </c>
      <c r="C205" s="453">
        <v>0</v>
      </c>
      <c r="D205" s="487">
        <v>0</v>
      </c>
      <c r="E205" s="453">
        <v>0</v>
      </c>
      <c r="F205" s="487">
        <v>0</v>
      </c>
      <c r="G205" s="453">
        <v>0</v>
      </c>
      <c r="H205" s="487">
        <v>28.8</v>
      </c>
      <c r="I205" s="453">
        <v>3</v>
      </c>
      <c r="J205" s="487">
        <v>96</v>
      </c>
      <c r="K205" s="453">
        <v>10</v>
      </c>
      <c r="L205" s="487">
        <v>9.6</v>
      </c>
      <c r="M205" s="453">
        <v>1</v>
      </c>
      <c r="N205" s="487">
        <v>0</v>
      </c>
      <c r="O205" s="453">
        <v>0</v>
      </c>
      <c r="P205" s="487">
        <v>134.4</v>
      </c>
      <c r="Q205" s="453">
        <v>14</v>
      </c>
    </row>
    <row r="206" spans="1:17" x14ac:dyDescent="0.25">
      <c r="A206" s="453">
        <v>6522023</v>
      </c>
      <c r="B206" s="487">
        <v>19.2</v>
      </c>
      <c r="C206" s="453">
        <v>2</v>
      </c>
      <c r="D206" s="487">
        <v>9.6</v>
      </c>
      <c r="E206" s="453">
        <v>1</v>
      </c>
      <c r="F206" s="487">
        <v>0</v>
      </c>
      <c r="G206" s="453">
        <v>0</v>
      </c>
      <c r="H206" s="487">
        <v>0</v>
      </c>
      <c r="I206" s="453">
        <v>0</v>
      </c>
      <c r="J206" s="487">
        <v>0</v>
      </c>
      <c r="K206" s="453">
        <v>0</v>
      </c>
      <c r="L206" s="487">
        <v>38.4</v>
      </c>
      <c r="M206" s="453">
        <v>4</v>
      </c>
      <c r="N206" s="487">
        <v>0</v>
      </c>
      <c r="O206" s="453">
        <v>0</v>
      </c>
      <c r="P206" s="487">
        <v>67.199999999999989</v>
      </c>
      <c r="Q206" s="453">
        <v>7</v>
      </c>
    </row>
    <row r="207" spans="1:17" x14ac:dyDescent="0.25">
      <c r="A207" s="453">
        <v>6524068</v>
      </c>
      <c r="B207" s="487">
        <v>0</v>
      </c>
      <c r="C207" s="453">
        <v>0</v>
      </c>
      <c r="D207" s="487">
        <v>0</v>
      </c>
      <c r="E207" s="453">
        <v>0</v>
      </c>
      <c r="F207" s="487">
        <v>0</v>
      </c>
      <c r="G207" s="453">
        <v>0</v>
      </c>
      <c r="H207" s="487">
        <v>0</v>
      </c>
      <c r="I207" s="453">
        <v>0</v>
      </c>
      <c r="J207" s="487">
        <v>0</v>
      </c>
      <c r="K207" s="453">
        <v>0</v>
      </c>
      <c r="L207" s="487">
        <v>41.6</v>
      </c>
      <c r="M207" s="453">
        <v>2</v>
      </c>
      <c r="N207" s="487">
        <v>0</v>
      </c>
      <c r="O207" s="453">
        <v>0</v>
      </c>
      <c r="P207" s="487">
        <v>41.6</v>
      </c>
      <c r="Q207" s="453">
        <v>2</v>
      </c>
    </row>
    <row r="208" spans="1:17" x14ac:dyDescent="0.25">
      <c r="A208" s="453">
        <v>6524047</v>
      </c>
      <c r="B208" s="487">
        <v>0</v>
      </c>
      <c r="C208" s="453">
        <v>0</v>
      </c>
      <c r="D208" s="487">
        <v>0</v>
      </c>
      <c r="E208" s="453">
        <v>0</v>
      </c>
      <c r="F208" s="487">
        <v>0</v>
      </c>
      <c r="G208" s="453">
        <v>0</v>
      </c>
      <c r="H208" s="487">
        <v>0</v>
      </c>
      <c r="I208" s="453">
        <v>0</v>
      </c>
      <c r="J208" s="487">
        <v>0</v>
      </c>
      <c r="K208" s="453">
        <v>0</v>
      </c>
      <c r="L208" s="487">
        <v>0</v>
      </c>
      <c r="M208" s="453">
        <v>0</v>
      </c>
      <c r="N208" s="487">
        <v>20.8</v>
      </c>
      <c r="O208" s="453">
        <v>1</v>
      </c>
      <c r="P208" s="487">
        <v>20.8</v>
      </c>
      <c r="Q208" s="453">
        <v>1</v>
      </c>
    </row>
    <row r="209" spans="1:17" x14ac:dyDescent="0.25">
      <c r="A209" s="453">
        <v>6524096</v>
      </c>
      <c r="B209" s="487">
        <v>0</v>
      </c>
      <c r="C209" s="453">
        <v>0</v>
      </c>
      <c r="D209" s="487">
        <v>6</v>
      </c>
      <c r="E209" s="453">
        <v>1</v>
      </c>
      <c r="F209" s="487">
        <v>0</v>
      </c>
      <c r="G209" s="453">
        <v>0</v>
      </c>
      <c r="H209" s="487">
        <v>0</v>
      </c>
      <c r="I209" s="453">
        <v>0</v>
      </c>
      <c r="J209" s="487">
        <v>0</v>
      </c>
      <c r="K209" s="453">
        <v>0</v>
      </c>
      <c r="L209" s="487">
        <v>0</v>
      </c>
      <c r="M209" s="453">
        <v>0</v>
      </c>
      <c r="N209" s="487">
        <v>0</v>
      </c>
      <c r="O209" s="453">
        <v>0</v>
      </c>
      <c r="P209" s="487">
        <v>6</v>
      </c>
      <c r="Q209" s="453">
        <v>1</v>
      </c>
    </row>
    <row r="210" spans="1:17" x14ac:dyDescent="0.25">
      <c r="A210" s="453">
        <v>6524304</v>
      </c>
      <c r="B210" s="487">
        <v>0</v>
      </c>
      <c r="C210" s="453">
        <v>0</v>
      </c>
      <c r="D210" s="487">
        <v>0</v>
      </c>
      <c r="E210" s="453">
        <v>0</v>
      </c>
      <c r="F210" s="487">
        <v>0</v>
      </c>
      <c r="G210" s="453">
        <v>0</v>
      </c>
      <c r="H210" s="487">
        <v>0</v>
      </c>
      <c r="I210" s="453">
        <v>0</v>
      </c>
      <c r="J210" s="487">
        <v>0</v>
      </c>
      <c r="K210" s="453">
        <v>0</v>
      </c>
      <c r="L210" s="487">
        <v>0</v>
      </c>
      <c r="M210" s="453">
        <v>0</v>
      </c>
      <c r="N210" s="487">
        <v>5.9</v>
      </c>
      <c r="O210" s="453">
        <v>1</v>
      </c>
      <c r="P210" s="487">
        <v>5.9</v>
      </c>
      <c r="Q210" s="453">
        <v>1</v>
      </c>
    </row>
    <row r="211" spans="1:17" x14ac:dyDescent="0.25">
      <c r="A211" s="453">
        <v>6524050</v>
      </c>
      <c r="B211" s="487">
        <v>0</v>
      </c>
      <c r="C211" s="453">
        <v>0</v>
      </c>
      <c r="D211" s="487">
        <v>6</v>
      </c>
      <c r="E211" s="453">
        <v>1</v>
      </c>
      <c r="F211" s="487">
        <v>0</v>
      </c>
      <c r="G211" s="453">
        <v>0</v>
      </c>
      <c r="H211" s="487">
        <v>0</v>
      </c>
      <c r="I211" s="453">
        <v>0</v>
      </c>
      <c r="J211" s="487">
        <v>0</v>
      </c>
      <c r="K211" s="453">
        <v>0</v>
      </c>
      <c r="L211" s="487">
        <v>0</v>
      </c>
      <c r="M211" s="453">
        <v>0</v>
      </c>
      <c r="N211" s="487">
        <v>0</v>
      </c>
      <c r="O211" s="453">
        <v>0</v>
      </c>
      <c r="P211" s="487">
        <v>6</v>
      </c>
      <c r="Q211" s="453">
        <v>1</v>
      </c>
    </row>
    <row r="212" spans="1:17" x14ac:dyDescent="0.25">
      <c r="A212" s="800" t="s">
        <v>1939</v>
      </c>
      <c r="B212" s="485">
        <v>26.25</v>
      </c>
      <c r="C212" s="486">
        <v>3</v>
      </c>
      <c r="D212" s="485">
        <v>52.1</v>
      </c>
      <c r="E212" s="486">
        <v>6</v>
      </c>
      <c r="F212" s="485">
        <v>26.25</v>
      </c>
      <c r="G212" s="486">
        <v>3</v>
      </c>
      <c r="H212" s="485">
        <v>60.95</v>
      </c>
      <c r="I212" s="486">
        <v>7</v>
      </c>
      <c r="J212" s="485">
        <v>138.9</v>
      </c>
      <c r="K212" s="486">
        <v>16</v>
      </c>
      <c r="L212" s="485">
        <v>166.05</v>
      </c>
      <c r="M212" s="486">
        <v>19</v>
      </c>
      <c r="N212" s="485">
        <v>34.6</v>
      </c>
      <c r="O212" s="486">
        <v>4</v>
      </c>
      <c r="P212" s="485">
        <v>505.10000000000008</v>
      </c>
      <c r="Q212" s="486">
        <v>58</v>
      </c>
    </row>
    <row r="213" spans="1:17" x14ac:dyDescent="0.25">
      <c r="A213" s="453">
        <v>6522035</v>
      </c>
      <c r="B213" s="487">
        <v>0</v>
      </c>
      <c r="C213" s="453">
        <v>0</v>
      </c>
      <c r="D213" s="487">
        <v>34.6</v>
      </c>
      <c r="E213" s="453">
        <v>4</v>
      </c>
      <c r="F213" s="487">
        <v>0</v>
      </c>
      <c r="G213" s="453">
        <v>0</v>
      </c>
      <c r="H213" s="487">
        <v>25.95</v>
      </c>
      <c r="I213" s="453">
        <v>3</v>
      </c>
      <c r="J213" s="487">
        <v>95.15</v>
      </c>
      <c r="K213" s="453">
        <v>11</v>
      </c>
      <c r="L213" s="487">
        <v>17.3</v>
      </c>
      <c r="M213" s="453">
        <v>2</v>
      </c>
      <c r="N213" s="487">
        <v>34.6</v>
      </c>
      <c r="O213" s="453">
        <v>4</v>
      </c>
      <c r="P213" s="487">
        <v>207.6</v>
      </c>
      <c r="Q213" s="453">
        <v>24</v>
      </c>
    </row>
    <row r="214" spans="1:17" x14ac:dyDescent="0.25">
      <c r="A214" s="453">
        <v>6522001</v>
      </c>
      <c r="B214" s="487">
        <v>26.25</v>
      </c>
      <c r="C214" s="453">
        <v>3</v>
      </c>
      <c r="D214" s="487">
        <v>17.5</v>
      </c>
      <c r="E214" s="453">
        <v>2</v>
      </c>
      <c r="F214" s="487">
        <v>26.25</v>
      </c>
      <c r="G214" s="453">
        <v>3</v>
      </c>
      <c r="H214" s="487">
        <v>35</v>
      </c>
      <c r="I214" s="453">
        <v>4</v>
      </c>
      <c r="J214" s="487">
        <v>43.75</v>
      </c>
      <c r="K214" s="453">
        <v>5</v>
      </c>
      <c r="L214" s="487">
        <v>148.75</v>
      </c>
      <c r="M214" s="453">
        <v>17</v>
      </c>
      <c r="N214" s="487">
        <v>0</v>
      </c>
      <c r="O214" s="453">
        <v>0</v>
      </c>
      <c r="P214" s="487">
        <v>297.5</v>
      </c>
      <c r="Q214" s="453">
        <v>34</v>
      </c>
    </row>
    <row r="215" spans="1:17" x14ac:dyDescent="0.25">
      <c r="A215" s="800" t="s">
        <v>1939</v>
      </c>
      <c r="B215" s="485">
        <v>1612.2900000000002</v>
      </c>
      <c r="C215" s="486">
        <v>97</v>
      </c>
      <c r="D215" s="485">
        <v>1431.66</v>
      </c>
      <c r="E215" s="486">
        <v>101</v>
      </c>
      <c r="F215" s="485">
        <v>2223.65</v>
      </c>
      <c r="G215" s="486">
        <v>134</v>
      </c>
      <c r="H215" s="485">
        <v>4013.1199999999985</v>
      </c>
      <c r="I215" s="486">
        <v>427</v>
      </c>
      <c r="J215" s="485">
        <v>4970.5999999999995</v>
      </c>
      <c r="K215" s="486">
        <v>300</v>
      </c>
      <c r="L215" s="485">
        <v>6582.9000000000005</v>
      </c>
      <c r="M215" s="486">
        <v>370</v>
      </c>
      <c r="N215" s="485">
        <v>2749.9199999999996</v>
      </c>
      <c r="O215" s="486">
        <v>175</v>
      </c>
      <c r="P215" s="485">
        <v>23584.14</v>
      </c>
      <c r="Q215" s="486">
        <v>1604</v>
      </c>
    </row>
    <row r="216" spans="1:17" x14ac:dyDescent="0.25">
      <c r="A216" s="800" t="s">
        <v>1939</v>
      </c>
      <c r="B216" s="485">
        <v>14.99</v>
      </c>
      <c r="C216" s="486">
        <v>1</v>
      </c>
      <c r="D216" s="485">
        <v>59.96</v>
      </c>
      <c r="E216" s="486">
        <v>4</v>
      </c>
      <c r="F216" s="485">
        <v>14.99</v>
      </c>
      <c r="G216" s="486">
        <v>1</v>
      </c>
      <c r="H216" s="485">
        <v>31.979999999999997</v>
      </c>
      <c r="I216" s="486">
        <v>2</v>
      </c>
      <c r="J216" s="485">
        <v>138.91</v>
      </c>
      <c r="K216" s="486">
        <v>9</v>
      </c>
      <c r="L216" s="485">
        <v>127.91999999999999</v>
      </c>
      <c r="M216" s="486">
        <v>8</v>
      </c>
      <c r="N216" s="485">
        <v>138.91</v>
      </c>
      <c r="O216" s="486">
        <v>9</v>
      </c>
      <c r="P216" s="485">
        <v>527.66</v>
      </c>
      <c r="Q216" s="486">
        <v>34</v>
      </c>
    </row>
    <row r="217" spans="1:17" x14ac:dyDescent="0.25">
      <c r="A217" s="453">
        <v>6410111</v>
      </c>
      <c r="B217" s="487">
        <v>0</v>
      </c>
      <c r="C217" s="453">
        <v>0</v>
      </c>
      <c r="D217" s="487">
        <v>0</v>
      </c>
      <c r="E217" s="453">
        <v>0</v>
      </c>
      <c r="F217" s="487">
        <v>0</v>
      </c>
      <c r="G217" s="453">
        <v>0</v>
      </c>
      <c r="H217" s="487">
        <v>16.989999999999998</v>
      </c>
      <c r="I217" s="453">
        <v>1</v>
      </c>
      <c r="J217" s="487">
        <v>33.979999999999997</v>
      </c>
      <c r="K217" s="453">
        <v>2</v>
      </c>
      <c r="L217" s="487">
        <v>67.959999999999994</v>
      </c>
      <c r="M217" s="453">
        <v>4</v>
      </c>
      <c r="N217" s="487">
        <v>33.979999999999997</v>
      </c>
      <c r="O217" s="453">
        <v>2</v>
      </c>
      <c r="P217" s="487">
        <v>152.91</v>
      </c>
      <c r="Q217" s="453">
        <v>9</v>
      </c>
    </row>
    <row r="218" spans="1:17" x14ac:dyDescent="0.25">
      <c r="A218" s="453">
        <v>6410018</v>
      </c>
      <c r="B218" s="487">
        <v>14.99</v>
      </c>
      <c r="C218" s="453">
        <v>1</v>
      </c>
      <c r="D218" s="487">
        <v>59.96</v>
      </c>
      <c r="E218" s="453">
        <v>4</v>
      </c>
      <c r="F218" s="487">
        <v>14.99</v>
      </c>
      <c r="G218" s="453">
        <v>1</v>
      </c>
      <c r="H218" s="487">
        <v>14.99</v>
      </c>
      <c r="I218" s="453">
        <v>1</v>
      </c>
      <c r="J218" s="487">
        <v>104.93</v>
      </c>
      <c r="K218" s="453">
        <v>7</v>
      </c>
      <c r="L218" s="487">
        <v>59.96</v>
      </c>
      <c r="M218" s="453">
        <v>4</v>
      </c>
      <c r="N218" s="487">
        <v>104.93</v>
      </c>
      <c r="O218" s="453">
        <v>7</v>
      </c>
      <c r="P218" s="487">
        <v>374.75</v>
      </c>
      <c r="Q218" s="453">
        <v>25</v>
      </c>
    </row>
    <row r="219" spans="1:17" x14ac:dyDescent="0.25">
      <c r="A219" s="800" t="s">
        <v>1939</v>
      </c>
      <c r="B219" s="485">
        <v>37.979999999999997</v>
      </c>
      <c r="C219" s="486">
        <v>2</v>
      </c>
      <c r="D219" s="485">
        <v>37.979999999999997</v>
      </c>
      <c r="E219" s="486">
        <v>2</v>
      </c>
      <c r="F219" s="485">
        <v>37.979999999999997</v>
      </c>
      <c r="G219" s="486">
        <v>2</v>
      </c>
      <c r="H219" s="485">
        <v>0</v>
      </c>
      <c r="I219" s="486">
        <v>0</v>
      </c>
      <c r="J219" s="485">
        <v>37.979999999999997</v>
      </c>
      <c r="K219" s="486">
        <v>2</v>
      </c>
      <c r="L219" s="485">
        <v>56.97</v>
      </c>
      <c r="M219" s="486">
        <v>3</v>
      </c>
      <c r="N219" s="485">
        <v>75.959999999999994</v>
      </c>
      <c r="O219" s="486">
        <v>4</v>
      </c>
      <c r="P219" s="485">
        <v>284.84999999999997</v>
      </c>
      <c r="Q219" s="486">
        <v>15</v>
      </c>
    </row>
    <row r="220" spans="1:17" x14ac:dyDescent="0.25">
      <c r="A220" s="453">
        <v>6420229</v>
      </c>
      <c r="B220" s="487">
        <v>37.979999999999997</v>
      </c>
      <c r="C220" s="453">
        <v>2</v>
      </c>
      <c r="D220" s="487">
        <v>37.979999999999997</v>
      </c>
      <c r="E220" s="453">
        <v>2</v>
      </c>
      <c r="F220" s="487">
        <v>37.979999999999997</v>
      </c>
      <c r="G220" s="453">
        <v>2</v>
      </c>
      <c r="H220" s="487">
        <v>0</v>
      </c>
      <c r="I220" s="453">
        <v>0</v>
      </c>
      <c r="J220" s="487">
        <v>37.979999999999997</v>
      </c>
      <c r="K220" s="453">
        <v>2</v>
      </c>
      <c r="L220" s="487">
        <v>56.97</v>
      </c>
      <c r="M220" s="453">
        <v>3</v>
      </c>
      <c r="N220" s="487">
        <v>37.979999999999997</v>
      </c>
      <c r="O220" s="453">
        <v>2</v>
      </c>
      <c r="P220" s="487">
        <v>246.86999999999998</v>
      </c>
      <c r="Q220" s="453">
        <v>13</v>
      </c>
    </row>
    <row r="221" spans="1:17" x14ac:dyDescent="0.25">
      <c r="A221" s="453">
        <v>6420230</v>
      </c>
      <c r="B221" s="487">
        <v>0</v>
      </c>
      <c r="C221" s="453">
        <v>0</v>
      </c>
      <c r="D221" s="487">
        <v>0</v>
      </c>
      <c r="E221" s="453">
        <v>0</v>
      </c>
      <c r="F221" s="487">
        <v>0</v>
      </c>
      <c r="G221" s="453">
        <v>0</v>
      </c>
      <c r="H221" s="487">
        <v>0</v>
      </c>
      <c r="I221" s="453">
        <v>0</v>
      </c>
      <c r="J221" s="487">
        <v>0</v>
      </c>
      <c r="K221" s="453">
        <v>0</v>
      </c>
      <c r="L221" s="487">
        <v>0</v>
      </c>
      <c r="M221" s="453">
        <v>0</v>
      </c>
      <c r="N221" s="487">
        <v>37.979999999999997</v>
      </c>
      <c r="O221" s="453">
        <v>2</v>
      </c>
      <c r="P221" s="487">
        <v>37.979999999999997</v>
      </c>
      <c r="Q221" s="453">
        <v>2</v>
      </c>
    </row>
    <row r="222" spans="1:17" x14ac:dyDescent="0.25">
      <c r="A222" s="800" t="s">
        <v>1939</v>
      </c>
      <c r="B222" s="485">
        <v>523.26</v>
      </c>
      <c r="C222" s="486">
        <v>33</v>
      </c>
      <c r="D222" s="485">
        <v>182.23</v>
      </c>
      <c r="E222" s="486">
        <v>24</v>
      </c>
      <c r="F222" s="485">
        <v>628.54</v>
      </c>
      <c r="G222" s="486">
        <v>44</v>
      </c>
      <c r="H222" s="485">
        <v>199.92</v>
      </c>
      <c r="I222" s="486">
        <v>99</v>
      </c>
      <c r="J222" s="485">
        <v>1046.68</v>
      </c>
      <c r="K222" s="486">
        <v>73</v>
      </c>
      <c r="L222" s="485">
        <v>1188.22</v>
      </c>
      <c r="M222" s="486">
        <v>72</v>
      </c>
      <c r="N222" s="485">
        <v>500.70000000000005</v>
      </c>
      <c r="O222" s="486">
        <v>35</v>
      </c>
      <c r="P222" s="485">
        <v>4269.55</v>
      </c>
      <c r="Q222" s="486">
        <v>380</v>
      </c>
    </row>
    <row r="223" spans="1:17" x14ac:dyDescent="0.25">
      <c r="A223" s="453">
        <v>6450246</v>
      </c>
      <c r="B223" s="487">
        <v>0</v>
      </c>
      <c r="C223" s="453">
        <v>2</v>
      </c>
      <c r="D223" s="487">
        <v>0</v>
      </c>
      <c r="E223" s="453">
        <v>5</v>
      </c>
      <c r="F223" s="487">
        <v>0</v>
      </c>
      <c r="G223" s="453">
        <v>5</v>
      </c>
      <c r="H223" s="487">
        <v>0</v>
      </c>
      <c r="I223" s="453">
        <v>0</v>
      </c>
      <c r="J223" s="487">
        <v>0</v>
      </c>
      <c r="K223" s="453">
        <v>6</v>
      </c>
      <c r="L223" s="487">
        <v>0</v>
      </c>
      <c r="M223" s="453">
        <v>3</v>
      </c>
      <c r="N223" s="487">
        <v>0</v>
      </c>
      <c r="O223" s="453">
        <v>3</v>
      </c>
      <c r="P223" s="487">
        <v>0</v>
      </c>
      <c r="Q223" s="453">
        <v>24</v>
      </c>
    </row>
    <row r="224" spans="1:17" x14ac:dyDescent="0.25">
      <c r="A224" s="453">
        <v>6450247</v>
      </c>
      <c r="B224" s="487">
        <v>0</v>
      </c>
      <c r="C224" s="453">
        <v>2</v>
      </c>
      <c r="D224" s="487">
        <v>0</v>
      </c>
      <c r="E224" s="453">
        <v>5</v>
      </c>
      <c r="F224" s="487">
        <v>0</v>
      </c>
      <c r="G224" s="453">
        <v>5</v>
      </c>
      <c r="H224" s="487">
        <v>0</v>
      </c>
      <c r="I224" s="453">
        <v>0</v>
      </c>
      <c r="J224" s="487">
        <v>0</v>
      </c>
      <c r="K224" s="453">
        <v>6</v>
      </c>
      <c r="L224" s="487">
        <v>0</v>
      </c>
      <c r="M224" s="453">
        <v>3</v>
      </c>
      <c r="N224" s="487">
        <v>0</v>
      </c>
      <c r="O224" s="453">
        <v>3</v>
      </c>
      <c r="P224" s="487">
        <v>0</v>
      </c>
      <c r="Q224" s="453">
        <v>24</v>
      </c>
    </row>
    <row r="225" spans="1:17" x14ac:dyDescent="0.25">
      <c r="A225" s="453">
        <v>6450211</v>
      </c>
      <c r="B225" s="487">
        <v>0</v>
      </c>
      <c r="C225" s="453">
        <v>0</v>
      </c>
      <c r="D225" s="487">
        <v>0</v>
      </c>
      <c r="E225" s="453">
        <v>0</v>
      </c>
      <c r="F225" s="487">
        <v>17.989999999999998</v>
      </c>
      <c r="G225" s="453">
        <v>1</v>
      </c>
      <c r="H225" s="487">
        <v>0</v>
      </c>
      <c r="I225" s="453">
        <v>0</v>
      </c>
      <c r="J225" s="487">
        <v>17.989999999999998</v>
      </c>
      <c r="K225" s="453">
        <v>1</v>
      </c>
      <c r="L225" s="487">
        <v>71.959999999999994</v>
      </c>
      <c r="M225" s="453">
        <v>4</v>
      </c>
      <c r="N225" s="487">
        <v>17.989999999999998</v>
      </c>
      <c r="O225" s="453">
        <v>1</v>
      </c>
      <c r="P225" s="487">
        <v>125.92999999999999</v>
      </c>
      <c r="Q225" s="453">
        <v>7</v>
      </c>
    </row>
    <row r="226" spans="1:17" x14ac:dyDescent="0.25">
      <c r="A226" s="453">
        <v>6450248</v>
      </c>
      <c r="B226" s="487">
        <v>0</v>
      </c>
      <c r="C226" s="453">
        <v>2</v>
      </c>
      <c r="D226" s="487">
        <v>0</v>
      </c>
      <c r="E226" s="453">
        <v>5</v>
      </c>
      <c r="F226" s="487">
        <v>0</v>
      </c>
      <c r="G226" s="453">
        <v>5</v>
      </c>
      <c r="H226" s="487">
        <v>0</v>
      </c>
      <c r="I226" s="453">
        <v>0</v>
      </c>
      <c r="J226" s="487">
        <v>0</v>
      </c>
      <c r="K226" s="453">
        <v>6</v>
      </c>
      <c r="L226" s="487">
        <v>0</v>
      </c>
      <c r="M226" s="453">
        <v>3</v>
      </c>
      <c r="N226" s="487">
        <v>0</v>
      </c>
      <c r="O226" s="453">
        <v>3</v>
      </c>
      <c r="P226" s="487">
        <v>0</v>
      </c>
      <c r="Q226" s="453">
        <v>24</v>
      </c>
    </row>
    <row r="227" spans="1:17" x14ac:dyDescent="0.25">
      <c r="A227" s="453">
        <v>6440688</v>
      </c>
      <c r="B227" s="487">
        <v>0</v>
      </c>
      <c r="C227" s="453">
        <v>0</v>
      </c>
      <c r="D227" s="487">
        <v>0</v>
      </c>
      <c r="E227" s="453">
        <v>0</v>
      </c>
      <c r="F227" s="487">
        <v>0</v>
      </c>
      <c r="G227" s="453">
        <v>0</v>
      </c>
      <c r="H227" s="487">
        <v>0</v>
      </c>
      <c r="I227" s="453">
        <v>3</v>
      </c>
      <c r="J227" s="487">
        <v>0</v>
      </c>
      <c r="K227" s="453">
        <v>0</v>
      </c>
      <c r="L227" s="487">
        <v>0</v>
      </c>
      <c r="M227" s="453">
        <v>0</v>
      </c>
      <c r="N227" s="487">
        <v>0</v>
      </c>
      <c r="O227" s="453">
        <v>0</v>
      </c>
      <c r="P227" s="487">
        <v>0</v>
      </c>
      <c r="Q227" s="453">
        <v>3</v>
      </c>
    </row>
    <row r="228" spans="1:17" x14ac:dyDescent="0.25">
      <c r="A228" s="453">
        <v>6450255</v>
      </c>
      <c r="B228" s="487">
        <v>0</v>
      </c>
      <c r="C228" s="453">
        <v>0</v>
      </c>
      <c r="D228" s="487">
        <v>5</v>
      </c>
      <c r="E228" s="453">
        <v>1</v>
      </c>
      <c r="F228" s="487">
        <v>0</v>
      </c>
      <c r="G228" s="453">
        <v>0</v>
      </c>
      <c r="H228" s="487">
        <v>0</v>
      </c>
      <c r="I228" s="453">
        <v>0</v>
      </c>
      <c r="J228" s="487">
        <v>5</v>
      </c>
      <c r="K228" s="453">
        <v>1</v>
      </c>
      <c r="L228" s="487">
        <v>0</v>
      </c>
      <c r="M228" s="453">
        <v>0</v>
      </c>
      <c r="N228" s="487">
        <v>5</v>
      </c>
      <c r="O228" s="453">
        <v>1</v>
      </c>
      <c r="P228" s="487">
        <v>15</v>
      </c>
      <c r="Q228" s="453">
        <v>3</v>
      </c>
    </row>
    <row r="229" spans="1:17" x14ac:dyDescent="0.25">
      <c r="A229" s="453">
        <v>6450005</v>
      </c>
      <c r="B229" s="487">
        <v>99.96</v>
      </c>
      <c r="C229" s="453">
        <v>4</v>
      </c>
      <c r="D229" s="487">
        <v>74.97</v>
      </c>
      <c r="E229" s="453">
        <v>3</v>
      </c>
      <c r="F229" s="487">
        <v>224.91</v>
      </c>
      <c r="G229" s="453">
        <v>9</v>
      </c>
      <c r="H229" s="487">
        <v>199.92</v>
      </c>
      <c r="I229" s="453">
        <v>8</v>
      </c>
      <c r="J229" s="487">
        <v>699.72</v>
      </c>
      <c r="K229" s="453">
        <v>28</v>
      </c>
      <c r="L229" s="487">
        <v>474.81</v>
      </c>
      <c r="M229" s="453">
        <v>19</v>
      </c>
      <c r="N229" s="487">
        <v>249.9</v>
      </c>
      <c r="O229" s="453">
        <v>10</v>
      </c>
      <c r="P229" s="487">
        <v>2024.19</v>
      </c>
      <c r="Q229" s="453">
        <v>81</v>
      </c>
    </row>
    <row r="230" spans="1:17" x14ac:dyDescent="0.25">
      <c r="A230" s="453">
        <v>6450225</v>
      </c>
      <c r="B230" s="487">
        <v>27.49</v>
      </c>
      <c r="C230" s="453">
        <v>1</v>
      </c>
      <c r="D230" s="487">
        <v>27.49</v>
      </c>
      <c r="E230" s="453">
        <v>1</v>
      </c>
      <c r="F230" s="487">
        <v>0</v>
      </c>
      <c r="G230" s="453">
        <v>0</v>
      </c>
      <c r="H230" s="487">
        <v>0</v>
      </c>
      <c r="I230" s="453">
        <v>0</v>
      </c>
      <c r="J230" s="487">
        <v>24.99</v>
      </c>
      <c r="K230" s="453">
        <v>1</v>
      </c>
      <c r="L230" s="487">
        <v>54.98</v>
      </c>
      <c r="M230" s="453">
        <v>2</v>
      </c>
      <c r="N230" s="487">
        <v>0</v>
      </c>
      <c r="O230" s="453">
        <v>0</v>
      </c>
      <c r="P230" s="487">
        <v>134.94999999999999</v>
      </c>
      <c r="Q230" s="453">
        <v>5</v>
      </c>
    </row>
    <row r="231" spans="1:17" x14ac:dyDescent="0.25">
      <c r="A231" s="453">
        <v>6450243</v>
      </c>
      <c r="B231" s="487">
        <v>24.99</v>
      </c>
      <c r="C231" s="453">
        <v>1</v>
      </c>
      <c r="D231" s="487">
        <v>0</v>
      </c>
      <c r="E231" s="453">
        <v>0</v>
      </c>
      <c r="F231" s="487">
        <v>24.99</v>
      </c>
      <c r="G231" s="453">
        <v>1</v>
      </c>
      <c r="H231" s="487">
        <v>0</v>
      </c>
      <c r="I231" s="453">
        <v>0</v>
      </c>
      <c r="J231" s="487">
        <v>29.69</v>
      </c>
      <c r="K231" s="453">
        <v>1</v>
      </c>
      <c r="L231" s="487">
        <v>74.97</v>
      </c>
      <c r="M231" s="453">
        <v>3</v>
      </c>
      <c r="N231" s="487">
        <v>29.69</v>
      </c>
      <c r="O231" s="453">
        <v>1</v>
      </c>
      <c r="P231" s="487">
        <v>184.32999999999998</v>
      </c>
      <c r="Q231" s="453">
        <v>7</v>
      </c>
    </row>
    <row r="232" spans="1:17" x14ac:dyDescent="0.25">
      <c r="A232" s="453">
        <v>6450011</v>
      </c>
      <c r="B232" s="487">
        <v>21.99</v>
      </c>
      <c r="C232" s="453">
        <v>1</v>
      </c>
      <c r="D232" s="487">
        <v>0</v>
      </c>
      <c r="E232" s="453">
        <v>0</v>
      </c>
      <c r="F232" s="487">
        <v>87.96</v>
      </c>
      <c r="G232" s="453">
        <v>4</v>
      </c>
      <c r="H232" s="487">
        <v>0</v>
      </c>
      <c r="I232" s="453">
        <v>0</v>
      </c>
      <c r="J232" s="487">
        <v>43.98</v>
      </c>
      <c r="K232" s="453">
        <v>2</v>
      </c>
      <c r="L232" s="487">
        <v>87.96</v>
      </c>
      <c r="M232" s="453">
        <v>4</v>
      </c>
      <c r="N232" s="487">
        <v>0</v>
      </c>
      <c r="O232" s="453">
        <v>0</v>
      </c>
      <c r="P232" s="487">
        <v>241.89</v>
      </c>
      <c r="Q232" s="453">
        <v>11</v>
      </c>
    </row>
    <row r="233" spans="1:17" x14ac:dyDescent="0.25">
      <c r="A233" s="453">
        <v>6450242</v>
      </c>
      <c r="B233" s="487">
        <v>299.85000000000002</v>
      </c>
      <c r="C233" s="453">
        <v>15</v>
      </c>
      <c r="D233" s="487">
        <v>0</v>
      </c>
      <c r="E233" s="453">
        <v>0</v>
      </c>
      <c r="F233" s="487">
        <v>0</v>
      </c>
      <c r="G233" s="453">
        <v>0</v>
      </c>
      <c r="H233" s="487">
        <v>0</v>
      </c>
      <c r="I233" s="453">
        <v>0</v>
      </c>
      <c r="J233" s="487">
        <v>0</v>
      </c>
      <c r="K233" s="453">
        <v>0</v>
      </c>
      <c r="L233" s="487">
        <v>0</v>
      </c>
      <c r="M233" s="453">
        <v>0</v>
      </c>
      <c r="N233" s="487">
        <v>0</v>
      </c>
      <c r="O233" s="453">
        <v>0</v>
      </c>
      <c r="P233" s="487">
        <v>299.85000000000002</v>
      </c>
      <c r="Q233" s="453">
        <v>15</v>
      </c>
    </row>
    <row r="234" spans="1:17" x14ac:dyDescent="0.25">
      <c r="A234" s="453">
        <v>6450004</v>
      </c>
      <c r="B234" s="487">
        <v>0</v>
      </c>
      <c r="C234" s="453">
        <v>0</v>
      </c>
      <c r="D234" s="487">
        <v>24.79</v>
      </c>
      <c r="E234" s="453">
        <v>1</v>
      </c>
      <c r="F234" s="487">
        <v>123.95</v>
      </c>
      <c r="G234" s="453">
        <v>5</v>
      </c>
      <c r="H234" s="487">
        <v>0</v>
      </c>
      <c r="I234" s="453">
        <v>0</v>
      </c>
      <c r="J234" s="487">
        <v>0</v>
      </c>
      <c r="K234" s="453">
        <v>0</v>
      </c>
      <c r="L234" s="487">
        <v>99.16</v>
      </c>
      <c r="M234" s="453">
        <v>4</v>
      </c>
      <c r="N234" s="487">
        <v>99.16</v>
      </c>
      <c r="O234" s="453">
        <v>4</v>
      </c>
      <c r="P234" s="487">
        <v>347.06</v>
      </c>
      <c r="Q234" s="453">
        <v>14</v>
      </c>
    </row>
    <row r="235" spans="1:17" x14ac:dyDescent="0.25">
      <c r="A235" s="453">
        <v>6440451</v>
      </c>
      <c r="B235" s="487">
        <v>23.99</v>
      </c>
      <c r="C235" s="453">
        <v>1</v>
      </c>
      <c r="D235" s="487">
        <v>0</v>
      </c>
      <c r="E235" s="453">
        <v>0</v>
      </c>
      <c r="F235" s="487">
        <v>95.96</v>
      </c>
      <c r="G235" s="453">
        <v>4</v>
      </c>
      <c r="H235" s="487">
        <v>0</v>
      </c>
      <c r="I235" s="453">
        <v>0</v>
      </c>
      <c r="J235" s="487">
        <v>23.99</v>
      </c>
      <c r="K235" s="453">
        <v>1</v>
      </c>
      <c r="L235" s="487">
        <v>95.96</v>
      </c>
      <c r="M235" s="453">
        <v>4</v>
      </c>
      <c r="N235" s="487">
        <v>23.99</v>
      </c>
      <c r="O235" s="453">
        <v>1</v>
      </c>
      <c r="P235" s="487">
        <v>263.89</v>
      </c>
      <c r="Q235" s="453">
        <v>11</v>
      </c>
    </row>
    <row r="236" spans="1:17" x14ac:dyDescent="0.25">
      <c r="A236" s="453">
        <v>6440452</v>
      </c>
      <c r="B236" s="487">
        <v>0</v>
      </c>
      <c r="C236" s="453">
        <v>0</v>
      </c>
      <c r="D236" s="487">
        <v>0</v>
      </c>
      <c r="E236" s="453">
        <v>0</v>
      </c>
      <c r="F236" s="487">
        <v>52.78</v>
      </c>
      <c r="G236" s="453">
        <v>2</v>
      </c>
      <c r="H236" s="487">
        <v>0</v>
      </c>
      <c r="I236" s="453">
        <v>0</v>
      </c>
      <c r="J236" s="487">
        <v>26.39</v>
      </c>
      <c r="K236" s="453">
        <v>1</v>
      </c>
      <c r="L236" s="487">
        <v>0</v>
      </c>
      <c r="M236" s="453">
        <v>0</v>
      </c>
      <c r="N236" s="487">
        <v>0</v>
      </c>
      <c r="O236" s="453">
        <v>0</v>
      </c>
      <c r="P236" s="487">
        <v>79.17</v>
      </c>
      <c r="Q236" s="453">
        <v>3</v>
      </c>
    </row>
    <row r="237" spans="1:17" x14ac:dyDescent="0.25">
      <c r="A237" s="453">
        <v>6440793</v>
      </c>
      <c r="B237" s="487">
        <v>0</v>
      </c>
      <c r="C237" s="453">
        <v>0</v>
      </c>
      <c r="D237" s="487">
        <v>0</v>
      </c>
      <c r="E237" s="453">
        <v>0</v>
      </c>
      <c r="F237" s="487">
        <v>0</v>
      </c>
      <c r="G237" s="453">
        <v>0</v>
      </c>
      <c r="H237" s="487">
        <v>0</v>
      </c>
      <c r="I237" s="453">
        <v>0</v>
      </c>
      <c r="J237" s="487">
        <v>0</v>
      </c>
      <c r="K237" s="453">
        <v>0</v>
      </c>
      <c r="L237" s="487">
        <v>28.5</v>
      </c>
      <c r="M237" s="453">
        <v>1</v>
      </c>
      <c r="N237" s="487">
        <v>0</v>
      </c>
      <c r="O237" s="453">
        <v>0</v>
      </c>
      <c r="P237" s="487">
        <v>28.5</v>
      </c>
      <c r="Q237" s="453">
        <v>1</v>
      </c>
    </row>
    <row r="238" spans="1:17" x14ac:dyDescent="0.25">
      <c r="A238" s="453">
        <v>6450236</v>
      </c>
      <c r="B238" s="487">
        <v>0</v>
      </c>
      <c r="C238" s="453">
        <v>3</v>
      </c>
      <c r="D238" s="487">
        <v>0</v>
      </c>
      <c r="E238" s="453">
        <v>1</v>
      </c>
      <c r="F238" s="487">
        <v>0</v>
      </c>
      <c r="G238" s="453">
        <v>3</v>
      </c>
      <c r="H238" s="487">
        <v>0</v>
      </c>
      <c r="I238" s="453">
        <v>88</v>
      </c>
      <c r="J238" s="487">
        <v>0</v>
      </c>
      <c r="K238" s="453">
        <v>12</v>
      </c>
      <c r="L238" s="487">
        <v>0</v>
      </c>
      <c r="M238" s="453">
        <v>14</v>
      </c>
      <c r="N238" s="487">
        <v>0</v>
      </c>
      <c r="O238" s="453">
        <v>5</v>
      </c>
      <c r="P238" s="487">
        <v>0</v>
      </c>
      <c r="Q238" s="453">
        <v>126</v>
      </c>
    </row>
    <row r="239" spans="1:17" x14ac:dyDescent="0.25">
      <c r="A239" s="453">
        <v>6450020</v>
      </c>
      <c r="B239" s="487">
        <v>24.99</v>
      </c>
      <c r="C239" s="453">
        <v>1</v>
      </c>
      <c r="D239" s="487">
        <v>49.98</v>
      </c>
      <c r="E239" s="453">
        <v>2</v>
      </c>
      <c r="F239" s="487">
        <v>0</v>
      </c>
      <c r="G239" s="453">
        <v>0</v>
      </c>
      <c r="H239" s="487">
        <v>0</v>
      </c>
      <c r="I239" s="453">
        <v>0</v>
      </c>
      <c r="J239" s="487">
        <v>149.94</v>
      </c>
      <c r="K239" s="453">
        <v>6</v>
      </c>
      <c r="L239" s="487">
        <v>199.92</v>
      </c>
      <c r="M239" s="453">
        <v>8</v>
      </c>
      <c r="N239" s="487">
        <v>74.97</v>
      </c>
      <c r="O239" s="453">
        <v>3</v>
      </c>
      <c r="P239" s="487">
        <v>499.79999999999995</v>
      </c>
      <c r="Q239" s="453">
        <v>20</v>
      </c>
    </row>
    <row r="240" spans="1:17" x14ac:dyDescent="0.25">
      <c r="A240" s="453">
        <v>6450063</v>
      </c>
      <c r="B240" s="487">
        <v>0</v>
      </c>
      <c r="C240" s="453">
        <v>0</v>
      </c>
      <c r="D240" s="487">
        <v>0</v>
      </c>
      <c r="E240" s="453">
        <v>0</v>
      </c>
      <c r="F240" s="487">
        <v>0</v>
      </c>
      <c r="G240" s="453">
        <v>0</v>
      </c>
      <c r="H240" s="487">
        <v>0</v>
      </c>
      <c r="I240" s="453">
        <v>0</v>
      </c>
      <c r="J240" s="487">
        <v>24.99</v>
      </c>
      <c r="K240" s="453">
        <v>1</v>
      </c>
      <c r="L240" s="487">
        <v>0</v>
      </c>
      <c r="M240" s="453">
        <v>0</v>
      </c>
      <c r="N240" s="487">
        <v>0</v>
      </c>
      <c r="O240" s="453">
        <v>0</v>
      </c>
      <c r="P240" s="487">
        <v>24.99</v>
      </c>
      <c r="Q240" s="453">
        <v>1</v>
      </c>
    </row>
    <row r="241" spans="1:17" x14ac:dyDescent="0.25">
      <c r="A241" s="800" t="s">
        <v>1939</v>
      </c>
      <c r="B241" s="485">
        <v>55.97</v>
      </c>
      <c r="C241" s="486">
        <v>3</v>
      </c>
      <c r="D241" s="485">
        <v>133.93</v>
      </c>
      <c r="E241" s="486">
        <v>7</v>
      </c>
      <c r="F241" s="485">
        <v>89.949999999999989</v>
      </c>
      <c r="G241" s="486">
        <v>5</v>
      </c>
      <c r="H241" s="485">
        <v>95.33</v>
      </c>
      <c r="I241" s="486">
        <v>5</v>
      </c>
      <c r="J241" s="485">
        <v>199.89000000000001</v>
      </c>
      <c r="K241" s="486">
        <v>11</v>
      </c>
      <c r="L241" s="485">
        <v>377.79999999999995</v>
      </c>
      <c r="M241" s="486">
        <v>20</v>
      </c>
      <c r="N241" s="485">
        <v>209.89</v>
      </c>
      <c r="O241" s="486">
        <v>11</v>
      </c>
      <c r="P241" s="485">
        <v>1162.76</v>
      </c>
      <c r="Q241" s="486">
        <v>62</v>
      </c>
    </row>
    <row r="242" spans="1:17" x14ac:dyDescent="0.25">
      <c r="A242" s="453">
        <v>6420247</v>
      </c>
      <c r="B242" s="487">
        <v>0</v>
      </c>
      <c r="C242" s="453">
        <v>0</v>
      </c>
      <c r="D242" s="487">
        <v>0</v>
      </c>
      <c r="E242" s="453">
        <v>0</v>
      </c>
      <c r="F242" s="487">
        <v>13.99</v>
      </c>
      <c r="G242" s="453">
        <v>1</v>
      </c>
      <c r="H242" s="487">
        <v>0</v>
      </c>
      <c r="I242" s="453">
        <v>0</v>
      </c>
      <c r="J242" s="487">
        <v>27.98</v>
      </c>
      <c r="K242" s="453">
        <v>2</v>
      </c>
      <c r="L242" s="487">
        <v>0</v>
      </c>
      <c r="M242" s="453">
        <v>0</v>
      </c>
      <c r="N242" s="487">
        <v>0</v>
      </c>
      <c r="O242" s="453">
        <v>0</v>
      </c>
      <c r="P242" s="487">
        <v>41.97</v>
      </c>
      <c r="Q242" s="453">
        <v>3</v>
      </c>
    </row>
    <row r="243" spans="1:17" x14ac:dyDescent="0.25">
      <c r="A243" s="453">
        <v>6420243</v>
      </c>
      <c r="B243" s="487">
        <v>0</v>
      </c>
      <c r="C243" s="453">
        <v>0</v>
      </c>
      <c r="D243" s="487">
        <v>19.989999999999998</v>
      </c>
      <c r="E243" s="453">
        <v>1</v>
      </c>
      <c r="F243" s="487">
        <v>21.99</v>
      </c>
      <c r="G243" s="453">
        <v>1</v>
      </c>
      <c r="H243" s="487">
        <v>0</v>
      </c>
      <c r="I243" s="453">
        <v>0</v>
      </c>
      <c r="J243" s="487">
        <v>79.959999999999994</v>
      </c>
      <c r="K243" s="453">
        <v>4</v>
      </c>
      <c r="L243" s="487">
        <v>179.91</v>
      </c>
      <c r="M243" s="453">
        <v>9</v>
      </c>
      <c r="N243" s="487">
        <v>79.959999999999994</v>
      </c>
      <c r="O243" s="453">
        <v>4</v>
      </c>
      <c r="P243" s="487">
        <v>381.81</v>
      </c>
      <c r="Q243" s="453">
        <v>19</v>
      </c>
    </row>
    <row r="244" spans="1:17" x14ac:dyDescent="0.25">
      <c r="A244" s="453">
        <v>6420244</v>
      </c>
      <c r="B244" s="487">
        <v>0</v>
      </c>
      <c r="C244" s="453">
        <v>0</v>
      </c>
      <c r="D244" s="487">
        <v>0</v>
      </c>
      <c r="E244" s="453">
        <v>0</v>
      </c>
      <c r="F244" s="487">
        <v>0</v>
      </c>
      <c r="G244" s="453">
        <v>0</v>
      </c>
      <c r="H244" s="487">
        <v>0</v>
      </c>
      <c r="I244" s="453">
        <v>0</v>
      </c>
      <c r="J244" s="487">
        <v>0</v>
      </c>
      <c r="K244" s="453">
        <v>0</v>
      </c>
      <c r="L244" s="487">
        <v>0</v>
      </c>
      <c r="M244" s="453">
        <v>0</v>
      </c>
      <c r="N244" s="487">
        <v>19.989999999999998</v>
      </c>
      <c r="O244" s="453">
        <v>1</v>
      </c>
      <c r="P244" s="487">
        <v>19.989999999999998</v>
      </c>
      <c r="Q244" s="453">
        <v>1</v>
      </c>
    </row>
    <row r="245" spans="1:17" x14ac:dyDescent="0.25">
      <c r="A245" s="453">
        <v>6420250</v>
      </c>
      <c r="B245" s="487">
        <v>0</v>
      </c>
      <c r="C245" s="453">
        <v>0</v>
      </c>
      <c r="D245" s="487">
        <v>35.979999999999997</v>
      </c>
      <c r="E245" s="453">
        <v>2</v>
      </c>
      <c r="F245" s="487">
        <v>53.97</v>
      </c>
      <c r="G245" s="453">
        <v>3</v>
      </c>
      <c r="H245" s="487">
        <v>53.97</v>
      </c>
      <c r="I245" s="453">
        <v>3</v>
      </c>
      <c r="J245" s="487">
        <v>35.979999999999997</v>
      </c>
      <c r="K245" s="453">
        <v>2</v>
      </c>
      <c r="L245" s="487">
        <v>35.979999999999997</v>
      </c>
      <c r="M245" s="453">
        <v>2</v>
      </c>
      <c r="N245" s="487">
        <v>17.989999999999998</v>
      </c>
      <c r="O245" s="453">
        <v>1</v>
      </c>
      <c r="P245" s="487">
        <v>233.86999999999998</v>
      </c>
      <c r="Q245" s="453">
        <v>13</v>
      </c>
    </row>
    <row r="246" spans="1:17" x14ac:dyDescent="0.25">
      <c r="A246" s="453">
        <v>6420251</v>
      </c>
      <c r="B246" s="487">
        <v>0</v>
      </c>
      <c r="C246" s="453">
        <v>0</v>
      </c>
      <c r="D246" s="487">
        <v>0</v>
      </c>
      <c r="E246" s="453">
        <v>0</v>
      </c>
      <c r="F246" s="487">
        <v>0</v>
      </c>
      <c r="G246" s="453">
        <v>0</v>
      </c>
      <c r="H246" s="487">
        <v>0</v>
      </c>
      <c r="I246" s="453">
        <v>0</v>
      </c>
      <c r="J246" s="487">
        <v>0</v>
      </c>
      <c r="K246" s="453">
        <v>0</v>
      </c>
      <c r="L246" s="487">
        <v>0</v>
      </c>
      <c r="M246" s="453">
        <v>0</v>
      </c>
      <c r="N246" s="487">
        <v>17.989999999999998</v>
      </c>
      <c r="O246" s="453">
        <v>1</v>
      </c>
      <c r="P246" s="487">
        <v>17.989999999999998</v>
      </c>
      <c r="Q246" s="453">
        <v>1</v>
      </c>
    </row>
    <row r="247" spans="1:17" x14ac:dyDescent="0.25">
      <c r="A247" s="453">
        <v>6420248</v>
      </c>
      <c r="B247" s="487">
        <v>35.979999999999997</v>
      </c>
      <c r="C247" s="453">
        <v>2</v>
      </c>
      <c r="D247" s="487">
        <v>0</v>
      </c>
      <c r="E247" s="453">
        <v>0</v>
      </c>
      <c r="F247" s="487">
        <v>0</v>
      </c>
      <c r="G247" s="453">
        <v>0</v>
      </c>
      <c r="H247" s="487">
        <v>0</v>
      </c>
      <c r="I247" s="453">
        <v>0</v>
      </c>
      <c r="J247" s="487">
        <v>17.989999999999998</v>
      </c>
      <c r="K247" s="453">
        <v>1</v>
      </c>
      <c r="L247" s="487">
        <v>89.95</v>
      </c>
      <c r="M247" s="453">
        <v>5</v>
      </c>
      <c r="N247" s="487">
        <v>53.97</v>
      </c>
      <c r="O247" s="453">
        <v>3</v>
      </c>
      <c r="P247" s="487">
        <v>197.89000000000001</v>
      </c>
      <c r="Q247" s="453">
        <v>11</v>
      </c>
    </row>
    <row r="248" spans="1:17" x14ac:dyDescent="0.25">
      <c r="A248" s="453">
        <v>6420249</v>
      </c>
      <c r="B248" s="487">
        <v>0</v>
      </c>
      <c r="C248" s="453">
        <v>0</v>
      </c>
      <c r="D248" s="487">
        <v>0</v>
      </c>
      <c r="E248" s="453">
        <v>0</v>
      </c>
      <c r="F248" s="487">
        <v>0</v>
      </c>
      <c r="G248" s="453">
        <v>0</v>
      </c>
      <c r="H248" s="487">
        <v>0</v>
      </c>
      <c r="I248" s="453">
        <v>0</v>
      </c>
      <c r="J248" s="487">
        <v>17.989999999999998</v>
      </c>
      <c r="K248" s="453">
        <v>1</v>
      </c>
      <c r="L248" s="487">
        <v>0</v>
      </c>
      <c r="M248" s="453">
        <v>0</v>
      </c>
      <c r="N248" s="487">
        <v>0</v>
      </c>
      <c r="O248" s="453">
        <v>0</v>
      </c>
      <c r="P248" s="487">
        <v>17.989999999999998</v>
      </c>
      <c r="Q248" s="453">
        <v>1</v>
      </c>
    </row>
    <row r="249" spans="1:17" x14ac:dyDescent="0.25">
      <c r="A249" s="453">
        <v>6420245</v>
      </c>
      <c r="B249" s="487">
        <v>0</v>
      </c>
      <c r="C249" s="453">
        <v>0</v>
      </c>
      <c r="D249" s="487">
        <v>17.989999999999998</v>
      </c>
      <c r="E249" s="453">
        <v>1</v>
      </c>
      <c r="F249" s="487">
        <v>0</v>
      </c>
      <c r="G249" s="453">
        <v>0</v>
      </c>
      <c r="H249" s="487">
        <v>0</v>
      </c>
      <c r="I249" s="453">
        <v>0</v>
      </c>
      <c r="J249" s="487">
        <v>0</v>
      </c>
      <c r="K249" s="453">
        <v>0</v>
      </c>
      <c r="L249" s="487">
        <v>71.959999999999994</v>
      </c>
      <c r="M249" s="453">
        <v>4</v>
      </c>
      <c r="N249" s="487">
        <v>0</v>
      </c>
      <c r="O249" s="453">
        <v>0</v>
      </c>
      <c r="P249" s="487">
        <v>89.949999999999989</v>
      </c>
      <c r="Q249" s="453">
        <v>5</v>
      </c>
    </row>
    <row r="250" spans="1:17" x14ac:dyDescent="0.25">
      <c r="A250" s="453">
        <v>6420246</v>
      </c>
      <c r="B250" s="487">
        <v>0</v>
      </c>
      <c r="C250" s="453">
        <v>0</v>
      </c>
      <c r="D250" s="487">
        <v>0</v>
      </c>
      <c r="E250" s="453">
        <v>0</v>
      </c>
      <c r="F250" s="487">
        <v>0</v>
      </c>
      <c r="G250" s="453">
        <v>0</v>
      </c>
      <c r="H250" s="487">
        <v>21.37</v>
      </c>
      <c r="I250" s="453">
        <v>1</v>
      </c>
      <c r="J250" s="487">
        <v>0</v>
      </c>
      <c r="K250" s="453">
        <v>0</v>
      </c>
      <c r="L250" s="487">
        <v>0</v>
      </c>
      <c r="M250" s="453">
        <v>0</v>
      </c>
      <c r="N250" s="487">
        <v>0</v>
      </c>
      <c r="O250" s="453">
        <v>0</v>
      </c>
      <c r="P250" s="487">
        <v>21.37</v>
      </c>
      <c r="Q250" s="453">
        <v>1</v>
      </c>
    </row>
    <row r="251" spans="1:17" x14ac:dyDescent="0.25">
      <c r="A251" s="453">
        <v>6420241</v>
      </c>
      <c r="B251" s="487">
        <v>19.989999999999998</v>
      </c>
      <c r="C251" s="453">
        <v>1</v>
      </c>
      <c r="D251" s="487">
        <v>39.979999999999997</v>
      </c>
      <c r="E251" s="453">
        <v>2</v>
      </c>
      <c r="F251" s="487">
        <v>0</v>
      </c>
      <c r="G251" s="453">
        <v>0</v>
      </c>
      <c r="H251" s="487">
        <v>19.989999999999998</v>
      </c>
      <c r="I251" s="453">
        <v>1</v>
      </c>
      <c r="J251" s="487">
        <v>19.989999999999998</v>
      </c>
      <c r="K251" s="453">
        <v>1</v>
      </c>
      <c r="L251" s="487">
        <v>0</v>
      </c>
      <c r="M251" s="453">
        <v>0</v>
      </c>
      <c r="N251" s="487">
        <v>19.989999999999998</v>
      </c>
      <c r="O251" s="453">
        <v>1</v>
      </c>
      <c r="P251" s="487">
        <v>119.93999999999998</v>
      </c>
      <c r="Q251" s="453">
        <v>6</v>
      </c>
    </row>
    <row r="252" spans="1:17" x14ac:dyDescent="0.25">
      <c r="A252" s="453">
        <v>6420242</v>
      </c>
      <c r="B252" s="487">
        <v>0</v>
      </c>
      <c r="C252" s="453">
        <v>0</v>
      </c>
      <c r="D252" s="487">
        <v>19.989999999999998</v>
      </c>
      <c r="E252" s="453">
        <v>1</v>
      </c>
      <c r="F252" s="487">
        <v>0</v>
      </c>
      <c r="G252" s="453">
        <v>0</v>
      </c>
      <c r="H252" s="487">
        <v>0</v>
      </c>
      <c r="I252" s="453">
        <v>0</v>
      </c>
      <c r="J252" s="487">
        <v>0</v>
      </c>
      <c r="K252" s="453">
        <v>0</v>
      </c>
      <c r="L252" s="487">
        <v>0</v>
      </c>
      <c r="M252" s="453">
        <v>0</v>
      </c>
      <c r="N252" s="487">
        <v>0</v>
      </c>
      <c r="O252" s="453">
        <v>0</v>
      </c>
      <c r="P252" s="487">
        <v>19.989999999999998</v>
      </c>
      <c r="Q252" s="453">
        <v>1</v>
      </c>
    </row>
    <row r="253" spans="1:17" x14ac:dyDescent="0.25">
      <c r="A253" s="800" t="s">
        <v>1939</v>
      </c>
      <c r="B253" s="485">
        <v>216.88000000000002</v>
      </c>
      <c r="C253" s="486">
        <v>12</v>
      </c>
      <c r="D253" s="485">
        <v>101.43999999999998</v>
      </c>
      <c r="E253" s="486">
        <v>6</v>
      </c>
      <c r="F253" s="485">
        <v>153.53</v>
      </c>
      <c r="G253" s="486">
        <v>8</v>
      </c>
      <c r="H253" s="485">
        <v>272.62</v>
      </c>
      <c r="I253" s="486">
        <v>10</v>
      </c>
      <c r="J253" s="485">
        <v>650.60000000000014</v>
      </c>
      <c r="K253" s="486">
        <v>36</v>
      </c>
      <c r="L253" s="485">
        <v>485.72</v>
      </c>
      <c r="M253" s="486">
        <v>28</v>
      </c>
      <c r="N253" s="485">
        <v>163.10999999999999</v>
      </c>
      <c r="O253" s="486">
        <v>9</v>
      </c>
      <c r="P253" s="485">
        <v>2043.9</v>
      </c>
      <c r="Q253" s="486">
        <v>109</v>
      </c>
    </row>
    <row r="254" spans="1:17" x14ac:dyDescent="0.25">
      <c r="A254" s="453">
        <v>6430449</v>
      </c>
      <c r="B254" s="487">
        <v>0</v>
      </c>
      <c r="C254" s="453">
        <v>0</v>
      </c>
      <c r="D254" s="487">
        <v>0</v>
      </c>
      <c r="E254" s="453">
        <v>0</v>
      </c>
      <c r="F254" s="487">
        <v>0</v>
      </c>
      <c r="G254" s="453">
        <v>0</v>
      </c>
      <c r="H254" s="487">
        <v>150</v>
      </c>
      <c r="I254" s="453">
        <v>3</v>
      </c>
      <c r="J254" s="487">
        <v>0</v>
      </c>
      <c r="K254" s="453">
        <v>0</v>
      </c>
      <c r="L254" s="487">
        <v>0</v>
      </c>
      <c r="M254" s="453">
        <v>0</v>
      </c>
      <c r="N254" s="487">
        <v>0</v>
      </c>
      <c r="O254" s="453">
        <v>0</v>
      </c>
      <c r="P254" s="487">
        <v>150</v>
      </c>
      <c r="Q254" s="453">
        <v>3</v>
      </c>
    </row>
    <row r="255" spans="1:17" x14ac:dyDescent="0.25">
      <c r="A255" s="453">
        <v>6430409</v>
      </c>
      <c r="B255" s="487">
        <v>89.95</v>
      </c>
      <c r="C255" s="453">
        <v>5</v>
      </c>
      <c r="D255" s="487">
        <v>0</v>
      </c>
      <c r="E255" s="453">
        <v>0</v>
      </c>
      <c r="F255" s="487">
        <v>0</v>
      </c>
      <c r="G255" s="453">
        <v>0</v>
      </c>
      <c r="H255" s="487">
        <v>17.989999999999998</v>
      </c>
      <c r="I255" s="453">
        <v>1</v>
      </c>
      <c r="J255" s="487">
        <v>35.979999999999997</v>
      </c>
      <c r="K255" s="453">
        <v>2</v>
      </c>
      <c r="L255" s="487">
        <v>107.94</v>
      </c>
      <c r="M255" s="453">
        <v>6</v>
      </c>
      <c r="N255" s="487">
        <v>53.97</v>
      </c>
      <c r="O255" s="453">
        <v>3</v>
      </c>
      <c r="P255" s="487">
        <v>305.83</v>
      </c>
      <c r="Q255" s="453">
        <v>17</v>
      </c>
    </row>
    <row r="256" spans="1:17" x14ac:dyDescent="0.25">
      <c r="A256" s="453">
        <v>6430410</v>
      </c>
      <c r="B256" s="487">
        <v>0</v>
      </c>
      <c r="C256" s="453">
        <v>0</v>
      </c>
      <c r="D256" s="487">
        <v>17.989999999999998</v>
      </c>
      <c r="E256" s="453">
        <v>1</v>
      </c>
      <c r="F256" s="487">
        <v>0</v>
      </c>
      <c r="G256" s="453">
        <v>0</v>
      </c>
      <c r="H256" s="487">
        <v>0</v>
      </c>
      <c r="I256" s="453">
        <v>0</v>
      </c>
      <c r="J256" s="487">
        <v>17.989999999999998</v>
      </c>
      <c r="K256" s="453">
        <v>1</v>
      </c>
      <c r="L256" s="487">
        <v>0</v>
      </c>
      <c r="M256" s="453">
        <v>0</v>
      </c>
      <c r="N256" s="487">
        <v>0</v>
      </c>
      <c r="O256" s="453">
        <v>0</v>
      </c>
      <c r="P256" s="487">
        <v>35.979999999999997</v>
      </c>
      <c r="Q256" s="453">
        <v>2</v>
      </c>
    </row>
    <row r="257" spans="1:17" x14ac:dyDescent="0.25">
      <c r="A257" s="453">
        <v>6430407</v>
      </c>
      <c r="B257" s="487">
        <v>0</v>
      </c>
      <c r="C257" s="453">
        <v>0</v>
      </c>
      <c r="D257" s="487">
        <v>17.989999999999998</v>
      </c>
      <c r="E257" s="453">
        <v>1</v>
      </c>
      <c r="F257" s="487">
        <v>17.989999999999998</v>
      </c>
      <c r="G257" s="453">
        <v>1</v>
      </c>
      <c r="H257" s="487">
        <v>35.979999999999997</v>
      </c>
      <c r="I257" s="453">
        <v>2</v>
      </c>
      <c r="J257" s="487">
        <v>37.78</v>
      </c>
      <c r="K257" s="453">
        <v>2</v>
      </c>
      <c r="L257" s="487">
        <v>71.959999999999994</v>
      </c>
      <c r="M257" s="453">
        <v>4</v>
      </c>
      <c r="N257" s="487">
        <v>0</v>
      </c>
      <c r="O257" s="453">
        <v>0</v>
      </c>
      <c r="P257" s="487">
        <v>181.7</v>
      </c>
      <c r="Q257" s="453">
        <v>10</v>
      </c>
    </row>
    <row r="258" spans="1:17" x14ac:dyDescent="0.25">
      <c r="A258" s="453">
        <v>6440289</v>
      </c>
      <c r="B258" s="487">
        <v>0</v>
      </c>
      <c r="C258" s="453">
        <v>0</v>
      </c>
      <c r="D258" s="487">
        <v>0</v>
      </c>
      <c r="E258" s="453">
        <v>0</v>
      </c>
      <c r="F258" s="487">
        <v>0</v>
      </c>
      <c r="G258" s="453">
        <v>0</v>
      </c>
      <c r="H258" s="487">
        <v>0</v>
      </c>
      <c r="I258" s="453">
        <v>0</v>
      </c>
      <c r="J258" s="487">
        <v>45.99</v>
      </c>
      <c r="K258" s="453">
        <v>1</v>
      </c>
      <c r="L258" s="487">
        <v>0</v>
      </c>
      <c r="M258" s="453">
        <v>0</v>
      </c>
      <c r="N258" s="487">
        <v>0</v>
      </c>
      <c r="O258" s="453">
        <v>0</v>
      </c>
      <c r="P258" s="487">
        <v>45.99</v>
      </c>
      <c r="Q258" s="453">
        <v>1</v>
      </c>
    </row>
    <row r="259" spans="1:17" x14ac:dyDescent="0.25">
      <c r="A259" s="453">
        <v>6440294</v>
      </c>
      <c r="B259" s="487">
        <v>0</v>
      </c>
      <c r="C259" s="453">
        <v>0</v>
      </c>
      <c r="D259" s="487">
        <v>0</v>
      </c>
      <c r="E259" s="453">
        <v>0</v>
      </c>
      <c r="F259" s="487">
        <v>50.59</v>
      </c>
      <c r="G259" s="453">
        <v>1</v>
      </c>
      <c r="H259" s="487">
        <v>0</v>
      </c>
      <c r="I259" s="453">
        <v>0</v>
      </c>
      <c r="J259" s="487">
        <v>0</v>
      </c>
      <c r="K259" s="453">
        <v>0</v>
      </c>
      <c r="L259" s="487">
        <v>0</v>
      </c>
      <c r="M259" s="453">
        <v>0</v>
      </c>
      <c r="N259" s="487">
        <v>0</v>
      </c>
      <c r="O259" s="453">
        <v>0</v>
      </c>
      <c r="P259" s="487">
        <v>50.59</v>
      </c>
      <c r="Q259" s="453">
        <v>1</v>
      </c>
    </row>
    <row r="260" spans="1:17" x14ac:dyDescent="0.25">
      <c r="A260" s="453">
        <v>6430253</v>
      </c>
      <c r="B260" s="487">
        <v>0</v>
      </c>
      <c r="C260" s="453">
        <v>0</v>
      </c>
      <c r="D260" s="487">
        <v>0</v>
      </c>
      <c r="E260" s="453">
        <v>0</v>
      </c>
      <c r="F260" s="487">
        <v>0</v>
      </c>
      <c r="G260" s="453">
        <v>0</v>
      </c>
      <c r="H260" s="487">
        <v>0</v>
      </c>
      <c r="I260" s="453">
        <v>0</v>
      </c>
      <c r="J260" s="487">
        <v>10.44</v>
      </c>
      <c r="K260" s="453">
        <v>1</v>
      </c>
      <c r="L260" s="487">
        <v>0</v>
      </c>
      <c r="M260" s="453">
        <v>0</v>
      </c>
      <c r="N260" s="487">
        <v>0</v>
      </c>
      <c r="O260" s="453">
        <v>0</v>
      </c>
      <c r="P260" s="487">
        <v>10.44</v>
      </c>
      <c r="Q260" s="453">
        <v>1</v>
      </c>
    </row>
    <row r="261" spans="1:17" x14ac:dyDescent="0.25">
      <c r="A261" s="453">
        <v>6430003</v>
      </c>
      <c r="B261" s="487">
        <v>0</v>
      </c>
      <c r="C261" s="453">
        <v>0</v>
      </c>
      <c r="D261" s="487">
        <v>0</v>
      </c>
      <c r="E261" s="453">
        <v>0</v>
      </c>
      <c r="F261" s="487">
        <v>0</v>
      </c>
      <c r="G261" s="453">
        <v>0</v>
      </c>
      <c r="H261" s="487">
        <v>0</v>
      </c>
      <c r="I261" s="453">
        <v>0</v>
      </c>
      <c r="J261" s="487">
        <v>22.99</v>
      </c>
      <c r="K261" s="453">
        <v>1</v>
      </c>
      <c r="L261" s="487">
        <v>0</v>
      </c>
      <c r="M261" s="453">
        <v>0</v>
      </c>
      <c r="N261" s="487">
        <v>0</v>
      </c>
      <c r="O261" s="453">
        <v>0</v>
      </c>
      <c r="P261" s="487">
        <v>22.99</v>
      </c>
      <c r="Q261" s="453">
        <v>1</v>
      </c>
    </row>
    <row r="262" spans="1:17" x14ac:dyDescent="0.25">
      <c r="A262" s="453">
        <v>6430274</v>
      </c>
      <c r="B262" s="487">
        <v>0</v>
      </c>
      <c r="C262" s="453">
        <v>0</v>
      </c>
      <c r="D262" s="487">
        <v>0</v>
      </c>
      <c r="E262" s="453">
        <v>0</v>
      </c>
      <c r="F262" s="487">
        <v>0</v>
      </c>
      <c r="G262" s="453">
        <v>1</v>
      </c>
      <c r="H262" s="487">
        <v>0</v>
      </c>
      <c r="I262" s="453">
        <v>0</v>
      </c>
      <c r="J262" s="487">
        <v>0</v>
      </c>
      <c r="K262" s="453">
        <v>0</v>
      </c>
      <c r="L262" s="487">
        <v>0</v>
      </c>
      <c r="M262" s="453">
        <v>0</v>
      </c>
      <c r="N262" s="487">
        <v>0</v>
      </c>
      <c r="O262" s="453">
        <v>0</v>
      </c>
      <c r="P262" s="487">
        <v>0</v>
      </c>
      <c r="Q262" s="453">
        <v>1</v>
      </c>
    </row>
    <row r="263" spans="1:17" x14ac:dyDescent="0.25">
      <c r="A263" s="453">
        <v>6436127</v>
      </c>
      <c r="B263" s="487">
        <v>0</v>
      </c>
      <c r="C263" s="453">
        <v>0</v>
      </c>
      <c r="D263" s="487">
        <v>0</v>
      </c>
      <c r="E263" s="453">
        <v>0</v>
      </c>
      <c r="F263" s="487">
        <v>0</v>
      </c>
      <c r="G263" s="453">
        <v>0</v>
      </c>
      <c r="H263" s="487">
        <v>0</v>
      </c>
      <c r="I263" s="453">
        <v>0</v>
      </c>
      <c r="J263" s="487">
        <v>0</v>
      </c>
      <c r="K263" s="453">
        <v>1</v>
      </c>
      <c r="L263" s="487">
        <v>0</v>
      </c>
      <c r="M263" s="453">
        <v>0</v>
      </c>
      <c r="N263" s="487">
        <v>0</v>
      </c>
      <c r="O263" s="453">
        <v>0</v>
      </c>
      <c r="P263" s="487">
        <v>0</v>
      </c>
      <c r="Q263" s="453">
        <v>1</v>
      </c>
    </row>
    <row r="264" spans="1:17" x14ac:dyDescent="0.25">
      <c r="A264" s="453">
        <v>6430435</v>
      </c>
      <c r="B264" s="487">
        <v>0</v>
      </c>
      <c r="C264" s="453">
        <v>0</v>
      </c>
      <c r="D264" s="487">
        <v>0</v>
      </c>
      <c r="E264" s="453">
        <v>0</v>
      </c>
      <c r="F264" s="487">
        <v>0</v>
      </c>
      <c r="G264" s="453">
        <v>0</v>
      </c>
      <c r="H264" s="487">
        <v>0</v>
      </c>
      <c r="I264" s="453">
        <v>0</v>
      </c>
      <c r="J264" s="487">
        <v>24.99</v>
      </c>
      <c r="K264" s="453">
        <v>1</v>
      </c>
      <c r="L264" s="487">
        <v>0</v>
      </c>
      <c r="M264" s="453">
        <v>0</v>
      </c>
      <c r="N264" s="487">
        <v>24.99</v>
      </c>
      <c r="O264" s="453">
        <v>1</v>
      </c>
      <c r="P264" s="487">
        <v>49.98</v>
      </c>
      <c r="Q264" s="453">
        <v>2</v>
      </c>
    </row>
    <row r="265" spans="1:17" x14ac:dyDescent="0.25">
      <c r="A265" s="453">
        <v>6430420</v>
      </c>
      <c r="B265" s="487">
        <v>0</v>
      </c>
      <c r="C265" s="453">
        <v>0</v>
      </c>
      <c r="D265" s="487">
        <v>0</v>
      </c>
      <c r="E265" s="453">
        <v>0</v>
      </c>
      <c r="F265" s="487">
        <v>0</v>
      </c>
      <c r="G265" s="453">
        <v>0</v>
      </c>
      <c r="H265" s="487">
        <v>0</v>
      </c>
      <c r="I265" s="453">
        <v>0</v>
      </c>
      <c r="J265" s="487">
        <v>27.49</v>
      </c>
      <c r="K265" s="453">
        <v>1</v>
      </c>
      <c r="L265" s="487">
        <v>0</v>
      </c>
      <c r="M265" s="453">
        <v>0</v>
      </c>
      <c r="N265" s="487">
        <v>0</v>
      </c>
      <c r="O265" s="453">
        <v>0</v>
      </c>
      <c r="P265" s="487">
        <v>27.49</v>
      </c>
      <c r="Q265" s="453">
        <v>1</v>
      </c>
    </row>
    <row r="266" spans="1:17" x14ac:dyDescent="0.25">
      <c r="A266" s="453">
        <v>6430429</v>
      </c>
      <c r="B266" s="487">
        <v>0</v>
      </c>
      <c r="C266" s="453">
        <v>0</v>
      </c>
      <c r="D266" s="487">
        <v>0</v>
      </c>
      <c r="E266" s="453">
        <v>0</v>
      </c>
      <c r="F266" s="487">
        <v>0</v>
      </c>
      <c r="G266" s="453">
        <v>0</v>
      </c>
      <c r="H266" s="487">
        <v>0</v>
      </c>
      <c r="I266" s="453">
        <v>0</v>
      </c>
      <c r="J266" s="487">
        <v>24.99</v>
      </c>
      <c r="K266" s="453">
        <v>1</v>
      </c>
      <c r="L266" s="487">
        <v>0</v>
      </c>
      <c r="M266" s="453">
        <v>0</v>
      </c>
      <c r="N266" s="487">
        <v>0</v>
      </c>
      <c r="O266" s="453">
        <v>0</v>
      </c>
      <c r="P266" s="487">
        <v>24.99</v>
      </c>
      <c r="Q266" s="453">
        <v>1</v>
      </c>
    </row>
    <row r="267" spans="1:17" x14ac:dyDescent="0.25">
      <c r="A267" s="453">
        <v>6430434</v>
      </c>
      <c r="B267" s="487">
        <v>24.99</v>
      </c>
      <c r="C267" s="453">
        <v>1</v>
      </c>
      <c r="D267" s="487">
        <v>0</v>
      </c>
      <c r="E267" s="453">
        <v>0</v>
      </c>
      <c r="F267" s="487">
        <v>0</v>
      </c>
      <c r="G267" s="453">
        <v>0</v>
      </c>
      <c r="H267" s="487">
        <v>0</v>
      </c>
      <c r="I267" s="453">
        <v>0</v>
      </c>
      <c r="J267" s="487">
        <v>0</v>
      </c>
      <c r="K267" s="453">
        <v>0</v>
      </c>
      <c r="L267" s="487">
        <v>0</v>
      </c>
      <c r="M267" s="453">
        <v>0</v>
      </c>
      <c r="N267" s="487">
        <v>0</v>
      </c>
      <c r="O267" s="453">
        <v>0</v>
      </c>
      <c r="P267" s="487">
        <v>24.99</v>
      </c>
      <c r="Q267" s="453">
        <v>1</v>
      </c>
    </row>
    <row r="268" spans="1:17" x14ac:dyDescent="0.25">
      <c r="A268" s="453">
        <v>6430228</v>
      </c>
      <c r="B268" s="487">
        <v>0</v>
      </c>
      <c r="C268" s="453">
        <v>0</v>
      </c>
      <c r="D268" s="487">
        <v>14.49</v>
      </c>
      <c r="E268" s="453">
        <v>1</v>
      </c>
      <c r="F268" s="487">
        <v>0</v>
      </c>
      <c r="G268" s="453">
        <v>0</v>
      </c>
      <c r="H268" s="487">
        <v>14.49</v>
      </c>
      <c r="I268" s="453">
        <v>1</v>
      </c>
      <c r="J268" s="487">
        <v>43.47</v>
      </c>
      <c r="K268" s="453">
        <v>3</v>
      </c>
      <c r="L268" s="487">
        <v>0</v>
      </c>
      <c r="M268" s="453">
        <v>0</v>
      </c>
      <c r="N268" s="487">
        <v>14.49</v>
      </c>
      <c r="O268" s="453">
        <v>1</v>
      </c>
      <c r="P268" s="487">
        <v>86.94</v>
      </c>
      <c r="Q268" s="453">
        <v>6</v>
      </c>
    </row>
    <row r="269" spans="1:17" x14ac:dyDescent="0.25">
      <c r="A269" s="453">
        <v>6430006</v>
      </c>
      <c r="B269" s="487">
        <v>16.989999999999998</v>
      </c>
      <c r="C269" s="453">
        <v>1</v>
      </c>
      <c r="D269" s="487">
        <v>0</v>
      </c>
      <c r="E269" s="453">
        <v>0</v>
      </c>
      <c r="F269" s="487">
        <v>16.989999999999998</v>
      </c>
      <c r="G269" s="453">
        <v>1</v>
      </c>
      <c r="H269" s="487">
        <v>0</v>
      </c>
      <c r="I269" s="453">
        <v>0</v>
      </c>
      <c r="J269" s="487">
        <v>101.94</v>
      </c>
      <c r="K269" s="453">
        <v>6</v>
      </c>
      <c r="L269" s="487">
        <v>84.95</v>
      </c>
      <c r="M269" s="453">
        <v>5</v>
      </c>
      <c r="N269" s="487">
        <v>0</v>
      </c>
      <c r="O269" s="453">
        <v>0</v>
      </c>
      <c r="P269" s="487">
        <v>220.87</v>
      </c>
      <c r="Q269" s="453">
        <v>13</v>
      </c>
    </row>
    <row r="270" spans="1:17" x14ac:dyDescent="0.25">
      <c r="A270" s="453">
        <v>6430430</v>
      </c>
      <c r="B270" s="487">
        <v>16.989999999999998</v>
      </c>
      <c r="C270" s="453">
        <v>1</v>
      </c>
      <c r="D270" s="487">
        <v>16.989999999999998</v>
      </c>
      <c r="E270" s="453">
        <v>1</v>
      </c>
      <c r="F270" s="487">
        <v>0</v>
      </c>
      <c r="G270" s="453">
        <v>0</v>
      </c>
      <c r="H270" s="487">
        <v>16.989999999999998</v>
      </c>
      <c r="I270" s="453">
        <v>1</v>
      </c>
      <c r="J270" s="487">
        <v>16.989999999999998</v>
      </c>
      <c r="K270" s="453">
        <v>1</v>
      </c>
      <c r="L270" s="487">
        <v>67.959999999999994</v>
      </c>
      <c r="M270" s="453">
        <v>4</v>
      </c>
      <c r="N270" s="487">
        <v>0</v>
      </c>
      <c r="O270" s="453">
        <v>0</v>
      </c>
      <c r="P270" s="487">
        <v>135.91999999999999</v>
      </c>
      <c r="Q270" s="453">
        <v>8</v>
      </c>
    </row>
    <row r="271" spans="1:17" x14ac:dyDescent="0.25">
      <c r="A271" s="453">
        <v>6430503</v>
      </c>
      <c r="B271" s="487">
        <v>0</v>
      </c>
      <c r="C271" s="453">
        <v>0</v>
      </c>
      <c r="D271" s="487">
        <v>0</v>
      </c>
      <c r="E271" s="453">
        <v>0</v>
      </c>
      <c r="F271" s="487">
        <v>0</v>
      </c>
      <c r="G271" s="453">
        <v>0</v>
      </c>
      <c r="H271" s="487">
        <v>20.18</v>
      </c>
      <c r="I271" s="453">
        <v>1</v>
      </c>
      <c r="J271" s="487">
        <v>0</v>
      </c>
      <c r="K271" s="453">
        <v>0</v>
      </c>
      <c r="L271" s="487">
        <v>0</v>
      </c>
      <c r="M271" s="453">
        <v>0</v>
      </c>
      <c r="N271" s="487">
        <v>0</v>
      </c>
      <c r="O271" s="453">
        <v>0</v>
      </c>
      <c r="P271" s="487">
        <v>20.18</v>
      </c>
      <c r="Q271" s="453">
        <v>1</v>
      </c>
    </row>
    <row r="272" spans="1:17" x14ac:dyDescent="0.25">
      <c r="A272" s="453">
        <v>6430418</v>
      </c>
      <c r="B272" s="487">
        <v>16.989999999999998</v>
      </c>
      <c r="C272" s="453">
        <v>1</v>
      </c>
      <c r="D272" s="487">
        <v>0</v>
      </c>
      <c r="E272" s="453">
        <v>0</v>
      </c>
      <c r="F272" s="487">
        <v>0</v>
      </c>
      <c r="G272" s="453">
        <v>0</v>
      </c>
      <c r="H272" s="487">
        <v>0</v>
      </c>
      <c r="I272" s="453">
        <v>0</v>
      </c>
      <c r="J272" s="487">
        <v>33.979999999999997</v>
      </c>
      <c r="K272" s="453">
        <v>2</v>
      </c>
      <c r="L272" s="487">
        <v>16.989999999999998</v>
      </c>
      <c r="M272" s="453">
        <v>1</v>
      </c>
      <c r="N272" s="487">
        <v>35.68</v>
      </c>
      <c r="O272" s="453">
        <v>2</v>
      </c>
      <c r="P272" s="487">
        <v>103.63999999999999</v>
      </c>
      <c r="Q272" s="453">
        <v>6</v>
      </c>
    </row>
    <row r="273" spans="1:17" x14ac:dyDescent="0.25">
      <c r="A273" s="453">
        <v>6430426</v>
      </c>
      <c r="B273" s="487">
        <v>0</v>
      </c>
      <c r="C273" s="453">
        <v>0</v>
      </c>
      <c r="D273" s="487">
        <v>0</v>
      </c>
      <c r="E273" s="453">
        <v>0</v>
      </c>
      <c r="F273" s="487">
        <v>50.97</v>
      </c>
      <c r="G273" s="453">
        <v>3</v>
      </c>
      <c r="H273" s="487">
        <v>16.989999999999998</v>
      </c>
      <c r="I273" s="453">
        <v>1</v>
      </c>
      <c r="J273" s="487">
        <v>103.64</v>
      </c>
      <c r="K273" s="453">
        <v>6</v>
      </c>
      <c r="L273" s="487">
        <v>50.97</v>
      </c>
      <c r="M273" s="453">
        <v>3</v>
      </c>
      <c r="N273" s="487">
        <v>0</v>
      </c>
      <c r="O273" s="453">
        <v>0</v>
      </c>
      <c r="P273" s="487">
        <v>222.57</v>
      </c>
      <c r="Q273" s="453">
        <v>13</v>
      </c>
    </row>
    <row r="274" spans="1:17" x14ac:dyDescent="0.25">
      <c r="A274" s="453">
        <v>6430482</v>
      </c>
      <c r="B274" s="487">
        <v>16.989999999999998</v>
      </c>
      <c r="C274" s="453">
        <v>1</v>
      </c>
      <c r="D274" s="487">
        <v>16.989999999999998</v>
      </c>
      <c r="E274" s="453">
        <v>1</v>
      </c>
      <c r="F274" s="487">
        <v>0</v>
      </c>
      <c r="G274" s="453">
        <v>0</v>
      </c>
      <c r="H274" s="487">
        <v>0</v>
      </c>
      <c r="I274" s="453">
        <v>0</v>
      </c>
      <c r="J274" s="487">
        <v>33.979999999999997</v>
      </c>
      <c r="K274" s="453">
        <v>2</v>
      </c>
      <c r="L274" s="487">
        <v>50.97</v>
      </c>
      <c r="M274" s="453">
        <v>3</v>
      </c>
      <c r="N274" s="487">
        <v>0</v>
      </c>
      <c r="O274" s="453">
        <v>0</v>
      </c>
      <c r="P274" s="487">
        <v>118.92999999999999</v>
      </c>
      <c r="Q274" s="453">
        <v>7</v>
      </c>
    </row>
    <row r="275" spans="1:17" x14ac:dyDescent="0.25">
      <c r="A275" s="453">
        <v>6430226</v>
      </c>
      <c r="B275" s="487">
        <v>33.979999999999997</v>
      </c>
      <c r="C275" s="453">
        <v>2</v>
      </c>
      <c r="D275" s="487">
        <v>16.989999999999998</v>
      </c>
      <c r="E275" s="453">
        <v>1</v>
      </c>
      <c r="F275" s="487">
        <v>16.989999999999998</v>
      </c>
      <c r="G275" s="453">
        <v>1</v>
      </c>
      <c r="H275" s="487">
        <v>0</v>
      </c>
      <c r="I275" s="453">
        <v>0</v>
      </c>
      <c r="J275" s="487">
        <v>67.959999999999994</v>
      </c>
      <c r="K275" s="453">
        <v>4</v>
      </c>
      <c r="L275" s="487">
        <v>33.979999999999997</v>
      </c>
      <c r="M275" s="453">
        <v>2</v>
      </c>
      <c r="N275" s="487">
        <v>33.979999999999997</v>
      </c>
      <c r="O275" s="453">
        <v>2</v>
      </c>
      <c r="P275" s="487">
        <v>203.87999999999997</v>
      </c>
      <c r="Q275" s="453">
        <v>12</v>
      </c>
    </row>
    <row r="276" spans="1:17" x14ac:dyDescent="0.25">
      <c r="A276" s="800" t="s">
        <v>1939</v>
      </c>
      <c r="B276" s="485">
        <v>674.79000000000008</v>
      </c>
      <c r="C276" s="486">
        <v>38</v>
      </c>
      <c r="D276" s="485">
        <v>851.18000000000006</v>
      </c>
      <c r="E276" s="486">
        <v>40</v>
      </c>
      <c r="F276" s="485">
        <v>1095.0700000000002</v>
      </c>
      <c r="G276" s="486">
        <v>55</v>
      </c>
      <c r="H276" s="485">
        <v>3373.309999999999</v>
      </c>
      <c r="I276" s="486">
        <v>307</v>
      </c>
      <c r="J276" s="485">
        <v>2558.4799999999996</v>
      </c>
      <c r="K276" s="486">
        <v>136</v>
      </c>
      <c r="L276" s="485">
        <v>3921.2899999999995</v>
      </c>
      <c r="M276" s="486">
        <v>200</v>
      </c>
      <c r="N276" s="485">
        <v>1304.8799999999999</v>
      </c>
      <c r="O276" s="486">
        <v>71</v>
      </c>
      <c r="P276" s="485">
        <v>13778.999999999996</v>
      </c>
      <c r="Q276" s="486">
        <v>847</v>
      </c>
    </row>
    <row r="277" spans="1:17" x14ac:dyDescent="0.25">
      <c r="A277" s="453">
        <v>6440004</v>
      </c>
      <c r="B277" s="487">
        <v>0</v>
      </c>
      <c r="C277" s="453">
        <v>0</v>
      </c>
      <c r="D277" s="487">
        <v>45.78</v>
      </c>
      <c r="E277" s="453">
        <v>2</v>
      </c>
      <c r="F277" s="487">
        <v>45.78</v>
      </c>
      <c r="G277" s="453">
        <v>2</v>
      </c>
      <c r="H277" s="487">
        <v>45.78</v>
      </c>
      <c r="I277" s="453">
        <v>2</v>
      </c>
      <c r="J277" s="487">
        <v>114.45</v>
      </c>
      <c r="K277" s="453">
        <v>5</v>
      </c>
      <c r="L277" s="487">
        <v>91.56</v>
      </c>
      <c r="M277" s="453">
        <v>4</v>
      </c>
      <c r="N277" s="487">
        <v>45.78</v>
      </c>
      <c r="O277" s="453">
        <v>2</v>
      </c>
      <c r="P277" s="487">
        <v>389.13</v>
      </c>
      <c r="Q277" s="453">
        <v>17</v>
      </c>
    </row>
    <row r="278" spans="1:17" x14ac:dyDescent="0.25">
      <c r="A278" s="453">
        <v>6440166</v>
      </c>
      <c r="B278" s="487">
        <v>0</v>
      </c>
      <c r="C278" s="453">
        <v>0</v>
      </c>
      <c r="D278" s="487">
        <v>0</v>
      </c>
      <c r="E278" s="453">
        <v>0</v>
      </c>
      <c r="F278" s="487">
        <v>22.89</v>
      </c>
      <c r="G278" s="453">
        <v>1</v>
      </c>
      <c r="H278" s="487">
        <v>0</v>
      </c>
      <c r="I278" s="453">
        <v>0</v>
      </c>
      <c r="J278" s="487">
        <v>0</v>
      </c>
      <c r="K278" s="453">
        <v>0</v>
      </c>
      <c r="L278" s="487">
        <v>0</v>
      </c>
      <c r="M278" s="453">
        <v>0</v>
      </c>
      <c r="N278" s="487">
        <v>0</v>
      </c>
      <c r="O278" s="453">
        <v>0</v>
      </c>
      <c r="P278" s="487">
        <v>22.89</v>
      </c>
      <c r="Q278" s="453">
        <v>1</v>
      </c>
    </row>
    <row r="279" spans="1:17" x14ac:dyDescent="0.25">
      <c r="A279" s="453">
        <v>6440691</v>
      </c>
      <c r="B279" s="487">
        <v>0</v>
      </c>
      <c r="C279" s="453">
        <v>0</v>
      </c>
      <c r="D279" s="487">
        <v>0</v>
      </c>
      <c r="E279" s="453">
        <v>0</v>
      </c>
      <c r="F279" s="487">
        <v>0</v>
      </c>
      <c r="G279" s="453">
        <v>0</v>
      </c>
      <c r="H279" s="487">
        <v>0</v>
      </c>
      <c r="I279" s="453">
        <v>1</v>
      </c>
      <c r="J279" s="487">
        <v>0</v>
      </c>
      <c r="K279" s="453">
        <v>0</v>
      </c>
      <c r="L279" s="487">
        <v>0</v>
      </c>
      <c r="M279" s="453">
        <v>0</v>
      </c>
      <c r="N279" s="487">
        <v>0</v>
      </c>
      <c r="O279" s="453">
        <v>0</v>
      </c>
      <c r="P279" s="487">
        <v>0</v>
      </c>
      <c r="Q279" s="453">
        <v>1</v>
      </c>
    </row>
    <row r="280" spans="1:17" x14ac:dyDescent="0.25">
      <c r="A280" s="453">
        <v>6440690</v>
      </c>
      <c r="B280" s="487">
        <v>0</v>
      </c>
      <c r="C280" s="453">
        <v>0</v>
      </c>
      <c r="D280" s="487">
        <v>0</v>
      </c>
      <c r="E280" s="453">
        <v>0</v>
      </c>
      <c r="F280" s="487">
        <v>0</v>
      </c>
      <c r="G280" s="453">
        <v>0</v>
      </c>
      <c r="H280" s="487">
        <v>0</v>
      </c>
      <c r="I280" s="453">
        <v>1</v>
      </c>
      <c r="J280" s="487">
        <v>0</v>
      </c>
      <c r="K280" s="453">
        <v>0</v>
      </c>
      <c r="L280" s="487">
        <v>0</v>
      </c>
      <c r="M280" s="453">
        <v>0</v>
      </c>
      <c r="N280" s="487">
        <v>0</v>
      </c>
      <c r="O280" s="453">
        <v>0</v>
      </c>
      <c r="P280" s="487">
        <v>0</v>
      </c>
      <c r="Q280" s="453">
        <v>1</v>
      </c>
    </row>
    <row r="281" spans="1:17" x14ac:dyDescent="0.25">
      <c r="A281" s="453">
        <v>6440689</v>
      </c>
      <c r="B281" s="487">
        <v>0</v>
      </c>
      <c r="C281" s="453">
        <v>0</v>
      </c>
      <c r="D281" s="487">
        <v>0</v>
      </c>
      <c r="E281" s="453">
        <v>0</v>
      </c>
      <c r="F281" s="487">
        <v>0</v>
      </c>
      <c r="G281" s="453">
        <v>0</v>
      </c>
      <c r="H281" s="487">
        <v>0</v>
      </c>
      <c r="I281" s="453">
        <v>1</v>
      </c>
      <c r="J281" s="487">
        <v>0</v>
      </c>
      <c r="K281" s="453">
        <v>0</v>
      </c>
      <c r="L281" s="487">
        <v>0</v>
      </c>
      <c r="M281" s="453">
        <v>0</v>
      </c>
      <c r="N281" s="487">
        <v>0</v>
      </c>
      <c r="O281" s="453">
        <v>0</v>
      </c>
      <c r="P281" s="487">
        <v>0</v>
      </c>
      <c r="Q281" s="453">
        <v>1</v>
      </c>
    </row>
    <row r="282" spans="1:17" x14ac:dyDescent="0.25">
      <c r="A282" s="453">
        <v>6440761</v>
      </c>
      <c r="B282" s="487">
        <v>0</v>
      </c>
      <c r="C282" s="453">
        <v>0</v>
      </c>
      <c r="D282" s="487">
        <v>0</v>
      </c>
      <c r="E282" s="453">
        <v>0</v>
      </c>
      <c r="F282" s="487">
        <v>19.989999999999998</v>
      </c>
      <c r="G282" s="453">
        <v>1</v>
      </c>
      <c r="H282" s="487">
        <v>0</v>
      </c>
      <c r="I282" s="453">
        <v>0</v>
      </c>
      <c r="J282" s="487">
        <v>0</v>
      </c>
      <c r="K282" s="453">
        <v>0</v>
      </c>
      <c r="L282" s="487">
        <v>0</v>
      </c>
      <c r="M282" s="453">
        <v>0</v>
      </c>
      <c r="N282" s="487">
        <v>0</v>
      </c>
      <c r="O282" s="453">
        <v>0</v>
      </c>
      <c r="P282" s="487">
        <v>19.989999999999998</v>
      </c>
      <c r="Q282" s="453">
        <v>1</v>
      </c>
    </row>
    <row r="283" spans="1:17" x14ac:dyDescent="0.25">
      <c r="A283" s="453">
        <v>6440757</v>
      </c>
      <c r="B283" s="487">
        <v>0</v>
      </c>
      <c r="C283" s="453">
        <v>0</v>
      </c>
      <c r="D283" s="487">
        <v>0</v>
      </c>
      <c r="E283" s="453">
        <v>0</v>
      </c>
      <c r="F283" s="487">
        <v>19.989999999999998</v>
      </c>
      <c r="G283" s="453">
        <v>1</v>
      </c>
      <c r="H283" s="487">
        <v>0</v>
      </c>
      <c r="I283" s="453">
        <v>0</v>
      </c>
      <c r="J283" s="487">
        <v>0</v>
      </c>
      <c r="K283" s="453">
        <v>0</v>
      </c>
      <c r="L283" s="487">
        <v>0</v>
      </c>
      <c r="M283" s="453">
        <v>0</v>
      </c>
      <c r="N283" s="487">
        <v>0</v>
      </c>
      <c r="O283" s="453">
        <v>0</v>
      </c>
      <c r="P283" s="487">
        <v>19.989999999999998</v>
      </c>
      <c r="Q283" s="453">
        <v>1</v>
      </c>
    </row>
    <row r="284" spans="1:17" x14ac:dyDescent="0.25">
      <c r="A284" s="453">
        <v>6440769</v>
      </c>
      <c r="B284" s="487">
        <v>0</v>
      </c>
      <c r="C284" s="453">
        <v>0</v>
      </c>
      <c r="D284" s="487">
        <v>0</v>
      </c>
      <c r="E284" s="453">
        <v>0</v>
      </c>
      <c r="F284" s="487">
        <v>39.979999999999997</v>
      </c>
      <c r="G284" s="453">
        <v>2</v>
      </c>
      <c r="H284" s="487">
        <v>0</v>
      </c>
      <c r="I284" s="453">
        <v>0</v>
      </c>
      <c r="J284" s="487">
        <v>0</v>
      </c>
      <c r="K284" s="453">
        <v>0</v>
      </c>
      <c r="L284" s="487">
        <v>0</v>
      </c>
      <c r="M284" s="453">
        <v>0</v>
      </c>
      <c r="N284" s="487">
        <v>0</v>
      </c>
      <c r="O284" s="453">
        <v>0</v>
      </c>
      <c r="P284" s="487">
        <v>39.979999999999997</v>
      </c>
      <c r="Q284" s="453">
        <v>2</v>
      </c>
    </row>
    <row r="285" spans="1:17" x14ac:dyDescent="0.25">
      <c r="A285" s="453">
        <v>6440405</v>
      </c>
      <c r="B285" s="487">
        <v>0</v>
      </c>
      <c r="C285" s="453">
        <v>0</v>
      </c>
      <c r="D285" s="487">
        <v>22.89</v>
      </c>
      <c r="E285" s="453">
        <v>1</v>
      </c>
      <c r="F285" s="487">
        <v>22.89</v>
      </c>
      <c r="G285" s="453">
        <v>1</v>
      </c>
      <c r="H285" s="487">
        <v>91.56</v>
      </c>
      <c r="I285" s="453">
        <v>4</v>
      </c>
      <c r="J285" s="487">
        <v>160.22999999999999</v>
      </c>
      <c r="K285" s="453">
        <v>7</v>
      </c>
      <c r="L285" s="487">
        <v>160.22999999999999</v>
      </c>
      <c r="M285" s="453">
        <v>7</v>
      </c>
      <c r="N285" s="487">
        <v>45.78</v>
      </c>
      <c r="O285" s="453">
        <v>2</v>
      </c>
      <c r="P285" s="487">
        <v>503.57999999999993</v>
      </c>
      <c r="Q285" s="453">
        <v>22</v>
      </c>
    </row>
    <row r="286" spans="1:17" x14ac:dyDescent="0.25">
      <c r="A286" s="453">
        <v>6440406</v>
      </c>
      <c r="B286" s="487">
        <v>0</v>
      </c>
      <c r="C286" s="453">
        <v>0</v>
      </c>
      <c r="D286" s="487">
        <v>0</v>
      </c>
      <c r="E286" s="453">
        <v>0</v>
      </c>
      <c r="F286" s="487">
        <v>50.36</v>
      </c>
      <c r="G286" s="453">
        <v>2</v>
      </c>
      <c r="H286" s="487">
        <v>0</v>
      </c>
      <c r="I286" s="453">
        <v>0</v>
      </c>
      <c r="J286" s="487">
        <v>22.89</v>
      </c>
      <c r="K286" s="453">
        <v>1</v>
      </c>
      <c r="L286" s="487">
        <v>0</v>
      </c>
      <c r="M286" s="453">
        <v>0</v>
      </c>
      <c r="N286" s="487">
        <v>0</v>
      </c>
      <c r="O286" s="453">
        <v>0</v>
      </c>
      <c r="P286" s="487">
        <v>73.25</v>
      </c>
      <c r="Q286" s="453">
        <v>3</v>
      </c>
    </row>
    <row r="287" spans="1:17" x14ac:dyDescent="0.25">
      <c r="A287" s="453">
        <v>6450239</v>
      </c>
      <c r="B287" s="487">
        <v>55.98</v>
      </c>
      <c r="C287" s="453">
        <v>2</v>
      </c>
      <c r="D287" s="487">
        <v>27.99</v>
      </c>
      <c r="E287" s="453">
        <v>1</v>
      </c>
      <c r="F287" s="487">
        <v>0</v>
      </c>
      <c r="G287" s="453">
        <v>0</v>
      </c>
      <c r="H287" s="487">
        <v>0</v>
      </c>
      <c r="I287" s="453">
        <v>0</v>
      </c>
      <c r="J287" s="487">
        <v>55.98</v>
      </c>
      <c r="K287" s="453">
        <v>2</v>
      </c>
      <c r="L287" s="487">
        <v>167.94</v>
      </c>
      <c r="M287" s="453">
        <v>6</v>
      </c>
      <c r="N287" s="487">
        <v>0</v>
      </c>
      <c r="O287" s="453">
        <v>0</v>
      </c>
      <c r="P287" s="487">
        <v>307.89</v>
      </c>
      <c r="Q287" s="453">
        <v>11</v>
      </c>
    </row>
    <row r="288" spans="1:17" x14ac:dyDescent="0.25">
      <c r="A288" s="453">
        <v>6440208</v>
      </c>
      <c r="B288" s="487">
        <v>51.06</v>
      </c>
      <c r="C288" s="453">
        <v>2</v>
      </c>
      <c r="D288" s="487">
        <v>0</v>
      </c>
      <c r="E288" s="453">
        <v>0</v>
      </c>
      <c r="F288" s="487">
        <v>21.49</v>
      </c>
      <c r="G288" s="453">
        <v>1</v>
      </c>
      <c r="H288" s="487">
        <v>0</v>
      </c>
      <c r="I288" s="453">
        <v>0</v>
      </c>
      <c r="J288" s="487">
        <v>51.06</v>
      </c>
      <c r="K288" s="453">
        <v>2</v>
      </c>
      <c r="L288" s="487">
        <v>25.53</v>
      </c>
      <c r="M288" s="453">
        <v>1</v>
      </c>
      <c r="N288" s="487">
        <v>47.02</v>
      </c>
      <c r="O288" s="453">
        <v>2</v>
      </c>
      <c r="P288" s="487">
        <v>196.16</v>
      </c>
      <c r="Q288" s="453">
        <v>8</v>
      </c>
    </row>
    <row r="289" spans="1:17" x14ac:dyDescent="0.25">
      <c r="A289" s="453">
        <v>6440009</v>
      </c>
      <c r="B289" s="487">
        <v>44.98</v>
      </c>
      <c r="C289" s="453">
        <v>2</v>
      </c>
      <c r="D289" s="487">
        <v>44.98</v>
      </c>
      <c r="E289" s="453">
        <v>2</v>
      </c>
      <c r="F289" s="487">
        <v>0</v>
      </c>
      <c r="G289" s="453">
        <v>0</v>
      </c>
      <c r="H289" s="487">
        <v>22.49</v>
      </c>
      <c r="I289" s="453">
        <v>1</v>
      </c>
      <c r="J289" s="487">
        <v>202.41</v>
      </c>
      <c r="K289" s="453">
        <v>9</v>
      </c>
      <c r="L289" s="487">
        <v>269.88</v>
      </c>
      <c r="M289" s="453">
        <v>12</v>
      </c>
      <c r="N289" s="487">
        <v>67.47</v>
      </c>
      <c r="O289" s="453">
        <v>3</v>
      </c>
      <c r="P289" s="487">
        <v>652.21</v>
      </c>
      <c r="Q289" s="453">
        <v>29</v>
      </c>
    </row>
    <row r="290" spans="1:17" x14ac:dyDescent="0.25">
      <c r="A290" s="453">
        <v>6440171</v>
      </c>
      <c r="B290" s="487">
        <v>0</v>
      </c>
      <c r="C290" s="453">
        <v>0</v>
      </c>
      <c r="D290" s="487">
        <v>76.2</v>
      </c>
      <c r="E290" s="453">
        <v>3</v>
      </c>
      <c r="F290" s="487">
        <v>0</v>
      </c>
      <c r="G290" s="453">
        <v>0</v>
      </c>
      <c r="H290" s="487">
        <v>24.74</v>
      </c>
      <c r="I290" s="453">
        <v>1</v>
      </c>
      <c r="J290" s="487">
        <v>71.7</v>
      </c>
      <c r="K290" s="453">
        <v>3</v>
      </c>
      <c r="L290" s="487">
        <v>0</v>
      </c>
      <c r="M290" s="453">
        <v>0</v>
      </c>
      <c r="N290" s="487">
        <v>22.49</v>
      </c>
      <c r="O290" s="453">
        <v>1</v>
      </c>
      <c r="P290" s="487">
        <v>195.13</v>
      </c>
      <c r="Q290" s="453">
        <v>8</v>
      </c>
    </row>
    <row r="291" spans="1:17" x14ac:dyDescent="0.25">
      <c r="A291" s="453">
        <v>6440288</v>
      </c>
      <c r="B291" s="487">
        <v>0</v>
      </c>
      <c r="C291" s="453">
        <v>0</v>
      </c>
      <c r="D291" s="487">
        <v>0</v>
      </c>
      <c r="E291" s="453">
        <v>0</v>
      </c>
      <c r="F291" s="487">
        <v>23.64</v>
      </c>
      <c r="G291" s="453">
        <v>1</v>
      </c>
      <c r="H291" s="487">
        <v>21.49</v>
      </c>
      <c r="I291" s="453">
        <v>1</v>
      </c>
      <c r="J291" s="487">
        <v>47.28</v>
      </c>
      <c r="K291" s="453">
        <v>2</v>
      </c>
      <c r="L291" s="487">
        <v>23.64</v>
      </c>
      <c r="M291" s="453">
        <v>1</v>
      </c>
      <c r="N291" s="487">
        <v>47.28</v>
      </c>
      <c r="O291" s="453">
        <v>2</v>
      </c>
      <c r="P291" s="487">
        <v>163.32999999999998</v>
      </c>
      <c r="Q291" s="453">
        <v>7</v>
      </c>
    </row>
    <row r="292" spans="1:17" x14ac:dyDescent="0.25">
      <c r="A292" s="453">
        <v>6440672</v>
      </c>
      <c r="B292" s="487">
        <v>0</v>
      </c>
      <c r="C292" s="453">
        <v>0</v>
      </c>
      <c r="D292" s="487">
        <v>85.96</v>
      </c>
      <c r="E292" s="453">
        <v>4</v>
      </c>
      <c r="F292" s="487">
        <v>64.47</v>
      </c>
      <c r="G292" s="453">
        <v>3</v>
      </c>
      <c r="H292" s="487">
        <v>128.94</v>
      </c>
      <c r="I292" s="453">
        <v>6</v>
      </c>
      <c r="J292" s="487">
        <v>279.37</v>
      </c>
      <c r="K292" s="453">
        <v>13</v>
      </c>
      <c r="L292" s="487">
        <v>386.82</v>
      </c>
      <c r="M292" s="453">
        <v>18</v>
      </c>
      <c r="N292" s="487">
        <v>107.45</v>
      </c>
      <c r="O292" s="453">
        <v>5</v>
      </c>
      <c r="P292" s="487">
        <v>1053.01</v>
      </c>
      <c r="Q292" s="453">
        <v>49</v>
      </c>
    </row>
    <row r="293" spans="1:17" x14ac:dyDescent="0.25">
      <c r="A293" s="453">
        <v>6440207</v>
      </c>
      <c r="B293" s="487">
        <v>0</v>
      </c>
      <c r="C293" s="453">
        <v>0</v>
      </c>
      <c r="D293" s="487">
        <v>0</v>
      </c>
      <c r="E293" s="453">
        <v>0</v>
      </c>
      <c r="F293" s="487">
        <v>0</v>
      </c>
      <c r="G293" s="453">
        <v>0</v>
      </c>
      <c r="H293" s="487">
        <v>0</v>
      </c>
      <c r="I293" s="453">
        <v>0</v>
      </c>
      <c r="J293" s="487">
        <v>0</v>
      </c>
      <c r="K293" s="453">
        <v>0</v>
      </c>
      <c r="L293" s="487">
        <v>91.98</v>
      </c>
      <c r="M293" s="453">
        <v>2</v>
      </c>
      <c r="N293" s="487">
        <v>0</v>
      </c>
      <c r="O293" s="453">
        <v>0</v>
      </c>
      <c r="P293" s="487">
        <v>91.98</v>
      </c>
      <c r="Q293" s="453">
        <v>2</v>
      </c>
    </row>
    <row r="294" spans="1:17" x14ac:dyDescent="0.25">
      <c r="A294" s="453">
        <v>6440684</v>
      </c>
      <c r="B294" s="487">
        <v>0</v>
      </c>
      <c r="C294" s="453">
        <v>0</v>
      </c>
      <c r="D294" s="487">
        <v>0</v>
      </c>
      <c r="E294" s="453">
        <v>2</v>
      </c>
      <c r="F294" s="487">
        <v>0</v>
      </c>
      <c r="G294" s="453">
        <v>0</v>
      </c>
      <c r="H294" s="487">
        <v>0</v>
      </c>
      <c r="I294" s="453">
        <v>0</v>
      </c>
      <c r="J294" s="487">
        <v>0</v>
      </c>
      <c r="K294" s="453">
        <v>0</v>
      </c>
      <c r="L294" s="487">
        <v>0</v>
      </c>
      <c r="M294" s="453">
        <v>1</v>
      </c>
      <c r="N294" s="487">
        <v>0</v>
      </c>
      <c r="O294" s="453">
        <v>0</v>
      </c>
      <c r="P294" s="487">
        <v>0</v>
      </c>
      <c r="Q294" s="453">
        <v>3</v>
      </c>
    </row>
    <row r="295" spans="1:17" x14ac:dyDescent="0.25">
      <c r="A295" s="453">
        <v>6480269</v>
      </c>
      <c r="B295" s="487">
        <v>0</v>
      </c>
      <c r="C295" s="453">
        <v>0</v>
      </c>
      <c r="D295" s="487">
        <v>0</v>
      </c>
      <c r="E295" s="453">
        <v>0</v>
      </c>
      <c r="F295" s="487">
        <v>0</v>
      </c>
      <c r="G295" s="453">
        <v>0</v>
      </c>
      <c r="H295" s="487">
        <v>0</v>
      </c>
      <c r="I295" s="453">
        <v>0</v>
      </c>
      <c r="J295" s="487">
        <v>0</v>
      </c>
      <c r="K295" s="453">
        <v>1</v>
      </c>
      <c r="L295" s="487">
        <v>0</v>
      </c>
      <c r="M295" s="453">
        <v>0</v>
      </c>
      <c r="N295" s="487">
        <v>0</v>
      </c>
      <c r="O295" s="453">
        <v>0</v>
      </c>
      <c r="P295" s="487">
        <v>0</v>
      </c>
      <c r="Q295" s="453">
        <v>1</v>
      </c>
    </row>
    <row r="296" spans="1:17" x14ac:dyDescent="0.25">
      <c r="A296" s="453">
        <v>6480266</v>
      </c>
      <c r="B296" s="487">
        <v>0</v>
      </c>
      <c r="C296" s="453">
        <v>0</v>
      </c>
      <c r="D296" s="487">
        <v>0</v>
      </c>
      <c r="E296" s="453">
        <v>0</v>
      </c>
      <c r="F296" s="487">
        <v>0</v>
      </c>
      <c r="G296" s="453">
        <v>0</v>
      </c>
      <c r="H296" s="487">
        <v>0</v>
      </c>
      <c r="I296" s="453">
        <v>0</v>
      </c>
      <c r="J296" s="487">
        <v>0</v>
      </c>
      <c r="K296" s="453">
        <v>0</v>
      </c>
      <c r="L296" s="487">
        <v>0</v>
      </c>
      <c r="M296" s="453">
        <v>2</v>
      </c>
      <c r="N296" s="487">
        <v>0</v>
      </c>
      <c r="O296" s="453">
        <v>0</v>
      </c>
      <c r="P296" s="487">
        <v>0</v>
      </c>
      <c r="Q296" s="453">
        <v>2</v>
      </c>
    </row>
    <row r="297" spans="1:17" x14ac:dyDescent="0.25">
      <c r="A297" s="453">
        <v>6480268</v>
      </c>
      <c r="B297" s="487">
        <v>0</v>
      </c>
      <c r="C297" s="453">
        <v>0</v>
      </c>
      <c r="D297" s="487">
        <v>0</v>
      </c>
      <c r="E297" s="453">
        <v>0</v>
      </c>
      <c r="F297" s="487">
        <v>0</v>
      </c>
      <c r="G297" s="453">
        <v>1</v>
      </c>
      <c r="H297" s="487">
        <v>0</v>
      </c>
      <c r="I297" s="453">
        <v>0</v>
      </c>
      <c r="J297" s="487">
        <v>0</v>
      </c>
      <c r="K297" s="453">
        <v>0</v>
      </c>
      <c r="L297" s="487">
        <v>0</v>
      </c>
      <c r="M297" s="453">
        <v>2</v>
      </c>
      <c r="N297" s="487">
        <v>0</v>
      </c>
      <c r="O297" s="453">
        <v>0</v>
      </c>
      <c r="P297" s="487">
        <v>0</v>
      </c>
      <c r="Q297" s="453">
        <v>3</v>
      </c>
    </row>
    <row r="298" spans="1:17" x14ac:dyDescent="0.25">
      <c r="A298" s="453">
        <v>6440547</v>
      </c>
      <c r="B298" s="487">
        <v>45.58</v>
      </c>
      <c r="C298" s="453">
        <v>2</v>
      </c>
      <c r="D298" s="487">
        <v>45.58</v>
      </c>
      <c r="E298" s="453">
        <v>2</v>
      </c>
      <c r="F298" s="487">
        <v>68.37</v>
      </c>
      <c r="G298" s="453">
        <v>3</v>
      </c>
      <c r="H298" s="487">
        <v>22.79</v>
      </c>
      <c r="I298" s="453">
        <v>1</v>
      </c>
      <c r="J298" s="487">
        <v>136.74</v>
      </c>
      <c r="K298" s="453">
        <v>6</v>
      </c>
      <c r="L298" s="487">
        <v>205.11</v>
      </c>
      <c r="M298" s="453">
        <v>9</v>
      </c>
      <c r="N298" s="487">
        <v>45.58</v>
      </c>
      <c r="O298" s="453">
        <v>2</v>
      </c>
      <c r="P298" s="487">
        <v>569.75000000000011</v>
      </c>
      <c r="Q298" s="453">
        <v>25</v>
      </c>
    </row>
    <row r="299" spans="1:17" x14ac:dyDescent="0.25">
      <c r="A299" s="453">
        <v>6440548</v>
      </c>
      <c r="B299" s="487">
        <v>0</v>
      </c>
      <c r="C299" s="453">
        <v>0</v>
      </c>
      <c r="D299" s="487">
        <v>25.07</v>
      </c>
      <c r="E299" s="453">
        <v>1</v>
      </c>
      <c r="F299" s="487">
        <v>25.07</v>
      </c>
      <c r="G299" s="453">
        <v>1</v>
      </c>
      <c r="H299" s="487">
        <v>25.07</v>
      </c>
      <c r="I299" s="453">
        <v>1</v>
      </c>
      <c r="J299" s="487">
        <v>0</v>
      </c>
      <c r="K299" s="453">
        <v>0</v>
      </c>
      <c r="L299" s="487">
        <v>45.58</v>
      </c>
      <c r="M299" s="453">
        <v>2</v>
      </c>
      <c r="N299" s="487">
        <v>0</v>
      </c>
      <c r="O299" s="453">
        <v>0</v>
      </c>
      <c r="P299" s="487">
        <v>120.79</v>
      </c>
      <c r="Q299" s="453">
        <v>5</v>
      </c>
    </row>
    <row r="300" spans="1:17" x14ac:dyDescent="0.25">
      <c r="A300" s="453">
        <v>6440562</v>
      </c>
      <c r="B300" s="487">
        <v>0</v>
      </c>
      <c r="C300" s="453">
        <v>0</v>
      </c>
      <c r="D300" s="487">
        <v>0</v>
      </c>
      <c r="E300" s="453">
        <v>0</v>
      </c>
      <c r="F300" s="487">
        <v>0</v>
      </c>
      <c r="G300" s="453">
        <v>0</v>
      </c>
      <c r="H300" s="487">
        <v>0</v>
      </c>
      <c r="I300" s="453">
        <v>0</v>
      </c>
      <c r="J300" s="487">
        <v>0</v>
      </c>
      <c r="K300" s="453">
        <v>0</v>
      </c>
      <c r="L300" s="487">
        <v>27.07</v>
      </c>
      <c r="M300" s="453">
        <v>1</v>
      </c>
      <c r="N300" s="487">
        <v>0</v>
      </c>
      <c r="O300" s="453">
        <v>0</v>
      </c>
      <c r="P300" s="487">
        <v>27.07</v>
      </c>
      <c r="Q300" s="453">
        <v>1</v>
      </c>
    </row>
    <row r="301" spans="1:17" x14ac:dyDescent="0.25">
      <c r="A301" s="453">
        <v>6440673</v>
      </c>
      <c r="B301" s="487">
        <v>0</v>
      </c>
      <c r="C301" s="453">
        <v>0</v>
      </c>
      <c r="D301" s="487">
        <v>0</v>
      </c>
      <c r="E301" s="453">
        <v>0</v>
      </c>
      <c r="F301" s="487">
        <v>0</v>
      </c>
      <c r="G301" s="453">
        <v>0</v>
      </c>
      <c r="H301" s="487">
        <v>0</v>
      </c>
      <c r="I301" s="453">
        <v>0</v>
      </c>
      <c r="J301" s="487">
        <v>20.99</v>
      </c>
      <c r="K301" s="453">
        <v>1</v>
      </c>
      <c r="L301" s="487">
        <v>0</v>
      </c>
      <c r="M301" s="453">
        <v>0</v>
      </c>
      <c r="N301" s="487">
        <v>0</v>
      </c>
      <c r="O301" s="453">
        <v>0</v>
      </c>
      <c r="P301" s="487">
        <v>20.99</v>
      </c>
      <c r="Q301" s="453">
        <v>1</v>
      </c>
    </row>
    <row r="302" spans="1:17" x14ac:dyDescent="0.25">
      <c r="A302" s="453">
        <v>6440036</v>
      </c>
      <c r="B302" s="487">
        <v>0</v>
      </c>
      <c r="C302" s="453">
        <v>0</v>
      </c>
      <c r="D302" s="487">
        <v>0</v>
      </c>
      <c r="E302" s="453">
        <v>0</v>
      </c>
      <c r="F302" s="487">
        <v>0</v>
      </c>
      <c r="G302" s="453">
        <v>0</v>
      </c>
      <c r="H302" s="487">
        <v>22.89</v>
      </c>
      <c r="I302" s="453">
        <v>1</v>
      </c>
      <c r="J302" s="487">
        <v>0</v>
      </c>
      <c r="K302" s="453">
        <v>0</v>
      </c>
      <c r="L302" s="487">
        <v>0</v>
      </c>
      <c r="M302" s="453">
        <v>0</v>
      </c>
      <c r="N302" s="487">
        <v>0</v>
      </c>
      <c r="O302" s="453">
        <v>0</v>
      </c>
      <c r="P302" s="487">
        <v>22.89</v>
      </c>
      <c r="Q302" s="453">
        <v>1</v>
      </c>
    </row>
    <row r="303" spans="1:17" x14ac:dyDescent="0.25">
      <c r="A303" s="453">
        <v>6440645</v>
      </c>
      <c r="B303" s="487">
        <v>0</v>
      </c>
      <c r="C303" s="453">
        <v>0</v>
      </c>
      <c r="D303" s="487">
        <v>0</v>
      </c>
      <c r="E303" s="453">
        <v>0</v>
      </c>
      <c r="F303" s="487">
        <v>0</v>
      </c>
      <c r="G303" s="453">
        <v>0</v>
      </c>
      <c r="H303" s="487">
        <v>0</v>
      </c>
      <c r="I303" s="453">
        <v>0</v>
      </c>
      <c r="J303" s="487">
        <v>0</v>
      </c>
      <c r="K303" s="453">
        <v>0</v>
      </c>
      <c r="L303" s="487">
        <v>0</v>
      </c>
      <c r="M303" s="453">
        <v>1</v>
      </c>
      <c r="N303" s="487">
        <v>0</v>
      </c>
      <c r="O303" s="453">
        <v>0</v>
      </c>
      <c r="P303" s="487">
        <v>0</v>
      </c>
      <c r="Q303" s="453">
        <v>1</v>
      </c>
    </row>
    <row r="304" spans="1:17" x14ac:dyDescent="0.25">
      <c r="A304" s="453">
        <v>6440650</v>
      </c>
      <c r="B304" s="487">
        <v>0</v>
      </c>
      <c r="C304" s="453">
        <v>0</v>
      </c>
      <c r="D304" s="487">
        <v>0</v>
      </c>
      <c r="E304" s="453">
        <v>0</v>
      </c>
      <c r="F304" s="487">
        <v>0</v>
      </c>
      <c r="G304" s="453">
        <v>0</v>
      </c>
      <c r="H304" s="487">
        <v>0</v>
      </c>
      <c r="I304" s="453">
        <v>0</v>
      </c>
      <c r="J304" s="487">
        <v>0</v>
      </c>
      <c r="K304" s="453">
        <v>0</v>
      </c>
      <c r="L304" s="487">
        <v>65</v>
      </c>
      <c r="M304" s="453">
        <v>1</v>
      </c>
      <c r="N304" s="487">
        <v>0</v>
      </c>
      <c r="O304" s="453">
        <v>0</v>
      </c>
      <c r="P304" s="487">
        <v>65</v>
      </c>
      <c r="Q304" s="453">
        <v>1</v>
      </c>
    </row>
    <row r="305" spans="1:17" x14ac:dyDescent="0.25">
      <c r="A305" s="453">
        <v>6440681</v>
      </c>
      <c r="B305" s="487">
        <v>40.69</v>
      </c>
      <c r="C305" s="453">
        <v>1</v>
      </c>
      <c r="D305" s="487">
        <v>0</v>
      </c>
      <c r="E305" s="453">
        <v>0</v>
      </c>
      <c r="F305" s="487">
        <v>0</v>
      </c>
      <c r="G305" s="453">
        <v>0</v>
      </c>
      <c r="H305" s="487">
        <v>0</v>
      </c>
      <c r="I305" s="453">
        <v>0</v>
      </c>
      <c r="J305" s="487">
        <v>0</v>
      </c>
      <c r="K305" s="453">
        <v>0</v>
      </c>
      <c r="L305" s="487">
        <v>0</v>
      </c>
      <c r="M305" s="453">
        <v>0</v>
      </c>
      <c r="N305" s="487">
        <v>0</v>
      </c>
      <c r="O305" s="453">
        <v>0</v>
      </c>
      <c r="P305" s="487">
        <v>40.69</v>
      </c>
      <c r="Q305" s="453">
        <v>1</v>
      </c>
    </row>
    <row r="306" spans="1:17" x14ac:dyDescent="0.25">
      <c r="A306" s="453">
        <v>6440682</v>
      </c>
      <c r="B306" s="487">
        <v>0</v>
      </c>
      <c r="C306" s="453">
        <v>0</v>
      </c>
      <c r="D306" s="487">
        <v>36.99</v>
      </c>
      <c r="E306" s="453">
        <v>1</v>
      </c>
      <c r="F306" s="487">
        <v>0</v>
      </c>
      <c r="G306" s="453">
        <v>0</v>
      </c>
      <c r="H306" s="487">
        <v>0</v>
      </c>
      <c r="I306" s="453">
        <v>0</v>
      </c>
      <c r="J306" s="487">
        <v>0</v>
      </c>
      <c r="K306" s="453">
        <v>0</v>
      </c>
      <c r="L306" s="487">
        <v>80.930000000000007</v>
      </c>
      <c r="M306" s="453">
        <v>2</v>
      </c>
      <c r="N306" s="487">
        <v>80.930000000000007</v>
      </c>
      <c r="O306" s="453">
        <v>2</v>
      </c>
      <c r="P306" s="487">
        <v>198.85000000000002</v>
      </c>
      <c r="Q306" s="453">
        <v>5</v>
      </c>
    </row>
    <row r="307" spans="1:17" x14ac:dyDescent="0.25">
      <c r="A307" s="453">
        <v>6450215</v>
      </c>
      <c r="B307" s="487">
        <v>0</v>
      </c>
      <c r="C307" s="453">
        <v>0</v>
      </c>
      <c r="D307" s="487">
        <v>46.58</v>
      </c>
      <c r="E307" s="453">
        <v>2</v>
      </c>
      <c r="F307" s="487">
        <v>23.29</v>
      </c>
      <c r="G307" s="453">
        <v>1</v>
      </c>
      <c r="H307" s="487">
        <v>23.29</v>
      </c>
      <c r="I307" s="453">
        <v>1</v>
      </c>
      <c r="J307" s="487">
        <v>116.45</v>
      </c>
      <c r="K307" s="453">
        <v>5</v>
      </c>
      <c r="L307" s="487">
        <v>46.58</v>
      </c>
      <c r="M307" s="453">
        <v>2</v>
      </c>
      <c r="N307" s="487">
        <v>23.29</v>
      </c>
      <c r="O307" s="453">
        <v>1</v>
      </c>
      <c r="P307" s="487">
        <v>279.48</v>
      </c>
      <c r="Q307" s="453">
        <v>12</v>
      </c>
    </row>
    <row r="308" spans="1:17" x14ac:dyDescent="0.25">
      <c r="A308" s="453">
        <v>6450216</v>
      </c>
      <c r="B308" s="487">
        <v>0</v>
      </c>
      <c r="C308" s="453">
        <v>0</v>
      </c>
      <c r="D308" s="487">
        <v>23.29</v>
      </c>
      <c r="E308" s="453">
        <v>1</v>
      </c>
      <c r="F308" s="487">
        <v>25.62</v>
      </c>
      <c r="G308" s="453">
        <v>1</v>
      </c>
      <c r="H308" s="487">
        <v>0</v>
      </c>
      <c r="I308" s="453">
        <v>0</v>
      </c>
      <c r="J308" s="487">
        <v>0</v>
      </c>
      <c r="K308" s="453">
        <v>0</v>
      </c>
      <c r="L308" s="487">
        <v>0</v>
      </c>
      <c r="M308" s="453">
        <v>0</v>
      </c>
      <c r="N308" s="487">
        <v>25.62</v>
      </c>
      <c r="O308" s="453">
        <v>1</v>
      </c>
      <c r="P308" s="487">
        <v>74.53</v>
      </c>
      <c r="Q308" s="453">
        <v>3</v>
      </c>
    </row>
    <row r="309" spans="1:17" x14ac:dyDescent="0.25">
      <c r="A309" s="453">
        <v>6450245</v>
      </c>
      <c r="B309" s="487">
        <v>0</v>
      </c>
      <c r="C309" s="453">
        <v>0</v>
      </c>
      <c r="D309" s="487">
        <v>0</v>
      </c>
      <c r="E309" s="453">
        <v>0</v>
      </c>
      <c r="F309" s="487">
        <v>0</v>
      </c>
      <c r="G309" s="453">
        <v>0</v>
      </c>
      <c r="H309" s="487">
        <v>0</v>
      </c>
      <c r="I309" s="453">
        <v>0</v>
      </c>
      <c r="J309" s="487">
        <v>27.67</v>
      </c>
      <c r="K309" s="453">
        <v>1</v>
      </c>
      <c r="L309" s="487">
        <v>0</v>
      </c>
      <c r="M309" s="453">
        <v>0</v>
      </c>
      <c r="N309" s="487">
        <v>0</v>
      </c>
      <c r="O309" s="453">
        <v>0</v>
      </c>
      <c r="P309" s="487">
        <v>27.67</v>
      </c>
      <c r="Q309" s="453">
        <v>1</v>
      </c>
    </row>
    <row r="310" spans="1:17" x14ac:dyDescent="0.25">
      <c r="A310" s="453">
        <v>6440408</v>
      </c>
      <c r="B310" s="487">
        <v>14.99</v>
      </c>
      <c r="C310" s="453">
        <v>1</v>
      </c>
      <c r="D310" s="487">
        <v>0</v>
      </c>
      <c r="E310" s="453">
        <v>0</v>
      </c>
      <c r="F310" s="487">
        <v>0</v>
      </c>
      <c r="G310" s="453">
        <v>0</v>
      </c>
      <c r="H310" s="487">
        <v>0</v>
      </c>
      <c r="I310" s="453">
        <v>0</v>
      </c>
      <c r="J310" s="487">
        <v>14.99</v>
      </c>
      <c r="K310" s="453">
        <v>1</v>
      </c>
      <c r="L310" s="487">
        <v>14.99</v>
      </c>
      <c r="M310" s="453">
        <v>1</v>
      </c>
      <c r="N310" s="487">
        <v>0</v>
      </c>
      <c r="O310" s="453">
        <v>0</v>
      </c>
      <c r="P310" s="487">
        <v>44.97</v>
      </c>
      <c r="Q310" s="453">
        <v>3</v>
      </c>
    </row>
    <row r="311" spans="1:17" x14ac:dyDescent="0.25">
      <c r="A311" s="453">
        <v>6440210</v>
      </c>
      <c r="B311" s="487">
        <v>44.97</v>
      </c>
      <c r="C311" s="453">
        <v>3</v>
      </c>
      <c r="D311" s="487">
        <v>0</v>
      </c>
      <c r="E311" s="453">
        <v>0</v>
      </c>
      <c r="F311" s="487">
        <v>0</v>
      </c>
      <c r="G311" s="453">
        <v>0</v>
      </c>
      <c r="H311" s="487">
        <v>0</v>
      </c>
      <c r="I311" s="453">
        <v>0</v>
      </c>
      <c r="J311" s="487">
        <v>0</v>
      </c>
      <c r="K311" s="453">
        <v>0</v>
      </c>
      <c r="L311" s="487">
        <v>0</v>
      </c>
      <c r="M311" s="453">
        <v>0</v>
      </c>
      <c r="N311" s="487">
        <v>0</v>
      </c>
      <c r="O311" s="453">
        <v>0</v>
      </c>
      <c r="P311" s="487">
        <v>44.97</v>
      </c>
      <c r="Q311" s="453">
        <v>3</v>
      </c>
    </row>
    <row r="312" spans="1:17" x14ac:dyDescent="0.25">
      <c r="A312" s="453">
        <v>6440023</v>
      </c>
      <c r="B312" s="487">
        <v>29.98</v>
      </c>
      <c r="C312" s="453">
        <v>2</v>
      </c>
      <c r="D312" s="487">
        <v>0</v>
      </c>
      <c r="E312" s="453">
        <v>0</v>
      </c>
      <c r="F312" s="487">
        <v>0</v>
      </c>
      <c r="G312" s="453">
        <v>0</v>
      </c>
      <c r="H312" s="487">
        <v>0</v>
      </c>
      <c r="I312" s="453">
        <v>0</v>
      </c>
      <c r="J312" s="487">
        <v>14.99</v>
      </c>
      <c r="K312" s="453">
        <v>1</v>
      </c>
      <c r="L312" s="487">
        <v>44.97</v>
      </c>
      <c r="M312" s="453">
        <v>3</v>
      </c>
      <c r="N312" s="487">
        <v>29.98</v>
      </c>
      <c r="O312" s="453">
        <v>2</v>
      </c>
      <c r="P312" s="487">
        <v>119.92</v>
      </c>
      <c r="Q312" s="453">
        <v>8</v>
      </c>
    </row>
    <row r="313" spans="1:17" x14ac:dyDescent="0.25">
      <c r="A313" s="453">
        <v>6440024</v>
      </c>
      <c r="B313" s="487">
        <v>0</v>
      </c>
      <c r="C313" s="453">
        <v>0</v>
      </c>
      <c r="D313" s="487">
        <v>0</v>
      </c>
      <c r="E313" s="453">
        <v>0</v>
      </c>
      <c r="F313" s="487">
        <v>0</v>
      </c>
      <c r="G313" s="453">
        <v>0</v>
      </c>
      <c r="H313" s="487">
        <v>29.98</v>
      </c>
      <c r="I313" s="453">
        <v>2</v>
      </c>
      <c r="J313" s="487">
        <v>44.97</v>
      </c>
      <c r="K313" s="453">
        <v>3</v>
      </c>
      <c r="L313" s="487">
        <v>29.98</v>
      </c>
      <c r="M313" s="453">
        <v>2</v>
      </c>
      <c r="N313" s="487">
        <v>59.96</v>
      </c>
      <c r="O313" s="453">
        <v>4</v>
      </c>
      <c r="P313" s="487">
        <v>164.89000000000001</v>
      </c>
      <c r="Q313" s="453">
        <v>11</v>
      </c>
    </row>
    <row r="314" spans="1:17" x14ac:dyDescent="0.25">
      <c r="A314" s="453">
        <v>6440029</v>
      </c>
      <c r="B314" s="487">
        <v>0</v>
      </c>
      <c r="C314" s="453">
        <v>0</v>
      </c>
      <c r="D314" s="487">
        <v>29.98</v>
      </c>
      <c r="E314" s="453">
        <v>2</v>
      </c>
      <c r="F314" s="487">
        <v>0</v>
      </c>
      <c r="G314" s="453">
        <v>0</v>
      </c>
      <c r="H314" s="487">
        <v>14.99</v>
      </c>
      <c r="I314" s="453">
        <v>1</v>
      </c>
      <c r="J314" s="487">
        <v>29.98</v>
      </c>
      <c r="K314" s="453">
        <v>2</v>
      </c>
      <c r="L314" s="487">
        <v>29.98</v>
      </c>
      <c r="M314" s="453">
        <v>2</v>
      </c>
      <c r="N314" s="487">
        <v>44.97</v>
      </c>
      <c r="O314" s="453">
        <v>3</v>
      </c>
      <c r="P314" s="487">
        <v>149.9</v>
      </c>
      <c r="Q314" s="453">
        <v>10</v>
      </c>
    </row>
    <row r="315" spans="1:17" x14ac:dyDescent="0.25">
      <c r="A315" s="453">
        <v>6440739</v>
      </c>
      <c r="B315" s="487">
        <v>71.97</v>
      </c>
      <c r="C315" s="453">
        <v>3</v>
      </c>
      <c r="D315" s="487">
        <v>23.99</v>
      </c>
      <c r="E315" s="453">
        <v>1</v>
      </c>
      <c r="F315" s="487">
        <v>23.99</v>
      </c>
      <c r="G315" s="453">
        <v>1</v>
      </c>
      <c r="H315" s="487">
        <v>71.97</v>
      </c>
      <c r="I315" s="453">
        <v>3</v>
      </c>
      <c r="J315" s="487">
        <v>95.96</v>
      </c>
      <c r="K315" s="453">
        <v>4</v>
      </c>
      <c r="L315" s="487">
        <v>287.88</v>
      </c>
      <c r="M315" s="453">
        <v>12</v>
      </c>
      <c r="N315" s="487">
        <v>47.98</v>
      </c>
      <c r="O315" s="453">
        <v>2</v>
      </c>
      <c r="P315" s="487">
        <v>623.74</v>
      </c>
      <c r="Q315" s="453">
        <v>26</v>
      </c>
    </row>
    <row r="316" spans="1:17" x14ac:dyDescent="0.25">
      <c r="A316" s="453">
        <v>6440741</v>
      </c>
      <c r="B316" s="487">
        <v>0</v>
      </c>
      <c r="C316" s="453">
        <v>0</v>
      </c>
      <c r="D316" s="487">
        <v>0</v>
      </c>
      <c r="E316" s="453">
        <v>0</v>
      </c>
      <c r="F316" s="487">
        <v>0</v>
      </c>
      <c r="G316" s="453">
        <v>0</v>
      </c>
      <c r="H316" s="487">
        <v>26.39</v>
      </c>
      <c r="I316" s="453">
        <v>1</v>
      </c>
      <c r="J316" s="487">
        <v>47.98</v>
      </c>
      <c r="K316" s="453">
        <v>2</v>
      </c>
      <c r="L316" s="487">
        <v>0</v>
      </c>
      <c r="M316" s="453">
        <v>0</v>
      </c>
      <c r="N316" s="487">
        <v>0</v>
      </c>
      <c r="O316" s="453">
        <v>0</v>
      </c>
      <c r="P316" s="487">
        <v>74.37</v>
      </c>
      <c r="Q316" s="453">
        <v>3</v>
      </c>
    </row>
    <row r="317" spans="1:17" x14ac:dyDescent="0.25">
      <c r="A317" s="453">
        <v>6440770</v>
      </c>
      <c r="B317" s="487">
        <v>0</v>
      </c>
      <c r="C317" s="453">
        <v>0</v>
      </c>
      <c r="D317" s="487">
        <v>0</v>
      </c>
      <c r="E317" s="453">
        <v>0</v>
      </c>
      <c r="F317" s="487">
        <v>0</v>
      </c>
      <c r="G317" s="453">
        <v>1</v>
      </c>
      <c r="H317" s="487">
        <v>0</v>
      </c>
      <c r="I317" s="453">
        <v>0</v>
      </c>
      <c r="J317" s="487">
        <v>0</v>
      </c>
      <c r="K317" s="453">
        <v>0</v>
      </c>
      <c r="L317" s="487">
        <v>0</v>
      </c>
      <c r="M317" s="453">
        <v>0</v>
      </c>
      <c r="N317" s="487">
        <v>0</v>
      </c>
      <c r="O317" s="453">
        <v>0</v>
      </c>
      <c r="P317" s="487">
        <v>0</v>
      </c>
      <c r="Q317" s="453">
        <v>1</v>
      </c>
    </row>
    <row r="318" spans="1:17" x14ac:dyDescent="0.25">
      <c r="A318" s="453">
        <v>6440002</v>
      </c>
      <c r="B318" s="487">
        <v>21.99</v>
      </c>
      <c r="C318" s="453">
        <v>1</v>
      </c>
      <c r="D318" s="487">
        <v>21.99</v>
      </c>
      <c r="E318" s="453">
        <v>1</v>
      </c>
      <c r="F318" s="487">
        <v>43.98</v>
      </c>
      <c r="G318" s="453">
        <v>2</v>
      </c>
      <c r="H318" s="487">
        <v>0</v>
      </c>
      <c r="I318" s="453">
        <v>0</v>
      </c>
      <c r="J318" s="487">
        <v>109.95</v>
      </c>
      <c r="K318" s="453">
        <v>5</v>
      </c>
      <c r="L318" s="487">
        <v>175.92</v>
      </c>
      <c r="M318" s="453">
        <v>8</v>
      </c>
      <c r="N318" s="487">
        <v>87.96</v>
      </c>
      <c r="O318" s="453">
        <v>4</v>
      </c>
      <c r="P318" s="487">
        <v>461.78999999999996</v>
      </c>
      <c r="Q318" s="453">
        <v>21</v>
      </c>
    </row>
    <row r="319" spans="1:17" x14ac:dyDescent="0.25">
      <c r="A319" s="453">
        <v>6440164</v>
      </c>
      <c r="B319" s="487">
        <v>0</v>
      </c>
      <c r="C319" s="453">
        <v>0</v>
      </c>
      <c r="D319" s="487">
        <v>0</v>
      </c>
      <c r="E319" s="453">
        <v>0</v>
      </c>
      <c r="F319" s="487">
        <v>24.19</v>
      </c>
      <c r="G319" s="453">
        <v>1</v>
      </c>
      <c r="H319" s="487">
        <v>0</v>
      </c>
      <c r="I319" s="453">
        <v>0</v>
      </c>
      <c r="J319" s="487">
        <v>21.99</v>
      </c>
      <c r="K319" s="453">
        <v>1</v>
      </c>
      <c r="L319" s="487">
        <v>24.19</v>
      </c>
      <c r="M319" s="453">
        <v>1</v>
      </c>
      <c r="N319" s="487">
        <v>0</v>
      </c>
      <c r="O319" s="453">
        <v>0</v>
      </c>
      <c r="P319" s="487">
        <v>70.37</v>
      </c>
      <c r="Q319" s="453">
        <v>3</v>
      </c>
    </row>
    <row r="320" spans="1:17" x14ac:dyDescent="0.25">
      <c r="A320" s="453">
        <v>6440685</v>
      </c>
      <c r="B320" s="487">
        <v>0</v>
      </c>
      <c r="C320" s="453">
        <v>1</v>
      </c>
      <c r="D320" s="487">
        <v>0</v>
      </c>
      <c r="E320" s="453">
        <v>0</v>
      </c>
      <c r="F320" s="487">
        <v>0</v>
      </c>
      <c r="G320" s="453">
        <v>0</v>
      </c>
      <c r="H320" s="487">
        <v>0</v>
      </c>
      <c r="I320" s="453">
        <v>0</v>
      </c>
      <c r="J320" s="487">
        <v>0</v>
      </c>
      <c r="K320" s="453">
        <v>0</v>
      </c>
      <c r="L320" s="487">
        <v>0</v>
      </c>
      <c r="M320" s="453">
        <v>1</v>
      </c>
      <c r="N320" s="487">
        <v>0</v>
      </c>
      <c r="O320" s="453">
        <v>3</v>
      </c>
      <c r="P320" s="487">
        <v>0</v>
      </c>
      <c r="Q320" s="453">
        <v>5</v>
      </c>
    </row>
    <row r="321" spans="1:17" x14ac:dyDescent="0.25">
      <c r="A321" s="453">
        <v>6440778</v>
      </c>
      <c r="B321" s="487">
        <v>0</v>
      </c>
      <c r="C321" s="453">
        <v>1</v>
      </c>
      <c r="D321" s="487">
        <v>0</v>
      </c>
      <c r="E321" s="453">
        <v>0</v>
      </c>
      <c r="F321" s="487">
        <v>0</v>
      </c>
      <c r="G321" s="453">
        <v>0</v>
      </c>
      <c r="H321" s="487">
        <v>0</v>
      </c>
      <c r="I321" s="453">
        <v>0</v>
      </c>
      <c r="J321" s="487">
        <v>0</v>
      </c>
      <c r="K321" s="453">
        <v>2</v>
      </c>
      <c r="L321" s="487">
        <v>0</v>
      </c>
      <c r="M321" s="453">
        <v>1</v>
      </c>
      <c r="N321" s="487">
        <v>0</v>
      </c>
      <c r="O321" s="453">
        <v>1</v>
      </c>
      <c r="P321" s="487">
        <v>0</v>
      </c>
      <c r="Q321" s="453">
        <v>5</v>
      </c>
    </row>
    <row r="322" spans="1:17" x14ac:dyDescent="0.25">
      <c r="A322" s="453">
        <v>6440775</v>
      </c>
      <c r="B322" s="487">
        <v>0</v>
      </c>
      <c r="C322" s="453">
        <v>3</v>
      </c>
      <c r="D322" s="487">
        <v>0</v>
      </c>
      <c r="E322" s="453">
        <v>1</v>
      </c>
      <c r="F322" s="487">
        <v>0</v>
      </c>
      <c r="G322" s="453">
        <v>3</v>
      </c>
      <c r="H322" s="487">
        <v>0</v>
      </c>
      <c r="I322" s="453">
        <v>88</v>
      </c>
      <c r="J322" s="487">
        <v>0</v>
      </c>
      <c r="K322" s="453">
        <v>12</v>
      </c>
      <c r="L322" s="487">
        <v>0</v>
      </c>
      <c r="M322" s="453">
        <v>14</v>
      </c>
      <c r="N322" s="487">
        <v>0</v>
      </c>
      <c r="O322" s="453">
        <v>5</v>
      </c>
      <c r="P322" s="487">
        <v>0</v>
      </c>
      <c r="Q322" s="453">
        <v>126</v>
      </c>
    </row>
    <row r="323" spans="1:17" x14ac:dyDescent="0.25">
      <c r="A323" s="453">
        <v>6440774</v>
      </c>
      <c r="B323" s="487">
        <v>0</v>
      </c>
      <c r="C323" s="453">
        <v>2</v>
      </c>
      <c r="D323" s="487">
        <v>0</v>
      </c>
      <c r="E323" s="453">
        <v>1</v>
      </c>
      <c r="F323" s="487">
        <v>0</v>
      </c>
      <c r="G323" s="453">
        <v>3</v>
      </c>
      <c r="H323" s="487">
        <v>0</v>
      </c>
      <c r="I323" s="453">
        <v>88</v>
      </c>
      <c r="J323" s="487">
        <v>0</v>
      </c>
      <c r="K323" s="453">
        <v>10</v>
      </c>
      <c r="L323" s="487">
        <v>0</v>
      </c>
      <c r="M323" s="453">
        <v>13</v>
      </c>
      <c r="N323" s="487">
        <v>0</v>
      </c>
      <c r="O323" s="453">
        <v>4</v>
      </c>
      <c r="P323" s="487">
        <v>0</v>
      </c>
      <c r="Q323" s="453">
        <v>121</v>
      </c>
    </row>
    <row r="324" spans="1:17" x14ac:dyDescent="0.25">
      <c r="A324" s="453">
        <v>6440776</v>
      </c>
      <c r="B324" s="487">
        <v>55.98</v>
      </c>
      <c r="C324" s="453">
        <v>2</v>
      </c>
      <c r="D324" s="487">
        <v>27.99</v>
      </c>
      <c r="E324" s="453">
        <v>1</v>
      </c>
      <c r="F324" s="487">
        <v>83.97</v>
      </c>
      <c r="G324" s="453">
        <v>3</v>
      </c>
      <c r="H324" s="487">
        <v>2463.12</v>
      </c>
      <c r="I324" s="453">
        <v>88</v>
      </c>
      <c r="J324" s="487">
        <v>279.89999999999998</v>
      </c>
      <c r="K324" s="453">
        <v>10</v>
      </c>
      <c r="L324" s="487">
        <v>363.87</v>
      </c>
      <c r="M324" s="453">
        <v>13</v>
      </c>
      <c r="N324" s="487">
        <v>111.96</v>
      </c>
      <c r="O324" s="453">
        <v>4</v>
      </c>
      <c r="P324" s="487">
        <v>3386.79</v>
      </c>
      <c r="Q324" s="453">
        <v>121</v>
      </c>
    </row>
    <row r="325" spans="1:17" x14ac:dyDescent="0.25">
      <c r="A325" s="453">
        <v>6440779</v>
      </c>
      <c r="B325" s="487">
        <v>30.79</v>
      </c>
      <c r="C325" s="453">
        <v>1</v>
      </c>
      <c r="D325" s="487">
        <v>0</v>
      </c>
      <c r="E325" s="453">
        <v>0</v>
      </c>
      <c r="F325" s="487">
        <v>0</v>
      </c>
      <c r="G325" s="453">
        <v>0</v>
      </c>
      <c r="H325" s="487">
        <v>0</v>
      </c>
      <c r="I325" s="453">
        <v>0</v>
      </c>
      <c r="J325" s="487">
        <v>58.78</v>
      </c>
      <c r="K325" s="453">
        <v>2</v>
      </c>
      <c r="L325" s="487">
        <v>33.25</v>
      </c>
      <c r="M325" s="453">
        <v>1</v>
      </c>
      <c r="N325" s="487">
        <v>30.79</v>
      </c>
      <c r="O325" s="453">
        <v>1</v>
      </c>
      <c r="P325" s="487">
        <v>153.60999999999999</v>
      </c>
      <c r="Q325" s="453">
        <v>5</v>
      </c>
    </row>
    <row r="326" spans="1:17" x14ac:dyDescent="0.25">
      <c r="A326" s="453">
        <v>6440787</v>
      </c>
      <c r="B326" s="487">
        <v>24.99</v>
      </c>
      <c r="C326" s="453">
        <v>1</v>
      </c>
      <c r="D326" s="487">
        <v>24.99</v>
      </c>
      <c r="E326" s="453">
        <v>1</v>
      </c>
      <c r="F326" s="487">
        <v>24.99</v>
      </c>
      <c r="G326" s="453">
        <v>1</v>
      </c>
      <c r="H326" s="487">
        <v>74.97</v>
      </c>
      <c r="I326" s="453">
        <v>3</v>
      </c>
      <c r="J326" s="487">
        <v>24.99</v>
      </c>
      <c r="K326" s="453">
        <v>1</v>
      </c>
      <c r="L326" s="487">
        <v>149.94</v>
      </c>
      <c r="M326" s="453">
        <v>6</v>
      </c>
      <c r="N326" s="487">
        <v>49.98</v>
      </c>
      <c r="O326" s="453">
        <v>2</v>
      </c>
      <c r="P326" s="487">
        <v>374.85</v>
      </c>
      <c r="Q326" s="453">
        <v>15</v>
      </c>
    </row>
    <row r="327" spans="1:17" x14ac:dyDescent="0.25">
      <c r="A327" s="453">
        <v>6440788</v>
      </c>
      <c r="B327" s="487">
        <v>0</v>
      </c>
      <c r="C327" s="453">
        <v>0</v>
      </c>
      <c r="D327" s="487">
        <v>0</v>
      </c>
      <c r="E327" s="453">
        <v>0</v>
      </c>
      <c r="F327" s="487">
        <v>0</v>
      </c>
      <c r="G327" s="453">
        <v>0</v>
      </c>
      <c r="H327" s="487">
        <v>0</v>
      </c>
      <c r="I327" s="453">
        <v>0</v>
      </c>
      <c r="J327" s="487">
        <v>0</v>
      </c>
      <c r="K327" s="453">
        <v>0</v>
      </c>
      <c r="L327" s="487">
        <v>24.99</v>
      </c>
      <c r="M327" s="453">
        <v>1</v>
      </c>
      <c r="N327" s="487">
        <v>24.99</v>
      </c>
      <c r="O327" s="453">
        <v>1</v>
      </c>
      <c r="P327" s="487">
        <v>49.98</v>
      </c>
      <c r="Q327" s="453">
        <v>2</v>
      </c>
    </row>
    <row r="328" spans="1:17" x14ac:dyDescent="0.25">
      <c r="A328" s="453">
        <v>6440651</v>
      </c>
      <c r="B328" s="487">
        <v>47.98</v>
      </c>
      <c r="C328" s="453">
        <v>2</v>
      </c>
      <c r="D328" s="487">
        <v>47.98</v>
      </c>
      <c r="E328" s="453">
        <v>2</v>
      </c>
      <c r="F328" s="487">
        <v>23.99</v>
      </c>
      <c r="G328" s="453">
        <v>1</v>
      </c>
      <c r="H328" s="487">
        <v>23.99</v>
      </c>
      <c r="I328" s="453">
        <v>1</v>
      </c>
      <c r="J328" s="487">
        <v>71.97</v>
      </c>
      <c r="K328" s="453">
        <v>3</v>
      </c>
      <c r="L328" s="487">
        <v>263.89</v>
      </c>
      <c r="M328" s="453">
        <v>11</v>
      </c>
      <c r="N328" s="487">
        <v>47.98</v>
      </c>
      <c r="O328" s="453">
        <v>2</v>
      </c>
      <c r="P328" s="487">
        <v>527.78</v>
      </c>
      <c r="Q328" s="453">
        <v>22</v>
      </c>
    </row>
    <row r="329" spans="1:17" x14ac:dyDescent="0.25">
      <c r="A329" s="453">
        <v>6440680</v>
      </c>
      <c r="B329" s="487">
        <v>0</v>
      </c>
      <c r="C329" s="453">
        <v>0</v>
      </c>
      <c r="D329" s="487">
        <v>26.12</v>
      </c>
      <c r="E329" s="453">
        <v>1</v>
      </c>
      <c r="F329" s="487">
        <v>0</v>
      </c>
      <c r="G329" s="453">
        <v>0</v>
      </c>
      <c r="H329" s="487">
        <v>26.12</v>
      </c>
      <c r="I329" s="453">
        <v>1</v>
      </c>
      <c r="J329" s="487">
        <v>0</v>
      </c>
      <c r="K329" s="453">
        <v>0</v>
      </c>
      <c r="L329" s="487">
        <v>26.12</v>
      </c>
      <c r="M329" s="453">
        <v>1</v>
      </c>
      <c r="N329" s="487">
        <v>26.12</v>
      </c>
      <c r="O329" s="453">
        <v>1</v>
      </c>
      <c r="P329" s="487">
        <v>104.48</v>
      </c>
      <c r="Q329" s="453">
        <v>4</v>
      </c>
    </row>
    <row r="330" spans="1:17" x14ac:dyDescent="0.25">
      <c r="A330" s="453">
        <v>6440678</v>
      </c>
      <c r="B330" s="487">
        <v>0</v>
      </c>
      <c r="C330" s="453">
        <v>0</v>
      </c>
      <c r="D330" s="487">
        <v>21.99</v>
      </c>
      <c r="E330" s="453">
        <v>1</v>
      </c>
      <c r="F330" s="487">
        <v>21.99</v>
      </c>
      <c r="G330" s="453">
        <v>1</v>
      </c>
      <c r="H330" s="487">
        <v>65.97</v>
      </c>
      <c r="I330" s="453">
        <v>3</v>
      </c>
      <c r="J330" s="487">
        <v>131.94</v>
      </c>
      <c r="K330" s="453">
        <v>6</v>
      </c>
      <c r="L330" s="487">
        <v>197.91</v>
      </c>
      <c r="M330" s="453">
        <v>9</v>
      </c>
      <c r="N330" s="487">
        <v>21.99</v>
      </c>
      <c r="O330" s="453">
        <v>1</v>
      </c>
      <c r="P330" s="487">
        <v>461.78999999999996</v>
      </c>
      <c r="Q330" s="453">
        <v>21</v>
      </c>
    </row>
    <row r="331" spans="1:17" x14ac:dyDescent="0.25">
      <c r="A331" s="453">
        <v>6440679</v>
      </c>
      <c r="B331" s="487">
        <v>0</v>
      </c>
      <c r="C331" s="453">
        <v>0</v>
      </c>
      <c r="D331" s="487">
        <v>24.19</v>
      </c>
      <c r="E331" s="453">
        <v>1</v>
      </c>
      <c r="F331" s="487">
        <v>0</v>
      </c>
      <c r="G331" s="453">
        <v>0</v>
      </c>
      <c r="H331" s="487">
        <v>0</v>
      </c>
      <c r="I331" s="453">
        <v>0</v>
      </c>
      <c r="J331" s="487">
        <v>0</v>
      </c>
      <c r="K331" s="453">
        <v>0</v>
      </c>
      <c r="L331" s="487">
        <v>0</v>
      </c>
      <c r="M331" s="453">
        <v>0</v>
      </c>
      <c r="N331" s="487">
        <v>0</v>
      </c>
      <c r="O331" s="453">
        <v>0</v>
      </c>
      <c r="P331" s="487">
        <v>24.19</v>
      </c>
      <c r="Q331" s="453">
        <v>1</v>
      </c>
    </row>
    <row r="332" spans="1:17" x14ac:dyDescent="0.25">
      <c r="A332" s="453">
        <v>6440683</v>
      </c>
      <c r="B332" s="487">
        <v>0</v>
      </c>
      <c r="C332" s="453">
        <v>1</v>
      </c>
      <c r="D332" s="487">
        <v>0</v>
      </c>
      <c r="E332" s="453">
        <v>0</v>
      </c>
      <c r="F332" s="487">
        <v>0</v>
      </c>
      <c r="G332" s="453">
        <v>0</v>
      </c>
      <c r="H332" s="487">
        <v>0</v>
      </c>
      <c r="I332" s="453">
        <v>0</v>
      </c>
      <c r="J332" s="487">
        <v>0</v>
      </c>
      <c r="K332" s="453">
        <v>0</v>
      </c>
      <c r="L332" s="487">
        <v>0</v>
      </c>
      <c r="M332" s="453">
        <v>1</v>
      </c>
      <c r="N332" s="487">
        <v>0</v>
      </c>
      <c r="O332" s="453">
        <v>0</v>
      </c>
      <c r="P332" s="487">
        <v>0</v>
      </c>
      <c r="Q332" s="453">
        <v>2</v>
      </c>
    </row>
    <row r="333" spans="1:17" x14ac:dyDescent="0.25">
      <c r="A333" s="453">
        <v>6440668</v>
      </c>
      <c r="B333" s="487">
        <v>43.98</v>
      </c>
      <c r="C333" s="453">
        <v>2</v>
      </c>
      <c r="D333" s="487">
        <v>0</v>
      </c>
      <c r="E333" s="453">
        <v>0</v>
      </c>
      <c r="F333" s="487">
        <v>87.96</v>
      </c>
      <c r="G333" s="453">
        <v>4</v>
      </c>
      <c r="H333" s="487">
        <v>0</v>
      </c>
      <c r="I333" s="453">
        <v>0</v>
      </c>
      <c r="J333" s="487">
        <v>0</v>
      </c>
      <c r="K333" s="453">
        <v>0</v>
      </c>
      <c r="L333" s="487">
        <v>87.96</v>
      </c>
      <c r="M333" s="453">
        <v>4</v>
      </c>
      <c r="N333" s="487">
        <v>0</v>
      </c>
      <c r="O333" s="453">
        <v>0</v>
      </c>
      <c r="P333" s="487">
        <v>219.89999999999998</v>
      </c>
      <c r="Q333" s="453">
        <v>10</v>
      </c>
    </row>
    <row r="334" spans="1:17" x14ac:dyDescent="0.25">
      <c r="A334" s="453">
        <v>6440792</v>
      </c>
      <c r="B334" s="487">
        <v>0</v>
      </c>
      <c r="C334" s="453">
        <v>0</v>
      </c>
      <c r="D334" s="487">
        <v>0</v>
      </c>
      <c r="E334" s="453">
        <v>0</v>
      </c>
      <c r="F334" s="487">
        <v>21.99</v>
      </c>
      <c r="G334" s="453">
        <v>1</v>
      </c>
      <c r="H334" s="487">
        <v>26.12</v>
      </c>
      <c r="I334" s="453">
        <v>1</v>
      </c>
      <c r="J334" s="487">
        <v>21.99</v>
      </c>
      <c r="K334" s="453">
        <v>1</v>
      </c>
      <c r="L334" s="487">
        <v>0</v>
      </c>
      <c r="M334" s="453">
        <v>0</v>
      </c>
      <c r="N334" s="487">
        <v>43.98</v>
      </c>
      <c r="O334" s="453">
        <v>2</v>
      </c>
      <c r="P334" s="487">
        <v>114.07999999999998</v>
      </c>
      <c r="Q334" s="453">
        <v>5</v>
      </c>
    </row>
    <row r="335" spans="1:17" x14ac:dyDescent="0.25">
      <c r="A335" s="453">
        <v>6440001</v>
      </c>
      <c r="B335" s="487">
        <v>22.89</v>
      </c>
      <c r="C335" s="453">
        <v>1</v>
      </c>
      <c r="D335" s="487">
        <v>68.67</v>
      </c>
      <c r="E335" s="453">
        <v>3</v>
      </c>
      <c r="F335" s="487">
        <v>137.34</v>
      </c>
      <c r="G335" s="453">
        <v>6</v>
      </c>
      <c r="H335" s="487">
        <v>68.67</v>
      </c>
      <c r="I335" s="453">
        <v>3</v>
      </c>
      <c r="J335" s="487">
        <v>206.01</v>
      </c>
      <c r="K335" s="453">
        <v>9</v>
      </c>
      <c r="L335" s="487">
        <v>320.45999999999998</v>
      </c>
      <c r="M335" s="453">
        <v>14</v>
      </c>
      <c r="N335" s="487">
        <v>45.78</v>
      </c>
      <c r="O335" s="453">
        <v>2</v>
      </c>
      <c r="P335" s="487">
        <v>869.81999999999994</v>
      </c>
      <c r="Q335" s="453">
        <v>38</v>
      </c>
    </row>
    <row r="336" spans="1:17" x14ac:dyDescent="0.25">
      <c r="A336" s="453">
        <v>6440413</v>
      </c>
      <c r="B336" s="487">
        <v>0</v>
      </c>
      <c r="C336" s="453">
        <v>0</v>
      </c>
      <c r="D336" s="487">
        <v>0</v>
      </c>
      <c r="E336" s="453">
        <v>0</v>
      </c>
      <c r="F336" s="487">
        <v>22.89</v>
      </c>
      <c r="G336" s="453">
        <v>1</v>
      </c>
      <c r="H336" s="487">
        <v>0</v>
      </c>
      <c r="I336" s="453">
        <v>0</v>
      </c>
      <c r="J336" s="487">
        <v>22.89</v>
      </c>
      <c r="K336" s="453">
        <v>1</v>
      </c>
      <c r="L336" s="487">
        <v>27.19</v>
      </c>
      <c r="M336" s="453">
        <v>1</v>
      </c>
      <c r="N336" s="487">
        <v>45.78</v>
      </c>
      <c r="O336" s="453">
        <v>2</v>
      </c>
      <c r="P336" s="487">
        <v>118.75</v>
      </c>
      <c r="Q336" s="453">
        <v>5</v>
      </c>
    </row>
    <row r="337" spans="1:17" x14ac:dyDescent="0.25">
      <c r="A337" s="453">
        <v>6440686</v>
      </c>
      <c r="B337" s="487">
        <v>0</v>
      </c>
      <c r="C337" s="453">
        <v>0</v>
      </c>
      <c r="D337" s="487">
        <v>0</v>
      </c>
      <c r="E337" s="453">
        <v>0</v>
      </c>
      <c r="F337" s="487">
        <v>0</v>
      </c>
      <c r="G337" s="453">
        <v>0</v>
      </c>
      <c r="H337" s="487">
        <v>0</v>
      </c>
      <c r="I337" s="453">
        <v>0</v>
      </c>
      <c r="J337" s="487">
        <v>0</v>
      </c>
      <c r="K337" s="453">
        <v>0</v>
      </c>
      <c r="L337" s="487">
        <v>0</v>
      </c>
      <c r="M337" s="453">
        <v>1</v>
      </c>
      <c r="N337" s="487">
        <v>0</v>
      </c>
      <c r="O337" s="453">
        <v>1</v>
      </c>
      <c r="P337" s="487">
        <v>0</v>
      </c>
      <c r="Q337" s="453">
        <v>2</v>
      </c>
    </row>
    <row r="338" spans="1:17" x14ac:dyDescent="0.25">
      <c r="A338" s="453">
        <v>6440808</v>
      </c>
      <c r="B338" s="487">
        <v>0</v>
      </c>
      <c r="C338" s="453">
        <v>0</v>
      </c>
      <c r="D338" s="487">
        <v>51.98</v>
      </c>
      <c r="E338" s="453">
        <v>2</v>
      </c>
      <c r="F338" s="487">
        <v>103.96</v>
      </c>
      <c r="G338" s="453">
        <v>4</v>
      </c>
      <c r="H338" s="487">
        <v>51.98</v>
      </c>
      <c r="I338" s="453">
        <v>2</v>
      </c>
      <c r="J338" s="487">
        <v>51.98</v>
      </c>
      <c r="K338" s="453">
        <v>2</v>
      </c>
      <c r="L338" s="487">
        <v>129.94999999999999</v>
      </c>
      <c r="M338" s="453">
        <v>5</v>
      </c>
      <c r="N338" s="487">
        <v>25.99</v>
      </c>
      <c r="O338" s="453">
        <v>1</v>
      </c>
      <c r="P338" s="487">
        <v>415.84</v>
      </c>
      <c r="Q338" s="453">
        <v>16</v>
      </c>
    </row>
    <row r="339" spans="1:17" x14ac:dyDescent="0.25">
      <c r="A339" s="453">
        <v>6440809</v>
      </c>
      <c r="B339" s="487">
        <v>25.99</v>
      </c>
      <c r="C339" s="453">
        <v>1</v>
      </c>
      <c r="D339" s="487">
        <v>0</v>
      </c>
      <c r="E339" s="453">
        <v>0</v>
      </c>
      <c r="F339" s="487">
        <v>0</v>
      </c>
      <c r="G339" s="453">
        <v>0</v>
      </c>
      <c r="H339" s="487">
        <v>0</v>
      </c>
      <c r="I339" s="453">
        <v>0</v>
      </c>
      <c r="J339" s="487">
        <v>0</v>
      </c>
      <c r="K339" s="453">
        <v>0</v>
      </c>
      <c r="L339" s="487">
        <v>0</v>
      </c>
      <c r="M339" s="453">
        <v>0</v>
      </c>
      <c r="N339" s="487">
        <v>0</v>
      </c>
      <c r="O339" s="453">
        <v>0</v>
      </c>
      <c r="P339" s="487">
        <v>25.99</v>
      </c>
      <c r="Q339" s="453">
        <v>1</v>
      </c>
    </row>
    <row r="340" spans="1:17" x14ac:dyDescent="0.25">
      <c r="A340" s="453">
        <v>6440805</v>
      </c>
      <c r="B340" s="487">
        <v>0</v>
      </c>
      <c r="C340" s="453">
        <v>1</v>
      </c>
      <c r="D340" s="487">
        <v>0</v>
      </c>
      <c r="E340" s="453">
        <v>0</v>
      </c>
      <c r="F340" s="487">
        <v>0</v>
      </c>
      <c r="G340" s="453">
        <v>0</v>
      </c>
      <c r="H340" s="487">
        <v>0</v>
      </c>
      <c r="I340" s="453">
        <v>0</v>
      </c>
      <c r="J340" s="487">
        <v>0</v>
      </c>
      <c r="K340" s="453">
        <v>0</v>
      </c>
      <c r="L340" s="487">
        <v>0</v>
      </c>
      <c r="M340" s="453">
        <v>0</v>
      </c>
      <c r="N340" s="487">
        <v>0</v>
      </c>
      <c r="O340" s="453">
        <v>0</v>
      </c>
      <c r="P340" s="487">
        <v>0</v>
      </c>
      <c r="Q340" s="453">
        <v>1</v>
      </c>
    </row>
    <row r="341" spans="1:17" x14ac:dyDescent="0.25">
      <c r="A341" s="800" t="s">
        <v>1939</v>
      </c>
      <c r="B341" s="485">
        <v>38.97</v>
      </c>
      <c r="C341" s="486">
        <v>3</v>
      </c>
      <c r="D341" s="485">
        <v>44.46</v>
      </c>
      <c r="E341" s="486">
        <v>3</v>
      </c>
      <c r="F341" s="485">
        <v>36.96</v>
      </c>
      <c r="G341" s="486">
        <v>2</v>
      </c>
      <c r="H341" s="485">
        <v>12.99</v>
      </c>
      <c r="I341" s="486">
        <v>1</v>
      </c>
      <c r="J341" s="485">
        <v>57.45</v>
      </c>
      <c r="K341" s="486">
        <v>4</v>
      </c>
      <c r="L341" s="485">
        <v>146.80000000000001</v>
      </c>
      <c r="M341" s="486">
        <v>10</v>
      </c>
      <c r="N341" s="485">
        <v>33.909999999999997</v>
      </c>
      <c r="O341" s="486">
        <v>2</v>
      </c>
      <c r="P341" s="485">
        <v>371.54000000000008</v>
      </c>
      <c r="Q341" s="486">
        <v>25</v>
      </c>
    </row>
    <row r="342" spans="1:17" x14ac:dyDescent="0.25">
      <c r="A342" s="453">
        <v>6410050</v>
      </c>
      <c r="B342" s="487">
        <v>0</v>
      </c>
      <c r="C342" s="453">
        <v>0</v>
      </c>
      <c r="D342" s="487">
        <v>0</v>
      </c>
      <c r="E342" s="453">
        <v>0</v>
      </c>
      <c r="F342" s="487">
        <v>0</v>
      </c>
      <c r="G342" s="453">
        <v>0</v>
      </c>
      <c r="H342" s="487">
        <v>0</v>
      </c>
      <c r="I342" s="453">
        <v>0</v>
      </c>
      <c r="J342" s="487">
        <v>0</v>
      </c>
      <c r="K342" s="453">
        <v>0</v>
      </c>
      <c r="L342" s="487">
        <v>15.43</v>
      </c>
      <c r="M342" s="453">
        <v>1</v>
      </c>
      <c r="N342" s="487">
        <v>15.43</v>
      </c>
      <c r="O342" s="453">
        <v>1</v>
      </c>
      <c r="P342" s="487">
        <v>30.86</v>
      </c>
      <c r="Q342" s="453">
        <v>2</v>
      </c>
    </row>
    <row r="343" spans="1:17" x14ac:dyDescent="0.25">
      <c r="A343" s="453">
        <v>6410013</v>
      </c>
      <c r="B343" s="487">
        <v>0</v>
      </c>
      <c r="C343" s="453">
        <v>0</v>
      </c>
      <c r="D343" s="487">
        <v>18.48</v>
      </c>
      <c r="E343" s="453">
        <v>1</v>
      </c>
      <c r="F343" s="487">
        <v>36.96</v>
      </c>
      <c r="G343" s="453">
        <v>2</v>
      </c>
      <c r="H343" s="487">
        <v>0</v>
      </c>
      <c r="I343" s="453">
        <v>0</v>
      </c>
      <c r="J343" s="487">
        <v>18.48</v>
      </c>
      <c r="K343" s="453">
        <v>1</v>
      </c>
      <c r="L343" s="487">
        <v>73.92</v>
      </c>
      <c r="M343" s="453">
        <v>4</v>
      </c>
      <c r="N343" s="487">
        <v>18.48</v>
      </c>
      <c r="O343" s="453">
        <v>1</v>
      </c>
      <c r="P343" s="487">
        <v>166.32</v>
      </c>
      <c r="Q343" s="453">
        <v>9</v>
      </c>
    </row>
    <row r="344" spans="1:17" x14ac:dyDescent="0.25">
      <c r="A344" s="453">
        <v>6410049</v>
      </c>
      <c r="B344" s="487">
        <v>0</v>
      </c>
      <c r="C344" s="453">
        <v>0</v>
      </c>
      <c r="D344" s="487">
        <v>0</v>
      </c>
      <c r="E344" s="453">
        <v>0</v>
      </c>
      <c r="F344" s="487">
        <v>0</v>
      </c>
      <c r="G344" s="453">
        <v>0</v>
      </c>
      <c r="H344" s="487">
        <v>0</v>
      </c>
      <c r="I344" s="453">
        <v>0</v>
      </c>
      <c r="J344" s="487">
        <v>12.99</v>
      </c>
      <c r="K344" s="453">
        <v>1</v>
      </c>
      <c r="L344" s="487">
        <v>0</v>
      </c>
      <c r="M344" s="453">
        <v>0</v>
      </c>
      <c r="N344" s="487">
        <v>0</v>
      </c>
      <c r="O344" s="453">
        <v>0</v>
      </c>
      <c r="P344" s="487">
        <v>12.99</v>
      </c>
      <c r="Q344" s="453">
        <v>1</v>
      </c>
    </row>
    <row r="345" spans="1:17" x14ac:dyDescent="0.25">
      <c r="A345" s="453">
        <v>6410014</v>
      </c>
      <c r="B345" s="487">
        <v>0</v>
      </c>
      <c r="C345" s="453">
        <v>0</v>
      </c>
      <c r="D345" s="487">
        <v>0</v>
      </c>
      <c r="E345" s="453">
        <v>0</v>
      </c>
      <c r="F345" s="487">
        <v>0</v>
      </c>
      <c r="G345" s="453">
        <v>0</v>
      </c>
      <c r="H345" s="487">
        <v>0</v>
      </c>
      <c r="I345" s="453">
        <v>0</v>
      </c>
      <c r="J345" s="487">
        <v>0</v>
      </c>
      <c r="K345" s="453">
        <v>0</v>
      </c>
      <c r="L345" s="487">
        <v>18.48</v>
      </c>
      <c r="M345" s="453">
        <v>1</v>
      </c>
      <c r="N345" s="487">
        <v>0</v>
      </c>
      <c r="O345" s="453">
        <v>0</v>
      </c>
      <c r="P345" s="487">
        <v>18.48</v>
      </c>
      <c r="Q345" s="453">
        <v>1</v>
      </c>
    </row>
    <row r="346" spans="1:17" x14ac:dyDescent="0.25">
      <c r="A346" s="453">
        <v>6440646</v>
      </c>
      <c r="B346" s="487">
        <v>0</v>
      </c>
      <c r="C346" s="453">
        <v>0</v>
      </c>
      <c r="D346" s="487">
        <v>0</v>
      </c>
      <c r="E346" s="453">
        <v>0</v>
      </c>
      <c r="F346" s="487">
        <v>0</v>
      </c>
      <c r="G346" s="453">
        <v>0</v>
      </c>
      <c r="H346" s="487">
        <v>0</v>
      </c>
      <c r="I346" s="453">
        <v>0</v>
      </c>
      <c r="J346" s="487">
        <v>0</v>
      </c>
      <c r="K346" s="453">
        <v>0</v>
      </c>
      <c r="L346" s="487">
        <v>0</v>
      </c>
      <c r="M346" s="453">
        <v>1</v>
      </c>
      <c r="N346" s="487">
        <v>0</v>
      </c>
      <c r="O346" s="453">
        <v>0</v>
      </c>
      <c r="P346" s="487">
        <v>0</v>
      </c>
      <c r="Q346" s="453">
        <v>1</v>
      </c>
    </row>
    <row r="347" spans="1:17" x14ac:dyDescent="0.25">
      <c r="A347" s="453">
        <v>6410004</v>
      </c>
      <c r="B347" s="487">
        <v>38.97</v>
      </c>
      <c r="C347" s="453">
        <v>3</v>
      </c>
      <c r="D347" s="487">
        <v>25.98</v>
      </c>
      <c r="E347" s="453">
        <v>2</v>
      </c>
      <c r="F347" s="487">
        <v>0</v>
      </c>
      <c r="G347" s="453">
        <v>0</v>
      </c>
      <c r="H347" s="487">
        <v>12.99</v>
      </c>
      <c r="I347" s="453">
        <v>1</v>
      </c>
      <c r="J347" s="487">
        <v>12.99</v>
      </c>
      <c r="K347" s="453">
        <v>1</v>
      </c>
      <c r="L347" s="487">
        <v>38.97</v>
      </c>
      <c r="M347" s="453">
        <v>3</v>
      </c>
      <c r="N347" s="487">
        <v>0</v>
      </c>
      <c r="O347" s="453">
        <v>0</v>
      </c>
      <c r="P347" s="487">
        <v>129.89999999999998</v>
      </c>
      <c r="Q347" s="453">
        <v>10</v>
      </c>
    </row>
    <row r="348" spans="1:17" x14ac:dyDescent="0.25">
      <c r="A348" s="453">
        <v>6410003</v>
      </c>
      <c r="B348" s="487">
        <v>0</v>
      </c>
      <c r="C348" s="453">
        <v>0</v>
      </c>
      <c r="D348" s="487">
        <v>0</v>
      </c>
      <c r="E348" s="453">
        <v>0</v>
      </c>
      <c r="F348" s="487">
        <v>0</v>
      </c>
      <c r="G348" s="453">
        <v>0</v>
      </c>
      <c r="H348" s="487">
        <v>0</v>
      </c>
      <c r="I348" s="453">
        <v>0</v>
      </c>
      <c r="J348" s="487">
        <v>12.99</v>
      </c>
      <c r="K348" s="453">
        <v>1</v>
      </c>
      <c r="L348" s="487">
        <v>0</v>
      </c>
      <c r="M348" s="453">
        <v>0</v>
      </c>
      <c r="N348" s="487">
        <v>0</v>
      </c>
      <c r="O348" s="453">
        <v>0</v>
      </c>
      <c r="P348" s="487">
        <v>12.99</v>
      </c>
      <c r="Q348" s="453">
        <v>1</v>
      </c>
    </row>
    <row r="349" spans="1:17" x14ac:dyDescent="0.25">
      <c r="A349" s="800" t="s">
        <v>1939</v>
      </c>
      <c r="B349" s="485">
        <v>49.45</v>
      </c>
      <c r="C349" s="486">
        <v>5</v>
      </c>
      <c r="D349" s="485">
        <v>20.48</v>
      </c>
      <c r="E349" s="486">
        <v>15</v>
      </c>
      <c r="F349" s="485">
        <v>166.63</v>
      </c>
      <c r="G349" s="486">
        <v>17</v>
      </c>
      <c r="H349" s="485">
        <v>26.97</v>
      </c>
      <c r="I349" s="486">
        <v>3</v>
      </c>
      <c r="J349" s="485">
        <v>280.60999999999996</v>
      </c>
      <c r="K349" s="486">
        <v>29</v>
      </c>
      <c r="L349" s="485">
        <v>278.18</v>
      </c>
      <c r="M349" s="486">
        <v>29</v>
      </c>
      <c r="N349" s="485">
        <v>322.56000000000006</v>
      </c>
      <c r="O349" s="486">
        <v>34</v>
      </c>
      <c r="P349" s="485">
        <v>1144.8800000000001</v>
      </c>
      <c r="Q349" s="486">
        <v>132</v>
      </c>
    </row>
    <row r="350" spans="1:17" x14ac:dyDescent="0.25">
      <c r="A350" s="453">
        <v>6460238</v>
      </c>
      <c r="B350" s="487">
        <v>0</v>
      </c>
      <c r="C350" s="453">
        <v>0</v>
      </c>
      <c r="D350" s="487">
        <v>2</v>
      </c>
      <c r="E350" s="453">
        <v>1</v>
      </c>
      <c r="F350" s="487">
        <v>0</v>
      </c>
      <c r="G350" s="453">
        <v>0</v>
      </c>
      <c r="H350" s="487">
        <v>0</v>
      </c>
      <c r="I350" s="453">
        <v>0</v>
      </c>
      <c r="J350" s="487">
        <v>0</v>
      </c>
      <c r="K350" s="453">
        <v>0</v>
      </c>
      <c r="L350" s="487">
        <v>0</v>
      </c>
      <c r="M350" s="453">
        <v>0</v>
      </c>
      <c r="N350" s="487">
        <v>0</v>
      </c>
      <c r="O350" s="453">
        <v>0</v>
      </c>
      <c r="P350" s="487">
        <v>2</v>
      </c>
      <c r="Q350" s="453">
        <v>1</v>
      </c>
    </row>
    <row r="351" spans="1:17" x14ac:dyDescent="0.25">
      <c r="A351" s="453">
        <v>6460007</v>
      </c>
      <c r="B351" s="487">
        <v>8.99</v>
      </c>
      <c r="C351" s="453">
        <v>1</v>
      </c>
      <c r="D351" s="487">
        <v>0</v>
      </c>
      <c r="E351" s="453">
        <v>0</v>
      </c>
      <c r="F351" s="487">
        <v>17.98</v>
      </c>
      <c r="G351" s="453">
        <v>2</v>
      </c>
      <c r="H351" s="487">
        <v>17.98</v>
      </c>
      <c r="I351" s="453">
        <v>2</v>
      </c>
      <c r="J351" s="487">
        <v>8.99</v>
      </c>
      <c r="K351" s="453">
        <v>1</v>
      </c>
      <c r="L351" s="487">
        <v>26.97</v>
      </c>
      <c r="M351" s="453">
        <v>3</v>
      </c>
      <c r="N351" s="487">
        <v>35.96</v>
      </c>
      <c r="O351" s="453">
        <v>4</v>
      </c>
      <c r="P351" s="487">
        <v>116.87</v>
      </c>
      <c r="Q351" s="453">
        <v>13</v>
      </c>
    </row>
    <row r="352" spans="1:17" x14ac:dyDescent="0.25">
      <c r="A352" s="453">
        <v>6460117</v>
      </c>
      <c r="B352" s="487">
        <v>0</v>
      </c>
      <c r="C352" s="453">
        <v>0</v>
      </c>
      <c r="D352" s="487">
        <v>0</v>
      </c>
      <c r="E352" s="453">
        <v>0</v>
      </c>
      <c r="F352" s="487">
        <v>28.77</v>
      </c>
      <c r="G352" s="453">
        <v>3</v>
      </c>
      <c r="H352" s="487">
        <v>0</v>
      </c>
      <c r="I352" s="453">
        <v>0</v>
      </c>
      <c r="J352" s="487">
        <v>18.88</v>
      </c>
      <c r="K352" s="453">
        <v>2</v>
      </c>
      <c r="L352" s="487">
        <v>10.68</v>
      </c>
      <c r="M352" s="453">
        <v>1</v>
      </c>
      <c r="N352" s="487">
        <v>9.89</v>
      </c>
      <c r="O352" s="453">
        <v>1</v>
      </c>
      <c r="P352" s="487">
        <v>68.22</v>
      </c>
      <c r="Q352" s="453">
        <v>7</v>
      </c>
    </row>
    <row r="353" spans="1:17" x14ac:dyDescent="0.25">
      <c r="A353" s="453">
        <v>6460235</v>
      </c>
      <c r="B353" s="487">
        <v>0</v>
      </c>
      <c r="C353" s="453">
        <v>0</v>
      </c>
      <c r="D353" s="487">
        <v>8.99</v>
      </c>
      <c r="E353" s="453">
        <v>1</v>
      </c>
      <c r="F353" s="487">
        <v>0</v>
      </c>
      <c r="G353" s="453">
        <v>0</v>
      </c>
      <c r="H353" s="487">
        <v>0</v>
      </c>
      <c r="I353" s="453">
        <v>0</v>
      </c>
      <c r="J353" s="487">
        <v>0</v>
      </c>
      <c r="K353" s="453">
        <v>0</v>
      </c>
      <c r="L353" s="487">
        <v>0</v>
      </c>
      <c r="M353" s="453">
        <v>0</v>
      </c>
      <c r="N353" s="487">
        <v>0</v>
      </c>
      <c r="O353" s="453">
        <v>0</v>
      </c>
      <c r="P353" s="487">
        <v>8.99</v>
      </c>
      <c r="Q353" s="453">
        <v>1</v>
      </c>
    </row>
    <row r="354" spans="1:17" x14ac:dyDescent="0.25">
      <c r="A354" s="453">
        <v>6460237</v>
      </c>
      <c r="B354" s="487">
        <v>0</v>
      </c>
      <c r="C354" s="453">
        <v>0</v>
      </c>
      <c r="D354" s="487">
        <v>0</v>
      </c>
      <c r="E354" s="453">
        <v>0</v>
      </c>
      <c r="F354" s="487">
        <v>0</v>
      </c>
      <c r="G354" s="453">
        <v>0</v>
      </c>
      <c r="H354" s="487">
        <v>0</v>
      </c>
      <c r="I354" s="453">
        <v>0</v>
      </c>
      <c r="J354" s="487">
        <v>0</v>
      </c>
      <c r="K354" s="453">
        <v>0</v>
      </c>
      <c r="L354" s="487">
        <v>8.99</v>
      </c>
      <c r="M354" s="453">
        <v>1</v>
      </c>
      <c r="N354" s="487">
        <v>8.99</v>
      </c>
      <c r="O354" s="453">
        <v>1</v>
      </c>
      <c r="P354" s="487">
        <v>17.98</v>
      </c>
      <c r="Q354" s="453">
        <v>2</v>
      </c>
    </row>
    <row r="355" spans="1:17" x14ac:dyDescent="0.25">
      <c r="A355" s="453">
        <v>6460112</v>
      </c>
      <c r="B355" s="487">
        <v>9.49</v>
      </c>
      <c r="C355" s="453">
        <v>1</v>
      </c>
      <c r="D355" s="487">
        <v>0</v>
      </c>
      <c r="E355" s="453">
        <v>0</v>
      </c>
      <c r="F355" s="487">
        <v>37.96</v>
      </c>
      <c r="G355" s="453">
        <v>4</v>
      </c>
      <c r="H355" s="487">
        <v>0</v>
      </c>
      <c r="I355" s="453">
        <v>0</v>
      </c>
      <c r="J355" s="487">
        <v>75.92</v>
      </c>
      <c r="K355" s="453">
        <v>8</v>
      </c>
      <c r="L355" s="487">
        <v>113.88</v>
      </c>
      <c r="M355" s="453">
        <v>12</v>
      </c>
      <c r="N355" s="487">
        <v>170.82</v>
      </c>
      <c r="O355" s="453">
        <v>18</v>
      </c>
      <c r="P355" s="487">
        <v>408.07</v>
      </c>
      <c r="Q355" s="453">
        <v>43</v>
      </c>
    </row>
    <row r="356" spans="1:17" x14ac:dyDescent="0.25">
      <c r="A356" s="453">
        <v>6460125</v>
      </c>
      <c r="B356" s="487">
        <v>0</v>
      </c>
      <c r="C356" s="453">
        <v>0</v>
      </c>
      <c r="D356" s="487">
        <v>0</v>
      </c>
      <c r="E356" s="453">
        <v>0</v>
      </c>
      <c r="F356" s="487">
        <v>0</v>
      </c>
      <c r="G356" s="453">
        <v>0</v>
      </c>
      <c r="H356" s="487">
        <v>0</v>
      </c>
      <c r="I356" s="453">
        <v>0</v>
      </c>
      <c r="J356" s="487">
        <v>9.49</v>
      </c>
      <c r="K356" s="453">
        <v>1</v>
      </c>
      <c r="L356" s="487">
        <v>11.27</v>
      </c>
      <c r="M356" s="453">
        <v>1</v>
      </c>
      <c r="N356" s="487">
        <v>9.49</v>
      </c>
      <c r="O356" s="453">
        <v>1</v>
      </c>
      <c r="P356" s="487">
        <v>30.25</v>
      </c>
      <c r="Q356" s="453">
        <v>3</v>
      </c>
    </row>
    <row r="357" spans="1:17" x14ac:dyDescent="0.25">
      <c r="A357" s="453">
        <v>6460005</v>
      </c>
      <c r="B357" s="487">
        <v>8.99</v>
      </c>
      <c r="C357" s="453">
        <v>1</v>
      </c>
      <c r="D357" s="487">
        <v>0</v>
      </c>
      <c r="E357" s="453">
        <v>0</v>
      </c>
      <c r="F357" s="487">
        <v>26.97</v>
      </c>
      <c r="G357" s="453">
        <v>3</v>
      </c>
      <c r="H357" s="487">
        <v>8.99</v>
      </c>
      <c r="I357" s="453">
        <v>1</v>
      </c>
      <c r="J357" s="487">
        <v>53.94</v>
      </c>
      <c r="K357" s="453">
        <v>6</v>
      </c>
      <c r="L357" s="487">
        <v>44.95</v>
      </c>
      <c r="M357" s="453">
        <v>5</v>
      </c>
      <c r="N357" s="487">
        <v>44.95</v>
      </c>
      <c r="O357" s="453">
        <v>5</v>
      </c>
      <c r="P357" s="487">
        <v>188.79000000000002</v>
      </c>
      <c r="Q357" s="453">
        <v>21</v>
      </c>
    </row>
    <row r="358" spans="1:17" x14ac:dyDescent="0.25">
      <c r="A358" s="453">
        <v>6460201</v>
      </c>
      <c r="B358" s="487">
        <v>0</v>
      </c>
      <c r="C358" s="453">
        <v>0</v>
      </c>
      <c r="D358" s="487">
        <v>0</v>
      </c>
      <c r="E358" s="453">
        <v>4</v>
      </c>
      <c r="F358" s="487">
        <v>0</v>
      </c>
      <c r="G358" s="453">
        <v>0</v>
      </c>
      <c r="H358" s="487">
        <v>0</v>
      </c>
      <c r="I358" s="453">
        <v>0</v>
      </c>
      <c r="J358" s="487">
        <v>0</v>
      </c>
      <c r="K358" s="453">
        <v>0</v>
      </c>
      <c r="L358" s="487">
        <v>0</v>
      </c>
      <c r="M358" s="453">
        <v>0</v>
      </c>
      <c r="N358" s="487">
        <v>0</v>
      </c>
      <c r="O358" s="453">
        <v>0</v>
      </c>
      <c r="P358" s="487">
        <v>0</v>
      </c>
      <c r="Q358" s="453">
        <v>4</v>
      </c>
    </row>
    <row r="359" spans="1:17" x14ac:dyDescent="0.25">
      <c r="A359" s="453">
        <v>6460059</v>
      </c>
      <c r="B359" s="487">
        <v>0</v>
      </c>
      <c r="C359" s="453">
        <v>0</v>
      </c>
      <c r="D359" s="487">
        <v>0</v>
      </c>
      <c r="E359" s="453">
        <v>1</v>
      </c>
      <c r="F359" s="487">
        <v>0</v>
      </c>
      <c r="G359" s="453">
        <v>0</v>
      </c>
      <c r="H359" s="487">
        <v>0</v>
      </c>
      <c r="I359" s="453">
        <v>0</v>
      </c>
      <c r="J359" s="487">
        <v>0</v>
      </c>
      <c r="K359" s="453">
        <v>0</v>
      </c>
      <c r="L359" s="487">
        <v>0</v>
      </c>
      <c r="M359" s="453">
        <v>0</v>
      </c>
      <c r="N359" s="487">
        <v>0</v>
      </c>
      <c r="O359" s="453">
        <v>0</v>
      </c>
      <c r="P359" s="487">
        <v>0</v>
      </c>
      <c r="Q359" s="453">
        <v>1</v>
      </c>
    </row>
    <row r="360" spans="1:17" x14ac:dyDescent="0.25">
      <c r="A360" s="453">
        <v>6460113</v>
      </c>
      <c r="B360" s="487">
        <v>0</v>
      </c>
      <c r="C360" s="453">
        <v>0</v>
      </c>
      <c r="D360" s="487">
        <v>0</v>
      </c>
      <c r="E360" s="453">
        <v>1</v>
      </c>
      <c r="F360" s="487">
        <v>0</v>
      </c>
      <c r="G360" s="453">
        <v>0</v>
      </c>
      <c r="H360" s="487">
        <v>0</v>
      </c>
      <c r="I360" s="453">
        <v>0</v>
      </c>
      <c r="J360" s="487">
        <v>0</v>
      </c>
      <c r="K360" s="453">
        <v>0</v>
      </c>
      <c r="L360" s="487">
        <v>0</v>
      </c>
      <c r="M360" s="453">
        <v>0</v>
      </c>
      <c r="N360" s="487">
        <v>0</v>
      </c>
      <c r="O360" s="453">
        <v>0</v>
      </c>
      <c r="P360" s="487">
        <v>0</v>
      </c>
      <c r="Q360" s="453">
        <v>1</v>
      </c>
    </row>
    <row r="361" spans="1:17" x14ac:dyDescent="0.25">
      <c r="A361" s="453">
        <v>6460057</v>
      </c>
      <c r="B361" s="487">
        <v>0</v>
      </c>
      <c r="C361" s="453">
        <v>0</v>
      </c>
      <c r="D361" s="487">
        <v>0</v>
      </c>
      <c r="E361" s="453">
        <v>1</v>
      </c>
      <c r="F361" s="487">
        <v>0</v>
      </c>
      <c r="G361" s="453">
        <v>0</v>
      </c>
      <c r="H361" s="487">
        <v>0</v>
      </c>
      <c r="I361" s="453">
        <v>0</v>
      </c>
      <c r="J361" s="487">
        <v>0</v>
      </c>
      <c r="K361" s="453">
        <v>0</v>
      </c>
      <c r="L361" s="487">
        <v>0</v>
      </c>
      <c r="M361" s="453">
        <v>0</v>
      </c>
      <c r="N361" s="487">
        <v>0</v>
      </c>
      <c r="O361" s="453">
        <v>0</v>
      </c>
      <c r="P361" s="487">
        <v>0</v>
      </c>
      <c r="Q361" s="453">
        <v>1</v>
      </c>
    </row>
    <row r="362" spans="1:17" x14ac:dyDescent="0.25">
      <c r="A362" s="453">
        <v>6460353</v>
      </c>
      <c r="B362" s="487">
        <v>0</v>
      </c>
      <c r="C362" s="453">
        <v>0</v>
      </c>
      <c r="D362" s="487">
        <v>0</v>
      </c>
      <c r="E362" s="453">
        <v>5</v>
      </c>
      <c r="F362" s="487">
        <v>0</v>
      </c>
      <c r="G362" s="453">
        <v>0</v>
      </c>
      <c r="H362" s="487">
        <v>0</v>
      </c>
      <c r="I362" s="453">
        <v>0</v>
      </c>
      <c r="J362" s="487">
        <v>0</v>
      </c>
      <c r="K362" s="453">
        <v>0</v>
      </c>
      <c r="L362" s="487">
        <v>0</v>
      </c>
      <c r="M362" s="453">
        <v>0</v>
      </c>
      <c r="N362" s="487">
        <v>0</v>
      </c>
      <c r="O362" s="453">
        <v>0</v>
      </c>
      <c r="P362" s="487">
        <v>0</v>
      </c>
      <c r="Q362" s="453">
        <v>5</v>
      </c>
    </row>
    <row r="363" spans="1:17" x14ac:dyDescent="0.25">
      <c r="A363" s="453">
        <v>6460191</v>
      </c>
      <c r="B363" s="487">
        <v>0</v>
      </c>
      <c r="C363" s="453">
        <v>0</v>
      </c>
      <c r="D363" s="487">
        <v>9.49</v>
      </c>
      <c r="E363" s="453">
        <v>1</v>
      </c>
      <c r="F363" s="487">
        <v>0</v>
      </c>
      <c r="G363" s="453">
        <v>0</v>
      </c>
      <c r="H363" s="487">
        <v>0</v>
      </c>
      <c r="I363" s="453">
        <v>0</v>
      </c>
      <c r="J363" s="487">
        <v>47.45</v>
      </c>
      <c r="K363" s="453">
        <v>5</v>
      </c>
      <c r="L363" s="487">
        <v>28.47</v>
      </c>
      <c r="M363" s="453">
        <v>3</v>
      </c>
      <c r="N363" s="487">
        <v>9.49</v>
      </c>
      <c r="O363" s="453">
        <v>1</v>
      </c>
      <c r="P363" s="487">
        <v>94.899999999999991</v>
      </c>
      <c r="Q363" s="453">
        <v>10</v>
      </c>
    </row>
    <row r="364" spans="1:17" x14ac:dyDescent="0.25">
      <c r="A364" s="453">
        <v>6460342</v>
      </c>
      <c r="B364" s="487">
        <v>21.98</v>
      </c>
      <c r="C364" s="453">
        <v>2</v>
      </c>
      <c r="D364" s="487">
        <v>0</v>
      </c>
      <c r="E364" s="453">
        <v>0</v>
      </c>
      <c r="F364" s="487">
        <v>32.97</v>
      </c>
      <c r="G364" s="453">
        <v>3</v>
      </c>
      <c r="H364" s="487">
        <v>0</v>
      </c>
      <c r="I364" s="453">
        <v>0</v>
      </c>
      <c r="J364" s="487">
        <v>43.96</v>
      </c>
      <c r="K364" s="453">
        <v>4</v>
      </c>
      <c r="L364" s="487">
        <v>32.97</v>
      </c>
      <c r="M364" s="453">
        <v>3</v>
      </c>
      <c r="N364" s="487">
        <v>32.97</v>
      </c>
      <c r="O364" s="453">
        <v>3</v>
      </c>
      <c r="P364" s="487">
        <v>164.85</v>
      </c>
      <c r="Q364" s="453">
        <v>15</v>
      </c>
    </row>
    <row r="365" spans="1:17" x14ac:dyDescent="0.25">
      <c r="A365" s="453">
        <v>6460348</v>
      </c>
      <c r="B365" s="487">
        <v>0</v>
      </c>
      <c r="C365" s="453">
        <v>0</v>
      </c>
      <c r="D365" s="487">
        <v>0</v>
      </c>
      <c r="E365" s="453">
        <v>0</v>
      </c>
      <c r="F365" s="487">
        <v>21.98</v>
      </c>
      <c r="G365" s="453">
        <v>2</v>
      </c>
      <c r="H365" s="487">
        <v>0</v>
      </c>
      <c r="I365" s="453">
        <v>0</v>
      </c>
      <c r="J365" s="487">
        <v>21.98</v>
      </c>
      <c r="K365" s="453">
        <v>2</v>
      </c>
      <c r="L365" s="487">
        <v>0</v>
      </c>
      <c r="M365" s="453">
        <v>0</v>
      </c>
      <c r="N365" s="487">
        <v>0</v>
      </c>
      <c r="O365" s="453">
        <v>0</v>
      </c>
      <c r="P365" s="487">
        <v>43.96</v>
      </c>
      <c r="Q365" s="453">
        <v>4</v>
      </c>
    </row>
    <row r="366" spans="1:17" x14ac:dyDescent="0.25">
      <c r="A366" s="800" t="s">
        <v>1939</v>
      </c>
      <c r="B366" s="485">
        <v>13.46</v>
      </c>
      <c r="C366" s="486">
        <v>225</v>
      </c>
      <c r="D366" s="485">
        <v>16.75</v>
      </c>
      <c r="E366" s="486">
        <v>293</v>
      </c>
      <c r="F366" s="485">
        <v>34.480000000000004</v>
      </c>
      <c r="G366" s="486">
        <v>317</v>
      </c>
      <c r="H366" s="485">
        <v>20.55</v>
      </c>
      <c r="I366" s="486">
        <v>503</v>
      </c>
      <c r="J366" s="485">
        <v>54.850000000000009</v>
      </c>
      <c r="K366" s="486">
        <v>865</v>
      </c>
      <c r="L366" s="485">
        <v>88.889999999999986</v>
      </c>
      <c r="M366" s="486">
        <v>1107</v>
      </c>
      <c r="N366" s="485">
        <v>53.19</v>
      </c>
      <c r="O366" s="486">
        <v>415</v>
      </c>
      <c r="P366" s="485">
        <v>282.16999999999996</v>
      </c>
      <c r="Q366" s="486">
        <v>3725</v>
      </c>
    </row>
    <row r="367" spans="1:17" x14ac:dyDescent="0.25">
      <c r="A367" s="800" t="s">
        <v>1939</v>
      </c>
      <c r="B367" s="485">
        <v>13.46</v>
      </c>
      <c r="C367" s="486">
        <v>174</v>
      </c>
      <c r="D367" s="485">
        <v>16.75</v>
      </c>
      <c r="E367" s="486">
        <v>224</v>
      </c>
      <c r="F367" s="485">
        <v>34.480000000000004</v>
      </c>
      <c r="G367" s="486">
        <v>246</v>
      </c>
      <c r="H367" s="485">
        <v>20.55</v>
      </c>
      <c r="I367" s="486">
        <v>385</v>
      </c>
      <c r="J367" s="485">
        <v>54.850000000000009</v>
      </c>
      <c r="K367" s="486">
        <v>667</v>
      </c>
      <c r="L367" s="485">
        <v>88.889999999999986</v>
      </c>
      <c r="M367" s="486">
        <v>817</v>
      </c>
      <c r="N367" s="485">
        <v>53.19</v>
      </c>
      <c r="O367" s="486">
        <v>301</v>
      </c>
      <c r="P367" s="485">
        <v>282.16999999999996</v>
      </c>
      <c r="Q367" s="486">
        <v>2814</v>
      </c>
    </row>
    <row r="368" spans="1:17" x14ac:dyDescent="0.25">
      <c r="A368" s="453">
        <v>6490193</v>
      </c>
      <c r="B368" s="487">
        <v>0</v>
      </c>
      <c r="C368" s="453">
        <v>17</v>
      </c>
      <c r="D368" s="487">
        <v>0</v>
      </c>
      <c r="E368" s="453">
        <v>25</v>
      </c>
      <c r="F368" s="487">
        <v>0</v>
      </c>
      <c r="G368" s="453">
        <v>11</v>
      </c>
      <c r="H368" s="487">
        <v>0</v>
      </c>
      <c r="I368" s="453">
        <v>9</v>
      </c>
      <c r="J368" s="487">
        <v>0</v>
      </c>
      <c r="K368" s="453">
        <v>110</v>
      </c>
      <c r="L368" s="487">
        <v>0</v>
      </c>
      <c r="M368" s="453">
        <v>161</v>
      </c>
      <c r="N368" s="487">
        <v>0</v>
      </c>
      <c r="O368" s="453">
        <v>31</v>
      </c>
      <c r="P368" s="487">
        <v>0</v>
      </c>
      <c r="Q368" s="453">
        <v>364</v>
      </c>
    </row>
    <row r="369" spans="1:17" x14ac:dyDescent="0.25">
      <c r="A369" s="453">
        <v>6490263</v>
      </c>
      <c r="B369" s="487">
        <v>0</v>
      </c>
      <c r="C369" s="453">
        <v>0</v>
      </c>
      <c r="D369" s="487">
        <v>0</v>
      </c>
      <c r="E369" s="453">
        <v>0</v>
      </c>
      <c r="F369" s="487">
        <v>0</v>
      </c>
      <c r="G369" s="453">
        <v>0</v>
      </c>
      <c r="H369" s="487">
        <v>0</v>
      </c>
      <c r="I369" s="453">
        <v>5</v>
      </c>
      <c r="J369" s="487">
        <v>0</v>
      </c>
      <c r="K369" s="453">
        <v>4</v>
      </c>
      <c r="L369" s="487">
        <v>0</v>
      </c>
      <c r="M369" s="453">
        <v>0</v>
      </c>
      <c r="N369" s="487">
        <v>0</v>
      </c>
      <c r="O369" s="453">
        <v>2</v>
      </c>
      <c r="P369" s="487">
        <v>0</v>
      </c>
      <c r="Q369" s="453">
        <v>11</v>
      </c>
    </row>
    <row r="370" spans="1:17" x14ac:dyDescent="0.25">
      <c r="A370" s="453">
        <v>6490065</v>
      </c>
      <c r="B370" s="487">
        <v>0</v>
      </c>
      <c r="C370" s="453">
        <v>0</v>
      </c>
      <c r="D370" s="487">
        <v>0</v>
      </c>
      <c r="E370" s="453">
        <v>8</v>
      </c>
      <c r="F370" s="487">
        <v>0</v>
      </c>
      <c r="G370" s="453">
        <v>1</v>
      </c>
      <c r="H370" s="487">
        <v>0</v>
      </c>
      <c r="I370" s="453">
        <v>2</v>
      </c>
      <c r="J370" s="487">
        <v>0</v>
      </c>
      <c r="K370" s="453">
        <v>0</v>
      </c>
      <c r="L370" s="487">
        <v>0</v>
      </c>
      <c r="M370" s="453">
        <v>2</v>
      </c>
      <c r="N370" s="487">
        <v>0</v>
      </c>
      <c r="O370" s="453">
        <v>0</v>
      </c>
      <c r="P370" s="487">
        <v>0</v>
      </c>
      <c r="Q370" s="453">
        <v>13</v>
      </c>
    </row>
    <row r="371" spans="1:17" x14ac:dyDescent="0.25">
      <c r="A371" s="453">
        <v>6490066</v>
      </c>
      <c r="B371" s="487">
        <v>0</v>
      </c>
      <c r="C371" s="453">
        <v>0</v>
      </c>
      <c r="D371" s="487">
        <v>0</v>
      </c>
      <c r="E371" s="453">
        <v>0</v>
      </c>
      <c r="F371" s="487">
        <v>0</v>
      </c>
      <c r="G371" s="453">
        <v>0</v>
      </c>
      <c r="H371" s="487">
        <v>0</v>
      </c>
      <c r="I371" s="453">
        <v>0</v>
      </c>
      <c r="J371" s="487">
        <v>0</v>
      </c>
      <c r="K371" s="453">
        <v>1</v>
      </c>
      <c r="L371" s="487">
        <v>0</v>
      </c>
      <c r="M371" s="453">
        <v>0</v>
      </c>
      <c r="N371" s="487">
        <v>0</v>
      </c>
      <c r="O371" s="453">
        <v>0</v>
      </c>
      <c r="P371" s="487">
        <v>0</v>
      </c>
      <c r="Q371" s="453">
        <v>1</v>
      </c>
    </row>
    <row r="372" spans="1:17" x14ac:dyDescent="0.25">
      <c r="A372" s="453">
        <v>6490067</v>
      </c>
      <c r="B372" s="487">
        <v>0</v>
      </c>
      <c r="C372" s="453">
        <v>0</v>
      </c>
      <c r="D372" s="487">
        <v>0</v>
      </c>
      <c r="E372" s="453">
        <v>0</v>
      </c>
      <c r="F372" s="487">
        <v>0</v>
      </c>
      <c r="G372" s="453">
        <v>1</v>
      </c>
      <c r="H372" s="487">
        <v>0</v>
      </c>
      <c r="I372" s="453">
        <v>2</v>
      </c>
      <c r="J372" s="487">
        <v>0</v>
      </c>
      <c r="K372" s="453">
        <v>7</v>
      </c>
      <c r="L372" s="487">
        <v>0</v>
      </c>
      <c r="M372" s="453">
        <v>5</v>
      </c>
      <c r="N372" s="487">
        <v>0</v>
      </c>
      <c r="O372" s="453">
        <v>2</v>
      </c>
      <c r="P372" s="487">
        <v>0</v>
      </c>
      <c r="Q372" s="453">
        <v>17</v>
      </c>
    </row>
    <row r="373" spans="1:17" x14ac:dyDescent="0.25">
      <c r="A373" s="453">
        <v>6490068</v>
      </c>
      <c r="B373" s="487">
        <v>0</v>
      </c>
      <c r="C373" s="453">
        <v>0</v>
      </c>
      <c r="D373" s="487">
        <v>0</v>
      </c>
      <c r="E373" s="453">
        <v>3</v>
      </c>
      <c r="F373" s="487">
        <v>0</v>
      </c>
      <c r="G373" s="453">
        <v>0</v>
      </c>
      <c r="H373" s="487">
        <v>0</v>
      </c>
      <c r="I373" s="453">
        <v>1</v>
      </c>
      <c r="J373" s="487">
        <v>0</v>
      </c>
      <c r="K373" s="453">
        <v>0</v>
      </c>
      <c r="L373" s="487">
        <v>0</v>
      </c>
      <c r="M373" s="453">
        <v>2</v>
      </c>
      <c r="N373" s="487">
        <v>0</v>
      </c>
      <c r="O373" s="453">
        <v>0</v>
      </c>
      <c r="P373" s="487">
        <v>0</v>
      </c>
      <c r="Q373" s="453">
        <v>6</v>
      </c>
    </row>
    <row r="374" spans="1:17" x14ac:dyDescent="0.25">
      <c r="A374" s="453">
        <v>6490069</v>
      </c>
      <c r="B374" s="487">
        <v>0</v>
      </c>
      <c r="C374" s="453">
        <v>3</v>
      </c>
      <c r="D374" s="487">
        <v>0</v>
      </c>
      <c r="E374" s="453">
        <v>10</v>
      </c>
      <c r="F374" s="487">
        <v>0</v>
      </c>
      <c r="G374" s="453">
        <v>0</v>
      </c>
      <c r="H374" s="487">
        <v>0</v>
      </c>
      <c r="I374" s="453">
        <v>7</v>
      </c>
      <c r="J374" s="487">
        <v>0</v>
      </c>
      <c r="K374" s="453">
        <v>9</v>
      </c>
      <c r="L374" s="487">
        <v>0</v>
      </c>
      <c r="M374" s="453">
        <v>11</v>
      </c>
      <c r="N374" s="487">
        <v>0</v>
      </c>
      <c r="O374" s="453">
        <v>0</v>
      </c>
      <c r="P374" s="487">
        <v>0</v>
      </c>
      <c r="Q374" s="453">
        <v>40</v>
      </c>
    </row>
    <row r="375" spans="1:17" x14ac:dyDescent="0.25">
      <c r="A375" s="453">
        <v>6490070</v>
      </c>
      <c r="B375" s="487">
        <v>0</v>
      </c>
      <c r="C375" s="453">
        <v>0</v>
      </c>
      <c r="D375" s="487">
        <v>0</v>
      </c>
      <c r="E375" s="453">
        <v>5</v>
      </c>
      <c r="F375" s="487">
        <v>0</v>
      </c>
      <c r="G375" s="453">
        <v>0</v>
      </c>
      <c r="H375" s="487">
        <v>0</v>
      </c>
      <c r="I375" s="453">
        <v>1</v>
      </c>
      <c r="J375" s="487">
        <v>0</v>
      </c>
      <c r="K375" s="453">
        <v>0</v>
      </c>
      <c r="L375" s="487">
        <v>0</v>
      </c>
      <c r="M375" s="453">
        <v>3</v>
      </c>
      <c r="N375" s="487">
        <v>0</v>
      </c>
      <c r="O375" s="453">
        <v>1</v>
      </c>
      <c r="P375" s="487">
        <v>0</v>
      </c>
      <c r="Q375" s="453">
        <v>10</v>
      </c>
    </row>
    <row r="376" spans="1:17" x14ac:dyDescent="0.25">
      <c r="A376" s="453">
        <v>6490074</v>
      </c>
      <c r="B376" s="487">
        <v>0</v>
      </c>
      <c r="C376" s="453">
        <v>7</v>
      </c>
      <c r="D376" s="487">
        <v>0</v>
      </c>
      <c r="E376" s="453">
        <v>3</v>
      </c>
      <c r="F376" s="487">
        <v>0</v>
      </c>
      <c r="G376" s="453">
        <v>7</v>
      </c>
      <c r="H376" s="487">
        <v>0</v>
      </c>
      <c r="I376" s="453">
        <v>7</v>
      </c>
      <c r="J376" s="487">
        <v>0</v>
      </c>
      <c r="K376" s="453">
        <v>4</v>
      </c>
      <c r="L376" s="487">
        <v>0</v>
      </c>
      <c r="M376" s="453">
        <v>2</v>
      </c>
      <c r="N376" s="487">
        <v>0</v>
      </c>
      <c r="O376" s="453">
        <v>4</v>
      </c>
      <c r="P376" s="487">
        <v>0</v>
      </c>
      <c r="Q376" s="453">
        <v>34</v>
      </c>
    </row>
    <row r="377" spans="1:17" x14ac:dyDescent="0.25">
      <c r="A377" s="453">
        <v>6490409</v>
      </c>
      <c r="B377" s="487">
        <v>0</v>
      </c>
      <c r="C377" s="453">
        <v>0</v>
      </c>
      <c r="D377" s="487">
        <v>0</v>
      </c>
      <c r="E377" s="453">
        <v>0</v>
      </c>
      <c r="F377" s="487">
        <v>0</v>
      </c>
      <c r="G377" s="453">
        <v>0</v>
      </c>
      <c r="H377" s="487">
        <v>0</v>
      </c>
      <c r="I377" s="453">
        <v>0</v>
      </c>
      <c r="J377" s="487">
        <v>5.99</v>
      </c>
      <c r="K377" s="453">
        <v>1</v>
      </c>
      <c r="L377" s="487">
        <v>0</v>
      </c>
      <c r="M377" s="453">
        <v>0</v>
      </c>
      <c r="N377" s="487">
        <v>7.12</v>
      </c>
      <c r="O377" s="453">
        <v>1</v>
      </c>
      <c r="P377" s="487">
        <v>13.11</v>
      </c>
      <c r="Q377" s="453">
        <v>2</v>
      </c>
    </row>
    <row r="378" spans="1:17" x14ac:dyDescent="0.25">
      <c r="A378" s="453">
        <v>6490915</v>
      </c>
      <c r="B378" s="487">
        <v>0</v>
      </c>
      <c r="C378" s="453">
        <v>0</v>
      </c>
      <c r="D378" s="487">
        <v>0</v>
      </c>
      <c r="E378" s="453">
        <v>0</v>
      </c>
      <c r="F378" s="487">
        <v>2.4900000000000002</v>
      </c>
      <c r="G378" s="453">
        <v>1</v>
      </c>
      <c r="H378" s="487">
        <v>2.4900000000000002</v>
      </c>
      <c r="I378" s="453">
        <v>1</v>
      </c>
      <c r="J378" s="487">
        <v>12.45</v>
      </c>
      <c r="K378" s="453">
        <v>5</v>
      </c>
      <c r="L378" s="487">
        <v>4.9800000000000004</v>
      </c>
      <c r="M378" s="453">
        <v>2</v>
      </c>
      <c r="N378" s="487">
        <v>2.4900000000000002</v>
      </c>
      <c r="O378" s="453">
        <v>1</v>
      </c>
      <c r="P378" s="487">
        <v>24.9</v>
      </c>
      <c r="Q378" s="453">
        <v>10</v>
      </c>
    </row>
    <row r="379" spans="1:17" x14ac:dyDescent="0.25">
      <c r="A379" s="453">
        <v>6490878</v>
      </c>
      <c r="B379" s="487">
        <v>0</v>
      </c>
      <c r="C379" s="453">
        <v>0</v>
      </c>
      <c r="D379" s="487">
        <v>0</v>
      </c>
      <c r="E379" s="453">
        <v>0</v>
      </c>
      <c r="F379" s="487">
        <v>0</v>
      </c>
      <c r="G379" s="453">
        <v>0</v>
      </c>
      <c r="H379" s="487">
        <v>0</v>
      </c>
      <c r="I379" s="453">
        <v>0</v>
      </c>
      <c r="J379" s="487">
        <v>1.99</v>
      </c>
      <c r="K379" s="453">
        <v>1</v>
      </c>
      <c r="L379" s="487">
        <v>0</v>
      </c>
      <c r="M379" s="453">
        <v>0</v>
      </c>
      <c r="N379" s="487">
        <v>2.36</v>
      </c>
      <c r="O379" s="453">
        <v>1</v>
      </c>
      <c r="P379" s="487">
        <v>4.3499999999999996</v>
      </c>
      <c r="Q379" s="453">
        <v>2</v>
      </c>
    </row>
    <row r="380" spans="1:17" x14ac:dyDescent="0.25">
      <c r="A380" s="453">
        <v>6490868</v>
      </c>
      <c r="B380" s="487">
        <v>0</v>
      </c>
      <c r="C380" s="453">
        <v>0</v>
      </c>
      <c r="D380" s="487">
        <v>0</v>
      </c>
      <c r="E380" s="453">
        <v>0</v>
      </c>
      <c r="F380" s="487">
        <v>0</v>
      </c>
      <c r="G380" s="453">
        <v>0</v>
      </c>
      <c r="H380" s="487">
        <v>0</v>
      </c>
      <c r="I380" s="453">
        <v>0</v>
      </c>
      <c r="J380" s="487">
        <v>0.75</v>
      </c>
      <c r="K380" s="453">
        <v>1</v>
      </c>
      <c r="L380" s="487">
        <v>0.89</v>
      </c>
      <c r="M380" s="453">
        <v>1</v>
      </c>
      <c r="N380" s="487">
        <v>0.89</v>
      </c>
      <c r="O380" s="453">
        <v>1</v>
      </c>
      <c r="P380" s="487">
        <v>2.5300000000000002</v>
      </c>
      <c r="Q380" s="453">
        <v>3</v>
      </c>
    </row>
    <row r="381" spans="1:17" x14ac:dyDescent="0.25">
      <c r="A381" s="453">
        <v>6490077</v>
      </c>
      <c r="B381" s="487">
        <v>0</v>
      </c>
      <c r="C381" s="453">
        <v>0</v>
      </c>
      <c r="D381" s="487">
        <v>0</v>
      </c>
      <c r="E381" s="453">
        <v>1</v>
      </c>
      <c r="F381" s="487">
        <v>0</v>
      </c>
      <c r="G381" s="453">
        <v>0</v>
      </c>
      <c r="H381" s="487">
        <v>0</v>
      </c>
      <c r="I381" s="453">
        <v>0</v>
      </c>
      <c r="J381" s="487">
        <v>0</v>
      </c>
      <c r="K381" s="453">
        <v>0</v>
      </c>
      <c r="L381" s="487">
        <v>0</v>
      </c>
      <c r="M381" s="453">
        <v>0</v>
      </c>
      <c r="N381" s="487">
        <v>0</v>
      </c>
      <c r="O381" s="453">
        <v>0</v>
      </c>
      <c r="P381" s="487">
        <v>0</v>
      </c>
      <c r="Q381" s="453">
        <v>1</v>
      </c>
    </row>
    <row r="382" spans="1:17" x14ac:dyDescent="0.25">
      <c r="A382" s="453">
        <v>6490013</v>
      </c>
      <c r="B382" s="487">
        <v>0</v>
      </c>
      <c r="C382" s="453">
        <v>0</v>
      </c>
      <c r="D382" s="487">
        <v>0</v>
      </c>
      <c r="E382" s="453">
        <v>0</v>
      </c>
      <c r="F382" s="487">
        <v>0</v>
      </c>
      <c r="G382" s="453">
        <v>0</v>
      </c>
      <c r="H382" s="487">
        <v>0</v>
      </c>
      <c r="I382" s="453">
        <v>0</v>
      </c>
      <c r="J382" s="487">
        <v>0</v>
      </c>
      <c r="K382" s="453">
        <v>0</v>
      </c>
      <c r="L382" s="487">
        <v>0</v>
      </c>
      <c r="M382" s="453">
        <v>1</v>
      </c>
      <c r="N382" s="487">
        <v>0</v>
      </c>
      <c r="O382" s="453">
        <v>0</v>
      </c>
      <c r="P382" s="487">
        <v>0</v>
      </c>
      <c r="Q382" s="453">
        <v>1</v>
      </c>
    </row>
    <row r="383" spans="1:17" x14ac:dyDescent="0.25">
      <c r="A383" s="453">
        <v>6490373</v>
      </c>
      <c r="B383" s="487">
        <v>0</v>
      </c>
      <c r="C383" s="453">
        <v>0</v>
      </c>
      <c r="D383" s="487">
        <v>0</v>
      </c>
      <c r="E383" s="453">
        <v>0</v>
      </c>
      <c r="F383" s="487">
        <v>0</v>
      </c>
      <c r="G383" s="453">
        <v>0</v>
      </c>
      <c r="H383" s="487">
        <v>0</v>
      </c>
      <c r="I383" s="453">
        <v>0</v>
      </c>
      <c r="J383" s="487">
        <v>0</v>
      </c>
      <c r="K383" s="453">
        <v>0</v>
      </c>
      <c r="L383" s="487">
        <v>0</v>
      </c>
      <c r="M383" s="453">
        <v>2</v>
      </c>
      <c r="N383" s="487">
        <v>0</v>
      </c>
      <c r="O383" s="453">
        <v>0</v>
      </c>
      <c r="P383" s="487">
        <v>0</v>
      </c>
      <c r="Q383" s="453">
        <v>2</v>
      </c>
    </row>
    <row r="384" spans="1:17" x14ac:dyDescent="0.25">
      <c r="A384" s="453">
        <v>6490004</v>
      </c>
      <c r="B384" s="487">
        <v>0</v>
      </c>
      <c r="C384" s="453">
        <v>1</v>
      </c>
      <c r="D384" s="487">
        <v>0</v>
      </c>
      <c r="E384" s="453">
        <v>0</v>
      </c>
      <c r="F384" s="487">
        <v>0</v>
      </c>
      <c r="G384" s="453">
        <v>0</v>
      </c>
      <c r="H384" s="487">
        <v>0</v>
      </c>
      <c r="I384" s="453">
        <v>2</v>
      </c>
      <c r="J384" s="487">
        <v>0</v>
      </c>
      <c r="K384" s="453">
        <v>4</v>
      </c>
      <c r="L384" s="487">
        <v>0</v>
      </c>
      <c r="M384" s="453">
        <v>3</v>
      </c>
      <c r="N384" s="487">
        <v>0</v>
      </c>
      <c r="O384" s="453">
        <v>1</v>
      </c>
      <c r="P384" s="487">
        <v>0</v>
      </c>
      <c r="Q384" s="453">
        <v>11</v>
      </c>
    </row>
    <row r="385" spans="1:17" x14ac:dyDescent="0.25">
      <c r="A385" s="453">
        <v>6490364</v>
      </c>
      <c r="B385" s="487">
        <v>0</v>
      </c>
      <c r="C385" s="453">
        <v>0</v>
      </c>
      <c r="D385" s="487">
        <v>0</v>
      </c>
      <c r="E385" s="453">
        <v>0</v>
      </c>
      <c r="F385" s="487">
        <v>0</v>
      </c>
      <c r="G385" s="453">
        <v>0</v>
      </c>
      <c r="H385" s="487">
        <v>0</v>
      </c>
      <c r="I385" s="453">
        <v>1</v>
      </c>
      <c r="J385" s="487">
        <v>0</v>
      </c>
      <c r="K385" s="453">
        <v>0</v>
      </c>
      <c r="L385" s="487">
        <v>0</v>
      </c>
      <c r="M385" s="453">
        <v>1</v>
      </c>
      <c r="N385" s="487">
        <v>0</v>
      </c>
      <c r="O385" s="453">
        <v>0</v>
      </c>
      <c r="P385" s="487">
        <v>0</v>
      </c>
      <c r="Q385" s="453">
        <v>2</v>
      </c>
    </row>
    <row r="386" spans="1:17" x14ac:dyDescent="0.25">
      <c r="A386" s="453">
        <v>6490179</v>
      </c>
      <c r="B386" s="487">
        <v>0</v>
      </c>
      <c r="C386" s="453">
        <v>0</v>
      </c>
      <c r="D386" s="487">
        <v>0</v>
      </c>
      <c r="E386" s="453">
        <v>0</v>
      </c>
      <c r="F386" s="487">
        <v>0</v>
      </c>
      <c r="G386" s="453">
        <v>0</v>
      </c>
      <c r="H386" s="487">
        <v>0</v>
      </c>
      <c r="I386" s="453">
        <v>1</v>
      </c>
      <c r="J386" s="487">
        <v>0</v>
      </c>
      <c r="K386" s="453">
        <v>0</v>
      </c>
      <c r="L386" s="487">
        <v>0</v>
      </c>
      <c r="M386" s="453">
        <v>0</v>
      </c>
      <c r="N386" s="487">
        <v>0</v>
      </c>
      <c r="O386" s="453">
        <v>0</v>
      </c>
      <c r="P386" s="487">
        <v>0</v>
      </c>
      <c r="Q386" s="453">
        <v>1</v>
      </c>
    </row>
    <row r="387" spans="1:17" x14ac:dyDescent="0.25">
      <c r="A387" s="453">
        <v>6490907</v>
      </c>
      <c r="B387" s="487">
        <v>0</v>
      </c>
      <c r="C387" s="453">
        <v>0</v>
      </c>
      <c r="D387" s="487">
        <v>0</v>
      </c>
      <c r="E387" s="453">
        <v>0</v>
      </c>
      <c r="F387" s="487">
        <v>0</v>
      </c>
      <c r="G387" s="453">
        <v>0</v>
      </c>
      <c r="H387" s="487">
        <v>0</v>
      </c>
      <c r="I387" s="453">
        <v>0</v>
      </c>
      <c r="J387" s="487">
        <v>0</v>
      </c>
      <c r="K387" s="453">
        <v>1</v>
      </c>
      <c r="L387" s="487">
        <v>0</v>
      </c>
      <c r="M387" s="453">
        <v>1</v>
      </c>
      <c r="N387" s="487">
        <v>0</v>
      </c>
      <c r="O387" s="453">
        <v>1</v>
      </c>
      <c r="P387" s="487">
        <v>0</v>
      </c>
      <c r="Q387" s="453">
        <v>3</v>
      </c>
    </row>
    <row r="388" spans="1:17" x14ac:dyDescent="0.25">
      <c r="A388" s="453">
        <v>6490014</v>
      </c>
      <c r="B388" s="487">
        <v>0</v>
      </c>
      <c r="C388" s="453">
        <v>0</v>
      </c>
      <c r="D388" s="487">
        <v>0</v>
      </c>
      <c r="E388" s="453">
        <v>0</v>
      </c>
      <c r="F388" s="487">
        <v>0</v>
      </c>
      <c r="G388" s="453">
        <v>0</v>
      </c>
      <c r="H388" s="487">
        <v>0</v>
      </c>
      <c r="I388" s="453">
        <v>1</v>
      </c>
      <c r="J388" s="487">
        <v>0</v>
      </c>
      <c r="K388" s="453">
        <v>0</v>
      </c>
      <c r="L388" s="487">
        <v>0</v>
      </c>
      <c r="M388" s="453">
        <v>0</v>
      </c>
      <c r="N388" s="487">
        <v>0</v>
      </c>
      <c r="O388" s="453">
        <v>0</v>
      </c>
      <c r="P388" s="487">
        <v>0</v>
      </c>
      <c r="Q388" s="453">
        <v>1</v>
      </c>
    </row>
    <row r="389" spans="1:17" x14ac:dyDescent="0.25">
      <c r="A389" s="453">
        <v>6490380</v>
      </c>
      <c r="B389" s="487">
        <v>0</v>
      </c>
      <c r="C389" s="453">
        <v>0</v>
      </c>
      <c r="D389" s="487">
        <v>0</v>
      </c>
      <c r="E389" s="453">
        <v>0</v>
      </c>
      <c r="F389" s="487">
        <v>0</v>
      </c>
      <c r="G389" s="453">
        <v>0</v>
      </c>
      <c r="H389" s="487">
        <v>0</v>
      </c>
      <c r="I389" s="453">
        <v>0</v>
      </c>
      <c r="J389" s="487">
        <v>0</v>
      </c>
      <c r="K389" s="453">
        <v>0</v>
      </c>
      <c r="L389" s="487">
        <v>0</v>
      </c>
      <c r="M389" s="453">
        <v>1</v>
      </c>
      <c r="N389" s="487">
        <v>0</v>
      </c>
      <c r="O389" s="453">
        <v>0</v>
      </c>
      <c r="P389" s="487">
        <v>0</v>
      </c>
      <c r="Q389" s="453">
        <v>1</v>
      </c>
    </row>
    <row r="390" spans="1:17" x14ac:dyDescent="0.25">
      <c r="A390" s="453">
        <v>6490365</v>
      </c>
      <c r="B390" s="487">
        <v>0</v>
      </c>
      <c r="C390" s="453">
        <v>0</v>
      </c>
      <c r="D390" s="487">
        <v>0</v>
      </c>
      <c r="E390" s="453">
        <v>0</v>
      </c>
      <c r="F390" s="487">
        <v>0</v>
      </c>
      <c r="G390" s="453">
        <v>0</v>
      </c>
      <c r="H390" s="487">
        <v>0</v>
      </c>
      <c r="I390" s="453">
        <v>0</v>
      </c>
      <c r="J390" s="487">
        <v>0</v>
      </c>
      <c r="K390" s="453">
        <v>0</v>
      </c>
      <c r="L390" s="487">
        <v>0</v>
      </c>
      <c r="M390" s="453">
        <v>1</v>
      </c>
      <c r="N390" s="487">
        <v>0</v>
      </c>
      <c r="O390" s="453">
        <v>0</v>
      </c>
      <c r="P390" s="487">
        <v>0</v>
      </c>
      <c r="Q390" s="453">
        <v>1</v>
      </c>
    </row>
    <row r="391" spans="1:17" x14ac:dyDescent="0.25">
      <c r="A391" s="453">
        <v>6490911</v>
      </c>
      <c r="B391" s="487">
        <v>0</v>
      </c>
      <c r="C391" s="453">
        <v>0</v>
      </c>
      <c r="D391" s="487">
        <v>0</v>
      </c>
      <c r="E391" s="453">
        <v>0</v>
      </c>
      <c r="F391" s="487">
        <v>0</v>
      </c>
      <c r="G391" s="453">
        <v>0</v>
      </c>
      <c r="H391" s="487">
        <v>0</v>
      </c>
      <c r="I391" s="453">
        <v>3</v>
      </c>
      <c r="J391" s="487">
        <v>0</v>
      </c>
      <c r="K391" s="453">
        <v>0</v>
      </c>
      <c r="L391" s="487">
        <v>0</v>
      </c>
      <c r="M391" s="453">
        <v>0</v>
      </c>
      <c r="N391" s="487">
        <v>0</v>
      </c>
      <c r="O391" s="453">
        <v>0</v>
      </c>
      <c r="P391" s="487">
        <v>0</v>
      </c>
      <c r="Q391" s="453">
        <v>3</v>
      </c>
    </row>
    <row r="392" spans="1:17" x14ac:dyDescent="0.25">
      <c r="A392" s="453">
        <v>6490022</v>
      </c>
      <c r="B392" s="487">
        <v>0</v>
      </c>
      <c r="C392" s="453">
        <v>0</v>
      </c>
      <c r="D392" s="487">
        <v>0</v>
      </c>
      <c r="E392" s="453">
        <v>7</v>
      </c>
      <c r="F392" s="487">
        <v>0</v>
      </c>
      <c r="G392" s="453">
        <v>0</v>
      </c>
      <c r="H392" s="487">
        <v>0</v>
      </c>
      <c r="I392" s="453">
        <v>2</v>
      </c>
      <c r="J392" s="487">
        <v>0</v>
      </c>
      <c r="K392" s="453">
        <v>3</v>
      </c>
      <c r="L392" s="487">
        <v>0</v>
      </c>
      <c r="M392" s="453">
        <v>5</v>
      </c>
      <c r="N392" s="487">
        <v>0</v>
      </c>
      <c r="O392" s="453">
        <v>0</v>
      </c>
      <c r="P392" s="487">
        <v>0</v>
      </c>
      <c r="Q392" s="453">
        <v>17</v>
      </c>
    </row>
    <row r="393" spans="1:17" x14ac:dyDescent="0.25">
      <c r="A393" s="453">
        <v>6490156</v>
      </c>
      <c r="B393" s="487">
        <v>0</v>
      </c>
      <c r="C393" s="453">
        <v>0</v>
      </c>
      <c r="D393" s="487">
        <v>0</v>
      </c>
      <c r="E393" s="453">
        <v>3</v>
      </c>
      <c r="F393" s="487">
        <v>0</v>
      </c>
      <c r="G393" s="453">
        <v>1</v>
      </c>
      <c r="H393" s="487">
        <v>0</v>
      </c>
      <c r="I393" s="453">
        <v>2</v>
      </c>
      <c r="J393" s="487">
        <v>0</v>
      </c>
      <c r="K393" s="453">
        <v>4</v>
      </c>
      <c r="L393" s="487">
        <v>0</v>
      </c>
      <c r="M393" s="453">
        <v>9</v>
      </c>
      <c r="N393" s="487">
        <v>0</v>
      </c>
      <c r="O393" s="453">
        <v>3</v>
      </c>
      <c r="P393" s="487">
        <v>0</v>
      </c>
      <c r="Q393" s="453">
        <v>22</v>
      </c>
    </row>
    <row r="394" spans="1:17" x14ac:dyDescent="0.25">
      <c r="A394" s="453">
        <v>6490442</v>
      </c>
      <c r="B394" s="487">
        <v>0</v>
      </c>
      <c r="C394" s="453">
        <v>0</v>
      </c>
      <c r="D394" s="487">
        <v>0</v>
      </c>
      <c r="E394" s="453">
        <v>0</v>
      </c>
      <c r="F394" s="487">
        <v>11.98</v>
      </c>
      <c r="G394" s="453">
        <v>2</v>
      </c>
      <c r="H394" s="487">
        <v>0</v>
      </c>
      <c r="I394" s="453">
        <v>0</v>
      </c>
      <c r="J394" s="487">
        <v>0</v>
      </c>
      <c r="K394" s="453">
        <v>0</v>
      </c>
      <c r="L394" s="487">
        <v>24.56</v>
      </c>
      <c r="M394" s="453">
        <v>4</v>
      </c>
      <c r="N394" s="487">
        <v>0</v>
      </c>
      <c r="O394" s="453">
        <v>0</v>
      </c>
      <c r="P394" s="487">
        <v>36.54</v>
      </c>
      <c r="Q394" s="453">
        <v>6</v>
      </c>
    </row>
    <row r="395" spans="1:17" x14ac:dyDescent="0.25">
      <c r="A395" s="453">
        <v>6490816</v>
      </c>
      <c r="B395" s="487">
        <v>0</v>
      </c>
      <c r="C395" s="453">
        <v>0</v>
      </c>
      <c r="D395" s="487">
        <v>0</v>
      </c>
      <c r="E395" s="453">
        <v>0</v>
      </c>
      <c r="F395" s="487">
        <v>0</v>
      </c>
      <c r="G395" s="453">
        <v>0</v>
      </c>
      <c r="H395" s="487">
        <v>0</v>
      </c>
      <c r="I395" s="453">
        <v>0</v>
      </c>
      <c r="J395" s="487">
        <v>5.99</v>
      </c>
      <c r="K395" s="453">
        <v>1</v>
      </c>
      <c r="L395" s="487">
        <v>0</v>
      </c>
      <c r="M395" s="453">
        <v>0</v>
      </c>
      <c r="N395" s="487">
        <v>0</v>
      </c>
      <c r="O395" s="453">
        <v>0</v>
      </c>
      <c r="P395" s="487">
        <v>5.99</v>
      </c>
      <c r="Q395" s="453">
        <v>1</v>
      </c>
    </row>
    <row r="396" spans="1:17" x14ac:dyDescent="0.25">
      <c r="A396" s="453">
        <v>6490157</v>
      </c>
      <c r="B396" s="487">
        <v>0</v>
      </c>
      <c r="C396" s="453">
        <v>0</v>
      </c>
      <c r="D396" s="487">
        <v>0</v>
      </c>
      <c r="E396" s="453">
        <v>0</v>
      </c>
      <c r="F396" s="487">
        <v>0</v>
      </c>
      <c r="G396" s="453">
        <v>0</v>
      </c>
      <c r="H396" s="487">
        <v>0</v>
      </c>
      <c r="I396" s="453">
        <v>0</v>
      </c>
      <c r="J396" s="487">
        <v>0</v>
      </c>
      <c r="K396" s="453">
        <v>4</v>
      </c>
      <c r="L396" s="487">
        <v>0</v>
      </c>
      <c r="M396" s="453">
        <v>0</v>
      </c>
      <c r="N396" s="487">
        <v>0</v>
      </c>
      <c r="O396" s="453">
        <v>0</v>
      </c>
      <c r="P396" s="487">
        <v>0</v>
      </c>
      <c r="Q396" s="453">
        <v>4</v>
      </c>
    </row>
    <row r="397" spans="1:17" x14ac:dyDescent="0.25">
      <c r="A397" s="453">
        <v>6490443</v>
      </c>
      <c r="B397" s="487">
        <v>5.49</v>
      </c>
      <c r="C397" s="453">
        <v>1</v>
      </c>
      <c r="D397" s="487">
        <v>0</v>
      </c>
      <c r="E397" s="453">
        <v>0</v>
      </c>
      <c r="F397" s="487">
        <v>0</v>
      </c>
      <c r="G397" s="453">
        <v>0</v>
      </c>
      <c r="H397" s="487">
        <v>5.49</v>
      </c>
      <c r="I397" s="453">
        <v>1</v>
      </c>
      <c r="J397" s="487">
        <v>0</v>
      </c>
      <c r="K397" s="453">
        <v>0</v>
      </c>
      <c r="L397" s="487">
        <v>0</v>
      </c>
      <c r="M397" s="453">
        <v>0</v>
      </c>
      <c r="N397" s="487">
        <v>0</v>
      </c>
      <c r="O397" s="453">
        <v>0</v>
      </c>
      <c r="P397" s="487">
        <v>10.98</v>
      </c>
      <c r="Q397" s="453">
        <v>2</v>
      </c>
    </row>
    <row r="398" spans="1:17" x14ac:dyDescent="0.25">
      <c r="A398" s="453">
        <v>6490817</v>
      </c>
      <c r="B398" s="487">
        <v>0</v>
      </c>
      <c r="C398" s="453">
        <v>0</v>
      </c>
      <c r="D398" s="487">
        <v>0</v>
      </c>
      <c r="E398" s="453">
        <v>0</v>
      </c>
      <c r="F398" s="487">
        <v>0</v>
      </c>
      <c r="G398" s="453">
        <v>0</v>
      </c>
      <c r="H398" s="487">
        <v>6.52</v>
      </c>
      <c r="I398" s="453">
        <v>1</v>
      </c>
      <c r="J398" s="487">
        <v>0</v>
      </c>
      <c r="K398" s="453">
        <v>0</v>
      </c>
      <c r="L398" s="487">
        <v>6.52</v>
      </c>
      <c r="M398" s="453">
        <v>1</v>
      </c>
      <c r="N398" s="487">
        <v>0</v>
      </c>
      <c r="O398" s="453">
        <v>0</v>
      </c>
      <c r="P398" s="487">
        <v>13.04</v>
      </c>
      <c r="Q398" s="453">
        <v>2</v>
      </c>
    </row>
    <row r="399" spans="1:17" x14ac:dyDescent="0.25">
      <c r="A399" s="453">
        <v>6490158</v>
      </c>
      <c r="B399" s="487">
        <v>0</v>
      </c>
      <c r="C399" s="453">
        <v>0</v>
      </c>
      <c r="D399" s="487">
        <v>0</v>
      </c>
      <c r="E399" s="453">
        <v>0</v>
      </c>
      <c r="F399" s="487">
        <v>0</v>
      </c>
      <c r="G399" s="453">
        <v>1</v>
      </c>
      <c r="H399" s="487">
        <v>0</v>
      </c>
      <c r="I399" s="453">
        <v>0</v>
      </c>
      <c r="J399" s="487">
        <v>0</v>
      </c>
      <c r="K399" s="453">
        <v>1</v>
      </c>
      <c r="L399" s="487">
        <v>0</v>
      </c>
      <c r="M399" s="453">
        <v>2</v>
      </c>
      <c r="N399" s="487">
        <v>0</v>
      </c>
      <c r="O399" s="453">
        <v>0</v>
      </c>
      <c r="P399" s="487">
        <v>0</v>
      </c>
      <c r="Q399" s="453">
        <v>4</v>
      </c>
    </row>
    <row r="400" spans="1:17" x14ac:dyDescent="0.25">
      <c r="A400" s="453">
        <v>6490444</v>
      </c>
      <c r="B400" s="487">
        <v>0</v>
      </c>
      <c r="C400" s="453">
        <v>0</v>
      </c>
      <c r="D400" s="487">
        <v>5.49</v>
      </c>
      <c r="E400" s="453">
        <v>1</v>
      </c>
      <c r="F400" s="487">
        <v>0</v>
      </c>
      <c r="G400" s="453">
        <v>0</v>
      </c>
      <c r="H400" s="487">
        <v>0</v>
      </c>
      <c r="I400" s="453">
        <v>0</v>
      </c>
      <c r="J400" s="487">
        <v>0</v>
      </c>
      <c r="K400" s="453">
        <v>0</v>
      </c>
      <c r="L400" s="487">
        <v>0</v>
      </c>
      <c r="M400" s="453">
        <v>0</v>
      </c>
      <c r="N400" s="487">
        <v>0</v>
      </c>
      <c r="O400" s="453">
        <v>0</v>
      </c>
      <c r="P400" s="487">
        <v>5.49</v>
      </c>
      <c r="Q400" s="453">
        <v>1</v>
      </c>
    </row>
    <row r="401" spans="1:17" x14ac:dyDescent="0.25">
      <c r="A401" s="453">
        <v>6490890</v>
      </c>
      <c r="B401" s="487">
        <v>0</v>
      </c>
      <c r="C401" s="453">
        <v>2</v>
      </c>
      <c r="D401" s="487">
        <v>0</v>
      </c>
      <c r="E401" s="453">
        <v>0</v>
      </c>
      <c r="F401" s="487">
        <v>0</v>
      </c>
      <c r="G401" s="453">
        <v>1</v>
      </c>
      <c r="H401" s="487">
        <v>0</v>
      </c>
      <c r="I401" s="453">
        <v>0</v>
      </c>
      <c r="J401" s="487">
        <v>0</v>
      </c>
      <c r="K401" s="453">
        <v>1</v>
      </c>
      <c r="L401" s="487">
        <v>0</v>
      </c>
      <c r="M401" s="453">
        <v>0</v>
      </c>
      <c r="N401" s="487">
        <v>0</v>
      </c>
      <c r="O401" s="453">
        <v>1</v>
      </c>
      <c r="P401" s="487">
        <v>0</v>
      </c>
      <c r="Q401" s="453">
        <v>5</v>
      </c>
    </row>
    <row r="402" spans="1:17" x14ac:dyDescent="0.25">
      <c r="A402" s="453">
        <v>6490891</v>
      </c>
      <c r="B402" s="487">
        <v>0</v>
      </c>
      <c r="C402" s="453">
        <v>0</v>
      </c>
      <c r="D402" s="487">
        <v>0</v>
      </c>
      <c r="E402" s="453">
        <v>0</v>
      </c>
      <c r="F402" s="487">
        <v>5.99</v>
      </c>
      <c r="G402" s="453">
        <v>1</v>
      </c>
      <c r="H402" s="487">
        <v>0</v>
      </c>
      <c r="I402" s="453">
        <v>0</v>
      </c>
      <c r="J402" s="487">
        <v>5.99</v>
      </c>
      <c r="K402" s="453">
        <v>1</v>
      </c>
      <c r="L402" s="487">
        <v>23.96</v>
      </c>
      <c r="M402" s="453">
        <v>4</v>
      </c>
      <c r="N402" s="487">
        <v>17.97</v>
      </c>
      <c r="O402" s="453">
        <v>3</v>
      </c>
      <c r="P402" s="487">
        <v>53.91</v>
      </c>
      <c r="Q402" s="453">
        <v>9</v>
      </c>
    </row>
    <row r="403" spans="1:17" x14ac:dyDescent="0.25">
      <c r="A403" s="453">
        <v>6490892</v>
      </c>
      <c r="B403" s="487">
        <v>0</v>
      </c>
      <c r="C403" s="453">
        <v>0</v>
      </c>
      <c r="D403" s="487">
        <v>0</v>
      </c>
      <c r="E403" s="453">
        <v>0</v>
      </c>
      <c r="F403" s="487">
        <v>5.99</v>
      </c>
      <c r="G403" s="453">
        <v>1</v>
      </c>
      <c r="H403" s="487">
        <v>0</v>
      </c>
      <c r="I403" s="453">
        <v>0</v>
      </c>
      <c r="J403" s="487">
        <v>0</v>
      </c>
      <c r="K403" s="453">
        <v>0</v>
      </c>
      <c r="L403" s="487">
        <v>0</v>
      </c>
      <c r="M403" s="453">
        <v>0</v>
      </c>
      <c r="N403" s="487">
        <v>5.99</v>
      </c>
      <c r="O403" s="453">
        <v>1</v>
      </c>
      <c r="P403" s="487">
        <v>11.98</v>
      </c>
      <c r="Q403" s="453">
        <v>2</v>
      </c>
    </row>
    <row r="404" spans="1:17" x14ac:dyDescent="0.25">
      <c r="A404" s="453">
        <v>6490160</v>
      </c>
      <c r="B404" s="487">
        <v>0</v>
      </c>
      <c r="C404" s="453">
        <v>0</v>
      </c>
      <c r="D404" s="487">
        <v>0</v>
      </c>
      <c r="E404" s="453">
        <v>0</v>
      </c>
      <c r="F404" s="487">
        <v>0</v>
      </c>
      <c r="G404" s="453">
        <v>0</v>
      </c>
      <c r="H404" s="487">
        <v>0</v>
      </c>
      <c r="I404" s="453">
        <v>2</v>
      </c>
      <c r="J404" s="487">
        <v>0</v>
      </c>
      <c r="K404" s="453">
        <v>0</v>
      </c>
      <c r="L404" s="487">
        <v>0</v>
      </c>
      <c r="M404" s="453">
        <v>1</v>
      </c>
      <c r="N404" s="487">
        <v>0</v>
      </c>
      <c r="O404" s="453">
        <v>0</v>
      </c>
      <c r="P404" s="487">
        <v>0</v>
      </c>
      <c r="Q404" s="453">
        <v>3</v>
      </c>
    </row>
    <row r="405" spans="1:17" x14ac:dyDescent="0.25">
      <c r="A405" s="453">
        <v>6490140</v>
      </c>
      <c r="B405" s="487">
        <v>0</v>
      </c>
      <c r="C405" s="453">
        <v>1</v>
      </c>
      <c r="D405" s="487">
        <v>0</v>
      </c>
      <c r="E405" s="453">
        <v>1</v>
      </c>
      <c r="F405" s="487">
        <v>0</v>
      </c>
      <c r="G405" s="453">
        <v>0</v>
      </c>
      <c r="H405" s="487">
        <v>0</v>
      </c>
      <c r="I405" s="453">
        <v>2</v>
      </c>
      <c r="J405" s="487">
        <v>0</v>
      </c>
      <c r="K405" s="453">
        <v>2</v>
      </c>
      <c r="L405" s="487">
        <v>0</v>
      </c>
      <c r="M405" s="453">
        <v>2</v>
      </c>
      <c r="N405" s="487">
        <v>0</v>
      </c>
      <c r="O405" s="453">
        <v>2</v>
      </c>
      <c r="P405" s="487">
        <v>0</v>
      </c>
      <c r="Q405" s="453">
        <v>10</v>
      </c>
    </row>
    <row r="406" spans="1:17" x14ac:dyDescent="0.25">
      <c r="A406" s="453">
        <v>6490146</v>
      </c>
      <c r="B406" s="487">
        <v>0</v>
      </c>
      <c r="C406" s="453">
        <v>1</v>
      </c>
      <c r="D406" s="487">
        <v>0</v>
      </c>
      <c r="E406" s="453">
        <v>0</v>
      </c>
      <c r="F406" s="487">
        <v>0</v>
      </c>
      <c r="G406" s="453">
        <v>0</v>
      </c>
      <c r="H406" s="487">
        <v>0</v>
      </c>
      <c r="I406" s="453">
        <v>0</v>
      </c>
      <c r="J406" s="487">
        <v>0</v>
      </c>
      <c r="K406" s="453">
        <v>1</v>
      </c>
      <c r="L406" s="487">
        <v>0</v>
      </c>
      <c r="M406" s="453">
        <v>0</v>
      </c>
      <c r="N406" s="487">
        <v>0</v>
      </c>
      <c r="O406" s="453">
        <v>0</v>
      </c>
      <c r="P406" s="487">
        <v>0</v>
      </c>
      <c r="Q406" s="453">
        <v>2</v>
      </c>
    </row>
    <row r="407" spans="1:17" x14ac:dyDescent="0.25">
      <c r="A407" s="453">
        <v>6490439</v>
      </c>
      <c r="B407" s="487">
        <v>0</v>
      </c>
      <c r="C407" s="453">
        <v>0</v>
      </c>
      <c r="D407" s="487">
        <v>0</v>
      </c>
      <c r="E407" s="453">
        <v>0</v>
      </c>
      <c r="F407" s="487">
        <v>0</v>
      </c>
      <c r="G407" s="453">
        <v>0</v>
      </c>
      <c r="H407" s="487">
        <v>0</v>
      </c>
      <c r="I407" s="453">
        <v>2</v>
      </c>
      <c r="J407" s="487">
        <v>0</v>
      </c>
      <c r="K407" s="453">
        <v>2</v>
      </c>
      <c r="L407" s="487">
        <v>0</v>
      </c>
      <c r="M407" s="453">
        <v>3</v>
      </c>
      <c r="N407" s="487">
        <v>0</v>
      </c>
      <c r="O407" s="453">
        <v>1</v>
      </c>
      <c r="P407" s="487">
        <v>0</v>
      </c>
      <c r="Q407" s="453">
        <v>8</v>
      </c>
    </row>
    <row r="408" spans="1:17" x14ac:dyDescent="0.25">
      <c r="A408" s="453">
        <v>6490448</v>
      </c>
      <c r="B408" s="487">
        <v>0</v>
      </c>
      <c r="C408" s="453">
        <v>0</v>
      </c>
      <c r="D408" s="487">
        <v>0</v>
      </c>
      <c r="E408" s="453">
        <v>0</v>
      </c>
      <c r="F408" s="487">
        <v>0</v>
      </c>
      <c r="G408" s="453">
        <v>0</v>
      </c>
      <c r="H408" s="487">
        <v>0</v>
      </c>
      <c r="I408" s="453">
        <v>0</v>
      </c>
      <c r="J408" s="487">
        <v>0</v>
      </c>
      <c r="K408" s="453">
        <v>0</v>
      </c>
      <c r="L408" s="487">
        <v>2.99</v>
      </c>
      <c r="M408" s="453">
        <v>1</v>
      </c>
      <c r="N408" s="487">
        <v>5.98</v>
      </c>
      <c r="O408" s="453">
        <v>2</v>
      </c>
      <c r="P408" s="487">
        <v>8.9700000000000006</v>
      </c>
      <c r="Q408" s="453">
        <v>3</v>
      </c>
    </row>
    <row r="409" spans="1:17" x14ac:dyDescent="0.25">
      <c r="A409" s="453">
        <v>6490821</v>
      </c>
      <c r="B409" s="487">
        <v>0</v>
      </c>
      <c r="C409" s="453">
        <v>0</v>
      </c>
      <c r="D409" s="487">
        <v>3.55</v>
      </c>
      <c r="E409" s="453">
        <v>1</v>
      </c>
      <c r="F409" s="487">
        <v>0</v>
      </c>
      <c r="G409" s="453">
        <v>0</v>
      </c>
      <c r="H409" s="487">
        <v>3.55</v>
      </c>
      <c r="I409" s="453">
        <v>1</v>
      </c>
      <c r="J409" s="487">
        <v>5.98</v>
      </c>
      <c r="K409" s="453">
        <v>2</v>
      </c>
      <c r="L409" s="487">
        <v>3.55</v>
      </c>
      <c r="M409" s="453">
        <v>1</v>
      </c>
      <c r="N409" s="487">
        <v>0</v>
      </c>
      <c r="O409" s="453">
        <v>0</v>
      </c>
      <c r="P409" s="487">
        <v>16.63</v>
      </c>
      <c r="Q409" s="453">
        <v>5</v>
      </c>
    </row>
    <row r="410" spans="1:17" x14ac:dyDescent="0.25">
      <c r="A410" s="453">
        <v>6490416</v>
      </c>
      <c r="B410" s="487">
        <v>0</v>
      </c>
      <c r="C410" s="453">
        <v>0</v>
      </c>
      <c r="D410" s="487">
        <v>0</v>
      </c>
      <c r="E410" s="453">
        <v>0</v>
      </c>
      <c r="F410" s="487">
        <v>2</v>
      </c>
      <c r="G410" s="453">
        <v>2</v>
      </c>
      <c r="H410" s="487">
        <v>0</v>
      </c>
      <c r="I410" s="453">
        <v>0</v>
      </c>
      <c r="J410" s="487">
        <v>2</v>
      </c>
      <c r="K410" s="453">
        <v>2</v>
      </c>
      <c r="L410" s="487">
        <v>0</v>
      </c>
      <c r="M410" s="453">
        <v>0</v>
      </c>
      <c r="N410" s="487">
        <v>0</v>
      </c>
      <c r="O410" s="453">
        <v>0</v>
      </c>
      <c r="P410" s="487">
        <v>4</v>
      </c>
      <c r="Q410" s="453">
        <v>4</v>
      </c>
    </row>
    <row r="411" spans="1:17" x14ac:dyDescent="0.25">
      <c r="A411" s="453">
        <v>6490048</v>
      </c>
      <c r="B411" s="487">
        <v>0</v>
      </c>
      <c r="C411" s="453">
        <v>0</v>
      </c>
      <c r="D411" s="487">
        <v>0</v>
      </c>
      <c r="E411" s="453">
        <v>0</v>
      </c>
      <c r="F411" s="487">
        <v>0</v>
      </c>
      <c r="G411" s="453">
        <v>0</v>
      </c>
      <c r="H411" s="487">
        <v>0</v>
      </c>
      <c r="I411" s="453">
        <v>0</v>
      </c>
      <c r="J411" s="487">
        <v>0</v>
      </c>
      <c r="K411" s="453">
        <v>1</v>
      </c>
      <c r="L411" s="487">
        <v>0</v>
      </c>
      <c r="M411" s="453">
        <v>0</v>
      </c>
      <c r="N411" s="487">
        <v>0</v>
      </c>
      <c r="O411" s="453">
        <v>1</v>
      </c>
      <c r="P411" s="487">
        <v>0</v>
      </c>
      <c r="Q411" s="453">
        <v>2</v>
      </c>
    </row>
    <row r="412" spans="1:17" x14ac:dyDescent="0.25">
      <c r="A412" s="453">
        <v>6490440</v>
      </c>
      <c r="B412" s="487">
        <v>0</v>
      </c>
      <c r="C412" s="453">
        <v>0</v>
      </c>
      <c r="D412" s="487">
        <v>0</v>
      </c>
      <c r="E412" s="453">
        <v>0</v>
      </c>
      <c r="F412" s="487">
        <v>0</v>
      </c>
      <c r="G412" s="453">
        <v>0</v>
      </c>
      <c r="H412" s="487">
        <v>0</v>
      </c>
      <c r="I412" s="453">
        <v>1</v>
      </c>
      <c r="J412" s="487">
        <v>0</v>
      </c>
      <c r="K412" s="453">
        <v>0</v>
      </c>
      <c r="L412" s="487">
        <v>0</v>
      </c>
      <c r="M412" s="453">
        <v>1</v>
      </c>
      <c r="N412" s="487">
        <v>0</v>
      </c>
      <c r="O412" s="453">
        <v>0</v>
      </c>
      <c r="P412" s="487">
        <v>0</v>
      </c>
      <c r="Q412" s="453">
        <v>2</v>
      </c>
    </row>
    <row r="413" spans="1:17" x14ac:dyDescent="0.25">
      <c r="A413" s="453">
        <v>6490449</v>
      </c>
      <c r="B413" s="487">
        <v>0</v>
      </c>
      <c r="C413" s="453">
        <v>0</v>
      </c>
      <c r="D413" s="487">
        <v>0</v>
      </c>
      <c r="E413" s="453">
        <v>0</v>
      </c>
      <c r="F413" s="487">
        <v>3.29</v>
      </c>
      <c r="G413" s="453">
        <v>1</v>
      </c>
      <c r="H413" s="487">
        <v>0</v>
      </c>
      <c r="I413" s="453">
        <v>0</v>
      </c>
      <c r="J413" s="487">
        <v>2.99</v>
      </c>
      <c r="K413" s="453">
        <v>1</v>
      </c>
      <c r="L413" s="487">
        <v>5.98</v>
      </c>
      <c r="M413" s="453">
        <v>2</v>
      </c>
      <c r="N413" s="487">
        <v>2.99</v>
      </c>
      <c r="O413" s="453">
        <v>1</v>
      </c>
      <c r="P413" s="487">
        <v>15.250000000000002</v>
      </c>
      <c r="Q413" s="453">
        <v>5</v>
      </c>
    </row>
    <row r="414" spans="1:17" x14ac:dyDescent="0.25">
      <c r="A414" s="453">
        <v>6490822</v>
      </c>
      <c r="B414" s="487">
        <v>0</v>
      </c>
      <c r="C414" s="453">
        <v>0</v>
      </c>
      <c r="D414" s="487">
        <v>0</v>
      </c>
      <c r="E414" s="453">
        <v>0</v>
      </c>
      <c r="F414" s="487">
        <v>0</v>
      </c>
      <c r="G414" s="453">
        <v>0</v>
      </c>
      <c r="H414" s="487">
        <v>0</v>
      </c>
      <c r="I414" s="453">
        <v>0</v>
      </c>
      <c r="J414" s="487">
        <v>0</v>
      </c>
      <c r="K414" s="453">
        <v>0</v>
      </c>
      <c r="L414" s="487">
        <v>0</v>
      </c>
      <c r="M414" s="453">
        <v>0</v>
      </c>
      <c r="N414" s="487">
        <v>3.55</v>
      </c>
      <c r="O414" s="453">
        <v>1</v>
      </c>
      <c r="P414" s="487">
        <v>3.55</v>
      </c>
      <c r="Q414" s="453">
        <v>1</v>
      </c>
    </row>
    <row r="415" spans="1:17" x14ac:dyDescent="0.25">
      <c r="A415" s="453">
        <v>6490085</v>
      </c>
      <c r="B415" s="487">
        <v>0</v>
      </c>
      <c r="C415" s="453">
        <v>1</v>
      </c>
      <c r="D415" s="487">
        <v>0</v>
      </c>
      <c r="E415" s="453">
        <v>1</v>
      </c>
      <c r="F415" s="487">
        <v>0</v>
      </c>
      <c r="G415" s="453">
        <v>1</v>
      </c>
      <c r="H415" s="487">
        <v>0</v>
      </c>
      <c r="I415" s="453">
        <v>3</v>
      </c>
      <c r="J415" s="487">
        <v>0</v>
      </c>
      <c r="K415" s="453">
        <v>4</v>
      </c>
      <c r="L415" s="487">
        <v>0</v>
      </c>
      <c r="M415" s="453">
        <v>9</v>
      </c>
      <c r="N415" s="487">
        <v>0</v>
      </c>
      <c r="O415" s="453">
        <v>2</v>
      </c>
      <c r="P415" s="487">
        <v>0</v>
      </c>
      <c r="Q415" s="453">
        <v>21</v>
      </c>
    </row>
    <row r="416" spans="1:17" x14ac:dyDescent="0.25">
      <c r="A416" s="453">
        <v>6490083</v>
      </c>
      <c r="B416" s="487">
        <v>0</v>
      </c>
      <c r="C416" s="453">
        <v>0</v>
      </c>
      <c r="D416" s="487">
        <v>0</v>
      </c>
      <c r="E416" s="453">
        <v>1</v>
      </c>
      <c r="F416" s="487">
        <v>0</v>
      </c>
      <c r="G416" s="453">
        <v>0</v>
      </c>
      <c r="H416" s="487">
        <v>0</v>
      </c>
      <c r="I416" s="453">
        <v>1</v>
      </c>
      <c r="J416" s="487">
        <v>0</v>
      </c>
      <c r="K416" s="453">
        <v>2</v>
      </c>
      <c r="L416" s="487">
        <v>0</v>
      </c>
      <c r="M416" s="453">
        <v>0</v>
      </c>
      <c r="N416" s="487">
        <v>0</v>
      </c>
      <c r="O416" s="453">
        <v>3</v>
      </c>
      <c r="P416" s="487">
        <v>0</v>
      </c>
      <c r="Q416" s="453">
        <v>7</v>
      </c>
    </row>
    <row r="417" spans="1:17" x14ac:dyDescent="0.25">
      <c r="A417" s="453">
        <v>6490145</v>
      </c>
      <c r="B417" s="487">
        <v>0</v>
      </c>
      <c r="C417" s="453">
        <v>16</v>
      </c>
      <c r="D417" s="487">
        <v>0</v>
      </c>
      <c r="E417" s="453">
        <v>7</v>
      </c>
      <c r="F417" s="487">
        <v>0</v>
      </c>
      <c r="G417" s="453">
        <v>13</v>
      </c>
      <c r="H417" s="487">
        <v>0</v>
      </c>
      <c r="I417" s="453">
        <v>11</v>
      </c>
      <c r="J417" s="487">
        <v>0</v>
      </c>
      <c r="K417" s="453">
        <v>33</v>
      </c>
      <c r="L417" s="487">
        <v>0</v>
      </c>
      <c r="M417" s="453">
        <v>27</v>
      </c>
      <c r="N417" s="487">
        <v>0</v>
      </c>
      <c r="O417" s="453">
        <v>13</v>
      </c>
      <c r="P417" s="487">
        <v>0</v>
      </c>
      <c r="Q417" s="453">
        <v>120</v>
      </c>
    </row>
    <row r="418" spans="1:17" x14ac:dyDescent="0.25">
      <c r="A418" s="453">
        <v>6490172</v>
      </c>
      <c r="B418" s="487">
        <v>0</v>
      </c>
      <c r="C418" s="453">
        <v>0</v>
      </c>
      <c r="D418" s="487">
        <v>0</v>
      </c>
      <c r="E418" s="453">
        <v>1</v>
      </c>
      <c r="F418" s="487">
        <v>0</v>
      </c>
      <c r="G418" s="453">
        <v>2</v>
      </c>
      <c r="H418" s="487">
        <v>0</v>
      </c>
      <c r="I418" s="453">
        <v>0</v>
      </c>
      <c r="J418" s="487">
        <v>0</v>
      </c>
      <c r="K418" s="453">
        <v>6</v>
      </c>
      <c r="L418" s="487">
        <v>0</v>
      </c>
      <c r="M418" s="453">
        <v>2</v>
      </c>
      <c r="N418" s="487">
        <v>0</v>
      </c>
      <c r="O418" s="453">
        <v>2</v>
      </c>
      <c r="P418" s="487">
        <v>0</v>
      </c>
      <c r="Q418" s="453">
        <v>13</v>
      </c>
    </row>
    <row r="419" spans="1:17" x14ac:dyDescent="0.25">
      <c r="A419" s="453">
        <v>6490023</v>
      </c>
      <c r="B419" s="487">
        <v>0</v>
      </c>
      <c r="C419" s="453">
        <v>1</v>
      </c>
      <c r="D419" s="487">
        <v>0</v>
      </c>
      <c r="E419" s="453">
        <v>7</v>
      </c>
      <c r="F419" s="487">
        <v>0</v>
      </c>
      <c r="G419" s="453">
        <v>1</v>
      </c>
      <c r="H419" s="487">
        <v>0</v>
      </c>
      <c r="I419" s="453">
        <v>2</v>
      </c>
      <c r="J419" s="487">
        <v>0</v>
      </c>
      <c r="K419" s="453">
        <v>11</v>
      </c>
      <c r="L419" s="487">
        <v>0</v>
      </c>
      <c r="M419" s="453">
        <v>7</v>
      </c>
      <c r="N419" s="487">
        <v>0</v>
      </c>
      <c r="O419" s="453">
        <v>2</v>
      </c>
      <c r="P419" s="487">
        <v>0</v>
      </c>
      <c r="Q419" s="453">
        <v>31</v>
      </c>
    </row>
    <row r="420" spans="1:17" x14ac:dyDescent="0.25">
      <c r="A420" s="453">
        <v>6490171</v>
      </c>
      <c r="B420" s="487">
        <v>0</v>
      </c>
      <c r="C420" s="453">
        <v>1</v>
      </c>
      <c r="D420" s="487">
        <v>0</v>
      </c>
      <c r="E420" s="453">
        <v>0</v>
      </c>
      <c r="F420" s="487">
        <v>0</v>
      </c>
      <c r="G420" s="453">
        <v>6</v>
      </c>
      <c r="H420" s="487">
        <v>0</v>
      </c>
      <c r="I420" s="453">
        <v>2</v>
      </c>
      <c r="J420" s="487">
        <v>0</v>
      </c>
      <c r="K420" s="453">
        <v>4</v>
      </c>
      <c r="L420" s="487">
        <v>0</v>
      </c>
      <c r="M420" s="453">
        <v>3</v>
      </c>
      <c r="N420" s="487">
        <v>0</v>
      </c>
      <c r="O420" s="453">
        <v>1</v>
      </c>
      <c r="P420" s="487">
        <v>0</v>
      </c>
      <c r="Q420" s="453">
        <v>17</v>
      </c>
    </row>
    <row r="421" spans="1:17" x14ac:dyDescent="0.25">
      <c r="A421" s="453">
        <v>6490451</v>
      </c>
      <c r="B421" s="487">
        <v>0</v>
      </c>
      <c r="C421" s="453">
        <v>15</v>
      </c>
      <c r="D421" s="487">
        <v>0</v>
      </c>
      <c r="E421" s="453">
        <v>24</v>
      </c>
      <c r="F421" s="487">
        <v>0</v>
      </c>
      <c r="G421" s="453">
        <v>32</v>
      </c>
      <c r="H421" s="487">
        <v>0</v>
      </c>
      <c r="I421" s="453">
        <v>34</v>
      </c>
      <c r="J421" s="487">
        <v>0</v>
      </c>
      <c r="K421" s="453">
        <v>77</v>
      </c>
      <c r="L421" s="487">
        <v>0</v>
      </c>
      <c r="M421" s="453">
        <v>123</v>
      </c>
      <c r="N421" s="487">
        <v>0</v>
      </c>
      <c r="O421" s="453">
        <v>34</v>
      </c>
      <c r="P421" s="487">
        <v>0</v>
      </c>
      <c r="Q421" s="453">
        <v>339</v>
      </c>
    </row>
    <row r="422" spans="1:17" x14ac:dyDescent="0.25">
      <c r="A422" s="453">
        <v>6490469</v>
      </c>
      <c r="B422" s="487">
        <v>0</v>
      </c>
      <c r="C422" s="453">
        <v>6</v>
      </c>
      <c r="D422" s="487">
        <v>0</v>
      </c>
      <c r="E422" s="453">
        <v>2</v>
      </c>
      <c r="F422" s="487">
        <v>0</v>
      </c>
      <c r="G422" s="453">
        <v>0</v>
      </c>
      <c r="H422" s="487">
        <v>0</v>
      </c>
      <c r="I422" s="453">
        <v>3</v>
      </c>
      <c r="J422" s="487">
        <v>0</v>
      </c>
      <c r="K422" s="453">
        <v>7</v>
      </c>
      <c r="L422" s="487">
        <v>0</v>
      </c>
      <c r="M422" s="453">
        <v>8</v>
      </c>
      <c r="N422" s="487">
        <v>0</v>
      </c>
      <c r="O422" s="453">
        <v>9</v>
      </c>
      <c r="P422" s="487">
        <v>0</v>
      </c>
      <c r="Q422" s="453">
        <v>35</v>
      </c>
    </row>
    <row r="423" spans="1:17" x14ac:dyDescent="0.25">
      <c r="A423" s="453">
        <v>6490039</v>
      </c>
      <c r="B423" s="487">
        <v>0</v>
      </c>
      <c r="C423" s="453">
        <v>2</v>
      </c>
      <c r="D423" s="487">
        <v>0</v>
      </c>
      <c r="E423" s="453">
        <v>5</v>
      </c>
      <c r="F423" s="487">
        <v>0</v>
      </c>
      <c r="G423" s="453">
        <v>4</v>
      </c>
      <c r="H423" s="487">
        <v>0</v>
      </c>
      <c r="I423" s="453">
        <v>3</v>
      </c>
      <c r="J423" s="487">
        <v>0</v>
      </c>
      <c r="K423" s="453">
        <v>15</v>
      </c>
      <c r="L423" s="487">
        <v>0</v>
      </c>
      <c r="M423" s="453">
        <v>19</v>
      </c>
      <c r="N423" s="487">
        <v>0</v>
      </c>
      <c r="O423" s="453">
        <v>5</v>
      </c>
      <c r="P423" s="487">
        <v>0</v>
      </c>
      <c r="Q423" s="453">
        <v>53</v>
      </c>
    </row>
    <row r="424" spans="1:17" x14ac:dyDescent="0.25">
      <c r="A424" s="453">
        <v>6480188</v>
      </c>
      <c r="B424" s="487">
        <v>0</v>
      </c>
      <c r="C424" s="453">
        <v>1</v>
      </c>
      <c r="D424" s="487">
        <v>0</v>
      </c>
      <c r="E424" s="453">
        <v>0</v>
      </c>
      <c r="F424" s="487">
        <v>0</v>
      </c>
      <c r="G424" s="453">
        <v>0</v>
      </c>
      <c r="H424" s="487">
        <v>0</v>
      </c>
      <c r="I424" s="453">
        <v>0</v>
      </c>
      <c r="J424" s="487">
        <v>0</v>
      </c>
      <c r="K424" s="453">
        <v>0</v>
      </c>
      <c r="L424" s="487">
        <v>0</v>
      </c>
      <c r="M424" s="453">
        <v>0</v>
      </c>
      <c r="N424" s="487">
        <v>0</v>
      </c>
      <c r="O424" s="453">
        <v>1</v>
      </c>
      <c r="P424" s="487">
        <v>0</v>
      </c>
      <c r="Q424" s="453">
        <v>2</v>
      </c>
    </row>
    <row r="425" spans="1:17" x14ac:dyDescent="0.25">
      <c r="A425" s="453">
        <v>6490362</v>
      </c>
      <c r="B425" s="487">
        <v>0</v>
      </c>
      <c r="C425" s="453">
        <v>0</v>
      </c>
      <c r="D425" s="487">
        <v>0</v>
      </c>
      <c r="E425" s="453">
        <v>0</v>
      </c>
      <c r="F425" s="487">
        <v>0</v>
      </c>
      <c r="G425" s="453">
        <v>0</v>
      </c>
      <c r="H425" s="487">
        <v>0</v>
      </c>
      <c r="I425" s="453">
        <v>0</v>
      </c>
      <c r="J425" s="487">
        <v>0</v>
      </c>
      <c r="K425" s="453">
        <v>0</v>
      </c>
      <c r="L425" s="487">
        <v>0</v>
      </c>
      <c r="M425" s="453">
        <v>2</v>
      </c>
      <c r="N425" s="487">
        <v>0</v>
      </c>
      <c r="O425" s="453">
        <v>2</v>
      </c>
      <c r="P425" s="487">
        <v>0</v>
      </c>
      <c r="Q425" s="453">
        <v>4</v>
      </c>
    </row>
    <row r="426" spans="1:17" x14ac:dyDescent="0.25">
      <c r="A426" s="453">
        <v>6490820</v>
      </c>
      <c r="B426" s="487">
        <v>0</v>
      </c>
      <c r="C426" s="453">
        <v>0</v>
      </c>
      <c r="D426" s="487">
        <v>0</v>
      </c>
      <c r="E426" s="453">
        <v>0</v>
      </c>
      <c r="F426" s="487">
        <v>0</v>
      </c>
      <c r="G426" s="453">
        <v>0</v>
      </c>
      <c r="H426" s="487">
        <v>0</v>
      </c>
      <c r="I426" s="453">
        <v>0</v>
      </c>
      <c r="J426" s="487">
        <v>0</v>
      </c>
      <c r="K426" s="453">
        <v>0</v>
      </c>
      <c r="L426" s="487">
        <v>4.74</v>
      </c>
      <c r="M426" s="453">
        <v>1</v>
      </c>
      <c r="N426" s="487">
        <v>0</v>
      </c>
      <c r="O426" s="453">
        <v>0</v>
      </c>
      <c r="P426" s="487">
        <v>4.74</v>
      </c>
      <c r="Q426" s="453">
        <v>1</v>
      </c>
    </row>
    <row r="427" spans="1:17" x14ac:dyDescent="0.25">
      <c r="A427" s="453">
        <v>6490032</v>
      </c>
      <c r="B427" s="487">
        <v>0</v>
      </c>
      <c r="C427" s="453">
        <v>0</v>
      </c>
      <c r="D427" s="487">
        <v>0</v>
      </c>
      <c r="E427" s="453">
        <v>5</v>
      </c>
      <c r="F427" s="487">
        <v>0</v>
      </c>
      <c r="G427" s="453">
        <v>1</v>
      </c>
      <c r="H427" s="487">
        <v>0</v>
      </c>
      <c r="I427" s="453">
        <v>2</v>
      </c>
      <c r="J427" s="487">
        <v>0</v>
      </c>
      <c r="K427" s="453">
        <v>2</v>
      </c>
      <c r="L427" s="487">
        <v>0</v>
      </c>
      <c r="M427" s="453">
        <v>5</v>
      </c>
      <c r="N427" s="487">
        <v>0</v>
      </c>
      <c r="O427" s="453">
        <v>0</v>
      </c>
      <c r="P427" s="487">
        <v>0</v>
      </c>
      <c r="Q427" s="453">
        <v>15</v>
      </c>
    </row>
    <row r="428" spans="1:17" x14ac:dyDescent="0.25">
      <c r="A428" s="453">
        <v>6490143</v>
      </c>
      <c r="B428" s="487">
        <v>0</v>
      </c>
      <c r="C428" s="453">
        <v>0</v>
      </c>
      <c r="D428" s="487">
        <v>0</v>
      </c>
      <c r="E428" s="453">
        <v>0</v>
      </c>
      <c r="F428" s="487">
        <v>0</v>
      </c>
      <c r="G428" s="453">
        <v>0</v>
      </c>
      <c r="H428" s="487">
        <v>0</v>
      </c>
      <c r="I428" s="453">
        <v>0</v>
      </c>
      <c r="J428" s="487">
        <v>0</v>
      </c>
      <c r="K428" s="453">
        <v>1</v>
      </c>
      <c r="L428" s="487">
        <v>0</v>
      </c>
      <c r="M428" s="453">
        <v>1</v>
      </c>
      <c r="N428" s="487">
        <v>0</v>
      </c>
      <c r="O428" s="453">
        <v>0</v>
      </c>
      <c r="P428" s="487">
        <v>0</v>
      </c>
      <c r="Q428" s="453">
        <v>2</v>
      </c>
    </row>
    <row r="429" spans="1:17" x14ac:dyDescent="0.25">
      <c r="A429" s="453">
        <v>6490084</v>
      </c>
      <c r="B429" s="487">
        <v>0</v>
      </c>
      <c r="C429" s="453">
        <v>17</v>
      </c>
      <c r="D429" s="487">
        <v>0</v>
      </c>
      <c r="E429" s="453">
        <v>5</v>
      </c>
      <c r="F429" s="487">
        <v>0</v>
      </c>
      <c r="G429" s="453">
        <v>13</v>
      </c>
      <c r="H429" s="487">
        <v>0</v>
      </c>
      <c r="I429" s="453">
        <v>13</v>
      </c>
      <c r="J429" s="487">
        <v>0</v>
      </c>
      <c r="K429" s="453">
        <v>30</v>
      </c>
      <c r="L429" s="487">
        <v>0</v>
      </c>
      <c r="M429" s="453">
        <v>21</v>
      </c>
      <c r="N429" s="487">
        <v>0</v>
      </c>
      <c r="O429" s="453">
        <v>13</v>
      </c>
      <c r="P429" s="487">
        <v>0</v>
      </c>
      <c r="Q429" s="453">
        <v>112</v>
      </c>
    </row>
    <row r="430" spans="1:17" x14ac:dyDescent="0.25">
      <c r="A430" s="453">
        <v>6490908</v>
      </c>
      <c r="B430" s="487">
        <v>0</v>
      </c>
      <c r="C430" s="453">
        <v>0</v>
      </c>
      <c r="D430" s="487">
        <v>0</v>
      </c>
      <c r="E430" s="453">
        <v>0</v>
      </c>
      <c r="F430" s="487">
        <v>0</v>
      </c>
      <c r="G430" s="453">
        <v>0</v>
      </c>
      <c r="H430" s="487">
        <v>0</v>
      </c>
      <c r="I430" s="453">
        <v>0</v>
      </c>
      <c r="J430" s="487">
        <v>0</v>
      </c>
      <c r="K430" s="453">
        <v>0</v>
      </c>
      <c r="L430" s="487">
        <v>0</v>
      </c>
      <c r="M430" s="453">
        <v>0</v>
      </c>
      <c r="N430" s="487">
        <v>1.35</v>
      </c>
      <c r="O430" s="453">
        <v>1</v>
      </c>
      <c r="P430" s="487">
        <v>1.35</v>
      </c>
      <c r="Q430" s="453">
        <v>1</v>
      </c>
    </row>
    <row r="431" spans="1:17" x14ac:dyDescent="0.25">
      <c r="A431" s="453">
        <v>6480037</v>
      </c>
      <c r="B431" s="487">
        <v>0</v>
      </c>
      <c r="C431" s="453">
        <v>0</v>
      </c>
      <c r="D431" s="487">
        <v>0</v>
      </c>
      <c r="E431" s="453">
        <v>0</v>
      </c>
      <c r="F431" s="487">
        <v>0</v>
      </c>
      <c r="G431" s="453">
        <v>0</v>
      </c>
      <c r="H431" s="487">
        <v>0</v>
      </c>
      <c r="I431" s="453">
        <v>0</v>
      </c>
      <c r="J431" s="487">
        <v>0</v>
      </c>
      <c r="K431" s="453">
        <v>0</v>
      </c>
      <c r="L431" s="487">
        <v>0</v>
      </c>
      <c r="M431" s="453">
        <v>1</v>
      </c>
      <c r="N431" s="487">
        <v>0</v>
      </c>
      <c r="O431" s="453">
        <v>0</v>
      </c>
      <c r="P431" s="487">
        <v>0</v>
      </c>
      <c r="Q431" s="453">
        <v>1</v>
      </c>
    </row>
    <row r="432" spans="1:17" x14ac:dyDescent="0.25">
      <c r="A432" s="453">
        <v>6490415</v>
      </c>
      <c r="B432" s="487">
        <v>0</v>
      </c>
      <c r="C432" s="453">
        <v>0</v>
      </c>
      <c r="D432" s="487">
        <v>0</v>
      </c>
      <c r="E432" s="453">
        <v>3</v>
      </c>
      <c r="F432" s="487">
        <v>0</v>
      </c>
      <c r="G432" s="453">
        <v>2</v>
      </c>
      <c r="H432" s="487">
        <v>0</v>
      </c>
      <c r="I432" s="453">
        <v>2</v>
      </c>
      <c r="J432" s="487">
        <v>0</v>
      </c>
      <c r="K432" s="453">
        <v>8</v>
      </c>
      <c r="L432" s="487">
        <v>0</v>
      </c>
      <c r="M432" s="453">
        <v>12</v>
      </c>
      <c r="N432" s="487">
        <v>0</v>
      </c>
      <c r="O432" s="453">
        <v>5</v>
      </c>
      <c r="P432" s="487">
        <v>0</v>
      </c>
      <c r="Q432" s="453">
        <v>32</v>
      </c>
    </row>
    <row r="433" spans="1:17" x14ac:dyDescent="0.25">
      <c r="A433" s="453">
        <v>6490418</v>
      </c>
      <c r="B433" s="487">
        <v>0</v>
      </c>
      <c r="C433" s="453">
        <v>2</v>
      </c>
      <c r="D433" s="487">
        <v>0</v>
      </c>
      <c r="E433" s="453">
        <v>0</v>
      </c>
      <c r="F433" s="487">
        <v>0</v>
      </c>
      <c r="G433" s="453">
        <v>1</v>
      </c>
      <c r="H433" s="487">
        <v>0</v>
      </c>
      <c r="I433" s="453">
        <v>1</v>
      </c>
      <c r="J433" s="487">
        <v>0</v>
      </c>
      <c r="K433" s="453">
        <v>1</v>
      </c>
      <c r="L433" s="487">
        <v>0</v>
      </c>
      <c r="M433" s="453">
        <v>2</v>
      </c>
      <c r="N433" s="487">
        <v>0</v>
      </c>
      <c r="O433" s="453">
        <v>2</v>
      </c>
      <c r="P433" s="487">
        <v>0</v>
      </c>
      <c r="Q433" s="453">
        <v>9</v>
      </c>
    </row>
    <row r="434" spans="1:17" x14ac:dyDescent="0.25">
      <c r="A434" s="453">
        <v>6490420</v>
      </c>
      <c r="B434" s="487">
        <v>0</v>
      </c>
      <c r="C434" s="453">
        <v>0</v>
      </c>
      <c r="D434" s="487">
        <v>0</v>
      </c>
      <c r="E434" s="453">
        <v>0</v>
      </c>
      <c r="F434" s="487">
        <v>0</v>
      </c>
      <c r="G434" s="453">
        <v>0</v>
      </c>
      <c r="H434" s="487">
        <v>0</v>
      </c>
      <c r="I434" s="453">
        <v>0</v>
      </c>
      <c r="J434" s="487">
        <v>0</v>
      </c>
      <c r="K434" s="453">
        <v>5</v>
      </c>
      <c r="L434" s="487">
        <v>0</v>
      </c>
      <c r="M434" s="453">
        <v>4</v>
      </c>
      <c r="N434" s="487">
        <v>0</v>
      </c>
      <c r="O434" s="453">
        <v>1</v>
      </c>
      <c r="P434" s="487">
        <v>0</v>
      </c>
      <c r="Q434" s="453">
        <v>10</v>
      </c>
    </row>
    <row r="435" spans="1:17" x14ac:dyDescent="0.25">
      <c r="A435" s="453">
        <v>6490421</v>
      </c>
      <c r="B435" s="487">
        <v>0</v>
      </c>
      <c r="C435" s="453">
        <v>0</v>
      </c>
      <c r="D435" s="487">
        <v>0</v>
      </c>
      <c r="E435" s="453">
        <v>0</v>
      </c>
      <c r="F435" s="487">
        <v>0</v>
      </c>
      <c r="G435" s="453">
        <v>0</v>
      </c>
      <c r="H435" s="487">
        <v>0</v>
      </c>
      <c r="I435" s="453">
        <v>2</v>
      </c>
      <c r="J435" s="487">
        <v>0</v>
      </c>
      <c r="K435" s="453">
        <v>0</v>
      </c>
      <c r="L435" s="487">
        <v>0</v>
      </c>
      <c r="M435" s="453">
        <v>1</v>
      </c>
      <c r="N435" s="487">
        <v>0</v>
      </c>
      <c r="O435" s="453">
        <v>0</v>
      </c>
      <c r="P435" s="487">
        <v>0</v>
      </c>
      <c r="Q435" s="453">
        <v>3</v>
      </c>
    </row>
    <row r="436" spans="1:17" x14ac:dyDescent="0.25">
      <c r="A436" s="453">
        <v>6490422</v>
      </c>
      <c r="B436" s="487">
        <v>0</v>
      </c>
      <c r="C436" s="453">
        <v>0</v>
      </c>
      <c r="D436" s="487">
        <v>0</v>
      </c>
      <c r="E436" s="453">
        <v>1</v>
      </c>
      <c r="F436" s="487">
        <v>0</v>
      </c>
      <c r="G436" s="453">
        <v>0</v>
      </c>
      <c r="H436" s="487">
        <v>0</v>
      </c>
      <c r="I436" s="453">
        <v>2</v>
      </c>
      <c r="J436" s="487">
        <v>0</v>
      </c>
      <c r="K436" s="453">
        <v>1</v>
      </c>
      <c r="L436" s="487">
        <v>0</v>
      </c>
      <c r="M436" s="453">
        <v>1</v>
      </c>
      <c r="N436" s="487">
        <v>0</v>
      </c>
      <c r="O436" s="453">
        <v>0</v>
      </c>
      <c r="P436" s="487">
        <v>0</v>
      </c>
      <c r="Q436" s="453">
        <v>5</v>
      </c>
    </row>
    <row r="437" spans="1:17" x14ac:dyDescent="0.25">
      <c r="A437" s="453">
        <v>6490423</v>
      </c>
      <c r="B437" s="487">
        <v>0</v>
      </c>
      <c r="C437" s="453">
        <v>0</v>
      </c>
      <c r="D437" s="487">
        <v>0</v>
      </c>
      <c r="E437" s="453">
        <v>0</v>
      </c>
      <c r="F437" s="487">
        <v>0</v>
      </c>
      <c r="G437" s="453">
        <v>0</v>
      </c>
      <c r="H437" s="487">
        <v>0</v>
      </c>
      <c r="I437" s="453">
        <v>0</v>
      </c>
      <c r="J437" s="487">
        <v>0</v>
      </c>
      <c r="K437" s="453">
        <v>0</v>
      </c>
      <c r="L437" s="487">
        <v>0</v>
      </c>
      <c r="M437" s="453">
        <v>0</v>
      </c>
      <c r="N437" s="487">
        <v>0</v>
      </c>
      <c r="O437" s="453">
        <v>1</v>
      </c>
      <c r="P437" s="487">
        <v>0</v>
      </c>
      <c r="Q437" s="453">
        <v>1</v>
      </c>
    </row>
    <row r="438" spans="1:17" x14ac:dyDescent="0.25">
      <c r="A438" s="453">
        <v>6490424</v>
      </c>
      <c r="B438" s="487">
        <v>0</v>
      </c>
      <c r="C438" s="453">
        <v>3</v>
      </c>
      <c r="D438" s="487">
        <v>0</v>
      </c>
      <c r="E438" s="453">
        <v>0</v>
      </c>
      <c r="F438" s="487">
        <v>0</v>
      </c>
      <c r="G438" s="453">
        <v>0</v>
      </c>
      <c r="H438" s="487">
        <v>0</v>
      </c>
      <c r="I438" s="453">
        <v>0</v>
      </c>
      <c r="J438" s="487">
        <v>0</v>
      </c>
      <c r="K438" s="453">
        <v>0</v>
      </c>
      <c r="L438" s="487">
        <v>0</v>
      </c>
      <c r="M438" s="453">
        <v>0</v>
      </c>
      <c r="N438" s="487">
        <v>0</v>
      </c>
      <c r="O438" s="453">
        <v>0</v>
      </c>
      <c r="P438" s="487">
        <v>0</v>
      </c>
      <c r="Q438" s="453">
        <v>3</v>
      </c>
    </row>
    <row r="439" spans="1:17" x14ac:dyDescent="0.25">
      <c r="A439" s="453">
        <v>6490177</v>
      </c>
      <c r="B439" s="487">
        <v>0</v>
      </c>
      <c r="C439" s="453">
        <v>0</v>
      </c>
      <c r="D439" s="487">
        <v>0</v>
      </c>
      <c r="E439" s="453">
        <v>0</v>
      </c>
      <c r="F439" s="487">
        <v>0</v>
      </c>
      <c r="G439" s="453">
        <v>0</v>
      </c>
      <c r="H439" s="487">
        <v>0</v>
      </c>
      <c r="I439" s="453">
        <v>1</v>
      </c>
      <c r="J439" s="487">
        <v>0</v>
      </c>
      <c r="K439" s="453">
        <v>0</v>
      </c>
      <c r="L439" s="487">
        <v>0</v>
      </c>
      <c r="M439" s="453">
        <v>0</v>
      </c>
      <c r="N439" s="487">
        <v>0</v>
      </c>
      <c r="O439" s="453">
        <v>0</v>
      </c>
      <c r="P439" s="487">
        <v>0</v>
      </c>
      <c r="Q439" s="453">
        <v>1</v>
      </c>
    </row>
    <row r="440" spans="1:17" x14ac:dyDescent="0.25">
      <c r="A440" s="453">
        <v>6490403</v>
      </c>
      <c r="B440" s="487">
        <v>3.98</v>
      </c>
      <c r="C440" s="453">
        <v>2</v>
      </c>
      <c r="D440" s="487">
        <v>0</v>
      </c>
      <c r="E440" s="453">
        <v>0</v>
      </c>
      <c r="F440" s="487">
        <v>1.99</v>
      </c>
      <c r="G440" s="453">
        <v>1</v>
      </c>
      <c r="H440" s="487">
        <v>0</v>
      </c>
      <c r="I440" s="453">
        <v>0</v>
      </c>
      <c r="J440" s="487">
        <v>0</v>
      </c>
      <c r="K440" s="453">
        <v>0</v>
      </c>
      <c r="L440" s="487">
        <v>1.99</v>
      </c>
      <c r="M440" s="453">
        <v>1</v>
      </c>
      <c r="N440" s="487">
        <v>0</v>
      </c>
      <c r="O440" s="453">
        <v>0</v>
      </c>
      <c r="P440" s="487">
        <v>7.96</v>
      </c>
      <c r="Q440" s="453">
        <v>4</v>
      </c>
    </row>
    <row r="441" spans="1:17" x14ac:dyDescent="0.25">
      <c r="A441" s="453">
        <v>6490248</v>
      </c>
      <c r="B441" s="487">
        <v>0</v>
      </c>
      <c r="C441" s="453">
        <v>1</v>
      </c>
      <c r="D441" s="487">
        <v>0</v>
      </c>
      <c r="E441" s="453">
        <v>0</v>
      </c>
      <c r="F441" s="487">
        <v>0</v>
      </c>
      <c r="G441" s="453">
        <v>2</v>
      </c>
      <c r="H441" s="487">
        <v>0</v>
      </c>
      <c r="I441" s="453">
        <v>2</v>
      </c>
      <c r="J441" s="487">
        <v>0</v>
      </c>
      <c r="K441" s="453">
        <v>2</v>
      </c>
      <c r="L441" s="487">
        <v>0</v>
      </c>
      <c r="M441" s="453">
        <v>0</v>
      </c>
      <c r="N441" s="487">
        <v>0</v>
      </c>
      <c r="O441" s="453">
        <v>1</v>
      </c>
      <c r="P441" s="487">
        <v>0</v>
      </c>
      <c r="Q441" s="453">
        <v>8</v>
      </c>
    </row>
    <row r="442" spans="1:17" x14ac:dyDescent="0.25">
      <c r="A442" s="453">
        <v>6490182</v>
      </c>
      <c r="B442" s="487">
        <v>0</v>
      </c>
      <c r="C442" s="453">
        <v>3</v>
      </c>
      <c r="D442" s="487">
        <v>0</v>
      </c>
      <c r="E442" s="453">
        <v>2</v>
      </c>
      <c r="F442" s="487">
        <v>0</v>
      </c>
      <c r="G442" s="453">
        <v>7</v>
      </c>
      <c r="H442" s="487">
        <v>0</v>
      </c>
      <c r="I442" s="453">
        <v>2</v>
      </c>
      <c r="J442" s="487">
        <v>0</v>
      </c>
      <c r="K442" s="453">
        <v>9</v>
      </c>
      <c r="L442" s="487">
        <v>0</v>
      </c>
      <c r="M442" s="453">
        <v>11</v>
      </c>
      <c r="N442" s="487">
        <v>0</v>
      </c>
      <c r="O442" s="453">
        <v>7</v>
      </c>
      <c r="P442" s="487">
        <v>0</v>
      </c>
      <c r="Q442" s="453">
        <v>41</v>
      </c>
    </row>
    <row r="443" spans="1:17" x14ac:dyDescent="0.25">
      <c r="A443" s="453">
        <v>6490260</v>
      </c>
      <c r="B443" s="487">
        <v>0</v>
      </c>
      <c r="C443" s="453">
        <v>0</v>
      </c>
      <c r="D443" s="487">
        <v>0</v>
      </c>
      <c r="E443" s="453">
        <v>0</v>
      </c>
      <c r="F443" s="487">
        <v>0</v>
      </c>
      <c r="G443" s="453">
        <v>0</v>
      </c>
      <c r="H443" s="487">
        <v>0</v>
      </c>
      <c r="I443" s="453">
        <v>1</v>
      </c>
      <c r="J443" s="487">
        <v>0</v>
      </c>
      <c r="K443" s="453">
        <v>2</v>
      </c>
      <c r="L443" s="487">
        <v>0</v>
      </c>
      <c r="M443" s="453">
        <v>1</v>
      </c>
      <c r="N443" s="487">
        <v>0</v>
      </c>
      <c r="O443" s="453">
        <v>0</v>
      </c>
      <c r="P443" s="487">
        <v>0</v>
      </c>
      <c r="Q443" s="453">
        <v>4</v>
      </c>
    </row>
    <row r="444" spans="1:17" x14ac:dyDescent="0.25">
      <c r="A444" s="453">
        <v>6490375</v>
      </c>
      <c r="B444" s="487">
        <v>0</v>
      </c>
      <c r="C444" s="453">
        <v>0</v>
      </c>
      <c r="D444" s="487">
        <v>0</v>
      </c>
      <c r="E444" s="453">
        <v>1</v>
      </c>
      <c r="F444" s="487">
        <v>0</v>
      </c>
      <c r="G444" s="453">
        <v>0</v>
      </c>
      <c r="H444" s="487">
        <v>0</v>
      </c>
      <c r="I444" s="453">
        <v>0</v>
      </c>
      <c r="J444" s="487">
        <v>0</v>
      </c>
      <c r="K444" s="453">
        <v>0</v>
      </c>
      <c r="L444" s="487">
        <v>0</v>
      </c>
      <c r="M444" s="453">
        <v>0</v>
      </c>
      <c r="N444" s="487">
        <v>0</v>
      </c>
      <c r="O444" s="453">
        <v>0</v>
      </c>
      <c r="P444" s="487">
        <v>0</v>
      </c>
      <c r="Q444" s="453">
        <v>1</v>
      </c>
    </row>
    <row r="445" spans="1:17" x14ac:dyDescent="0.25">
      <c r="A445" s="453">
        <v>6490250</v>
      </c>
      <c r="B445" s="487">
        <v>0</v>
      </c>
      <c r="C445" s="453">
        <v>0</v>
      </c>
      <c r="D445" s="487">
        <v>0</v>
      </c>
      <c r="E445" s="453">
        <v>0</v>
      </c>
      <c r="F445" s="487">
        <v>0</v>
      </c>
      <c r="G445" s="453">
        <v>1</v>
      </c>
      <c r="H445" s="487">
        <v>0</v>
      </c>
      <c r="I445" s="453">
        <v>0</v>
      </c>
      <c r="J445" s="487">
        <v>0</v>
      </c>
      <c r="K445" s="453">
        <v>0</v>
      </c>
      <c r="L445" s="487">
        <v>0</v>
      </c>
      <c r="M445" s="453">
        <v>0</v>
      </c>
      <c r="N445" s="487">
        <v>0</v>
      </c>
      <c r="O445" s="453">
        <v>0</v>
      </c>
      <c r="P445" s="487">
        <v>0</v>
      </c>
      <c r="Q445" s="453">
        <v>1</v>
      </c>
    </row>
    <row r="446" spans="1:17" x14ac:dyDescent="0.25">
      <c r="A446" s="453">
        <v>6490169</v>
      </c>
      <c r="B446" s="487">
        <v>0</v>
      </c>
      <c r="C446" s="453">
        <v>0</v>
      </c>
      <c r="D446" s="487">
        <v>0</v>
      </c>
      <c r="E446" s="453">
        <v>0</v>
      </c>
      <c r="F446" s="487">
        <v>0</v>
      </c>
      <c r="G446" s="453">
        <v>4</v>
      </c>
      <c r="H446" s="487">
        <v>0</v>
      </c>
      <c r="I446" s="453">
        <v>0</v>
      </c>
      <c r="J446" s="487">
        <v>0</v>
      </c>
      <c r="K446" s="453">
        <v>0</v>
      </c>
      <c r="L446" s="487">
        <v>0</v>
      </c>
      <c r="M446" s="453">
        <v>0</v>
      </c>
      <c r="N446" s="487">
        <v>0</v>
      </c>
      <c r="O446" s="453">
        <v>0</v>
      </c>
      <c r="P446" s="487">
        <v>0</v>
      </c>
      <c r="Q446" s="453">
        <v>4</v>
      </c>
    </row>
    <row r="447" spans="1:17" x14ac:dyDescent="0.25">
      <c r="A447" s="453">
        <v>6490408</v>
      </c>
      <c r="B447" s="487">
        <v>0</v>
      </c>
      <c r="C447" s="453">
        <v>0</v>
      </c>
      <c r="D447" s="487">
        <v>0</v>
      </c>
      <c r="E447" s="453">
        <v>0</v>
      </c>
      <c r="F447" s="487">
        <v>0</v>
      </c>
      <c r="G447" s="453">
        <v>0</v>
      </c>
      <c r="H447" s="487">
        <v>0</v>
      </c>
      <c r="I447" s="453">
        <v>0</v>
      </c>
      <c r="J447" s="487">
        <v>0</v>
      </c>
      <c r="K447" s="453">
        <v>1</v>
      </c>
      <c r="L447" s="487">
        <v>0</v>
      </c>
      <c r="M447" s="453">
        <v>0</v>
      </c>
      <c r="N447" s="487">
        <v>0</v>
      </c>
      <c r="O447" s="453">
        <v>0</v>
      </c>
      <c r="P447" s="487">
        <v>0</v>
      </c>
      <c r="Q447" s="453">
        <v>1</v>
      </c>
    </row>
    <row r="448" spans="1:17" x14ac:dyDescent="0.25">
      <c r="A448" s="453">
        <v>6490481</v>
      </c>
      <c r="B448" s="487">
        <v>0</v>
      </c>
      <c r="C448" s="453">
        <v>0</v>
      </c>
      <c r="D448" s="487">
        <v>0</v>
      </c>
      <c r="E448" s="453">
        <v>0</v>
      </c>
      <c r="F448" s="487">
        <v>0</v>
      </c>
      <c r="G448" s="453">
        <v>0</v>
      </c>
      <c r="H448" s="487">
        <v>0</v>
      </c>
      <c r="I448" s="453">
        <v>0</v>
      </c>
      <c r="J448" s="487">
        <v>0</v>
      </c>
      <c r="K448" s="453">
        <v>0</v>
      </c>
      <c r="L448" s="487">
        <v>0</v>
      </c>
      <c r="M448" s="453">
        <v>0</v>
      </c>
      <c r="N448" s="487">
        <v>0</v>
      </c>
      <c r="O448" s="453">
        <v>1</v>
      </c>
      <c r="P448" s="487">
        <v>0</v>
      </c>
      <c r="Q448" s="453">
        <v>1</v>
      </c>
    </row>
    <row r="449" spans="1:17" x14ac:dyDescent="0.25">
      <c r="A449" s="453">
        <v>6490681</v>
      </c>
      <c r="B449" s="487">
        <v>0</v>
      </c>
      <c r="C449" s="453">
        <v>0</v>
      </c>
      <c r="D449" s="487">
        <v>0</v>
      </c>
      <c r="E449" s="453">
        <v>0</v>
      </c>
      <c r="F449" s="487">
        <v>0</v>
      </c>
      <c r="G449" s="453">
        <v>0</v>
      </c>
      <c r="H449" s="487">
        <v>0</v>
      </c>
      <c r="I449" s="453">
        <v>0</v>
      </c>
      <c r="J449" s="487">
        <v>0</v>
      </c>
      <c r="K449" s="453">
        <v>0</v>
      </c>
      <c r="L449" s="487">
        <v>0.75</v>
      </c>
      <c r="M449" s="453">
        <v>1</v>
      </c>
      <c r="N449" s="487">
        <v>0</v>
      </c>
      <c r="O449" s="453">
        <v>0</v>
      </c>
      <c r="P449" s="487">
        <v>0.75</v>
      </c>
      <c r="Q449" s="453">
        <v>1</v>
      </c>
    </row>
    <row r="450" spans="1:17" x14ac:dyDescent="0.25">
      <c r="A450" s="453">
        <v>6490168</v>
      </c>
      <c r="B450" s="487">
        <v>0</v>
      </c>
      <c r="C450" s="453">
        <v>0</v>
      </c>
      <c r="D450" s="487">
        <v>0</v>
      </c>
      <c r="E450" s="453">
        <v>0</v>
      </c>
      <c r="F450" s="487">
        <v>0</v>
      </c>
      <c r="G450" s="453">
        <v>0</v>
      </c>
      <c r="H450" s="487">
        <v>0</v>
      </c>
      <c r="I450" s="453">
        <v>0</v>
      </c>
      <c r="J450" s="487">
        <v>0</v>
      </c>
      <c r="K450" s="453">
        <v>0</v>
      </c>
      <c r="L450" s="487">
        <v>0</v>
      </c>
      <c r="M450" s="453">
        <v>2</v>
      </c>
      <c r="N450" s="487">
        <v>0</v>
      </c>
      <c r="O450" s="453">
        <v>0</v>
      </c>
      <c r="P450" s="487">
        <v>0</v>
      </c>
      <c r="Q450" s="453">
        <v>2</v>
      </c>
    </row>
    <row r="451" spans="1:17" x14ac:dyDescent="0.25">
      <c r="A451" s="453">
        <v>6490678</v>
      </c>
      <c r="B451" s="487">
        <v>0</v>
      </c>
      <c r="C451" s="453">
        <v>0</v>
      </c>
      <c r="D451" s="487">
        <v>0</v>
      </c>
      <c r="E451" s="453">
        <v>0</v>
      </c>
      <c r="F451" s="487">
        <v>0.75</v>
      </c>
      <c r="G451" s="453">
        <v>1</v>
      </c>
      <c r="H451" s="487">
        <v>0</v>
      </c>
      <c r="I451" s="453">
        <v>0</v>
      </c>
      <c r="J451" s="487">
        <v>0</v>
      </c>
      <c r="K451" s="453">
        <v>0</v>
      </c>
      <c r="L451" s="487">
        <v>0</v>
      </c>
      <c r="M451" s="453">
        <v>0</v>
      </c>
      <c r="N451" s="487">
        <v>0</v>
      </c>
      <c r="O451" s="453">
        <v>0</v>
      </c>
      <c r="P451" s="487">
        <v>0.75</v>
      </c>
      <c r="Q451" s="453">
        <v>1</v>
      </c>
    </row>
    <row r="452" spans="1:17" x14ac:dyDescent="0.25">
      <c r="A452" s="453">
        <v>6490494</v>
      </c>
      <c r="B452" s="487">
        <v>0</v>
      </c>
      <c r="C452" s="453">
        <v>0</v>
      </c>
      <c r="D452" s="487">
        <v>0</v>
      </c>
      <c r="E452" s="453">
        <v>0</v>
      </c>
      <c r="F452" s="487">
        <v>0</v>
      </c>
      <c r="G452" s="453">
        <v>3</v>
      </c>
      <c r="H452" s="487">
        <v>0</v>
      </c>
      <c r="I452" s="453">
        <v>0</v>
      </c>
      <c r="J452" s="487">
        <v>0</v>
      </c>
      <c r="K452" s="453">
        <v>0</v>
      </c>
      <c r="L452" s="487">
        <v>0</v>
      </c>
      <c r="M452" s="453">
        <v>0</v>
      </c>
      <c r="N452" s="487">
        <v>0</v>
      </c>
      <c r="O452" s="453">
        <v>0</v>
      </c>
      <c r="P452" s="487">
        <v>0</v>
      </c>
      <c r="Q452" s="453">
        <v>3</v>
      </c>
    </row>
    <row r="453" spans="1:17" x14ac:dyDescent="0.25">
      <c r="A453" s="453">
        <v>6490495</v>
      </c>
      <c r="B453" s="487">
        <v>0</v>
      </c>
      <c r="C453" s="453">
        <v>1</v>
      </c>
      <c r="D453" s="487">
        <v>0</v>
      </c>
      <c r="E453" s="453">
        <v>0</v>
      </c>
      <c r="F453" s="487">
        <v>0</v>
      </c>
      <c r="G453" s="453">
        <v>0</v>
      </c>
      <c r="H453" s="487">
        <v>0</v>
      </c>
      <c r="I453" s="453">
        <v>0</v>
      </c>
      <c r="J453" s="487">
        <v>0</v>
      </c>
      <c r="K453" s="453">
        <v>1</v>
      </c>
      <c r="L453" s="487">
        <v>0</v>
      </c>
      <c r="M453" s="453">
        <v>0</v>
      </c>
      <c r="N453" s="487">
        <v>0</v>
      </c>
      <c r="O453" s="453">
        <v>1</v>
      </c>
      <c r="P453" s="487">
        <v>0</v>
      </c>
      <c r="Q453" s="453">
        <v>3</v>
      </c>
    </row>
    <row r="454" spans="1:17" x14ac:dyDescent="0.25">
      <c r="A454" s="453">
        <v>6490502</v>
      </c>
      <c r="B454" s="487">
        <v>0</v>
      </c>
      <c r="C454" s="453">
        <v>0</v>
      </c>
      <c r="D454" s="487">
        <v>0</v>
      </c>
      <c r="E454" s="453">
        <v>0</v>
      </c>
      <c r="F454" s="487">
        <v>0</v>
      </c>
      <c r="G454" s="453">
        <v>0</v>
      </c>
      <c r="H454" s="487">
        <v>0</v>
      </c>
      <c r="I454" s="453">
        <v>0</v>
      </c>
      <c r="J454" s="487">
        <v>0</v>
      </c>
      <c r="K454" s="453">
        <v>0</v>
      </c>
      <c r="L454" s="487">
        <v>0</v>
      </c>
      <c r="M454" s="453">
        <v>1</v>
      </c>
      <c r="N454" s="487">
        <v>0</v>
      </c>
      <c r="O454" s="453">
        <v>0</v>
      </c>
      <c r="P454" s="487">
        <v>0</v>
      </c>
      <c r="Q454" s="453">
        <v>1</v>
      </c>
    </row>
    <row r="455" spans="1:17" x14ac:dyDescent="0.25">
      <c r="A455" s="453">
        <v>6490499</v>
      </c>
      <c r="B455" s="487">
        <v>0</v>
      </c>
      <c r="C455" s="453">
        <v>0</v>
      </c>
      <c r="D455" s="487">
        <v>0</v>
      </c>
      <c r="E455" s="453">
        <v>1</v>
      </c>
      <c r="F455" s="487">
        <v>0</v>
      </c>
      <c r="G455" s="453">
        <v>2</v>
      </c>
      <c r="H455" s="487">
        <v>0</v>
      </c>
      <c r="I455" s="453">
        <v>2</v>
      </c>
      <c r="J455" s="487">
        <v>0</v>
      </c>
      <c r="K455" s="453">
        <v>2</v>
      </c>
      <c r="L455" s="487">
        <v>0</v>
      </c>
      <c r="M455" s="453">
        <v>3</v>
      </c>
      <c r="N455" s="487">
        <v>0</v>
      </c>
      <c r="O455" s="453">
        <v>4</v>
      </c>
      <c r="P455" s="487">
        <v>0</v>
      </c>
      <c r="Q455" s="453">
        <v>14</v>
      </c>
    </row>
    <row r="456" spans="1:17" x14ac:dyDescent="0.25">
      <c r="A456" s="453">
        <v>6490119</v>
      </c>
      <c r="B456" s="487">
        <v>0</v>
      </c>
      <c r="C456" s="453">
        <v>0</v>
      </c>
      <c r="D456" s="487">
        <v>0</v>
      </c>
      <c r="E456" s="453">
        <v>0</v>
      </c>
      <c r="F456" s="487">
        <v>0</v>
      </c>
      <c r="G456" s="453">
        <v>0</v>
      </c>
      <c r="H456" s="487">
        <v>0</v>
      </c>
      <c r="I456" s="453">
        <v>0</v>
      </c>
      <c r="J456" s="487">
        <v>2.4900000000000002</v>
      </c>
      <c r="K456" s="453">
        <v>1</v>
      </c>
      <c r="L456" s="487">
        <v>0</v>
      </c>
      <c r="M456" s="453">
        <v>0</v>
      </c>
      <c r="N456" s="487">
        <v>0</v>
      </c>
      <c r="O456" s="453">
        <v>0</v>
      </c>
      <c r="P456" s="487">
        <v>2.4900000000000002</v>
      </c>
      <c r="Q456" s="453">
        <v>1</v>
      </c>
    </row>
    <row r="457" spans="1:17" x14ac:dyDescent="0.25">
      <c r="A457" s="453">
        <v>6490120</v>
      </c>
      <c r="B457" s="487">
        <v>0</v>
      </c>
      <c r="C457" s="453">
        <v>0</v>
      </c>
      <c r="D457" s="487">
        <v>0</v>
      </c>
      <c r="E457" s="453">
        <v>0</v>
      </c>
      <c r="F457" s="487">
        <v>0</v>
      </c>
      <c r="G457" s="453">
        <v>0</v>
      </c>
      <c r="H457" s="487">
        <v>0</v>
      </c>
      <c r="I457" s="453">
        <v>0</v>
      </c>
      <c r="J457" s="487">
        <v>2.4900000000000002</v>
      </c>
      <c r="K457" s="453">
        <v>1</v>
      </c>
      <c r="L457" s="487">
        <v>0</v>
      </c>
      <c r="M457" s="453">
        <v>0</v>
      </c>
      <c r="N457" s="487">
        <v>0</v>
      </c>
      <c r="O457" s="453">
        <v>0</v>
      </c>
      <c r="P457" s="487">
        <v>2.4900000000000002</v>
      </c>
      <c r="Q457" s="453">
        <v>1</v>
      </c>
    </row>
    <row r="458" spans="1:17" x14ac:dyDescent="0.25">
      <c r="A458" s="453">
        <v>6490147</v>
      </c>
      <c r="B458" s="487">
        <v>0</v>
      </c>
      <c r="C458" s="453">
        <v>2</v>
      </c>
      <c r="D458" s="487">
        <v>0</v>
      </c>
      <c r="E458" s="453">
        <v>2</v>
      </c>
      <c r="F458" s="487">
        <v>0</v>
      </c>
      <c r="G458" s="453">
        <v>4</v>
      </c>
      <c r="H458" s="487">
        <v>0</v>
      </c>
      <c r="I458" s="453">
        <v>88</v>
      </c>
      <c r="J458" s="487">
        <v>0</v>
      </c>
      <c r="K458" s="453">
        <v>10</v>
      </c>
      <c r="L458" s="487">
        <v>0</v>
      </c>
      <c r="M458" s="453">
        <v>13</v>
      </c>
      <c r="N458" s="487">
        <v>0</v>
      </c>
      <c r="O458" s="453">
        <v>4</v>
      </c>
      <c r="P458" s="487">
        <v>0</v>
      </c>
      <c r="Q458" s="453">
        <v>123</v>
      </c>
    </row>
    <row r="459" spans="1:17" x14ac:dyDescent="0.25">
      <c r="A459" s="453">
        <v>6490607</v>
      </c>
      <c r="B459" s="487">
        <v>0</v>
      </c>
      <c r="C459" s="453">
        <v>0</v>
      </c>
      <c r="D459" s="487">
        <v>0</v>
      </c>
      <c r="E459" s="453">
        <v>0</v>
      </c>
      <c r="F459" s="487">
        <v>0</v>
      </c>
      <c r="G459" s="453">
        <v>1</v>
      </c>
      <c r="H459" s="487">
        <v>0</v>
      </c>
      <c r="I459" s="453">
        <v>0</v>
      </c>
      <c r="J459" s="487">
        <v>0</v>
      </c>
      <c r="K459" s="453">
        <v>0</v>
      </c>
      <c r="L459" s="487">
        <v>0</v>
      </c>
      <c r="M459" s="453">
        <v>0</v>
      </c>
      <c r="N459" s="487">
        <v>0</v>
      </c>
      <c r="O459" s="453">
        <v>0</v>
      </c>
      <c r="P459" s="487">
        <v>0</v>
      </c>
      <c r="Q459" s="453">
        <v>1</v>
      </c>
    </row>
    <row r="460" spans="1:17" x14ac:dyDescent="0.25">
      <c r="A460" s="453">
        <v>6439107</v>
      </c>
      <c r="B460" s="487">
        <v>0</v>
      </c>
      <c r="C460" s="453">
        <v>0</v>
      </c>
      <c r="D460" s="487">
        <v>0</v>
      </c>
      <c r="E460" s="453">
        <v>0</v>
      </c>
      <c r="F460" s="487">
        <v>0</v>
      </c>
      <c r="G460" s="453">
        <v>0</v>
      </c>
      <c r="H460" s="487">
        <v>0</v>
      </c>
      <c r="I460" s="453">
        <v>0</v>
      </c>
      <c r="J460" s="487">
        <v>0</v>
      </c>
      <c r="K460" s="453">
        <v>1</v>
      </c>
      <c r="L460" s="487">
        <v>0</v>
      </c>
      <c r="M460" s="453">
        <v>0</v>
      </c>
      <c r="N460" s="487">
        <v>0</v>
      </c>
      <c r="O460" s="453">
        <v>0</v>
      </c>
      <c r="P460" s="487">
        <v>0</v>
      </c>
      <c r="Q460" s="453">
        <v>1</v>
      </c>
    </row>
    <row r="461" spans="1:17" x14ac:dyDescent="0.25">
      <c r="A461" s="453">
        <v>6490457</v>
      </c>
      <c r="B461" s="487">
        <v>0</v>
      </c>
      <c r="C461" s="453">
        <v>3</v>
      </c>
      <c r="D461" s="487">
        <v>0</v>
      </c>
      <c r="E461" s="453">
        <v>0</v>
      </c>
      <c r="F461" s="487">
        <v>0</v>
      </c>
      <c r="G461" s="453">
        <v>0</v>
      </c>
      <c r="H461" s="487">
        <v>0</v>
      </c>
      <c r="I461" s="453">
        <v>0</v>
      </c>
      <c r="J461" s="487">
        <v>0</v>
      </c>
      <c r="K461" s="453">
        <v>0</v>
      </c>
      <c r="L461" s="487">
        <v>0</v>
      </c>
      <c r="M461" s="453">
        <v>0</v>
      </c>
      <c r="N461" s="487">
        <v>0</v>
      </c>
      <c r="O461" s="453">
        <v>0</v>
      </c>
      <c r="P461" s="487">
        <v>0</v>
      </c>
      <c r="Q461" s="453">
        <v>3</v>
      </c>
    </row>
    <row r="462" spans="1:17" x14ac:dyDescent="0.25">
      <c r="A462" s="453">
        <v>6490466</v>
      </c>
      <c r="B462" s="487">
        <v>0</v>
      </c>
      <c r="C462" s="453">
        <v>0</v>
      </c>
      <c r="D462" s="487">
        <v>0</v>
      </c>
      <c r="E462" s="453">
        <v>0</v>
      </c>
      <c r="F462" s="487">
        <v>0</v>
      </c>
      <c r="G462" s="453">
        <v>0</v>
      </c>
      <c r="H462" s="487">
        <v>0</v>
      </c>
      <c r="I462" s="453">
        <v>0</v>
      </c>
      <c r="J462" s="487">
        <v>1.99</v>
      </c>
      <c r="K462" s="453">
        <v>1</v>
      </c>
      <c r="L462" s="487">
        <v>0</v>
      </c>
      <c r="M462" s="453">
        <v>0</v>
      </c>
      <c r="N462" s="487">
        <v>0</v>
      </c>
      <c r="O462" s="453">
        <v>0</v>
      </c>
      <c r="P462" s="487">
        <v>1.99</v>
      </c>
      <c r="Q462" s="453">
        <v>1</v>
      </c>
    </row>
    <row r="463" spans="1:17" x14ac:dyDescent="0.25">
      <c r="A463" s="453">
        <v>6490087</v>
      </c>
      <c r="B463" s="487">
        <v>0</v>
      </c>
      <c r="C463" s="453">
        <v>3</v>
      </c>
      <c r="D463" s="487">
        <v>0</v>
      </c>
      <c r="E463" s="453">
        <v>0</v>
      </c>
      <c r="F463" s="487">
        <v>0</v>
      </c>
      <c r="G463" s="453">
        <v>0</v>
      </c>
      <c r="H463" s="487">
        <v>0</v>
      </c>
      <c r="I463" s="453">
        <v>0</v>
      </c>
      <c r="J463" s="487">
        <v>0</v>
      </c>
      <c r="K463" s="453">
        <v>1</v>
      </c>
      <c r="L463" s="487">
        <v>0</v>
      </c>
      <c r="M463" s="453">
        <v>1</v>
      </c>
      <c r="N463" s="487">
        <v>0</v>
      </c>
      <c r="O463" s="453">
        <v>0</v>
      </c>
      <c r="P463" s="487">
        <v>0</v>
      </c>
      <c r="Q463" s="453">
        <v>5</v>
      </c>
    </row>
    <row r="464" spans="1:17" x14ac:dyDescent="0.25">
      <c r="A464" s="453">
        <v>6490090</v>
      </c>
      <c r="B464" s="487">
        <v>0</v>
      </c>
      <c r="C464" s="453">
        <v>2</v>
      </c>
      <c r="D464" s="487">
        <v>0</v>
      </c>
      <c r="E464" s="453">
        <v>1</v>
      </c>
      <c r="F464" s="487">
        <v>0</v>
      </c>
      <c r="G464" s="453">
        <v>6</v>
      </c>
      <c r="H464" s="487">
        <v>0</v>
      </c>
      <c r="I464" s="453">
        <v>1</v>
      </c>
      <c r="J464" s="487">
        <v>0</v>
      </c>
      <c r="K464" s="453">
        <v>10</v>
      </c>
      <c r="L464" s="487">
        <v>0</v>
      </c>
      <c r="M464" s="453">
        <v>13</v>
      </c>
      <c r="N464" s="487">
        <v>0</v>
      </c>
      <c r="O464" s="453">
        <v>4</v>
      </c>
      <c r="P464" s="487">
        <v>0</v>
      </c>
      <c r="Q464" s="453">
        <v>37</v>
      </c>
    </row>
    <row r="465" spans="1:17" x14ac:dyDescent="0.25">
      <c r="A465" s="453">
        <v>6490152</v>
      </c>
      <c r="B465" s="487">
        <v>0</v>
      </c>
      <c r="C465" s="453">
        <v>0</v>
      </c>
      <c r="D465" s="487">
        <v>0</v>
      </c>
      <c r="E465" s="453">
        <v>0</v>
      </c>
      <c r="F465" s="487">
        <v>0</v>
      </c>
      <c r="G465" s="453">
        <v>1</v>
      </c>
      <c r="H465" s="487">
        <v>0</v>
      </c>
      <c r="I465" s="453">
        <v>0</v>
      </c>
      <c r="J465" s="487">
        <v>0</v>
      </c>
      <c r="K465" s="453">
        <v>1</v>
      </c>
      <c r="L465" s="487">
        <v>0</v>
      </c>
      <c r="M465" s="453">
        <v>3</v>
      </c>
      <c r="N465" s="487">
        <v>0</v>
      </c>
      <c r="O465" s="453">
        <v>1</v>
      </c>
      <c r="P465" s="487">
        <v>0</v>
      </c>
      <c r="Q465" s="453">
        <v>6</v>
      </c>
    </row>
    <row r="466" spans="1:17" x14ac:dyDescent="0.25">
      <c r="A466" s="453">
        <v>6490086</v>
      </c>
      <c r="B466" s="487">
        <v>0</v>
      </c>
      <c r="C466" s="453">
        <v>0</v>
      </c>
      <c r="D466" s="487">
        <v>0</v>
      </c>
      <c r="E466" s="453">
        <v>1</v>
      </c>
      <c r="F466" s="487">
        <v>0</v>
      </c>
      <c r="G466" s="453">
        <v>1</v>
      </c>
      <c r="H466" s="487">
        <v>0</v>
      </c>
      <c r="I466" s="453">
        <v>87</v>
      </c>
      <c r="J466" s="487">
        <v>0</v>
      </c>
      <c r="K466" s="453">
        <v>0</v>
      </c>
      <c r="L466" s="487">
        <v>0</v>
      </c>
      <c r="M466" s="453">
        <v>0</v>
      </c>
      <c r="N466" s="487">
        <v>0</v>
      </c>
      <c r="O466" s="453">
        <v>1</v>
      </c>
      <c r="P466" s="487">
        <v>0</v>
      </c>
      <c r="Q466" s="453">
        <v>90</v>
      </c>
    </row>
    <row r="467" spans="1:17" x14ac:dyDescent="0.25">
      <c r="A467" s="453">
        <v>6490608</v>
      </c>
      <c r="B467" s="487">
        <v>0</v>
      </c>
      <c r="C467" s="453">
        <v>0</v>
      </c>
      <c r="D467" s="487">
        <v>0</v>
      </c>
      <c r="E467" s="453">
        <v>0</v>
      </c>
      <c r="F467" s="487">
        <v>0</v>
      </c>
      <c r="G467" s="453">
        <v>1</v>
      </c>
      <c r="H467" s="487">
        <v>0</v>
      </c>
      <c r="I467" s="453">
        <v>0</v>
      </c>
      <c r="J467" s="487">
        <v>0</v>
      </c>
      <c r="K467" s="453">
        <v>0</v>
      </c>
      <c r="L467" s="487">
        <v>0</v>
      </c>
      <c r="M467" s="453">
        <v>0</v>
      </c>
      <c r="N467" s="487">
        <v>0</v>
      </c>
      <c r="O467" s="453">
        <v>0</v>
      </c>
      <c r="P467" s="487">
        <v>0</v>
      </c>
      <c r="Q467" s="453">
        <v>1</v>
      </c>
    </row>
    <row r="468" spans="1:17" x14ac:dyDescent="0.25">
      <c r="A468" s="453">
        <v>6480183</v>
      </c>
      <c r="B468" s="487">
        <v>0</v>
      </c>
      <c r="C468" s="453">
        <v>0</v>
      </c>
      <c r="D468" s="487">
        <v>0</v>
      </c>
      <c r="E468" s="453">
        <v>0</v>
      </c>
      <c r="F468" s="487">
        <v>0</v>
      </c>
      <c r="G468" s="453">
        <v>0</v>
      </c>
      <c r="H468" s="487">
        <v>0</v>
      </c>
      <c r="I468" s="453">
        <v>0</v>
      </c>
      <c r="J468" s="487">
        <v>0</v>
      </c>
      <c r="K468" s="453">
        <v>1</v>
      </c>
      <c r="L468" s="487">
        <v>0</v>
      </c>
      <c r="M468" s="453">
        <v>1</v>
      </c>
      <c r="N468" s="487">
        <v>0</v>
      </c>
      <c r="O468" s="453">
        <v>1</v>
      </c>
      <c r="P468" s="487">
        <v>0</v>
      </c>
      <c r="Q468" s="453">
        <v>3</v>
      </c>
    </row>
    <row r="469" spans="1:17" x14ac:dyDescent="0.25">
      <c r="A469" s="453">
        <v>6439114</v>
      </c>
      <c r="B469" s="487">
        <v>0</v>
      </c>
      <c r="C469" s="453">
        <v>0</v>
      </c>
      <c r="D469" s="487">
        <v>0</v>
      </c>
      <c r="E469" s="453">
        <v>0</v>
      </c>
      <c r="F469" s="487">
        <v>0</v>
      </c>
      <c r="G469" s="453">
        <v>0</v>
      </c>
      <c r="H469" s="487">
        <v>0</v>
      </c>
      <c r="I469" s="453">
        <v>0</v>
      </c>
      <c r="J469" s="487">
        <v>0</v>
      </c>
      <c r="K469" s="453">
        <v>1</v>
      </c>
      <c r="L469" s="487">
        <v>0</v>
      </c>
      <c r="M469" s="453">
        <v>0</v>
      </c>
      <c r="N469" s="487">
        <v>0</v>
      </c>
      <c r="O469" s="453">
        <v>0</v>
      </c>
      <c r="P469" s="487">
        <v>0</v>
      </c>
      <c r="Q469" s="453">
        <v>1</v>
      </c>
    </row>
    <row r="470" spans="1:17" x14ac:dyDescent="0.25">
      <c r="A470" s="453">
        <v>6490089</v>
      </c>
      <c r="B470" s="487">
        <v>0</v>
      </c>
      <c r="C470" s="453">
        <v>1</v>
      </c>
      <c r="D470" s="487">
        <v>0</v>
      </c>
      <c r="E470" s="453">
        <v>1</v>
      </c>
      <c r="F470" s="487">
        <v>0</v>
      </c>
      <c r="G470" s="453">
        <v>3</v>
      </c>
      <c r="H470" s="487">
        <v>0</v>
      </c>
      <c r="I470" s="453">
        <v>2</v>
      </c>
      <c r="J470" s="487">
        <v>0</v>
      </c>
      <c r="K470" s="453">
        <v>3</v>
      </c>
      <c r="L470" s="487">
        <v>0</v>
      </c>
      <c r="M470" s="453">
        <v>6</v>
      </c>
      <c r="N470" s="487">
        <v>0</v>
      </c>
      <c r="O470" s="453">
        <v>5</v>
      </c>
      <c r="P470" s="487">
        <v>0</v>
      </c>
      <c r="Q470" s="453">
        <v>21</v>
      </c>
    </row>
    <row r="471" spans="1:17" x14ac:dyDescent="0.25">
      <c r="A471" s="453">
        <v>6490167</v>
      </c>
      <c r="B471" s="487">
        <v>0</v>
      </c>
      <c r="C471" s="453">
        <v>0</v>
      </c>
      <c r="D471" s="487">
        <v>0</v>
      </c>
      <c r="E471" s="453">
        <v>0</v>
      </c>
      <c r="F471" s="487">
        <v>0</v>
      </c>
      <c r="G471" s="453">
        <v>0</v>
      </c>
      <c r="H471" s="487">
        <v>0</v>
      </c>
      <c r="I471" s="453">
        <v>0</v>
      </c>
      <c r="J471" s="487">
        <v>0</v>
      </c>
      <c r="K471" s="453">
        <v>1</v>
      </c>
      <c r="L471" s="487">
        <v>0</v>
      </c>
      <c r="M471" s="453">
        <v>1</v>
      </c>
      <c r="N471" s="487">
        <v>0</v>
      </c>
      <c r="O471" s="453">
        <v>0</v>
      </c>
      <c r="P471" s="487">
        <v>0</v>
      </c>
      <c r="Q471" s="453">
        <v>2</v>
      </c>
    </row>
    <row r="472" spans="1:17" x14ac:dyDescent="0.25">
      <c r="A472" s="453">
        <v>6490166</v>
      </c>
      <c r="B472" s="487">
        <v>0</v>
      </c>
      <c r="C472" s="453">
        <v>0</v>
      </c>
      <c r="D472" s="487">
        <v>0</v>
      </c>
      <c r="E472" s="453">
        <v>0</v>
      </c>
      <c r="F472" s="487">
        <v>0</v>
      </c>
      <c r="G472" s="453">
        <v>1</v>
      </c>
      <c r="H472" s="487">
        <v>0</v>
      </c>
      <c r="I472" s="453">
        <v>0</v>
      </c>
      <c r="J472" s="487">
        <v>0</v>
      </c>
      <c r="K472" s="453">
        <v>1</v>
      </c>
      <c r="L472" s="487">
        <v>0</v>
      </c>
      <c r="M472" s="453">
        <v>0</v>
      </c>
      <c r="N472" s="487">
        <v>0</v>
      </c>
      <c r="O472" s="453">
        <v>0</v>
      </c>
      <c r="P472" s="487">
        <v>0</v>
      </c>
      <c r="Q472" s="453">
        <v>2</v>
      </c>
    </row>
    <row r="473" spans="1:17" x14ac:dyDescent="0.25">
      <c r="A473" s="453">
        <v>6490479</v>
      </c>
      <c r="B473" s="487">
        <v>0</v>
      </c>
      <c r="C473" s="453">
        <v>0</v>
      </c>
      <c r="D473" s="487">
        <v>0</v>
      </c>
      <c r="E473" s="453">
        <v>0</v>
      </c>
      <c r="F473" s="487">
        <v>0</v>
      </c>
      <c r="G473" s="453">
        <v>0</v>
      </c>
      <c r="H473" s="487">
        <v>0</v>
      </c>
      <c r="I473" s="453">
        <v>1</v>
      </c>
      <c r="J473" s="487">
        <v>0</v>
      </c>
      <c r="K473" s="453">
        <v>0</v>
      </c>
      <c r="L473" s="487">
        <v>0</v>
      </c>
      <c r="M473" s="453">
        <v>0</v>
      </c>
      <c r="N473" s="487">
        <v>0</v>
      </c>
      <c r="O473" s="453">
        <v>0</v>
      </c>
      <c r="P473" s="487">
        <v>0</v>
      </c>
      <c r="Q473" s="453">
        <v>1</v>
      </c>
    </row>
    <row r="474" spans="1:17" x14ac:dyDescent="0.25">
      <c r="A474" s="453">
        <v>6490203</v>
      </c>
      <c r="B474" s="487">
        <v>0</v>
      </c>
      <c r="C474" s="453">
        <v>0</v>
      </c>
      <c r="D474" s="487">
        <v>0</v>
      </c>
      <c r="E474" s="453">
        <v>1</v>
      </c>
      <c r="F474" s="487">
        <v>0</v>
      </c>
      <c r="G474" s="453">
        <v>0</v>
      </c>
      <c r="H474" s="487">
        <v>0</v>
      </c>
      <c r="I474" s="453">
        <v>0</v>
      </c>
      <c r="J474" s="487">
        <v>0</v>
      </c>
      <c r="K474" s="453">
        <v>0</v>
      </c>
      <c r="L474" s="487">
        <v>0</v>
      </c>
      <c r="M474" s="453">
        <v>0</v>
      </c>
      <c r="N474" s="487">
        <v>0</v>
      </c>
      <c r="O474" s="453">
        <v>0</v>
      </c>
      <c r="P474" s="487">
        <v>0</v>
      </c>
      <c r="Q474" s="453">
        <v>1</v>
      </c>
    </row>
    <row r="475" spans="1:17" x14ac:dyDescent="0.25">
      <c r="A475" s="453">
        <v>6490194</v>
      </c>
      <c r="B475" s="487">
        <v>0</v>
      </c>
      <c r="C475" s="453">
        <v>0</v>
      </c>
      <c r="D475" s="487">
        <v>0</v>
      </c>
      <c r="E475" s="453">
        <v>0</v>
      </c>
      <c r="F475" s="487">
        <v>0</v>
      </c>
      <c r="G475" s="453">
        <v>0</v>
      </c>
      <c r="H475" s="487">
        <v>0</v>
      </c>
      <c r="I475" s="453">
        <v>0</v>
      </c>
      <c r="J475" s="487">
        <v>0</v>
      </c>
      <c r="K475" s="453">
        <v>2</v>
      </c>
      <c r="L475" s="487">
        <v>0</v>
      </c>
      <c r="M475" s="453">
        <v>0</v>
      </c>
      <c r="N475" s="487">
        <v>0</v>
      </c>
      <c r="O475" s="453">
        <v>0</v>
      </c>
      <c r="P475" s="487">
        <v>0</v>
      </c>
      <c r="Q475" s="453">
        <v>2</v>
      </c>
    </row>
    <row r="476" spans="1:17" x14ac:dyDescent="0.25">
      <c r="A476" s="453">
        <v>6490200</v>
      </c>
      <c r="B476" s="487">
        <v>0</v>
      </c>
      <c r="C476" s="453">
        <v>0</v>
      </c>
      <c r="D476" s="487">
        <v>0</v>
      </c>
      <c r="E476" s="453">
        <v>0</v>
      </c>
      <c r="F476" s="487">
        <v>0</v>
      </c>
      <c r="G476" s="453">
        <v>0</v>
      </c>
      <c r="H476" s="487">
        <v>0</v>
      </c>
      <c r="I476" s="453">
        <v>0</v>
      </c>
      <c r="J476" s="487">
        <v>0</v>
      </c>
      <c r="K476" s="453">
        <v>0</v>
      </c>
      <c r="L476" s="487">
        <v>0</v>
      </c>
      <c r="M476" s="453">
        <v>0</v>
      </c>
      <c r="N476" s="487">
        <v>0</v>
      </c>
      <c r="O476" s="453">
        <v>1</v>
      </c>
      <c r="P476" s="487">
        <v>0</v>
      </c>
      <c r="Q476" s="453">
        <v>1</v>
      </c>
    </row>
    <row r="477" spans="1:17" x14ac:dyDescent="0.25">
      <c r="A477" s="453">
        <v>6490207</v>
      </c>
      <c r="B477" s="487">
        <v>0</v>
      </c>
      <c r="C477" s="453">
        <v>0</v>
      </c>
      <c r="D477" s="487">
        <v>0</v>
      </c>
      <c r="E477" s="453">
        <v>0</v>
      </c>
      <c r="F477" s="487">
        <v>0</v>
      </c>
      <c r="G477" s="453">
        <v>0</v>
      </c>
      <c r="H477" s="487">
        <v>0</v>
      </c>
      <c r="I477" s="453">
        <v>0</v>
      </c>
      <c r="J477" s="487">
        <v>0</v>
      </c>
      <c r="K477" s="453">
        <v>1</v>
      </c>
      <c r="L477" s="487">
        <v>0</v>
      </c>
      <c r="M477" s="453">
        <v>0</v>
      </c>
      <c r="N477" s="487">
        <v>0</v>
      </c>
      <c r="O477" s="453">
        <v>0</v>
      </c>
      <c r="P477" s="487">
        <v>0</v>
      </c>
      <c r="Q477" s="453">
        <v>1</v>
      </c>
    </row>
    <row r="478" spans="1:17" x14ac:dyDescent="0.25">
      <c r="A478" s="453">
        <v>6490196</v>
      </c>
      <c r="B478" s="487">
        <v>0</v>
      </c>
      <c r="C478" s="453">
        <v>0</v>
      </c>
      <c r="D478" s="487">
        <v>0</v>
      </c>
      <c r="E478" s="453">
        <v>0</v>
      </c>
      <c r="F478" s="487">
        <v>0</v>
      </c>
      <c r="G478" s="453">
        <v>0</v>
      </c>
      <c r="H478" s="487">
        <v>0</v>
      </c>
      <c r="I478" s="453">
        <v>1</v>
      </c>
      <c r="J478" s="487">
        <v>0</v>
      </c>
      <c r="K478" s="453">
        <v>1</v>
      </c>
      <c r="L478" s="487">
        <v>0</v>
      </c>
      <c r="M478" s="453">
        <v>0</v>
      </c>
      <c r="N478" s="487">
        <v>0</v>
      </c>
      <c r="O478" s="453">
        <v>0</v>
      </c>
      <c r="P478" s="487">
        <v>0</v>
      </c>
      <c r="Q478" s="453">
        <v>2</v>
      </c>
    </row>
    <row r="479" spans="1:17" x14ac:dyDescent="0.25">
      <c r="A479" s="453">
        <v>6490589</v>
      </c>
      <c r="B479" s="487">
        <v>0</v>
      </c>
      <c r="C479" s="453">
        <v>0</v>
      </c>
      <c r="D479" s="487">
        <v>0</v>
      </c>
      <c r="E479" s="453">
        <v>2</v>
      </c>
      <c r="F479" s="487">
        <v>0</v>
      </c>
      <c r="G479" s="453">
        <v>0</v>
      </c>
      <c r="H479" s="487">
        <v>0</v>
      </c>
      <c r="I479" s="453">
        <v>0</v>
      </c>
      <c r="J479" s="487">
        <v>0</v>
      </c>
      <c r="K479" s="453">
        <v>4</v>
      </c>
      <c r="L479" s="487">
        <v>0</v>
      </c>
      <c r="M479" s="453">
        <v>0</v>
      </c>
      <c r="N479" s="487">
        <v>0</v>
      </c>
      <c r="O479" s="453">
        <v>3</v>
      </c>
      <c r="P479" s="487">
        <v>0</v>
      </c>
      <c r="Q479" s="453">
        <v>9</v>
      </c>
    </row>
    <row r="480" spans="1:17" x14ac:dyDescent="0.25">
      <c r="A480" s="453">
        <v>6490204</v>
      </c>
      <c r="B480" s="487">
        <v>0</v>
      </c>
      <c r="C480" s="453">
        <v>0</v>
      </c>
      <c r="D480" s="487">
        <v>0</v>
      </c>
      <c r="E480" s="453">
        <v>2</v>
      </c>
      <c r="F480" s="487">
        <v>0</v>
      </c>
      <c r="G480" s="453">
        <v>0</v>
      </c>
      <c r="H480" s="487">
        <v>0</v>
      </c>
      <c r="I480" s="453">
        <v>0</v>
      </c>
      <c r="J480" s="487">
        <v>0</v>
      </c>
      <c r="K480" s="453">
        <v>7</v>
      </c>
      <c r="L480" s="487">
        <v>0</v>
      </c>
      <c r="M480" s="453">
        <v>2</v>
      </c>
      <c r="N480" s="487">
        <v>0</v>
      </c>
      <c r="O480" s="453">
        <v>0</v>
      </c>
      <c r="P480" s="487">
        <v>0</v>
      </c>
      <c r="Q480" s="453">
        <v>11</v>
      </c>
    </row>
    <row r="481" spans="1:17" x14ac:dyDescent="0.25">
      <c r="A481" s="453">
        <v>6490202</v>
      </c>
      <c r="B481" s="487">
        <v>0</v>
      </c>
      <c r="C481" s="453">
        <v>0</v>
      </c>
      <c r="D481" s="487">
        <v>0</v>
      </c>
      <c r="E481" s="453">
        <v>0</v>
      </c>
      <c r="F481" s="487">
        <v>0</v>
      </c>
      <c r="G481" s="453">
        <v>0</v>
      </c>
      <c r="H481" s="487">
        <v>0</v>
      </c>
      <c r="I481" s="453">
        <v>1</v>
      </c>
      <c r="J481" s="487">
        <v>0</v>
      </c>
      <c r="K481" s="453">
        <v>0</v>
      </c>
      <c r="L481" s="487">
        <v>0</v>
      </c>
      <c r="M481" s="453">
        <v>0</v>
      </c>
      <c r="N481" s="487">
        <v>0</v>
      </c>
      <c r="O481" s="453">
        <v>0</v>
      </c>
      <c r="P481" s="487">
        <v>0</v>
      </c>
      <c r="Q481" s="453">
        <v>1</v>
      </c>
    </row>
    <row r="482" spans="1:17" x14ac:dyDescent="0.25">
      <c r="A482" s="453">
        <v>6490712</v>
      </c>
      <c r="B482" s="487">
        <v>0</v>
      </c>
      <c r="C482" s="453">
        <v>1</v>
      </c>
      <c r="D482" s="487">
        <v>0</v>
      </c>
      <c r="E482" s="453">
        <v>2</v>
      </c>
      <c r="F482" s="487">
        <v>0</v>
      </c>
      <c r="G482" s="453">
        <v>1</v>
      </c>
      <c r="H482" s="487">
        <v>0</v>
      </c>
      <c r="I482" s="453">
        <v>0</v>
      </c>
      <c r="J482" s="487">
        <v>0</v>
      </c>
      <c r="K482" s="453">
        <v>4</v>
      </c>
      <c r="L482" s="487">
        <v>0</v>
      </c>
      <c r="M482" s="453">
        <v>4</v>
      </c>
      <c r="N482" s="487">
        <v>0</v>
      </c>
      <c r="O482" s="453">
        <v>1</v>
      </c>
      <c r="P482" s="487">
        <v>0</v>
      </c>
      <c r="Q482" s="453">
        <v>13</v>
      </c>
    </row>
    <row r="483" spans="1:17" x14ac:dyDescent="0.25">
      <c r="A483" s="453">
        <v>6490091</v>
      </c>
      <c r="B483" s="487">
        <v>0</v>
      </c>
      <c r="C483" s="453">
        <v>6</v>
      </c>
      <c r="D483" s="487">
        <v>0</v>
      </c>
      <c r="E483" s="453">
        <v>9</v>
      </c>
      <c r="F483" s="487">
        <v>0</v>
      </c>
      <c r="G483" s="453">
        <v>6</v>
      </c>
      <c r="H483" s="487">
        <v>0</v>
      </c>
      <c r="I483" s="453">
        <v>3</v>
      </c>
      <c r="J483" s="487">
        <v>0</v>
      </c>
      <c r="K483" s="453">
        <v>31</v>
      </c>
      <c r="L483" s="487">
        <v>0</v>
      </c>
      <c r="M483" s="453">
        <v>15</v>
      </c>
      <c r="N483" s="487">
        <v>0</v>
      </c>
      <c r="O483" s="453">
        <v>6</v>
      </c>
      <c r="P483" s="487">
        <v>0</v>
      </c>
      <c r="Q483" s="453">
        <v>76</v>
      </c>
    </row>
    <row r="484" spans="1:17" x14ac:dyDescent="0.25">
      <c r="A484" s="453">
        <v>6490402</v>
      </c>
      <c r="B484" s="487">
        <v>0</v>
      </c>
      <c r="C484" s="453">
        <v>0</v>
      </c>
      <c r="D484" s="487">
        <v>0</v>
      </c>
      <c r="E484" s="453">
        <v>0</v>
      </c>
      <c r="F484" s="487">
        <v>0</v>
      </c>
      <c r="G484" s="453">
        <v>1</v>
      </c>
      <c r="H484" s="487">
        <v>0</v>
      </c>
      <c r="I484" s="453">
        <v>0</v>
      </c>
      <c r="J484" s="487">
        <v>0</v>
      </c>
      <c r="K484" s="453">
        <v>1</v>
      </c>
      <c r="L484" s="487">
        <v>0</v>
      </c>
      <c r="M484" s="453">
        <v>0</v>
      </c>
      <c r="N484" s="487">
        <v>0</v>
      </c>
      <c r="O484" s="453">
        <v>1</v>
      </c>
      <c r="P484" s="487">
        <v>0</v>
      </c>
      <c r="Q484" s="453">
        <v>3</v>
      </c>
    </row>
    <row r="485" spans="1:17" x14ac:dyDescent="0.25">
      <c r="A485" s="453">
        <v>6490411</v>
      </c>
      <c r="B485" s="487">
        <v>0</v>
      </c>
      <c r="C485" s="453">
        <v>0</v>
      </c>
      <c r="D485" s="487">
        <v>0</v>
      </c>
      <c r="E485" s="453">
        <v>0</v>
      </c>
      <c r="F485" s="487">
        <v>0</v>
      </c>
      <c r="G485" s="453">
        <v>0</v>
      </c>
      <c r="H485" s="487">
        <v>0</v>
      </c>
      <c r="I485" s="453">
        <v>0</v>
      </c>
      <c r="J485" s="487">
        <v>0</v>
      </c>
      <c r="K485" s="453">
        <v>0</v>
      </c>
      <c r="L485" s="487">
        <v>0</v>
      </c>
      <c r="M485" s="453">
        <v>1</v>
      </c>
      <c r="N485" s="487">
        <v>0</v>
      </c>
      <c r="O485" s="453">
        <v>0</v>
      </c>
      <c r="P485" s="487">
        <v>0</v>
      </c>
      <c r="Q485" s="453">
        <v>1</v>
      </c>
    </row>
    <row r="486" spans="1:17" x14ac:dyDescent="0.25">
      <c r="A486" s="453">
        <v>6480144</v>
      </c>
      <c r="B486" s="487">
        <v>0</v>
      </c>
      <c r="C486" s="453">
        <v>1</v>
      </c>
      <c r="D486" s="487">
        <v>0</v>
      </c>
      <c r="E486" s="453">
        <v>1</v>
      </c>
      <c r="F486" s="487">
        <v>0</v>
      </c>
      <c r="G486" s="453">
        <v>5</v>
      </c>
      <c r="H486" s="487">
        <v>0</v>
      </c>
      <c r="I486" s="453">
        <v>1</v>
      </c>
      <c r="J486" s="487">
        <v>0</v>
      </c>
      <c r="K486" s="453">
        <v>1</v>
      </c>
      <c r="L486" s="487">
        <v>0</v>
      </c>
      <c r="M486" s="453">
        <v>4</v>
      </c>
      <c r="N486" s="487">
        <v>0</v>
      </c>
      <c r="O486" s="453">
        <v>2</v>
      </c>
      <c r="P486" s="487">
        <v>0</v>
      </c>
      <c r="Q486" s="453">
        <v>15</v>
      </c>
    </row>
    <row r="487" spans="1:17" x14ac:dyDescent="0.25">
      <c r="A487" s="453">
        <v>6490688</v>
      </c>
      <c r="B487" s="487">
        <v>0</v>
      </c>
      <c r="C487" s="453">
        <v>1</v>
      </c>
      <c r="D487" s="487">
        <v>0</v>
      </c>
      <c r="E487" s="453">
        <v>0</v>
      </c>
      <c r="F487" s="487">
        <v>0</v>
      </c>
      <c r="G487" s="453">
        <v>3</v>
      </c>
      <c r="H487" s="487">
        <v>0</v>
      </c>
      <c r="I487" s="453">
        <v>0</v>
      </c>
      <c r="J487" s="487">
        <v>0</v>
      </c>
      <c r="K487" s="453">
        <v>2</v>
      </c>
      <c r="L487" s="487">
        <v>0</v>
      </c>
      <c r="M487" s="453">
        <v>3</v>
      </c>
      <c r="N487" s="487">
        <v>0</v>
      </c>
      <c r="O487" s="453">
        <v>0</v>
      </c>
      <c r="P487" s="487">
        <v>0</v>
      </c>
      <c r="Q487" s="453">
        <v>9</v>
      </c>
    </row>
    <row r="488" spans="1:17" x14ac:dyDescent="0.25">
      <c r="A488" s="453">
        <v>6490899</v>
      </c>
      <c r="B488" s="487">
        <v>0</v>
      </c>
      <c r="C488" s="453">
        <v>0</v>
      </c>
      <c r="D488" s="487">
        <v>0</v>
      </c>
      <c r="E488" s="453">
        <v>0</v>
      </c>
      <c r="F488" s="487">
        <v>0</v>
      </c>
      <c r="G488" s="453">
        <v>0</v>
      </c>
      <c r="H488" s="487">
        <v>0</v>
      </c>
      <c r="I488" s="453">
        <v>0</v>
      </c>
      <c r="J488" s="487">
        <v>0</v>
      </c>
      <c r="K488" s="453">
        <v>1</v>
      </c>
      <c r="L488" s="487">
        <v>0</v>
      </c>
      <c r="M488" s="453">
        <v>1</v>
      </c>
      <c r="N488" s="487">
        <v>0</v>
      </c>
      <c r="O488" s="453">
        <v>0</v>
      </c>
      <c r="P488" s="487">
        <v>0</v>
      </c>
      <c r="Q488" s="453">
        <v>2</v>
      </c>
    </row>
    <row r="489" spans="1:17" x14ac:dyDescent="0.25">
      <c r="A489" s="453">
        <v>6490914</v>
      </c>
      <c r="B489" s="487">
        <v>0</v>
      </c>
      <c r="C489" s="453">
        <v>2</v>
      </c>
      <c r="D489" s="487">
        <v>0</v>
      </c>
      <c r="E489" s="453">
        <v>2</v>
      </c>
      <c r="F489" s="487">
        <v>0</v>
      </c>
      <c r="G489" s="453">
        <v>4</v>
      </c>
      <c r="H489" s="487">
        <v>0</v>
      </c>
      <c r="I489" s="453">
        <v>3</v>
      </c>
      <c r="J489" s="487">
        <v>0</v>
      </c>
      <c r="K489" s="453">
        <v>3</v>
      </c>
      <c r="L489" s="487">
        <v>0</v>
      </c>
      <c r="M489" s="453">
        <v>2</v>
      </c>
      <c r="N489" s="487">
        <v>0</v>
      </c>
      <c r="O489" s="453">
        <v>4</v>
      </c>
      <c r="P489" s="487">
        <v>0</v>
      </c>
      <c r="Q489" s="453">
        <v>20</v>
      </c>
    </row>
    <row r="490" spans="1:17" x14ac:dyDescent="0.25">
      <c r="A490" s="453">
        <v>6490916</v>
      </c>
      <c r="B490" s="487">
        <v>0</v>
      </c>
      <c r="C490" s="453">
        <v>1</v>
      </c>
      <c r="D490" s="487">
        <v>0</v>
      </c>
      <c r="E490" s="453">
        <v>1</v>
      </c>
      <c r="F490" s="487">
        <v>0</v>
      </c>
      <c r="G490" s="453">
        <v>5</v>
      </c>
      <c r="H490" s="487">
        <v>0</v>
      </c>
      <c r="I490" s="453">
        <v>2</v>
      </c>
      <c r="J490" s="487">
        <v>0</v>
      </c>
      <c r="K490" s="453">
        <v>9</v>
      </c>
      <c r="L490" s="487">
        <v>0</v>
      </c>
      <c r="M490" s="453">
        <v>2</v>
      </c>
      <c r="N490" s="487">
        <v>0</v>
      </c>
      <c r="O490" s="453">
        <v>3</v>
      </c>
      <c r="P490" s="487">
        <v>0</v>
      </c>
      <c r="Q490" s="453">
        <v>23</v>
      </c>
    </row>
    <row r="491" spans="1:17" x14ac:dyDescent="0.25">
      <c r="A491" s="453">
        <v>6490918</v>
      </c>
      <c r="B491" s="487">
        <v>0</v>
      </c>
      <c r="C491" s="453">
        <v>2</v>
      </c>
      <c r="D491" s="487">
        <v>0</v>
      </c>
      <c r="E491" s="453">
        <v>1</v>
      </c>
      <c r="F491" s="487">
        <v>0</v>
      </c>
      <c r="G491" s="453">
        <v>0</v>
      </c>
      <c r="H491" s="487">
        <v>0</v>
      </c>
      <c r="I491" s="453">
        <v>0</v>
      </c>
      <c r="J491" s="487">
        <v>0</v>
      </c>
      <c r="K491" s="453">
        <v>2</v>
      </c>
      <c r="L491" s="487">
        <v>0</v>
      </c>
      <c r="M491" s="453">
        <v>6</v>
      </c>
      <c r="N491" s="487">
        <v>0</v>
      </c>
      <c r="O491" s="453">
        <v>0</v>
      </c>
      <c r="P491" s="487">
        <v>0</v>
      </c>
      <c r="Q491" s="453">
        <v>11</v>
      </c>
    </row>
    <row r="492" spans="1:17" x14ac:dyDescent="0.25">
      <c r="A492" s="453">
        <v>6490879</v>
      </c>
      <c r="B492" s="487">
        <v>0</v>
      </c>
      <c r="C492" s="453">
        <v>0</v>
      </c>
      <c r="D492" s="487">
        <v>0</v>
      </c>
      <c r="E492" s="453">
        <v>0</v>
      </c>
      <c r="F492" s="487">
        <v>0</v>
      </c>
      <c r="G492" s="453">
        <v>0</v>
      </c>
      <c r="H492" s="487">
        <v>0</v>
      </c>
      <c r="I492" s="453">
        <v>0</v>
      </c>
      <c r="J492" s="487">
        <v>0</v>
      </c>
      <c r="K492" s="453">
        <v>0</v>
      </c>
      <c r="L492" s="487">
        <v>0</v>
      </c>
      <c r="M492" s="453">
        <v>1</v>
      </c>
      <c r="N492" s="487">
        <v>0</v>
      </c>
      <c r="O492" s="453">
        <v>0</v>
      </c>
      <c r="P492" s="487">
        <v>0</v>
      </c>
      <c r="Q492" s="453">
        <v>1</v>
      </c>
    </row>
    <row r="493" spans="1:17" x14ac:dyDescent="0.25">
      <c r="A493" s="453">
        <v>6490212</v>
      </c>
      <c r="B493" s="487">
        <v>0</v>
      </c>
      <c r="C493" s="453">
        <v>0</v>
      </c>
      <c r="D493" s="487">
        <v>0</v>
      </c>
      <c r="E493" s="453">
        <v>7</v>
      </c>
      <c r="F493" s="487">
        <v>0</v>
      </c>
      <c r="G493" s="453">
        <v>0</v>
      </c>
      <c r="H493" s="487">
        <v>0</v>
      </c>
      <c r="I493" s="453">
        <v>0</v>
      </c>
      <c r="J493" s="487">
        <v>0</v>
      </c>
      <c r="K493" s="453">
        <v>3</v>
      </c>
      <c r="L493" s="487">
        <v>0</v>
      </c>
      <c r="M493" s="453">
        <v>4</v>
      </c>
      <c r="N493" s="487">
        <v>0</v>
      </c>
      <c r="O493" s="453">
        <v>0</v>
      </c>
      <c r="P493" s="487">
        <v>0</v>
      </c>
      <c r="Q493" s="453">
        <v>14</v>
      </c>
    </row>
    <row r="494" spans="1:17" x14ac:dyDescent="0.25">
      <c r="A494" s="453">
        <v>6490052</v>
      </c>
      <c r="B494" s="487">
        <v>0</v>
      </c>
      <c r="C494" s="453">
        <v>0</v>
      </c>
      <c r="D494" s="487">
        <v>0</v>
      </c>
      <c r="E494" s="453">
        <v>0</v>
      </c>
      <c r="F494" s="487">
        <v>0</v>
      </c>
      <c r="G494" s="453">
        <v>0</v>
      </c>
      <c r="H494" s="487">
        <v>0</v>
      </c>
      <c r="I494" s="453">
        <v>0</v>
      </c>
      <c r="J494" s="487">
        <v>0</v>
      </c>
      <c r="K494" s="453">
        <v>2</v>
      </c>
      <c r="L494" s="487">
        <v>0</v>
      </c>
      <c r="M494" s="453">
        <v>0</v>
      </c>
      <c r="N494" s="487">
        <v>0</v>
      </c>
      <c r="O494" s="453">
        <v>0</v>
      </c>
      <c r="P494" s="487">
        <v>0</v>
      </c>
      <c r="Q494" s="453">
        <v>2</v>
      </c>
    </row>
    <row r="495" spans="1:17" x14ac:dyDescent="0.25">
      <c r="A495" s="453">
        <v>6490053</v>
      </c>
      <c r="B495" s="487">
        <v>0</v>
      </c>
      <c r="C495" s="453">
        <v>0</v>
      </c>
      <c r="D495" s="487">
        <v>0</v>
      </c>
      <c r="E495" s="453">
        <v>0</v>
      </c>
      <c r="F495" s="487">
        <v>0</v>
      </c>
      <c r="G495" s="453">
        <v>0</v>
      </c>
      <c r="H495" s="487">
        <v>0</v>
      </c>
      <c r="I495" s="453">
        <v>0</v>
      </c>
      <c r="J495" s="487">
        <v>0</v>
      </c>
      <c r="K495" s="453">
        <v>2</v>
      </c>
      <c r="L495" s="487">
        <v>0</v>
      </c>
      <c r="M495" s="453">
        <v>1</v>
      </c>
      <c r="N495" s="487">
        <v>0</v>
      </c>
      <c r="O495" s="453">
        <v>0</v>
      </c>
      <c r="P495" s="487">
        <v>0</v>
      </c>
      <c r="Q495" s="453">
        <v>3</v>
      </c>
    </row>
    <row r="496" spans="1:17" x14ac:dyDescent="0.25">
      <c r="A496" s="453">
        <v>6490909</v>
      </c>
      <c r="B496" s="487">
        <v>0</v>
      </c>
      <c r="C496" s="453">
        <v>3</v>
      </c>
      <c r="D496" s="487">
        <v>0</v>
      </c>
      <c r="E496" s="453">
        <v>5</v>
      </c>
      <c r="F496" s="487">
        <v>0</v>
      </c>
      <c r="G496" s="453">
        <v>7</v>
      </c>
      <c r="H496" s="487">
        <v>0</v>
      </c>
      <c r="I496" s="453">
        <v>4</v>
      </c>
      <c r="J496" s="487">
        <v>0</v>
      </c>
      <c r="K496" s="453">
        <v>13</v>
      </c>
      <c r="L496" s="487">
        <v>0</v>
      </c>
      <c r="M496" s="453">
        <v>15</v>
      </c>
      <c r="N496" s="487">
        <v>0</v>
      </c>
      <c r="O496" s="453">
        <v>4</v>
      </c>
      <c r="P496" s="487">
        <v>0</v>
      </c>
      <c r="Q496" s="453">
        <v>51</v>
      </c>
    </row>
    <row r="497" spans="1:17" x14ac:dyDescent="0.25">
      <c r="A497" s="453">
        <v>6490313</v>
      </c>
      <c r="B497" s="487">
        <v>0</v>
      </c>
      <c r="C497" s="453">
        <v>1</v>
      </c>
      <c r="D497" s="487">
        <v>0</v>
      </c>
      <c r="E497" s="453">
        <v>0</v>
      </c>
      <c r="F497" s="487">
        <v>0</v>
      </c>
      <c r="G497" s="453">
        <v>0</v>
      </c>
      <c r="H497" s="487">
        <v>0</v>
      </c>
      <c r="I497" s="453">
        <v>0</v>
      </c>
      <c r="J497" s="487">
        <v>0</v>
      </c>
      <c r="K497" s="453">
        <v>1</v>
      </c>
      <c r="L497" s="487">
        <v>0</v>
      </c>
      <c r="M497" s="453">
        <v>2</v>
      </c>
      <c r="N497" s="487">
        <v>0</v>
      </c>
      <c r="O497" s="453">
        <v>0</v>
      </c>
      <c r="P497" s="487">
        <v>0</v>
      </c>
      <c r="Q497" s="453">
        <v>4</v>
      </c>
    </row>
    <row r="498" spans="1:17" x14ac:dyDescent="0.25">
      <c r="A498" s="453">
        <v>6490374</v>
      </c>
      <c r="B498" s="487">
        <v>0</v>
      </c>
      <c r="C498" s="453">
        <v>1</v>
      </c>
      <c r="D498" s="487">
        <v>0</v>
      </c>
      <c r="E498" s="453">
        <v>0</v>
      </c>
      <c r="F498" s="487">
        <v>0</v>
      </c>
      <c r="G498" s="453">
        <v>0</v>
      </c>
      <c r="H498" s="487">
        <v>0</v>
      </c>
      <c r="I498" s="453">
        <v>1</v>
      </c>
      <c r="J498" s="487">
        <v>0</v>
      </c>
      <c r="K498" s="453">
        <v>2</v>
      </c>
      <c r="L498" s="487">
        <v>0</v>
      </c>
      <c r="M498" s="453">
        <v>1</v>
      </c>
      <c r="N498" s="487">
        <v>0</v>
      </c>
      <c r="O498" s="453">
        <v>0</v>
      </c>
      <c r="P498" s="487">
        <v>0</v>
      </c>
      <c r="Q498" s="453">
        <v>5</v>
      </c>
    </row>
    <row r="499" spans="1:17" x14ac:dyDescent="0.25">
      <c r="A499" s="453">
        <v>6490093</v>
      </c>
      <c r="B499" s="487">
        <v>0</v>
      </c>
      <c r="C499" s="453">
        <v>0</v>
      </c>
      <c r="D499" s="487">
        <v>1.25</v>
      </c>
      <c r="E499" s="453">
        <v>1</v>
      </c>
      <c r="F499" s="487">
        <v>0</v>
      </c>
      <c r="G499" s="453">
        <v>0</v>
      </c>
      <c r="H499" s="487">
        <v>0</v>
      </c>
      <c r="I499" s="453">
        <v>0</v>
      </c>
      <c r="J499" s="487">
        <v>0</v>
      </c>
      <c r="K499" s="453">
        <v>0</v>
      </c>
      <c r="L499" s="487">
        <v>0</v>
      </c>
      <c r="M499" s="453">
        <v>0</v>
      </c>
      <c r="N499" s="487">
        <v>0</v>
      </c>
      <c r="O499" s="453">
        <v>0</v>
      </c>
      <c r="P499" s="487">
        <v>1.25</v>
      </c>
      <c r="Q499" s="453">
        <v>1</v>
      </c>
    </row>
    <row r="500" spans="1:17" x14ac:dyDescent="0.25">
      <c r="A500" s="453">
        <v>6490132</v>
      </c>
      <c r="B500" s="487">
        <v>0</v>
      </c>
      <c r="C500" s="453">
        <v>0</v>
      </c>
      <c r="D500" s="487">
        <v>1.49</v>
      </c>
      <c r="E500" s="453">
        <v>1</v>
      </c>
      <c r="F500" s="487">
        <v>0</v>
      </c>
      <c r="G500" s="453">
        <v>0</v>
      </c>
      <c r="H500" s="487">
        <v>0</v>
      </c>
      <c r="I500" s="453">
        <v>0</v>
      </c>
      <c r="J500" s="487">
        <v>0</v>
      </c>
      <c r="K500" s="453">
        <v>0</v>
      </c>
      <c r="L500" s="487">
        <v>0</v>
      </c>
      <c r="M500" s="453">
        <v>0</v>
      </c>
      <c r="N500" s="487">
        <v>0</v>
      </c>
      <c r="O500" s="453">
        <v>0</v>
      </c>
      <c r="P500" s="487">
        <v>1.49</v>
      </c>
      <c r="Q500" s="453">
        <v>1</v>
      </c>
    </row>
    <row r="501" spans="1:17" x14ac:dyDescent="0.25">
      <c r="A501" s="453">
        <v>6490131</v>
      </c>
      <c r="B501" s="487">
        <v>1.25</v>
      </c>
      <c r="C501" s="453">
        <v>1</v>
      </c>
      <c r="D501" s="487">
        <v>0</v>
      </c>
      <c r="E501" s="453">
        <v>0</v>
      </c>
      <c r="F501" s="487">
        <v>0</v>
      </c>
      <c r="G501" s="453">
        <v>0</v>
      </c>
      <c r="H501" s="487">
        <v>0</v>
      </c>
      <c r="I501" s="453">
        <v>0</v>
      </c>
      <c r="J501" s="487">
        <v>0</v>
      </c>
      <c r="K501" s="453">
        <v>0</v>
      </c>
      <c r="L501" s="487">
        <v>0</v>
      </c>
      <c r="M501" s="453">
        <v>0</v>
      </c>
      <c r="N501" s="487">
        <v>0</v>
      </c>
      <c r="O501" s="453">
        <v>0</v>
      </c>
      <c r="P501" s="487">
        <v>1.25</v>
      </c>
      <c r="Q501" s="453">
        <v>1</v>
      </c>
    </row>
    <row r="502" spans="1:17" x14ac:dyDescent="0.25">
      <c r="A502" s="453">
        <v>6490095</v>
      </c>
      <c r="B502" s="487">
        <v>0</v>
      </c>
      <c r="C502" s="453">
        <v>0</v>
      </c>
      <c r="D502" s="487">
        <v>0</v>
      </c>
      <c r="E502" s="453">
        <v>0</v>
      </c>
      <c r="F502" s="487">
        <v>0</v>
      </c>
      <c r="G502" s="453">
        <v>0</v>
      </c>
      <c r="H502" s="487">
        <v>1.25</v>
      </c>
      <c r="I502" s="453">
        <v>1</v>
      </c>
      <c r="J502" s="487">
        <v>0</v>
      </c>
      <c r="K502" s="453">
        <v>0</v>
      </c>
      <c r="L502" s="487">
        <v>0</v>
      </c>
      <c r="M502" s="453">
        <v>0</v>
      </c>
      <c r="N502" s="487">
        <v>0</v>
      </c>
      <c r="O502" s="453">
        <v>0</v>
      </c>
      <c r="P502" s="487">
        <v>1.25</v>
      </c>
      <c r="Q502" s="453">
        <v>1</v>
      </c>
    </row>
    <row r="503" spans="1:17" x14ac:dyDescent="0.25">
      <c r="A503" s="453">
        <v>6490519</v>
      </c>
      <c r="B503" s="487">
        <v>0</v>
      </c>
      <c r="C503" s="453">
        <v>0</v>
      </c>
      <c r="D503" s="487">
        <v>0</v>
      </c>
      <c r="E503" s="453">
        <v>0</v>
      </c>
      <c r="F503" s="487">
        <v>0</v>
      </c>
      <c r="G503" s="453">
        <v>0</v>
      </c>
      <c r="H503" s="487">
        <v>0</v>
      </c>
      <c r="I503" s="453">
        <v>0</v>
      </c>
      <c r="J503" s="487">
        <v>0</v>
      </c>
      <c r="K503" s="453">
        <v>0</v>
      </c>
      <c r="L503" s="487">
        <v>1.49</v>
      </c>
      <c r="M503" s="453">
        <v>1</v>
      </c>
      <c r="N503" s="487">
        <v>0</v>
      </c>
      <c r="O503" s="453">
        <v>0</v>
      </c>
      <c r="P503" s="487">
        <v>1.49</v>
      </c>
      <c r="Q503" s="453">
        <v>1</v>
      </c>
    </row>
    <row r="504" spans="1:17" x14ac:dyDescent="0.25">
      <c r="A504" s="453">
        <v>6490103</v>
      </c>
      <c r="B504" s="487">
        <v>0</v>
      </c>
      <c r="C504" s="453">
        <v>0</v>
      </c>
      <c r="D504" s="487">
        <v>0</v>
      </c>
      <c r="E504" s="453">
        <v>0</v>
      </c>
      <c r="F504" s="487">
        <v>0</v>
      </c>
      <c r="G504" s="453">
        <v>0</v>
      </c>
      <c r="H504" s="487">
        <v>0</v>
      </c>
      <c r="I504" s="453">
        <v>0</v>
      </c>
      <c r="J504" s="487">
        <v>0</v>
      </c>
      <c r="K504" s="453">
        <v>0</v>
      </c>
      <c r="L504" s="487">
        <v>1.49</v>
      </c>
      <c r="M504" s="453">
        <v>1</v>
      </c>
      <c r="N504" s="487">
        <v>0</v>
      </c>
      <c r="O504" s="453">
        <v>0</v>
      </c>
      <c r="P504" s="487">
        <v>1.49</v>
      </c>
      <c r="Q504" s="453">
        <v>1</v>
      </c>
    </row>
    <row r="505" spans="1:17" x14ac:dyDescent="0.25">
      <c r="A505" s="453">
        <v>6490850</v>
      </c>
      <c r="B505" s="487">
        <v>1.25</v>
      </c>
      <c r="C505" s="453">
        <v>1</v>
      </c>
      <c r="D505" s="487">
        <v>0</v>
      </c>
      <c r="E505" s="453">
        <v>0</v>
      </c>
      <c r="F505" s="487">
        <v>0</v>
      </c>
      <c r="G505" s="453">
        <v>0</v>
      </c>
      <c r="H505" s="487">
        <v>0</v>
      </c>
      <c r="I505" s="453">
        <v>0</v>
      </c>
      <c r="J505" s="487">
        <v>0</v>
      </c>
      <c r="K505" s="453">
        <v>0</v>
      </c>
      <c r="L505" s="487">
        <v>0</v>
      </c>
      <c r="M505" s="453">
        <v>0</v>
      </c>
      <c r="N505" s="487">
        <v>0</v>
      </c>
      <c r="O505" s="453">
        <v>0</v>
      </c>
      <c r="P505" s="487">
        <v>1.25</v>
      </c>
      <c r="Q505" s="453">
        <v>1</v>
      </c>
    </row>
    <row r="506" spans="1:17" x14ac:dyDescent="0.25">
      <c r="A506" s="453">
        <v>6438003</v>
      </c>
      <c r="B506" s="487">
        <v>1.49</v>
      </c>
      <c r="C506" s="453">
        <v>1</v>
      </c>
      <c r="D506" s="487">
        <v>2.98</v>
      </c>
      <c r="E506" s="453">
        <v>2</v>
      </c>
      <c r="F506" s="487">
        <v>0</v>
      </c>
      <c r="G506" s="453">
        <v>0</v>
      </c>
      <c r="H506" s="487">
        <v>0</v>
      </c>
      <c r="I506" s="453">
        <v>0</v>
      </c>
      <c r="J506" s="487">
        <v>0</v>
      </c>
      <c r="K506" s="453">
        <v>0</v>
      </c>
      <c r="L506" s="487">
        <v>0</v>
      </c>
      <c r="M506" s="453">
        <v>0</v>
      </c>
      <c r="N506" s="487">
        <v>0</v>
      </c>
      <c r="O506" s="453">
        <v>0</v>
      </c>
      <c r="P506" s="487">
        <v>4.47</v>
      </c>
      <c r="Q506" s="453">
        <v>3</v>
      </c>
    </row>
    <row r="507" spans="1:17" x14ac:dyDescent="0.25">
      <c r="A507" s="453">
        <v>6438016</v>
      </c>
      <c r="B507" s="487">
        <v>0</v>
      </c>
      <c r="C507" s="453">
        <v>0</v>
      </c>
      <c r="D507" s="487">
        <v>0</v>
      </c>
      <c r="E507" s="453">
        <v>0</v>
      </c>
      <c r="F507" s="487">
        <v>0</v>
      </c>
      <c r="G507" s="453">
        <v>0</v>
      </c>
      <c r="H507" s="487">
        <v>0</v>
      </c>
      <c r="I507" s="453">
        <v>0</v>
      </c>
      <c r="J507" s="487">
        <v>0</v>
      </c>
      <c r="K507" s="453">
        <v>0</v>
      </c>
      <c r="L507" s="487">
        <v>1.25</v>
      </c>
      <c r="M507" s="453">
        <v>1</v>
      </c>
      <c r="N507" s="487">
        <v>0</v>
      </c>
      <c r="O507" s="453">
        <v>0</v>
      </c>
      <c r="P507" s="487">
        <v>1.25</v>
      </c>
      <c r="Q507" s="453">
        <v>1</v>
      </c>
    </row>
    <row r="508" spans="1:17" x14ac:dyDescent="0.25">
      <c r="A508" s="453">
        <v>6438013</v>
      </c>
      <c r="B508" s="487">
        <v>0</v>
      </c>
      <c r="C508" s="453">
        <v>0</v>
      </c>
      <c r="D508" s="487">
        <v>0</v>
      </c>
      <c r="E508" s="453">
        <v>0</v>
      </c>
      <c r="F508" s="487">
        <v>0</v>
      </c>
      <c r="G508" s="453">
        <v>0</v>
      </c>
      <c r="H508" s="487">
        <v>0</v>
      </c>
      <c r="I508" s="453">
        <v>0</v>
      </c>
      <c r="J508" s="487">
        <v>1.25</v>
      </c>
      <c r="K508" s="453">
        <v>1</v>
      </c>
      <c r="L508" s="487">
        <v>0</v>
      </c>
      <c r="M508" s="453">
        <v>0</v>
      </c>
      <c r="N508" s="487">
        <v>1.25</v>
      </c>
      <c r="O508" s="453">
        <v>1</v>
      </c>
      <c r="P508" s="487">
        <v>2.5</v>
      </c>
      <c r="Q508" s="453">
        <v>2</v>
      </c>
    </row>
    <row r="509" spans="1:17" x14ac:dyDescent="0.25">
      <c r="A509" s="453">
        <v>6438005</v>
      </c>
      <c r="B509" s="487">
        <v>0</v>
      </c>
      <c r="C509" s="453">
        <v>0</v>
      </c>
      <c r="D509" s="487">
        <v>1.99</v>
      </c>
      <c r="E509" s="453">
        <v>1</v>
      </c>
      <c r="F509" s="487">
        <v>0</v>
      </c>
      <c r="G509" s="453">
        <v>0</v>
      </c>
      <c r="H509" s="487">
        <v>0</v>
      </c>
      <c r="I509" s="453">
        <v>0</v>
      </c>
      <c r="J509" s="487">
        <v>0</v>
      </c>
      <c r="K509" s="453">
        <v>0</v>
      </c>
      <c r="L509" s="487">
        <v>0</v>
      </c>
      <c r="M509" s="453">
        <v>0</v>
      </c>
      <c r="N509" s="487">
        <v>0</v>
      </c>
      <c r="O509" s="453">
        <v>0</v>
      </c>
      <c r="P509" s="487">
        <v>1.99</v>
      </c>
      <c r="Q509" s="453">
        <v>1</v>
      </c>
    </row>
    <row r="510" spans="1:17" x14ac:dyDescent="0.25">
      <c r="A510" s="453">
        <v>6438064</v>
      </c>
      <c r="B510" s="487">
        <v>0</v>
      </c>
      <c r="C510" s="453">
        <v>0</v>
      </c>
      <c r="D510" s="487">
        <v>0</v>
      </c>
      <c r="E510" s="453">
        <v>0</v>
      </c>
      <c r="F510" s="487">
        <v>0</v>
      </c>
      <c r="G510" s="453">
        <v>0</v>
      </c>
      <c r="H510" s="487">
        <v>0</v>
      </c>
      <c r="I510" s="453">
        <v>0</v>
      </c>
      <c r="J510" s="487">
        <v>0</v>
      </c>
      <c r="K510" s="453">
        <v>0</v>
      </c>
      <c r="L510" s="487">
        <v>2.5</v>
      </c>
      <c r="M510" s="453">
        <v>1</v>
      </c>
      <c r="N510" s="487">
        <v>0</v>
      </c>
      <c r="O510" s="453">
        <v>0</v>
      </c>
      <c r="P510" s="487">
        <v>2.5</v>
      </c>
      <c r="Q510" s="453">
        <v>1</v>
      </c>
    </row>
    <row r="511" spans="1:17" x14ac:dyDescent="0.25">
      <c r="A511" s="453">
        <v>6490848</v>
      </c>
      <c r="B511" s="487">
        <v>0</v>
      </c>
      <c r="C511" s="453">
        <v>0</v>
      </c>
      <c r="D511" s="487">
        <v>0</v>
      </c>
      <c r="E511" s="453">
        <v>1</v>
      </c>
      <c r="F511" s="487">
        <v>0</v>
      </c>
      <c r="G511" s="453">
        <v>0</v>
      </c>
      <c r="H511" s="487">
        <v>0</v>
      </c>
      <c r="I511" s="453">
        <v>0</v>
      </c>
      <c r="J511" s="487">
        <v>0</v>
      </c>
      <c r="K511" s="453">
        <v>0</v>
      </c>
      <c r="L511" s="487">
        <v>0</v>
      </c>
      <c r="M511" s="453">
        <v>0</v>
      </c>
      <c r="N511" s="487">
        <v>0</v>
      </c>
      <c r="O511" s="453">
        <v>0</v>
      </c>
      <c r="P511" s="487">
        <v>0</v>
      </c>
      <c r="Q511" s="453">
        <v>1</v>
      </c>
    </row>
    <row r="512" spans="1:17" x14ac:dyDescent="0.25">
      <c r="A512" s="453">
        <v>6438012</v>
      </c>
      <c r="B512" s="487">
        <v>0</v>
      </c>
      <c r="C512" s="453">
        <v>0</v>
      </c>
      <c r="D512" s="487">
        <v>0</v>
      </c>
      <c r="E512" s="453">
        <v>0</v>
      </c>
      <c r="F512" s="487">
        <v>0</v>
      </c>
      <c r="G512" s="453">
        <v>0</v>
      </c>
      <c r="H512" s="487">
        <v>0</v>
      </c>
      <c r="I512" s="453">
        <v>0</v>
      </c>
      <c r="J512" s="487">
        <v>0</v>
      </c>
      <c r="K512" s="453">
        <v>0</v>
      </c>
      <c r="L512" s="487">
        <v>1.25</v>
      </c>
      <c r="M512" s="453">
        <v>1</v>
      </c>
      <c r="N512" s="487">
        <v>1.25</v>
      </c>
      <c r="O512" s="453">
        <v>1</v>
      </c>
      <c r="P512" s="487">
        <v>2.5</v>
      </c>
      <c r="Q512" s="453">
        <v>2</v>
      </c>
    </row>
    <row r="513" spans="1:17" x14ac:dyDescent="0.25">
      <c r="A513" s="453">
        <v>6438018</v>
      </c>
      <c r="B513" s="487">
        <v>0</v>
      </c>
      <c r="C513" s="453">
        <v>0</v>
      </c>
      <c r="D513" s="487">
        <v>0</v>
      </c>
      <c r="E513" s="453">
        <v>0</v>
      </c>
      <c r="F513" s="487">
        <v>0</v>
      </c>
      <c r="G513" s="453">
        <v>0</v>
      </c>
      <c r="H513" s="487">
        <v>1.25</v>
      </c>
      <c r="I513" s="453">
        <v>1</v>
      </c>
      <c r="J513" s="487">
        <v>2.5</v>
      </c>
      <c r="K513" s="453">
        <v>2</v>
      </c>
      <c r="L513" s="487">
        <v>0</v>
      </c>
      <c r="M513" s="453">
        <v>0</v>
      </c>
      <c r="N513" s="487">
        <v>0</v>
      </c>
      <c r="O513" s="453">
        <v>0</v>
      </c>
      <c r="P513" s="487">
        <v>3.75</v>
      </c>
      <c r="Q513" s="453">
        <v>3</v>
      </c>
    </row>
    <row r="514" spans="1:17" x14ac:dyDescent="0.25">
      <c r="A514" s="453">
        <v>6490669</v>
      </c>
      <c r="B514" s="487">
        <v>0</v>
      </c>
      <c r="C514" s="453">
        <v>3</v>
      </c>
      <c r="D514" s="487">
        <v>0</v>
      </c>
      <c r="E514" s="453">
        <v>2</v>
      </c>
      <c r="F514" s="487">
        <v>0</v>
      </c>
      <c r="G514" s="453">
        <v>4</v>
      </c>
      <c r="H514" s="487">
        <v>0</v>
      </c>
      <c r="I514" s="453">
        <v>3</v>
      </c>
      <c r="J514" s="487">
        <v>0</v>
      </c>
      <c r="K514" s="453">
        <v>12</v>
      </c>
      <c r="L514" s="487">
        <v>0</v>
      </c>
      <c r="M514" s="453">
        <v>26</v>
      </c>
      <c r="N514" s="487">
        <v>0</v>
      </c>
      <c r="O514" s="453">
        <v>7</v>
      </c>
      <c r="P514" s="487">
        <v>0</v>
      </c>
      <c r="Q514" s="453">
        <v>57</v>
      </c>
    </row>
    <row r="515" spans="1:17" x14ac:dyDescent="0.25">
      <c r="A515" s="453">
        <v>6490370</v>
      </c>
      <c r="B515" s="487">
        <v>0</v>
      </c>
      <c r="C515" s="453">
        <v>1</v>
      </c>
      <c r="D515" s="487">
        <v>0</v>
      </c>
      <c r="E515" s="453">
        <v>0</v>
      </c>
      <c r="F515" s="487">
        <v>0</v>
      </c>
      <c r="G515" s="453">
        <v>0</v>
      </c>
      <c r="H515" s="487">
        <v>0</v>
      </c>
      <c r="I515" s="453">
        <v>0</v>
      </c>
      <c r="J515" s="487">
        <v>0</v>
      </c>
      <c r="K515" s="453">
        <v>0</v>
      </c>
      <c r="L515" s="487">
        <v>0</v>
      </c>
      <c r="M515" s="453">
        <v>2</v>
      </c>
      <c r="N515" s="487">
        <v>0</v>
      </c>
      <c r="O515" s="453">
        <v>0</v>
      </c>
      <c r="P515" s="487">
        <v>0</v>
      </c>
      <c r="Q515" s="453">
        <v>3</v>
      </c>
    </row>
    <row r="516" spans="1:17" x14ac:dyDescent="0.25">
      <c r="A516" s="453">
        <v>6490910</v>
      </c>
      <c r="B516" s="487">
        <v>0</v>
      </c>
      <c r="C516" s="453">
        <v>0</v>
      </c>
      <c r="D516" s="487">
        <v>0</v>
      </c>
      <c r="E516" s="453">
        <v>0</v>
      </c>
      <c r="F516" s="487">
        <v>0</v>
      </c>
      <c r="G516" s="453">
        <v>0</v>
      </c>
      <c r="H516" s="487">
        <v>0</v>
      </c>
      <c r="I516" s="453">
        <v>2</v>
      </c>
      <c r="J516" s="487">
        <v>0</v>
      </c>
      <c r="K516" s="453">
        <v>0</v>
      </c>
      <c r="L516" s="487">
        <v>0</v>
      </c>
      <c r="M516" s="453">
        <v>0</v>
      </c>
      <c r="N516" s="487">
        <v>0</v>
      </c>
      <c r="O516" s="453">
        <v>0</v>
      </c>
      <c r="P516" s="487">
        <v>0</v>
      </c>
      <c r="Q516" s="453">
        <v>2</v>
      </c>
    </row>
    <row r="517" spans="1:17" x14ac:dyDescent="0.25">
      <c r="A517" s="453">
        <v>6490012</v>
      </c>
      <c r="B517" s="487">
        <v>0</v>
      </c>
      <c r="C517" s="453">
        <v>1</v>
      </c>
      <c r="D517" s="487">
        <v>0</v>
      </c>
      <c r="E517" s="453">
        <v>0</v>
      </c>
      <c r="F517" s="487">
        <v>0</v>
      </c>
      <c r="G517" s="453">
        <v>0</v>
      </c>
      <c r="H517" s="487">
        <v>0</v>
      </c>
      <c r="I517" s="453">
        <v>0</v>
      </c>
      <c r="J517" s="487">
        <v>0</v>
      </c>
      <c r="K517" s="453">
        <v>2</v>
      </c>
      <c r="L517" s="487">
        <v>0</v>
      </c>
      <c r="M517" s="453">
        <v>0</v>
      </c>
      <c r="N517" s="487">
        <v>0</v>
      </c>
      <c r="O517" s="453">
        <v>0</v>
      </c>
      <c r="P517" s="487">
        <v>0</v>
      </c>
      <c r="Q517" s="453">
        <v>3</v>
      </c>
    </row>
    <row r="518" spans="1:17" x14ac:dyDescent="0.25">
      <c r="A518" s="453">
        <v>6490882</v>
      </c>
      <c r="B518" s="487">
        <v>0</v>
      </c>
      <c r="C518" s="453">
        <v>1</v>
      </c>
      <c r="D518" s="487">
        <v>0</v>
      </c>
      <c r="E518" s="453">
        <v>1</v>
      </c>
      <c r="F518" s="487">
        <v>0</v>
      </c>
      <c r="G518" s="453">
        <v>4</v>
      </c>
      <c r="H518" s="487">
        <v>0</v>
      </c>
      <c r="I518" s="453">
        <v>2</v>
      </c>
      <c r="J518" s="487">
        <v>0</v>
      </c>
      <c r="K518" s="453">
        <v>6</v>
      </c>
      <c r="L518" s="487">
        <v>0</v>
      </c>
      <c r="M518" s="453">
        <v>10</v>
      </c>
      <c r="N518" s="487">
        <v>0</v>
      </c>
      <c r="O518" s="453">
        <v>7</v>
      </c>
      <c r="P518" s="487">
        <v>0</v>
      </c>
      <c r="Q518" s="453">
        <v>31</v>
      </c>
    </row>
    <row r="519" spans="1:17" x14ac:dyDescent="0.25">
      <c r="A519" s="453">
        <v>6490667</v>
      </c>
      <c r="B519" s="487">
        <v>0</v>
      </c>
      <c r="C519" s="453">
        <v>1</v>
      </c>
      <c r="D519" s="487">
        <v>0</v>
      </c>
      <c r="E519" s="453">
        <v>0</v>
      </c>
      <c r="F519" s="487">
        <v>0</v>
      </c>
      <c r="G519" s="453">
        <v>0</v>
      </c>
      <c r="H519" s="487">
        <v>0</v>
      </c>
      <c r="I519" s="453">
        <v>1</v>
      </c>
      <c r="J519" s="487">
        <v>0</v>
      </c>
      <c r="K519" s="453">
        <v>1</v>
      </c>
      <c r="L519" s="487">
        <v>0</v>
      </c>
      <c r="M519" s="453">
        <v>3</v>
      </c>
      <c r="N519" s="487">
        <v>0</v>
      </c>
      <c r="O519" s="453">
        <v>0</v>
      </c>
      <c r="P519" s="487">
        <v>0</v>
      </c>
      <c r="Q519" s="453">
        <v>6</v>
      </c>
    </row>
    <row r="520" spans="1:17" x14ac:dyDescent="0.25">
      <c r="A520" s="453">
        <v>6436002</v>
      </c>
      <c r="B520" s="487">
        <v>0</v>
      </c>
      <c r="C520" s="453">
        <v>0</v>
      </c>
      <c r="D520" s="487">
        <v>0</v>
      </c>
      <c r="E520" s="453">
        <v>0</v>
      </c>
      <c r="F520" s="487">
        <v>0</v>
      </c>
      <c r="G520" s="453">
        <v>0</v>
      </c>
      <c r="H520" s="487">
        <v>0</v>
      </c>
      <c r="I520" s="453">
        <v>0</v>
      </c>
      <c r="J520" s="487">
        <v>0</v>
      </c>
      <c r="K520" s="453">
        <v>1</v>
      </c>
      <c r="L520" s="487">
        <v>0</v>
      </c>
      <c r="M520" s="453">
        <v>0</v>
      </c>
      <c r="N520" s="487">
        <v>0</v>
      </c>
      <c r="O520" s="453">
        <v>0</v>
      </c>
      <c r="P520" s="487">
        <v>0</v>
      </c>
      <c r="Q520" s="453">
        <v>1</v>
      </c>
    </row>
    <row r="521" spans="1:17" x14ac:dyDescent="0.25">
      <c r="A521" s="453">
        <v>6490912</v>
      </c>
      <c r="B521" s="487">
        <v>0</v>
      </c>
      <c r="C521" s="453">
        <v>0</v>
      </c>
      <c r="D521" s="487">
        <v>0</v>
      </c>
      <c r="E521" s="453">
        <v>0</v>
      </c>
      <c r="F521" s="487">
        <v>0</v>
      </c>
      <c r="G521" s="453">
        <v>0</v>
      </c>
      <c r="H521" s="487">
        <v>0</v>
      </c>
      <c r="I521" s="453">
        <v>1</v>
      </c>
      <c r="J521" s="487">
        <v>0</v>
      </c>
      <c r="K521" s="453">
        <v>0</v>
      </c>
      <c r="L521" s="487">
        <v>0</v>
      </c>
      <c r="M521" s="453">
        <v>0</v>
      </c>
      <c r="N521" s="487">
        <v>0</v>
      </c>
      <c r="O521" s="453">
        <v>0</v>
      </c>
      <c r="P521" s="487">
        <v>0</v>
      </c>
      <c r="Q521" s="453">
        <v>1</v>
      </c>
    </row>
    <row r="522" spans="1:17" x14ac:dyDescent="0.25">
      <c r="A522" s="453">
        <v>6490256</v>
      </c>
      <c r="B522" s="487">
        <v>0</v>
      </c>
      <c r="C522" s="453">
        <v>1</v>
      </c>
      <c r="D522" s="487">
        <v>0</v>
      </c>
      <c r="E522" s="453">
        <v>0</v>
      </c>
      <c r="F522" s="487">
        <v>0</v>
      </c>
      <c r="G522" s="453">
        <v>0</v>
      </c>
      <c r="H522" s="487">
        <v>0</v>
      </c>
      <c r="I522" s="453">
        <v>0</v>
      </c>
      <c r="J522" s="487">
        <v>0</v>
      </c>
      <c r="K522" s="453">
        <v>0</v>
      </c>
      <c r="L522" s="487">
        <v>0</v>
      </c>
      <c r="M522" s="453">
        <v>0</v>
      </c>
      <c r="N522" s="487">
        <v>0</v>
      </c>
      <c r="O522" s="453">
        <v>0</v>
      </c>
      <c r="P522" s="487">
        <v>0</v>
      </c>
      <c r="Q522" s="453">
        <v>1</v>
      </c>
    </row>
    <row r="523" spans="1:17" x14ac:dyDescent="0.25">
      <c r="A523" s="453">
        <v>6490181</v>
      </c>
      <c r="B523" s="487">
        <v>0</v>
      </c>
      <c r="C523" s="453">
        <v>3</v>
      </c>
      <c r="D523" s="487">
        <v>0</v>
      </c>
      <c r="E523" s="453">
        <v>7</v>
      </c>
      <c r="F523" s="487">
        <v>0</v>
      </c>
      <c r="G523" s="453">
        <v>1</v>
      </c>
      <c r="H523" s="487">
        <v>0</v>
      </c>
      <c r="I523" s="453">
        <v>3</v>
      </c>
      <c r="J523" s="487">
        <v>0</v>
      </c>
      <c r="K523" s="453">
        <v>16</v>
      </c>
      <c r="L523" s="487">
        <v>0</v>
      </c>
      <c r="M523" s="453">
        <v>22</v>
      </c>
      <c r="N523" s="487">
        <v>0</v>
      </c>
      <c r="O523" s="453">
        <v>18</v>
      </c>
      <c r="P523" s="487">
        <v>0</v>
      </c>
      <c r="Q523" s="453">
        <v>70</v>
      </c>
    </row>
    <row r="524" spans="1:17" x14ac:dyDescent="0.25">
      <c r="A524" s="453">
        <v>6490063</v>
      </c>
      <c r="B524" s="487">
        <v>0</v>
      </c>
      <c r="C524" s="453">
        <v>0</v>
      </c>
      <c r="D524" s="487">
        <v>0</v>
      </c>
      <c r="E524" s="453">
        <v>0</v>
      </c>
      <c r="F524" s="487">
        <v>0</v>
      </c>
      <c r="G524" s="453">
        <v>0</v>
      </c>
      <c r="H524" s="487">
        <v>0</v>
      </c>
      <c r="I524" s="453">
        <v>1</v>
      </c>
      <c r="J524" s="487">
        <v>0</v>
      </c>
      <c r="K524" s="453">
        <v>0</v>
      </c>
      <c r="L524" s="487">
        <v>0</v>
      </c>
      <c r="M524" s="453">
        <v>0</v>
      </c>
      <c r="N524" s="487">
        <v>0</v>
      </c>
      <c r="O524" s="453">
        <v>0</v>
      </c>
      <c r="P524" s="487">
        <v>0</v>
      </c>
      <c r="Q524" s="453">
        <v>1</v>
      </c>
    </row>
    <row r="525" spans="1:17" x14ac:dyDescent="0.25">
      <c r="A525" s="453">
        <v>6490711</v>
      </c>
      <c r="B525" s="487">
        <v>0</v>
      </c>
      <c r="C525" s="453">
        <v>25</v>
      </c>
      <c r="D525" s="487">
        <v>0</v>
      </c>
      <c r="E525" s="453">
        <v>36</v>
      </c>
      <c r="F525" s="487">
        <v>0</v>
      </c>
      <c r="G525" s="453">
        <v>58</v>
      </c>
      <c r="H525" s="487">
        <v>0</v>
      </c>
      <c r="I525" s="453">
        <v>29</v>
      </c>
      <c r="J525" s="487">
        <v>0</v>
      </c>
      <c r="K525" s="453">
        <v>103</v>
      </c>
      <c r="L525" s="487">
        <v>0</v>
      </c>
      <c r="M525" s="453">
        <v>142</v>
      </c>
      <c r="N525" s="487">
        <v>0</v>
      </c>
      <c r="O525" s="453">
        <v>53</v>
      </c>
      <c r="P525" s="487">
        <v>0</v>
      </c>
      <c r="Q525" s="453">
        <v>446</v>
      </c>
    </row>
    <row r="526" spans="1:17" x14ac:dyDescent="0.25">
      <c r="A526" s="453">
        <v>6490880</v>
      </c>
      <c r="B526" s="487">
        <v>0</v>
      </c>
      <c r="C526" s="453">
        <v>0</v>
      </c>
      <c r="D526" s="487">
        <v>0</v>
      </c>
      <c r="E526" s="453">
        <v>0</v>
      </c>
      <c r="F526" s="487">
        <v>0</v>
      </c>
      <c r="G526" s="453">
        <v>1</v>
      </c>
      <c r="H526" s="487">
        <v>0</v>
      </c>
      <c r="I526" s="453">
        <v>0</v>
      </c>
      <c r="J526" s="487">
        <v>0</v>
      </c>
      <c r="K526" s="453">
        <v>0</v>
      </c>
      <c r="L526" s="487">
        <v>0</v>
      </c>
      <c r="M526" s="453">
        <v>1</v>
      </c>
      <c r="N526" s="487">
        <v>0</v>
      </c>
      <c r="O526" s="453">
        <v>0</v>
      </c>
      <c r="P526" s="487">
        <v>0</v>
      </c>
      <c r="Q526" s="453">
        <v>2</v>
      </c>
    </row>
    <row r="527" spans="1:17" x14ac:dyDescent="0.25">
      <c r="A527" s="800" t="s">
        <v>1939</v>
      </c>
      <c r="B527" s="485">
        <v>0</v>
      </c>
      <c r="C527" s="486">
        <v>7</v>
      </c>
      <c r="D527" s="485">
        <v>0</v>
      </c>
      <c r="E527" s="486">
        <v>28</v>
      </c>
      <c r="F527" s="485">
        <v>0</v>
      </c>
      <c r="G527" s="486">
        <v>5</v>
      </c>
      <c r="H527" s="485">
        <v>0</v>
      </c>
      <c r="I527" s="486">
        <v>3</v>
      </c>
      <c r="J527" s="485">
        <v>0</v>
      </c>
      <c r="K527" s="486">
        <v>77</v>
      </c>
      <c r="L527" s="485">
        <v>0</v>
      </c>
      <c r="M527" s="486">
        <v>148</v>
      </c>
      <c r="N527" s="485">
        <v>0</v>
      </c>
      <c r="O527" s="486">
        <v>21</v>
      </c>
      <c r="P527" s="485">
        <v>0</v>
      </c>
      <c r="Q527" s="486">
        <v>289</v>
      </c>
    </row>
    <row r="528" spans="1:17" x14ac:dyDescent="0.25">
      <c r="A528" s="453">
        <v>6500001</v>
      </c>
      <c r="B528" s="487">
        <v>0</v>
      </c>
      <c r="C528" s="453">
        <v>2</v>
      </c>
      <c r="D528" s="487">
        <v>0</v>
      </c>
      <c r="E528" s="453">
        <v>16</v>
      </c>
      <c r="F528" s="487">
        <v>0</v>
      </c>
      <c r="G528" s="453">
        <v>2</v>
      </c>
      <c r="H528" s="487">
        <v>0</v>
      </c>
      <c r="I528" s="453">
        <v>1</v>
      </c>
      <c r="J528" s="487">
        <v>0</v>
      </c>
      <c r="K528" s="453">
        <v>66</v>
      </c>
      <c r="L528" s="487">
        <v>0</v>
      </c>
      <c r="M528" s="453">
        <v>129</v>
      </c>
      <c r="N528" s="487">
        <v>0</v>
      </c>
      <c r="O528" s="453">
        <v>15</v>
      </c>
      <c r="P528" s="487">
        <v>0</v>
      </c>
      <c r="Q528" s="453">
        <v>231</v>
      </c>
    </row>
    <row r="529" spans="1:17" x14ac:dyDescent="0.25">
      <c r="A529" s="453">
        <v>6500024</v>
      </c>
      <c r="B529" s="487">
        <v>0</v>
      </c>
      <c r="C529" s="453">
        <v>0</v>
      </c>
      <c r="D529" s="487">
        <v>0</v>
      </c>
      <c r="E529" s="453">
        <v>0</v>
      </c>
      <c r="F529" s="487">
        <v>0</v>
      </c>
      <c r="G529" s="453">
        <v>0</v>
      </c>
      <c r="H529" s="487">
        <v>0</v>
      </c>
      <c r="I529" s="453">
        <v>0</v>
      </c>
      <c r="J529" s="487">
        <v>0</v>
      </c>
      <c r="K529" s="453">
        <v>0</v>
      </c>
      <c r="L529" s="487">
        <v>0</v>
      </c>
      <c r="M529" s="453">
        <v>2</v>
      </c>
      <c r="N529" s="487">
        <v>0</v>
      </c>
      <c r="O529" s="453">
        <v>0</v>
      </c>
      <c r="P529" s="487">
        <v>0</v>
      </c>
      <c r="Q529" s="453">
        <v>2</v>
      </c>
    </row>
    <row r="530" spans="1:17" x14ac:dyDescent="0.25">
      <c r="A530" s="453">
        <v>6500037</v>
      </c>
      <c r="B530" s="487">
        <v>0</v>
      </c>
      <c r="C530" s="453">
        <v>0</v>
      </c>
      <c r="D530" s="487">
        <v>0</v>
      </c>
      <c r="E530" s="453">
        <v>0</v>
      </c>
      <c r="F530" s="487">
        <v>0</v>
      </c>
      <c r="G530" s="453">
        <v>0</v>
      </c>
      <c r="H530" s="487">
        <v>0</v>
      </c>
      <c r="I530" s="453">
        <v>0</v>
      </c>
      <c r="J530" s="487">
        <v>0</v>
      </c>
      <c r="K530" s="453">
        <v>0</v>
      </c>
      <c r="L530" s="487">
        <v>0</v>
      </c>
      <c r="M530" s="453">
        <v>2</v>
      </c>
      <c r="N530" s="487">
        <v>0</v>
      </c>
      <c r="O530" s="453">
        <v>0</v>
      </c>
      <c r="P530" s="487">
        <v>0</v>
      </c>
      <c r="Q530" s="453">
        <v>2</v>
      </c>
    </row>
    <row r="531" spans="1:17" x14ac:dyDescent="0.25">
      <c r="A531" s="453">
        <v>6500038</v>
      </c>
      <c r="B531" s="487">
        <v>0</v>
      </c>
      <c r="C531" s="453">
        <v>0</v>
      </c>
      <c r="D531" s="487">
        <v>0</v>
      </c>
      <c r="E531" s="453">
        <v>0</v>
      </c>
      <c r="F531" s="487">
        <v>0</v>
      </c>
      <c r="G531" s="453">
        <v>0</v>
      </c>
      <c r="H531" s="487">
        <v>0</v>
      </c>
      <c r="I531" s="453">
        <v>0</v>
      </c>
      <c r="J531" s="487">
        <v>0</v>
      </c>
      <c r="K531" s="453">
        <v>1</v>
      </c>
      <c r="L531" s="487">
        <v>0</v>
      </c>
      <c r="M531" s="453">
        <v>3</v>
      </c>
      <c r="N531" s="487">
        <v>0</v>
      </c>
      <c r="O531" s="453">
        <v>1</v>
      </c>
      <c r="P531" s="487">
        <v>0</v>
      </c>
      <c r="Q531" s="453">
        <v>5</v>
      </c>
    </row>
    <row r="532" spans="1:17" x14ac:dyDescent="0.25">
      <c r="A532" s="453">
        <v>6500065</v>
      </c>
      <c r="B532" s="487">
        <v>0</v>
      </c>
      <c r="C532" s="453">
        <v>0</v>
      </c>
      <c r="D532" s="487">
        <v>0</v>
      </c>
      <c r="E532" s="453">
        <v>0</v>
      </c>
      <c r="F532" s="487">
        <v>0</v>
      </c>
      <c r="G532" s="453">
        <v>0</v>
      </c>
      <c r="H532" s="487">
        <v>0</v>
      </c>
      <c r="I532" s="453">
        <v>0</v>
      </c>
      <c r="J532" s="487">
        <v>0</v>
      </c>
      <c r="K532" s="453">
        <v>1</v>
      </c>
      <c r="L532" s="487">
        <v>0</v>
      </c>
      <c r="M532" s="453">
        <v>0</v>
      </c>
      <c r="N532" s="487">
        <v>0</v>
      </c>
      <c r="O532" s="453">
        <v>0</v>
      </c>
      <c r="P532" s="487">
        <v>0</v>
      </c>
      <c r="Q532" s="453">
        <v>1</v>
      </c>
    </row>
    <row r="533" spans="1:17" x14ac:dyDescent="0.25">
      <c r="A533" s="453">
        <v>6500032</v>
      </c>
      <c r="B533" s="487">
        <v>0</v>
      </c>
      <c r="C533" s="453">
        <v>0</v>
      </c>
      <c r="D533" s="487">
        <v>0</v>
      </c>
      <c r="E533" s="453">
        <v>1</v>
      </c>
      <c r="F533" s="487">
        <v>0</v>
      </c>
      <c r="G533" s="453">
        <v>0</v>
      </c>
      <c r="H533" s="487">
        <v>0</v>
      </c>
      <c r="I533" s="453">
        <v>0</v>
      </c>
      <c r="J533" s="487">
        <v>0</v>
      </c>
      <c r="K533" s="453">
        <v>1</v>
      </c>
      <c r="L533" s="487">
        <v>0</v>
      </c>
      <c r="M533" s="453">
        <v>3</v>
      </c>
      <c r="N533" s="487">
        <v>0</v>
      </c>
      <c r="O533" s="453">
        <v>1</v>
      </c>
      <c r="P533" s="487">
        <v>0</v>
      </c>
      <c r="Q533" s="453">
        <v>6</v>
      </c>
    </row>
    <row r="534" spans="1:17" x14ac:dyDescent="0.25">
      <c r="A534" s="453">
        <v>6500046</v>
      </c>
      <c r="B534" s="487">
        <v>0</v>
      </c>
      <c r="C534" s="453">
        <v>1</v>
      </c>
      <c r="D534" s="487">
        <v>0</v>
      </c>
      <c r="E534" s="453">
        <v>0</v>
      </c>
      <c r="F534" s="487">
        <v>0</v>
      </c>
      <c r="G534" s="453">
        <v>0</v>
      </c>
      <c r="H534" s="487">
        <v>0</v>
      </c>
      <c r="I534" s="453">
        <v>0</v>
      </c>
      <c r="J534" s="487">
        <v>0</v>
      </c>
      <c r="K534" s="453">
        <v>0</v>
      </c>
      <c r="L534" s="487">
        <v>0</v>
      </c>
      <c r="M534" s="453">
        <v>5</v>
      </c>
      <c r="N534" s="487">
        <v>0</v>
      </c>
      <c r="O534" s="453">
        <v>0</v>
      </c>
      <c r="P534" s="487">
        <v>0</v>
      </c>
      <c r="Q534" s="453">
        <v>6</v>
      </c>
    </row>
    <row r="535" spans="1:17" x14ac:dyDescent="0.25">
      <c r="A535" s="453">
        <v>6500033</v>
      </c>
      <c r="B535" s="487">
        <v>0</v>
      </c>
      <c r="C535" s="453">
        <v>0</v>
      </c>
      <c r="D535" s="487">
        <v>0</v>
      </c>
      <c r="E535" s="453">
        <v>0</v>
      </c>
      <c r="F535" s="487">
        <v>0</v>
      </c>
      <c r="G535" s="453">
        <v>0</v>
      </c>
      <c r="H535" s="487">
        <v>0</v>
      </c>
      <c r="I535" s="453">
        <v>0</v>
      </c>
      <c r="J535" s="487">
        <v>0</v>
      </c>
      <c r="K535" s="453">
        <v>2</v>
      </c>
      <c r="L535" s="487">
        <v>0</v>
      </c>
      <c r="M535" s="453">
        <v>1</v>
      </c>
      <c r="N535" s="487">
        <v>0</v>
      </c>
      <c r="O535" s="453">
        <v>0</v>
      </c>
      <c r="P535" s="487">
        <v>0</v>
      </c>
      <c r="Q535" s="453">
        <v>3</v>
      </c>
    </row>
    <row r="536" spans="1:17" x14ac:dyDescent="0.25">
      <c r="A536" s="453">
        <v>6500047</v>
      </c>
      <c r="B536" s="487">
        <v>0</v>
      </c>
      <c r="C536" s="453">
        <v>3</v>
      </c>
      <c r="D536" s="487">
        <v>0</v>
      </c>
      <c r="E536" s="453">
        <v>2</v>
      </c>
      <c r="F536" s="487">
        <v>0</v>
      </c>
      <c r="G536" s="453">
        <v>0</v>
      </c>
      <c r="H536" s="487">
        <v>0</v>
      </c>
      <c r="I536" s="453">
        <v>0</v>
      </c>
      <c r="J536" s="487">
        <v>0</v>
      </c>
      <c r="K536" s="453">
        <v>0</v>
      </c>
      <c r="L536" s="487">
        <v>0</v>
      </c>
      <c r="M536" s="453">
        <v>0</v>
      </c>
      <c r="N536" s="487">
        <v>0</v>
      </c>
      <c r="O536" s="453">
        <v>4</v>
      </c>
      <c r="P536" s="487">
        <v>0</v>
      </c>
      <c r="Q536" s="453">
        <v>9</v>
      </c>
    </row>
    <row r="537" spans="1:17" x14ac:dyDescent="0.25">
      <c r="A537" s="453">
        <v>6500050</v>
      </c>
      <c r="B537" s="487">
        <v>0</v>
      </c>
      <c r="C537" s="453">
        <v>0</v>
      </c>
      <c r="D537" s="487">
        <v>0</v>
      </c>
      <c r="E537" s="453">
        <v>2</v>
      </c>
      <c r="F537" s="487">
        <v>0</v>
      </c>
      <c r="G537" s="453">
        <v>0</v>
      </c>
      <c r="H537" s="487">
        <v>0</v>
      </c>
      <c r="I537" s="453">
        <v>0</v>
      </c>
      <c r="J537" s="487">
        <v>0</v>
      </c>
      <c r="K537" s="453">
        <v>2</v>
      </c>
      <c r="L537" s="487">
        <v>0</v>
      </c>
      <c r="M537" s="453">
        <v>0</v>
      </c>
      <c r="N537" s="487">
        <v>0</v>
      </c>
      <c r="O537" s="453">
        <v>0</v>
      </c>
      <c r="P537" s="487">
        <v>0</v>
      </c>
      <c r="Q537" s="453">
        <v>4</v>
      </c>
    </row>
    <row r="538" spans="1:17" x14ac:dyDescent="0.25">
      <c r="A538" s="453">
        <v>6500049</v>
      </c>
      <c r="B538" s="487">
        <v>0</v>
      </c>
      <c r="C538" s="453">
        <v>1</v>
      </c>
      <c r="D538" s="487">
        <v>0</v>
      </c>
      <c r="E538" s="453">
        <v>3</v>
      </c>
      <c r="F538" s="487">
        <v>0</v>
      </c>
      <c r="G538" s="453">
        <v>0</v>
      </c>
      <c r="H538" s="487">
        <v>0</v>
      </c>
      <c r="I538" s="453">
        <v>2</v>
      </c>
      <c r="J538" s="487">
        <v>0</v>
      </c>
      <c r="K538" s="453">
        <v>0</v>
      </c>
      <c r="L538" s="487">
        <v>0</v>
      </c>
      <c r="M538" s="453">
        <v>0</v>
      </c>
      <c r="N538" s="487">
        <v>0</v>
      </c>
      <c r="O538" s="453">
        <v>0</v>
      </c>
      <c r="P538" s="487">
        <v>0</v>
      </c>
      <c r="Q538" s="453">
        <v>6</v>
      </c>
    </row>
    <row r="539" spans="1:17" x14ac:dyDescent="0.25">
      <c r="A539" s="453">
        <v>6500064</v>
      </c>
      <c r="B539" s="487">
        <v>0</v>
      </c>
      <c r="C539" s="453">
        <v>0</v>
      </c>
      <c r="D539" s="487">
        <v>0</v>
      </c>
      <c r="E539" s="453">
        <v>3</v>
      </c>
      <c r="F539" s="487">
        <v>0</v>
      </c>
      <c r="G539" s="453">
        <v>0</v>
      </c>
      <c r="H539" s="487">
        <v>0</v>
      </c>
      <c r="I539" s="453">
        <v>0</v>
      </c>
      <c r="J539" s="487">
        <v>0</v>
      </c>
      <c r="K539" s="453">
        <v>2</v>
      </c>
      <c r="L539" s="487">
        <v>0</v>
      </c>
      <c r="M539" s="453">
        <v>1</v>
      </c>
      <c r="N539" s="487">
        <v>0</v>
      </c>
      <c r="O539" s="453">
        <v>0</v>
      </c>
      <c r="P539" s="487">
        <v>0</v>
      </c>
      <c r="Q539" s="453">
        <v>6</v>
      </c>
    </row>
    <row r="540" spans="1:17" x14ac:dyDescent="0.25">
      <c r="A540" s="453">
        <v>6500052</v>
      </c>
      <c r="B540" s="487">
        <v>0</v>
      </c>
      <c r="C540" s="453">
        <v>0</v>
      </c>
      <c r="D540" s="487">
        <v>0</v>
      </c>
      <c r="E540" s="453">
        <v>0</v>
      </c>
      <c r="F540" s="487">
        <v>0</v>
      </c>
      <c r="G540" s="453">
        <v>3</v>
      </c>
      <c r="H540" s="487">
        <v>0</v>
      </c>
      <c r="I540" s="453">
        <v>0</v>
      </c>
      <c r="J540" s="487">
        <v>0</v>
      </c>
      <c r="K540" s="453">
        <v>0</v>
      </c>
      <c r="L540" s="487">
        <v>0</v>
      </c>
      <c r="M540" s="453">
        <v>0</v>
      </c>
      <c r="N540" s="487">
        <v>0</v>
      </c>
      <c r="O540" s="453">
        <v>0</v>
      </c>
      <c r="P540" s="487">
        <v>0</v>
      </c>
      <c r="Q540" s="453">
        <v>3</v>
      </c>
    </row>
    <row r="541" spans="1:17" x14ac:dyDescent="0.25">
      <c r="A541" s="453">
        <v>6500027</v>
      </c>
      <c r="B541" s="487">
        <v>0</v>
      </c>
      <c r="C541" s="453">
        <v>0</v>
      </c>
      <c r="D541" s="487">
        <v>0</v>
      </c>
      <c r="E541" s="453">
        <v>0</v>
      </c>
      <c r="F541" s="487">
        <v>0</v>
      </c>
      <c r="G541" s="453">
        <v>0</v>
      </c>
      <c r="H541" s="487">
        <v>0</v>
      </c>
      <c r="I541" s="453">
        <v>0</v>
      </c>
      <c r="J541" s="487">
        <v>0</v>
      </c>
      <c r="K541" s="453">
        <v>0</v>
      </c>
      <c r="L541" s="487">
        <v>0</v>
      </c>
      <c r="M541" s="453">
        <v>2</v>
      </c>
      <c r="N541" s="487">
        <v>0</v>
      </c>
      <c r="O541" s="453">
        <v>0</v>
      </c>
      <c r="P541" s="487">
        <v>0</v>
      </c>
      <c r="Q541" s="453">
        <v>2</v>
      </c>
    </row>
    <row r="542" spans="1:17" x14ac:dyDescent="0.25">
      <c r="A542" s="453">
        <v>6500053</v>
      </c>
      <c r="B542" s="487">
        <v>0</v>
      </c>
      <c r="C542" s="453">
        <v>0</v>
      </c>
      <c r="D542" s="487">
        <v>0</v>
      </c>
      <c r="E542" s="453">
        <v>1</v>
      </c>
      <c r="F542" s="487">
        <v>0</v>
      </c>
      <c r="G542" s="453">
        <v>0</v>
      </c>
      <c r="H542" s="487">
        <v>0</v>
      </c>
      <c r="I542" s="453">
        <v>0</v>
      </c>
      <c r="J542" s="487">
        <v>0</v>
      </c>
      <c r="K542" s="453">
        <v>0</v>
      </c>
      <c r="L542" s="487">
        <v>0</v>
      </c>
      <c r="M542" s="453">
        <v>0</v>
      </c>
      <c r="N542" s="487">
        <v>0</v>
      </c>
      <c r="O542" s="453">
        <v>0</v>
      </c>
      <c r="P542" s="487">
        <v>0</v>
      </c>
      <c r="Q542" s="453">
        <v>1</v>
      </c>
    </row>
    <row r="543" spans="1:17" x14ac:dyDescent="0.25">
      <c r="A543" s="453">
        <v>6500054</v>
      </c>
      <c r="B543" s="487">
        <v>0</v>
      </c>
      <c r="C543" s="453">
        <v>0</v>
      </c>
      <c r="D543" s="487">
        <v>0</v>
      </c>
      <c r="E543" s="453">
        <v>0</v>
      </c>
      <c r="F543" s="487">
        <v>0</v>
      </c>
      <c r="G543" s="453">
        <v>0</v>
      </c>
      <c r="H543" s="487">
        <v>0</v>
      </c>
      <c r="I543" s="453">
        <v>0</v>
      </c>
      <c r="J543" s="487">
        <v>0</v>
      </c>
      <c r="K543" s="453">
        <v>2</v>
      </c>
      <c r="L543" s="487">
        <v>0</v>
      </c>
      <c r="M543" s="453">
        <v>0</v>
      </c>
      <c r="N543" s="487">
        <v>0</v>
      </c>
      <c r="O543" s="453">
        <v>0</v>
      </c>
      <c r="P543" s="487">
        <v>0</v>
      </c>
      <c r="Q543" s="453">
        <v>2</v>
      </c>
    </row>
    <row r="544" spans="1:17" x14ac:dyDescent="0.25">
      <c r="A544" s="800" t="s">
        <v>1939</v>
      </c>
      <c r="B544" s="485">
        <v>0</v>
      </c>
      <c r="C544" s="486">
        <v>44</v>
      </c>
      <c r="D544" s="485">
        <v>0</v>
      </c>
      <c r="E544" s="486">
        <v>41</v>
      </c>
      <c r="F544" s="485">
        <v>0</v>
      </c>
      <c r="G544" s="486">
        <v>66</v>
      </c>
      <c r="H544" s="485">
        <v>0</v>
      </c>
      <c r="I544" s="486">
        <v>115</v>
      </c>
      <c r="J544" s="485">
        <v>0</v>
      </c>
      <c r="K544" s="486">
        <v>121</v>
      </c>
      <c r="L544" s="485">
        <v>0</v>
      </c>
      <c r="M544" s="486">
        <v>142</v>
      </c>
      <c r="N544" s="485">
        <v>0</v>
      </c>
      <c r="O544" s="486">
        <v>93</v>
      </c>
      <c r="P544" s="485">
        <v>0</v>
      </c>
      <c r="Q544" s="486">
        <v>622</v>
      </c>
    </row>
    <row r="545" spans="1:17" x14ac:dyDescent="0.25">
      <c r="A545" s="453">
        <v>6425247</v>
      </c>
      <c r="B545" s="487">
        <v>0</v>
      </c>
      <c r="C545" s="453">
        <v>0</v>
      </c>
      <c r="D545" s="487">
        <v>0</v>
      </c>
      <c r="E545" s="453">
        <v>0</v>
      </c>
      <c r="F545" s="487">
        <v>0</v>
      </c>
      <c r="G545" s="453">
        <v>1</v>
      </c>
      <c r="H545" s="487">
        <v>0</v>
      </c>
      <c r="I545" s="453">
        <v>0</v>
      </c>
      <c r="J545" s="487">
        <v>0</v>
      </c>
      <c r="K545" s="453">
        <v>2</v>
      </c>
      <c r="L545" s="487">
        <v>0</v>
      </c>
      <c r="M545" s="453">
        <v>0</v>
      </c>
      <c r="N545" s="487">
        <v>0</v>
      </c>
      <c r="O545" s="453">
        <v>0</v>
      </c>
      <c r="P545" s="487">
        <v>0</v>
      </c>
      <c r="Q545" s="453">
        <v>3</v>
      </c>
    </row>
    <row r="546" spans="1:17" x14ac:dyDescent="0.25">
      <c r="A546" s="453">
        <v>6562195</v>
      </c>
      <c r="B546" s="487">
        <v>0</v>
      </c>
      <c r="C546" s="453">
        <v>1</v>
      </c>
      <c r="D546" s="487">
        <v>0</v>
      </c>
      <c r="E546" s="453">
        <v>0</v>
      </c>
      <c r="F546" s="487">
        <v>0</v>
      </c>
      <c r="G546" s="453">
        <v>0</v>
      </c>
      <c r="H546" s="487">
        <v>0</v>
      </c>
      <c r="I546" s="453">
        <v>0</v>
      </c>
      <c r="J546" s="487">
        <v>0</v>
      </c>
      <c r="K546" s="453">
        <v>0</v>
      </c>
      <c r="L546" s="487">
        <v>0</v>
      </c>
      <c r="M546" s="453">
        <v>0</v>
      </c>
      <c r="N546" s="487">
        <v>0</v>
      </c>
      <c r="O546" s="453">
        <v>0</v>
      </c>
      <c r="P546" s="487">
        <v>0</v>
      </c>
      <c r="Q546" s="453">
        <v>1</v>
      </c>
    </row>
    <row r="547" spans="1:17" x14ac:dyDescent="0.25">
      <c r="A547" s="453">
        <v>6455211</v>
      </c>
      <c r="B547" s="487">
        <v>0</v>
      </c>
      <c r="C547" s="453">
        <v>0</v>
      </c>
      <c r="D547" s="487">
        <v>0</v>
      </c>
      <c r="E547" s="453">
        <v>0</v>
      </c>
      <c r="F547" s="487">
        <v>0</v>
      </c>
      <c r="G547" s="453">
        <v>1</v>
      </c>
      <c r="H547" s="487">
        <v>0</v>
      </c>
      <c r="I547" s="453">
        <v>0</v>
      </c>
      <c r="J547" s="487">
        <v>0</v>
      </c>
      <c r="K547" s="453">
        <v>1</v>
      </c>
      <c r="L547" s="487">
        <v>0</v>
      </c>
      <c r="M547" s="453">
        <v>4</v>
      </c>
      <c r="N547" s="487">
        <v>0</v>
      </c>
      <c r="O547" s="453">
        <v>1</v>
      </c>
      <c r="P547" s="487">
        <v>0</v>
      </c>
      <c r="Q547" s="453">
        <v>7</v>
      </c>
    </row>
    <row r="548" spans="1:17" x14ac:dyDescent="0.25">
      <c r="A548" s="453">
        <v>6562277</v>
      </c>
      <c r="B548" s="487">
        <v>0</v>
      </c>
      <c r="C548" s="453">
        <v>0</v>
      </c>
      <c r="D548" s="487">
        <v>0</v>
      </c>
      <c r="E548" s="453">
        <v>0</v>
      </c>
      <c r="F548" s="487">
        <v>0</v>
      </c>
      <c r="G548" s="453">
        <v>0</v>
      </c>
      <c r="H548" s="487">
        <v>0</v>
      </c>
      <c r="I548" s="453">
        <v>0</v>
      </c>
      <c r="J548" s="487">
        <v>0</v>
      </c>
      <c r="K548" s="453">
        <v>2</v>
      </c>
      <c r="L548" s="487">
        <v>0</v>
      </c>
      <c r="M548" s="453">
        <v>0</v>
      </c>
      <c r="N548" s="487">
        <v>0</v>
      </c>
      <c r="O548" s="453">
        <v>2</v>
      </c>
      <c r="P548" s="487">
        <v>0</v>
      </c>
      <c r="Q548" s="453">
        <v>4</v>
      </c>
    </row>
    <row r="549" spans="1:17" x14ac:dyDescent="0.25">
      <c r="A549" s="453">
        <v>6445166</v>
      </c>
      <c r="B549" s="487">
        <v>0</v>
      </c>
      <c r="C549" s="453">
        <v>0</v>
      </c>
      <c r="D549" s="487">
        <v>0</v>
      </c>
      <c r="E549" s="453">
        <v>0</v>
      </c>
      <c r="F549" s="487">
        <v>0</v>
      </c>
      <c r="G549" s="453">
        <v>1</v>
      </c>
      <c r="H549" s="487">
        <v>0</v>
      </c>
      <c r="I549" s="453">
        <v>0</v>
      </c>
      <c r="J549" s="487">
        <v>0</v>
      </c>
      <c r="K549" s="453">
        <v>0</v>
      </c>
      <c r="L549" s="487">
        <v>0</v>
      </c>
      <c r="M549" s="453">
        <v>0</v>
      </c>
      <c r="N549" s="487">
        <v>0</v>
      </c>
      <c r="O549" s="453">
        <v>0</v>
      </c>
      <c r="P549" s="487">
        <v>0</v>
      </c>
      <c r="Q549" s="453">
        <v>1</v>
      </c>
    </row>
    <row r="550" spans="1:17" x14ac:dyDescent="0.25">
      <c r="A550" s="453">
        <v>6445688</v>
      </c>
      <c r="B550" s="487">
        <v>0</v>
      </c>
      <c r="C550" s="453">
        <v>0</v>
      </c>
      <c r="D550" s="487">
        <v>0</v>
      </c>
      <c r="E550" s="453">
        <v>0</v>
      </c>
      <c r="F550" s="487">
        <v>0</v>
      </c>
      <c r="G550" s="453">
        <v>0</v>
      </c>
      <c r="H550" s="487">
        <v>0</v>
      </c>
      <c r="I550" s="453">
        <v>3</v>
      </c>
      <c r="J550" s="487">
        <v>0</v>
      </c>
      <c r="K550" s="453">
        <v>0</v>
      </c>
      <c r="L550" s="487">
        <v>0</v>
      </c>
      <c r="M550" s="453">
        <v>0</v>
      </c>
      <c r="N550" s="487">
        <v>0</v>
      </c>
      <c r="O550" s="453">
        <v>0</v>
      </c>
      <c r="P550" s="487">
        <v>0</v>
      </c>
      <c r="Q550" s="453">
        <v>3</v>
      </c>
    </row>
    <row r="551" spans="1:17" x14ac:dyDescent="0.25">
      <c r="A551" s="453">
        <v>6445406</v>
      </c>
      <c r="B551" s="487">
        <v>0</v>
      </c>
      <c r="C551" s="453">
        <v>0</v>
      </c>
      <c r="D551" s="487">
        <v>0</v>
      </c>
      <c r="E551" s="453">
        <v>0</v>
      </c>
      <c r="F551" s="487">
        <v>0</v>
      </c>
      <c r="G551" s="453">
        <v>2</v>
      </c>
      <c r="H551" s="487">
        <v>0</v>
      </c>
      <c r="I551" s="453">
        <v>0</v>
      </c>
      <c r="J551" s="487">
        <v>0</v>
      </c>
      <c r="K551" s="453">
        <v>1</v>
      </c>
      <c r="L551" s="487">
        <v>0</v>
      </c>
      <c r="M551" s="453">
        <v>0</v>
      </c>
      <c r="N551" s="487">
        <v>0</v>
      </c>
      <c r="O551" s="453">
        <v>0</v>
      </c>
      <c r="P551" s="487">
        <v>0</v>
      </c>
      <c r="Q551" s="453">
        <v>3</v>
      </c>
    </row>
    <row r="552" spans="1:17" x14ac:dyDescent="0.25">
      <c r="A552" s="453">
        <v>6455239</v>
      </c>
      <c r="B552" s="487">
        <v>0</v>
      </c>
      <c r="C552" s="453">
        <v>2</v>
      </c>
      <c r="D552" s="487">
        <v>0</v>
      </c>
      <c r="E552" s="453">
        <v>1</v>
      </c>
      <c r="F552" s="487">
        <v>0</v>
      </c>
      <c r="G552" s="453">
        <v>0</v>
      </c>
      <c r="H552" s="487">
        <v>0</v>
      </c>
      <c r="I552" s="453">
        <v>0</v>
      </c>
      <c r="J552" s="487">
        <v>0</v>
      </c>
      <c r="K552" s="453">
        <v>2</v>
      </c>
      <c r="L552" s="487">
        <v>0</v>
      </c>
      <c r="M552" s="453">
        <v>6</v>
      </c>
      <c r="N552" s="487">
        <v>0</v>
      </c>
      <c r="O552" s="453">
        <v>0</v>
      </c>
      <c r="P552" s="487">
        <v>0</v>
      </c>
      <c r="Q552" s="453">
        <v>11</v>
      </c>
    </row>
    <row r="553" spans="1:17" x14ac:dyDescent="0.25">
      <c r="A553" s="453">
        <v>6445208</v>
      </c>
      <c r="B553" s="487">
        <v>0</v>
      </c>
      <c r="C553" s="453">
        <v>2</v>
      </c>
      <c r="D553" s="487">
        <v>0</v>
      </c>
      <c r="E553" s="453">
        <v>0</v>
      </c>
      <c r="F553" s="487">
        <v>0</v>
      </c>
      <c r="G553" s="453">
        <v>1</v>
      </c>
      <c r="H553" s="487">
        <v>0</v>
      </c>
      <c r="I553" s="453">
        <v>0</v>
      </c>
      <c r="J553" s="487">
        <v>0</v>
      </c>
      <c r="K553" s="453">
        <v>2</v>
      </c>
      <c r="L553" s="487">
        <v>0</v>
      </c>
      <c r="M553" s="453">
        <v>1</v>
      </c>
      <c r="N553" s="487">
        <v>0</v>
      </c>
      <c r="O553" s="453">
        <v>2</v>
      </c>
      <c r="P553" s="487">
        <v>0</v>
      </c>
      <c r="Q553" s="453">
        <v>8</v>
      </c>
    </row>
    <row r="554" spans="1:17" x14ac:dyDescent="0.25">
      <c r="A554" s="453">
        <v>6415013</v>
      </c>
      <c r="B554" s="487">
        <v>0</v>
      </c>
      <c r="C554" s="453">
        <v>0</v>
      </c>
      <c r="D554" s="487">
        <v>0</v>
      </c>
      <c r="E554" s="453">
        <v>1</v>
      </c>
      <c r="F554" s="487">
        <v>0</v>
      </c>
      <c r="G554" s="453">
        <v>2</v>
      </c>
      <c r="H554" s="487">
        <v>0</v>
      </c>
      <c r="I554" s="453">
        <v>0</v>
      </c>
      <c r="J554" s="487">
        <v>0</v>
      </c>
      <c r="K554" s="453">
        <v>1</v>
      </c>
      <c r="L554" s="487">
        <v>0</v>
      </c>
      <c r="M554" s="453">
        <v>4</v>
      </c>
      <c r="N554" s="487">
        <v>0</v>
      </c>
      <c r="O554" s="453">
        <v>1</v>
      </c>
      <c r="P554" s="487">
        <v>0</v>
      </c>
      <c r="Q554" s="453">
        <v>9</v>
      </c>
    </row>
    <row r="555" spans="1:17" x14ac:dyDescent="0.25">
      <c r="A555" s="453">
        <v>1</v>
      </c>
      <c r="B555" s="487">
        <v>0</v>
      </c>
      <c r="C555" s="453">
        <v>1</v>
      </c>
      <c r="D555" s="487">
        <v>0</v>
      </c>
      <c r="E555" s="453">
        <v>0</v>
      </c>
      <c r="F555" s="487">
        <v>0</v>
      </c>
      <c r="G555" s="453">
        <v>0</v>
      </c>
      <c r="H555" s="487">
        <v>0</v>
      </c>
      <c r="I555" s="453">
        <v>0</v>
      </c>
      <c r="J555" s="487">
        <v>0</v>
      </c>
      <c r="K555" s="453">
        <v>1</v>
      </c>
      <c r="L555" s="487">
        <v>0</v>
      </c>
      <c r="M555" s="453">
        <v>0</v>
      </c>
      <c r="N555" s="487">
        <v>0</v>
      </c>
      <c r="O555" s="453">
        <v>0</v>
      </c>
      <c r="P555" s="487">
        <v>0</v>
      </c>
      <c r="Q555" s="453">
        <v>2</v>
      </c>
    </row>
    <row r="556" spans="1:17" x14ac:dyDescent="0.25">
      <c r="A556" s="453">
        <v>6455255</v>
      </c>
      <c r="B556" s="487">
        <v>0</v>
      </c>
      <c r="C556" s="453">
        <v>0</v>
      </c>
      <c r="D556" s="487">
        <v>0</v>
      </c>
      <c r="E556" s="453">
        <v>1</v>
      </c>
      <c r="F556" s="487">
        <v>0</v>
      </c>
      <c r="G556" s="453">
        <v>0</v>
      </c>
      <c r="H556" s="487">
        <v>0</v>
      </c>
      <c r="I556" s="453">
        <v>0</v>
      </c>
      <c r="J556" s="487">
        <v>0</v>
      </c>
      <c r="K556" s="453">
        <v>1</v>
      </c>
      <c r="L556" s="487">
        <v>0</v>
      </c>
      <c r="M556" s="453">
        <v>0</v>
      </c>
      <c r="N556" s="487">
        <v>0</v>
      </c>
      <c r="O556" s="453">
        <v>1</v>
      </c>
      <c r="P556" s="487">
        <v>0</v>
      </c>
      <c r="Q556" s="453">
        <v>3</v>
      </c>
    </row>
    <row r="557" spans="1:17" x14ac:dyDescent="0.25">
      <c r="A557" s="453">
        <v>6425243</v>
      </c>
      <c r="B557" s="487">
        <v>0</v>
      </c>
      <c r="C557" s="453">
        <v>0</v>
      </c>
      <c r="D557" s="487">
        <v>0</v>
      </c>
      <c r="E557" s="453">
        <v>1</v>
      </c>
      <c r="F557" s="487">
        <v>0</v>
      </c>
      <c r="G557" s="453">
        <v>1</v>
      </c>
      <c r="H557" s="487">
        <v>0</v>
      </c>
      <c r="I557" s="453">
        <v>0</v>
      </c>
      <c r="J557" s="487">
        <v>0</v>
      </c>
      <c r="K557" s="453">
        <v>4</v>
      </c>
      <c r="L557" s="487">
        <v>0</v>
      </c>
      <c r="M557" s="453">
        <v>9</v>
      </c>
      <c r="N557" s="487">
        <v>0</v>
      </c>
      <c r="O557" s="453">
        <v>4</v>
      </c>
      <c r="P557" s="487">
        <v>0</v>
      </c>
      <c r="Q557" s="453">
        <v>19</v>
      </c>
    </row>
    <row r="558" spans="1:17" x14ac:dyDescent="0.25">
      <c r="A558" s="453">
        <v>6425244</v>
      </c>
      <c r="B558" s="487">
        <v>0</v>
      </c>
      <c r="C558" s="453">
        <v>0</v>
      </c>
      <c r="D558" s="487">
        <v>0</v>
      </c>
      <c r="E558" s="453">
        <v>0</v>
      </c>
      <c r="F558" s="487">
        <v>0</v>
      </c>
      <c r="G558" s="453">
        <v>0</v>
      </c>
      <c r="H558" s="487">
        <v>0</v>
      </c>
      <c r="I558" s="453">
        <v>0</v>
      </c>
      <c r="J558" s="487">
        <v>0</v>
      </c>
      <c r="K558" s="453">
        <v>0</v>
      </c>
      <c r="L558" s="487">
        <v>0</v>
      </c>
      <c r="M558" s="453">
        <v>0</v>
      </c>
      <c r="N558" s="487">
        <v>0</v>
      </c>
      <c r="O558" s="453">
        <v>1</v>
      </c>
      <c r="P558" s="487">
        <v>0</v>
      </c>
      <c r="Q558" s="453">
        <v>1</v>
      </c>
    </row>
    <row r="559" spans="1:17" x14ac:dyDescent="0.25">
      <c r="A559" s="453">
        <v>6455005</v>
      </c>
      <c r="B559" s="487">
        <v>0</v>
      </c>
      <c r="C559" s="453">
        <v>4</v>
      </c>
      <c r="D559" s="487">
        <v>0</v>
      </c>
      <c r="E559" s="453">
        <v>3</v>
      </c>
      <c r="F559" s="487">
        <v>0</v>
      </c>
      <c r="G559" s="453">
        <v>9</v>
      </c>
      <c r="H559" s="487">
        <v>0</v>
      </c>
      <c r="I559" s="453">
        <v>8</v>
      </c>
      <c r="J559" s="487">
        <v>0</v>
      </c>
      <c r="K559" s="453">
        <v>28</v>
      </c>
      <c r="L559" s="487">
        <v>0</v>
      </c>
      <c r="M559" s="453">
        <v>19</v>
      </c>
      <c r="N559" s="487">
        <v>0</v>
      </c>
      <c r="O559" s="453">
        <v>10</v>
      </c>
      <c r="P559" s="487">
        <v>0</v>
      </c>
      <c r="Q559" s="453">
        <v>81</v>
      </c>
    </row>
    <row r="560" spans="1:17" x14ac:dyDescent="0.25">
      <c r="A560" s="453">
        <v>6455225</v>
      </c>
      <c r="B560" s="487">
        <v>0</v>
      </c>
      <c r="C560" s="453">
        <v>1</v>
      </c>
      <c r="D560" s="487">
        <v>0</v>
      </c>
      <c r="E560" s="453">
        <v>1</v>
      </c>
      <c r="F560" s="487">
        <v>0</v>
      </c>
      <c r="G560" s="453">
        <v>0</v>
      </c>
      <c r="H560" s="487">
        <v>0</v>
      </c>
      <c r="I560" s="453">
        <v>0</v>
      </c>
      <c r="J560" s="487">
        <v>0</v>
      </c>
      <c r="K560" s="453">
        <v>1</v>
      </c>
      <c r="L560" s="487">
        <v>0</v>
      </c>
      <c r="M560" s="453">
        <v>2</v>
      </c>
      <c r="N560" s="487">
        <v>0</v>
      </c>
      <c r="O560" s="453">
        <v>0</v>
      </c>
      <c r="P560" s="487">
        <v>0</v>
      </c>
      <c r="Q560" s="453">
        <v>5</v>
      </c>
    </row>
    <row r="561" spans="1:17" x14ac:dyDescent="0.25">
      <c r="A561" s="453">
        <v>6455243</v>
      </c>
      <c r="B561" s="487">
        <v>0</v>
      </c>
      <c r="C561" s="453">
        <v>1</v>
      </c>
      <c r="D561" s="487">
        <v>0</v>
      </c>
      <c r="E561" s="453">
        <v>0</v>
      </c>
      <c r="F561" s="487">
        <v>0</v>
      </c>
      <c r="G561" s="453">
        <v>1</v>
      </c>
      <c r="H561" s="487">
        <v>0</v>
      </c>
      <c r="I561" s="453">
        <v>0</v>
      </c>
      <c r="J561" s="487">
        <v>0</v>
      </c>
      <c r="K561" s="453">
        <v>1</v>
      </c>
      <c r="L561" s="487">
        <v>0</v>
      </c>
      <c r="M561" s="453">
        <v>3</v>
      </c>
      <c r="N561" s="487">
        <v>0</v>
      </c>
      <c r="O561" s="453">
        <v>1</v>
      </c>
      <c r="P561" s="487">
        <v>0</v>
      </c>
      <c r="Q561" s="453">
        <v>7</v>
      </c>
    </row>
    <row r="562" spans="1:17" x14ac:dyDescent="0.25">
      <c r="A562" s="453">
        <v>6455011</v>
      </c>
      <c r="B562" s="487">
        <v>0</v>
      </c>
      <c r="C562" s="453">
        <v>1</v>
      </c>
      <c r="D562" s="487">
        <v>0</v>
      </c>
      <c r="E562" s="453">
        <v>0</v>
      </c>
      <c r="F562" s="487">
        <v>0</v>
      </c>
      <c r="G562" s="453">
        <v>4</v>
      </c>
      <c r="H562" s="487">
        <v>0</v>
      </c>
      <c r="I562" s="453">
        <v>0</v>
      </c>
      <c r="J562" s="487">
        <v>0</v>
      </c>
      <c r="K562" s="453">
        <v>2</v>
      </c>
      <c r="L562" s="487">
        <v>0</v>
      </c>
      <c r="M562" s="453">
        <v>4</v>
      </c>
      <c r="N562" s="487">
        <v>0</v>
      </c>
      <c r="O562" s="453">
        <v>0</v>
      </c>
      <c r="P562" s="487">
        <v>0</v>
      </c>
      <c r="Q562" s="453">
        <v>11</v>
      </c>
    </row>
    <row r="563" spans="1:17" x14ac:dyDescent="0.25">
      <c r="A563" s="453">
        <v>6445171</v>
      </c>
      <c r="B563" s="487">
        <v>0</v>
      </c>
      <c r="C563" s="453">
        <v>0</v>
      </c>
      <c r="D563" s="487">
        <v>0</v>
      </c>
      <c r="E563" s="453">
        <v>3</v>
      </c>
      <c r="F563" s="487">
        <v>0</v>
      </c>
      <c r="G563" s="453">
        <v>0</v>
      </c>
      <c r="H563" s="487">
        <v>0</v>
      </c>
      <c r="I563" s="453">
        <v>1</v>
      </c>
      <c r="J563" s="487">
        <v>0</v>
      </c>
      <c r="K563" s="453">
        <v>3</v>
      </c>
      <c r="L563" s="487">
        <v>0</v>
      </c>
      <c r="M563" s="453">
        <v>0</v>
      </c>
      <c r="N563" s="487">
        <v>0</v>
      </c>
      <c r="O563" s="453">
        <v>1</v>
      </c>
      <c r="P563" s="487">
        <v>0</v>
      </c>
      <c r="Q563" s="453">
        <v>8</v>
      </c>
    </row>
    <row r="564" spans="1:17" x14ac:dyDescent="0.25">
      <c r="A564" s="453">
        <v>6425250</v>
      </c>
      <c r="B564" s="487">
        <v>0</v>
      </c>
      <c r="C564" s="453">
        <v>0</v>
      </c>
      <c r="D564" s="487">
        <v>0</v>
      </c>
      <c r="E564" s="453">
        <v>2</v>
      </c>
      <c r="F564" s="487">
        <v>0</v>
      </c>
      <c r="G564" s="453">
        <v>3</v>
      </c>
      <c r="H564" s="487">
        <v>0</v>
      </c>
      <c r="I564" s="453">
        <v>3</v>
      </c>
      <c r="J564" s="487">
        <v>0</v>
      </c>
      <c r="K564" s="453">
        <v>2</v>
      </c>
      <c r="L564" s="487">
        <v>0</v>
      </c>
      <c r="M564" s="453">
        <v>2</v>
      </c>
      <c r="N564" s="487">
        <v>0</v>
      </c>
      <c r="O564" s="453">
        <v>1</v>
      </c>
      <c r="P564" s="487">
        <v>0</v>
      </c>
      <c r="Q564" s="453">
        <v>13</v>
      </c>
    </row>
    <row r="565" spans="1:17" x14ac:dyDescent="0.25">
      <c r="A565" s="453">
        <v>6425251</v>
      </c>
      <c r="B565" s="487">
        <v>0</v>
      </c>
      <c r="C565" s="453">
        <v>0</v>
      </c>
      <c r="D565" s="487">
        <v>0</v>
      </c>
      <c r="E565" s="453">
        <v>0</v>
      </c>
      <c r="F565" s="487">
        <v>0</v>
      </c>
      <c r="G565" s="453">
        <v>0</v>
      </c>
      <c r="H565" s="487">
        <v>0</v>
      </c>
      <c r="I565" s="453">
        <v>0</v>
      </c>
      <c r="J565" s="487">
        <v>0</v>
      </c>
      <c r="K565" s="453">
        <v>0</v>
      </c>
      <c r="L565" s="487">
        <v>0</v>
      </c>
      <c r="M565" s="453">
        <v>0</v>
      </c>
      <c r="N565" s="487">
        <v>0</v>
      </c>
      <c r="O565" s="453">
        <v>1</v>
      </c>
      <c r="P565" s="487">
        <v>0</v>
      </c>
      <c r="Q565" s="453">
        <v>1</v>
      </c>
    </row>
    <row r="566" spans="1:17" x14ac:dyDescent="0.25">
      <c r="A566" s="453">
        <v>6445288</v>
      </c>
      <c r="B566" s="487">
        <v>0</v>
      </c>
      <c r="C566" s="453">
        <v>0</v>
      </c>
      <c r="D566" s="487">
        <v>0</v>
      </c>
      <c r="E566" s="453">
        <v>0</v>
      </c>
      <c r="F566" s="487">
        <v>0</v>
      </c>
      <c r="G566" s="453">
        <v>1</v>
      </c>
      <c r="H566" s="487">
        <v>0</v>
      </c>
      <c r="I566" s="453">
        <v>1</v>
      </c>
      <c r="J566" s="487">
        <v>0</v>
      </c>
      <c r="K566" s="453">
        <v>2</v>
      </c>
      <c r="L566" s="487">
        <v>0</v>
      </c>
      <c r="M566" s="453">
        <v>1</v>
      </c>
      <c r="N566" s="487">
        <v>0</v>
      </c>
      <c r="O566" s="453">
        <v>2</v>
      </c>
      <c r="P566" s="487">
        <v>0</v>
      </c>
      <c r="Q566" s="453">
        <v>7</v>
      </c>
    </row>
    <row r="567" spans="1:17" x14ac:dyDescent="0.25">
      <c r="A567" s="453">
        <v>6455242</v>
      </c>
      <c r="B567" s="487">
        <v>0</v>
      </c>
      <c r="C567" s="453">
        <v>15</v>
      </c>
      <c r="D567" s="487">
        <v>0</v>
      </c>
      <c r="E567" s="453">
        <v>0</v>
      </c>
      <c r="F567" s="487">
        <v>0</v>
      </c>
      <c r="G567" s="453">
        <v>0</v>
      </c>
      <c r="H567" s="487">
        <v>0</v>
      </c>
      <c r="I567" s="453">
        <v>0</v>
      </c>
      <c r="J567" s="487">
        <v>0</v>
      </c>
      <c r="K567" s="453">
        <v>0</v>
      </c>
      <c r="L567" s="487">
        <v>0</v>
      </c>
      <c r="M567" s="453">
        <v>0</v>
      </c>
      <c r="N567" s="487">
        <v>0</v>
      </c>
      <c r="O567" s="453">
        <v>0</v>
      </c>
      <c r="P567" s="487">
        <v>0</v>
      </c>
      <c r="Q567" s="453">
        <v>15</v>
      </c>
    </row>
    <row r="568" spans="1:17" x14ac:dyDescent="0.25">
      <c r="A568" s="453">
        <v>6415111</v>
      </c>
      <c r="B568" s="487">
        <v>0</v>
      </c>
      <c r="C568" s="453">
        <v>0</v>
      </c>
      <c r="D568" s="487">
        <v>0</v>
      </c>
      <c r="E568" s="453">
        <v>0</v>
      </c>
      <c r="F568" s="487">
        <v>0</v>
      </c>
      <c r="G568" s="453">
        <v>0</v>
      </c>
      <c r="H568" s="487">
        <v>0</v>
      </c>
      <c r="I568" s="453">
        <v>1</v>
      </c>
      <c r="J568" s="487">
        <v>0</v>
      </c>
      <c r="K568" s="453">
        <v>2</v>
      </c>
      <c r="L568" s="487">
        <v>0</v>
      </c>
      <c r="M568" s="453">
        <v>4</v>
      </c>
      <c r="N568" s="487">
        <v>0</v>
      </c>
      <c r="O568" s="453">
        <v>2</v>
      </c>
      <c r="P568" s="487">
        <v>0</v>
      </c>
      <c r="Q568" s="453">
        <v>9</v>
      </c>
    </row>
    <row r="569" spans="1:17" x14ac:dyDescent="0.25">
      <c r="A569" s="453">
        <v>6425229</v>
      </c>
      <c r="B569" s="487">
        <v>0</v>
      </c>
      <c r="C569" s="453">
        <v>2</v>
      </c>
      <c r="D569" s="487">
        <v>0</v>
      </c>
      <c r="E569" s="453">
        <v>2</v>
      </c>
      <c r="F569" s="487">
        <v>0</v>
      </c>
      <c r="G569" s="453">
        <v>2</v>
      </c>
      <c r="H569" s="487">
        <v>0</v>
      </c>
      <c r="I569" s="453">
        <v>0</v>
      </c>
      <c r="J569" s="487">
        <v>0</v>
      </c>
      <c r="K569" s="453">
        <v>2</v>
      </c>
      <c r="L569" s="487">
        <v>0</v>
      </c>
      <c r="M569" s="453">
        <v>3</v>
      </c>
      <c r="N569" s="487">
        <v>0</v>
      </c>
      <c r="O569" s="453">
        <v>2</v>
      </c>
      <c r="P569" s="487">
        <v>0</v>
      </c>
      <c r="Q569" s="453">
        <v>13</v>
      </c>
    </row>
    <row r="570" spans="1:17" x14ac:dyDescent="0.25">
      <c r="A570" s="453">
        <v>6425230</v>
      </c>
      <c r="B570" s="487">
        <v>0</v>
      </c>
      <c r="C570" s="453">
        <v>0</v>
      </c>
      <c r="D570" s="487">
        <v>0</v>
      </c>
      <c r="E570" s="453">
        <v>0</v>
      </c>
      <c r="F570" s="487">
        <v>0</v>
      </c>
      <c r="G570" s="453">
        <v>0</v>
      </c>
      <c r="H570" s="487">
        <v>0</v>
      </c>
      <c r="I570" s="453">
        <v>0</v>
      </c>
      <c r="J570" s="487">
        <v>0</v>
      </c>
      <c r="K570" s="453">
        <v>0</v>
      </c>
      <c r="L570" s="487">
        <v>0</v>
      </c>
      <c r="M570" s="453">
        <v>0</v>
      </c>
      <c r="N570" s="487">
        <v>0</v>
      </c>
      <c r="O570" s="453">
        <v>2</v>
      </c>
      <c r="P570" s="487">
        <v>0</v>
      </c>
      <c r="Q570" s="453">
        <v>2</v>
      </c>
    </row>
    <row r="571" spans="1:17" x14ac:dyDescent="0.25">
      <c r="A571" s="453">
        <v>6445207</v>
      </c>
      <c r="B571" s="487">
        <v>0</v>
      </c>
      <c r="C571" s="453">
        <v>0</v>
      </c>
      <c r="D571" s="487">
        <v>0</v>
      </c>
      <c r="E571" s="453">
        <v>0</v>
      </c>
      <c r="F571" s="487">
        <v>0</v>
      </c>
      <c r="G571" s="453">
        <v>0</v>
      </c>
      <c r="H571" s="487">
        <v>0</v>
      </c>
      <c r="I571" s="453">
        <v>0</v>
      </c>
      <c r="J571" s="487">
        <v>0</v>
      </c>
      <c r="K571" s="453">
        <v>0</v>
      </c>
      <c r="L571" s="487">
        <v>0</v>
      </c>
      <c r="M571" s="453">
        <v>2</v>
      </c>
      <c r="N571" s="487">
        <v>0</v>
      </c>
      <c r="O571" s="453">
        <v>0</v>
      </c>
      <c r="P571" s="487">
        <v>0</v>
      </c>
      <c r="Q571" s="453">
        <v>2</v>
      </c>
    </row>
    <row r="572" spans="1:17" x14ac:dyDescent="0.25">
      <c r="A572" s="453">
        <v>6445294</v>
      </c>
      <c r="B572" s="487">
        <v>0</v>
      </c>
      <c r="C572" s="453">
        <v>0</v>
      </c>
      <c r="D572" s="487">
        <v>0</v>
      </c>
      <c r="E572" s="453">
        <v>0</v>
      </c>
      <c r="F572" s="487">
        <v>0</v>
      </c>
      <c r="G572" s="453">
        <v>1</v>
      </c>
      <c r="H572" s="487">
        <v>0</v>
      </c>
      <c r="I572" s="453">
        <v>0</v>
      </c>
      <c r="J572" s="487">
        <v>0</v>
      </c>
      <c r="K572" s="453">
        <v>0</v>
      </c>
      <c r="L572" s="487">
        <v>0</v>
      </c>
      <c r="M572" s="453">
        <v>0</v>
      </c>
      <c r="N572" s="487">
        <v>0</v>
      </c>
      <c r="O572" s="453">
        <v>0</v>
      </c>
      <c r="P572" s="487">
        <v>0</v>
      </c>
      <c r="Q572" s="453">
        <v>1</v>
      </c>
    </row>
    <row r="573" spans="1:17" x14ac:dyDescent="0.25">
      <c r="A573" s="453">
        <v>6415014</v>
      </c>
      <c r="B573" s="487">
        <v>0</v>
      </c>
      <c r="C573" s="453">
        <v>0</v>
      </c>
      <c r="D573" s="487">
        <v>0</v>
      </c>
      <c r="E573" s="453">
        <v>0</v>
      </c>
      <c r="F573" s="487">
        <v>0</v>
      </c>
      <c r="G573" s="453">
        <v>0</v>
      </c>
      <c r="H573" s="487">
        <v>0</v>
      </c>
      <c r="I573" s="453">
        <v>0</v>
      </c>
      <c r="J573" s="487">
        <v>0</v>
      </c>
      <c r="K573" s="453">
        <v>0</v>
      </c>
      <c r="L573" s="487">
        <v>0</v>
      </c>
      <c r="M573" s="453">
        <v>1</v>
      </c>
      <c r="N573" s="487">
        <v>0</v>
      </c>
      <c r="O573" s="453">
        <v>0</v>
      </c>
      <c r="P573" s="487">
        <v>0</v>
      </c>
      <c r="Q573" s="453">
        <v>1</v>
      </c>
    </row>
    <row r="574" spans="1:17" x14ac:dyDescent="0.25">
      <c r="A574" s="453">
        <v>6445548</v>
      </c>
      <c r="B574" s="487">
        <v>0</v>
      </c>
      <c r="C574" s="453">
        <v>0</v>
      </c>
      <c r="D574" s="487">
        <v>0</v>
      </c>
      <c r="E574" s="453">
        <v>1</v>
      </c>
      <c r="F574" s="487">
        <v>0</v>
      </c>
      <c r="G574" s="453">
        <v>1</v>
      </c>
      <c r="H574" s="487">
        <v>0</v>
      </c>
      <c r="I574" s="453">
        <v>1</v>
      </c>
      <c r="J574" s="487">
        <v>0</v>
      </c>
      <c r="K574" s="453">
        <v>0</v>
      </c>
      <c r="L574" s="487">
        <v>0</v>
      </c>
      <c r="M574" s="453">
        <v>2</v>
      </c>
      <c r="N574" s="487">
        <v>0</v>
      </c>
      <c r="O574" s="453">
        <v>0</v>
      </c>
      <c r="P574" s="487">
        <v>0</v>
      </c>
      <c r="Q574" s="453">
        <v>5</v>
      </c>
    </row>
    <row r="575" spans="1:17" x14ac:dyDescent="0.25">
      <c r="A575" s="453">
        <v>6445562</v>
      </c>
      <c r="B575" s="487">
        <v>0</v>
      </c>
      <c r="C575" s="453">
        <v>0</v>
      </c>
      <c r="D575" s="487">
        <v>0</v>
      </c>
      <c r="E575" s="453">
        <v>0</v>
      </c>
      <c r="F575" s="487">
        <v>0</v>
      </c>
      <c r="G575" s="453">
        <v>0</v>
      </c>
      <c r="H575" s="487">
        <v>0</v>
      </c>
      <c r="I575" s="453">
        <v>0</v>
      </c>
      <c r="J575" s="487">
        <v>0</v>
      </c>
      <c r="K575" s="453">
        <v>0</v>
      </c>
      <c r="L575" s="487">
        <v>0</v>
      </c>
      <c r="M575" s="453">
        <v>1</v>
      </c>
      <c r="N575" s="487">
        <v>0</v>
      </c>
      <c r="O575" s="453">
        <v>0</v>
      </c>
      <c r="P575" s="487">
        <v>0</v>
      </c>
      <c r="Q575" s="453">
        <v>1</v>
      </c>
    </row>
    <row r="576" spans="1:17" x14ac:dyDescent="0.25">
      <c r="A576" s="453">
        <v>6425248</v>
      </c>
      <c r="B576" s="487">
        <v>0</v>
      </c>
      <c r="C576" s="453">
        <v>2</v>
      </c>
      <c r="D576" s="487">
        <v>0</v>
      </c>
      <c r="E576" s="453">
        <v>0</v>
      </c>
      <c r="F576" s="487">
        <v>0</v>
      </c>
      <c r="G576" s="453">
        <v>0</v>
      </c>
      <c r="H576" s="487">
        <v>0</v>
      </c>
      <c r="I576" s="453">
        <v>0</v>
      </c>
      <c r="J576" s="487">
        <v>0</v>
      </c>
      <c r="K576" s="453">
        <v>1</v>
      </c>
      <c r="L576" s="487">
        <v>0</v>
      </c>
      <c r="M576" s="453">
        <v>5</v>
      </c>
      <c r="N576" s="487">
        <v>0</v>
      </c>
      <c r="O576" s="453">
        <v>3</v>
      </c>
      <c r="P576" s="487">
        <v>0</v>
      </c>
      <c r="Q576" s="453">
        <v>11</v>
      </c>
    </row>
    <row r="577" spans="1:17" x14ac:dyDescent="0.25">
      <c r="A577" s="453">
        <v>6425249</v>
      </c>
      <c r="B577" s="487">
        <v>0</v>
      </c>
      <c r="C577" s="453">
        <v>0</v>
      </c>
      <c r="D577" s="487">
        <v>0</v>
      </c>
      <c r="E577" s="453">
        <v>0</v>
      </c>
      <c r="F577" s="487">
        <v>0</v>
      </c>
      <c r="G577" s="453">
        <v>0</v>
      </c>
      <c r="H577" s="487">
        <v>0</v>
      </c>
      <c r="I577" s="453">
        <v>0</v>
      </c>
      <c r="J577" s="487">
        <v>0</v>
      </c>
      <c r="K577" s="453">
        <v>1</v>
      </c>
      <c r="L577" s="487">
        <v>0</v>
      </c>
      <c r="M577" s="453">
        <v>0</v>
      </c>
      <c r="N577" s="487">
        <v>0</v>
      </c>
      <c r="O577" s="453">
        <v>0</v>
      </c>
      <c r="P577" s="487">
        <v>0</v>
      </c>
      <c r="Q577" s="453">
        <v>1</v>
      </c>
    </row>
    <row r="578" spans="1:17" x14ac:dyDescent="0.25">
      <c r="A578" s="453">
        <v>6445650</v>
      </c>
      <c r="B578" s="487">
        <v>0</v>
      </c>
      <c r="C578" s="453">
        <v>0</v>
      </c>
      <c r="D578" s="487">
        <v>0</v>
      </c>
      <c r="E578" s="453">
        <v>0</v>
      </c>
      <c r="F578" s="487">
        <v>0</v>
      </c>
      <c r="G578" s="453">
        <v>0</v>
      </c>
      <c r="H578" s="487">
        <v>0</v>
      </c>
      <c r="I578" s="453">
        <v>0</v>
      </c>
      <c r="J578" s="487">
        <v>0</v>
      </c>
      <c r="K578" s="453">
        <v>0</v>
      </c>
      <c r="L578" s="487">
        <v>0</v>
      </c>
      <c r="M578" s="453">
        <v>1</v>
      </c>
      <c r="N578" s="487">
        <v>0</v>
      </c>
      <c r="O578" s="453">
        <v>0</v>
      </c>
      <c r="P578" s="487">
        <v>0</v>
      </c>
      <c r="Q578" s="453">
        <v>1</v>
      </c>
    </row>
    <row r="579" spans="1:17" x14ac:dyDescent="0.25">
      <c r="A579" s="453">
        <v>6455004</v>
      </c>
      <c r="B579" s="487">
        <v>0</v>
      </c>
      <c r="C579" s="453">
        <v>0</v>
      </c>
      <c r="D579" s="487">
        <v>0</v>
      </c>
      <c r="E579" s="453">
        <v>1</v>
      </c>
      <c r="F579" s="487">
        <v>0</v>
      </c>
      <c r="G579" s="453">
        <v>5</v>
      </c>
      <c r="H579" s="487">
        <v>0</v>
      </c>
      <c r="I579" s="453">
        <v>0</v>
      </c>
      <c r="J579" s="487">
        <v>0</v>
      </c>
      <c r="K579" s="453">
        <v>0</v>
      </c>
      <c r="L579" s="487">
        <v>0</v>
      </c>
      <c r="M579" s="453">
        <v>4</v>
      </c>
      <c r="N579" s="487">
        <v>0</v>
      </c>
      <c r="O579" s="453">
        <v>4</v>
      </c>
      <c r="P579" s="487">
        <v>0</v>
      </c>
      <c r="Q579" s="453">
        <v>14</v>
      </c>
    </row>
    <row r="580" spans="1:17" x14ac:dyDescent="0.25">
      <c r="A580" s="453">
        <v>6445681</v>
      </c>
      <c r="B580" s="487">
        <v>0</v>
      </c>
      <c r="C580" s="453">
        <v>1</v>
      </c>
      <c r="D580" s="487">
        <v>0</v>
      </c>
      <c r="E580" s="453">
        <v>0</v>
      </c>
      <c r="F580" s="487">
        <v>0</v>
      </c>
      <c r="G580" s="453">
        <v>0</v>
      </c>
      <c r="H580" s="487">
        <v>0</v>
      </c>
      <c r="I580" s="453">
        <v>0</v>
      </c>
      <c r="J580" s="487">
        <v>0</v>
      </c>
      <c r="K580" s="453">
        <v>0</v>
      </c>
      <c r="L580" s="487">
        <v>0</v>
      </c>
      <c r="M580" s="453">
        <v>0</v>
      </c>
      <c r="N580" s="487">
        <v>0</v>
      </c>
      <c r="O580" s="453">
        <v>0</v>
      </c>
      <c r="P580" s="487">
        <v>0</v>
      </c>
      <c r="Q580" s="453">
        <v>1</v>
      </c>
    </row>
    <row r="581" spans="1:17" x14ac:dyDescent="0.25">
      <c r="A581" s="453">
        <v>6445682</v>
      </c>
      <c r="B581" s="487">
        <v>0</v>
      </c>
      <c r="C581" s="453">
        <v>0</v>
      </c>
      <c r="D581" s="487">
        <v>0</v>
      </c>
      <c r="E581" s="453">
        <v>1</v>
      </c>
      <c r="F581" s="487">
        <v>0</v>
      </c>
      <c r="G581" s="453">
        <v>0</v>
      </c>
      <c r="H581" s="487">
        <v>0</v>
      </c>
      <c r="I581" s="453">
        <v>0</v>
      </c>
      <c r="J581" s="487">
        <v>0</v>
      </c>
      <c r="K581" s="453">
        <v>0</v>
      </c>
      <c r="L581" s="487">
        <v>0</v>
      </c>
      <c r="M581" s="453">
        <v>2</v>
      </c>
      <c r="N581" s="487">
        <v>0</v>
      </c>
      <c r="O581" s="453">
        <v>2</v>
      </c>
      <c r="P581" s="487">
        <v>0</v>
      </c>
      <c r="Q581" s="453">
        <v>5</v>
      </c>
    </row>
    <row r="582" spans="1:17" x14ac:dyDescent="0.25">
      <c r="A582" s="453">
        <v>6465117</v>
      </c>
      <c r="B582" s="487">
        <v>0</v>
      </c>
      <c r="C582" s="453">
        <v>0</v>
      </c>
      <c r="D582" s="487">
        <v>0</v>
      </c>
      <c r="E582" s="453">
        <v>0</v>
      </c>
      <c r="F582" s="487">
        <v>0</v>
      </c>
      <c r="G582" s="453">
        <v>3</v>
      </c>
      <c r="H582" s="487">
        <v>0</v>
      </c>
      <c r="I582" s="453">
        <v>0</v>
      </c>
      <c r="J582" s="487">
        <v>0</v>
      </c>
      <c r="K582" s="453">
        <v>2</v>
      </c>
      <c r="L582" s="487">
        <v>0</v>
      </c>
      <c r="M582" s="453">
        <v>1</v>
      </c>
      <c r="N582" s="487">
        <v>0</v>
      </c>
      <c r="O582" s="453">
        <v>1</v>
      </c>
      <c r="P582" s="487">
        <v>0</v>
      </c>
      <c r="Q582" s="453">
        <v>7</v>
      </c>
    </row>
    <row r="583" spans="1:17" x14ac:dyDescent="0.25">
      <c r="A583" s="453">
        <v>6465237</v>
      </c>
      <c r="B583" s="487">
        <v>0</v>
      </c>
      <c r="C583" s="453">
        <v>0</v>
      </c>
      <c r="D583" s="487">
        <v>0</v>
      </c>
      <c r="E583" s="453">
        <v>0</v>
      </c>
      <c r="F583" s="487">
        <v>0</v>
      </c>
      <c r="G583" s="453">
        <v>0</v>
      </c>
      <c r="H583" s="487">
        <v>0</v>
      </c>
      <c r="I583" s="453">
        <v>0</v>
      </c>
      <c r="J583" s="487">
        <v>0</v>
      </c>
      <c r="K583" s="453">
        <v>0</v>
      </c>
      <c r="L583" s="487">
        <v>0</v>
      </c>
      <c r="M583" s="453">
        <v>1</v>
      </c>
      <c r="N583" s="487">
        <v>0</v>
      </c>
      <c r="O583" s="453">
        <v>1</v>
      </c>
      <c r="P583" s="487">
        <v>0</v>
      </c>
      <c r="Q583" s="453">
        <v>2</v>
      </c>
    </row>
    <row r="584" spans="1:17" x14ac:dyDescent="0.25">
      <c r="A584" s="453">
        <v>6465112</v>
      </c>
      <c r="B584" s="487">
        <v>0</v>
      </c>
      <c r="C584" s="453">
        <v>1</v>
      </c>
      <c r="D584" s="487">
        <v>0</v>
      </c>
      <c r="E584" s="453">
        <v>0</v>
      </c>
      <c r="F584" s="487">
        <v>0</v>
      </c>
      <c r="G584" s="453">
        <v>4</v>
      </c>
      <c r="H584" s="487">
        <v>0</v>
      </c>
      <c r="I584" s="453">
        <v>0</v>
      </c>
      <c r="J584" s="487">
        <v>0</v>
      </c>
      <c r="K584" s="453">
        <v>8</v>
      </c>
      <c r="L584" s="487">
        <v>0</v>
      </c>
      <c r="M584" s="453">
        <v>12</v>
      </c>
      <c r="N584" s="487">
        <v>0</v>
      </c>
      <c r="O584" s="453">
        <v>18</v>
      </c>
      <c r="P584" s="487">
        <v>0</v>
      </c>
      <c r="Q584" s="453">
        <v>43</v>
      </c>
    </row>
    <row r="585" spans="1:17" x14ac:dyDescent="0.25">
      <c r="A585" s="453">
        <v>6465125</v>
      </c>
      <c r="B585" s="487">
        <v>0</v>
      </c>
      <c r="C585" s="453">
        <v>0</v>
      </c>
      <c r="D585" s="487">
        <v>0</v>
      </c>
      <c r="E585" s="453">
        <v>0</v>
      </c>
      <c r="F585" s="487">
        <v>0</v>
      </c>
      <c r="G585" s="453">
        <v>0</v>
      </c>
      <c r="H585" s="487">
        <v>0</v>
      </c>
      <c r="I585" s="453">
        <v>0</v>
      </c>
      <c r="J585" s="487">
        <v>0</v>
      </c>
      <c r="K585" s="453">
        <v>1</v>
      </c>
      <c r="L585" s="487">
        <v>0</v>
      </c>
      <c r="M585" s="453">
        <v>1</v>
      </c>
      <c r="N585" s="487">
        <v>0</v>
      </c>
      <c r="O585" s="453">
        <v>1</v>
      </c>
      <c r="P585" s="487">
        <v>0</v>
      </c>
      <c r="Q585" s="453">
        <v>3</v>
      </c>
    </row>
    <row r="586" spans="1:17" x14ac:dyDescent="0.25">
      <c r="A586" s="453">
        <v>6465113</v>
      </c>
      <c r="B586" s="487">
        <v>0</v>
      </c>
      <c r="C586" s="453">
        <v>0</v>
      </c>
      <c r="D586" s="487">
        <v>0</v>
      </c>
      <c r="E586" s="453">
        <v>1</v>
      </c>
      <c r="F586" s="487">
        <v>0</v>
      </c>
      <c r="G586" s="453">
        <v>0</v>
      </c>
      <c r="H586" s="487">
        <v>0</v>
      </c>
      <c r="I586" s="453">
        <v>0</v>
      </c>
      <c r="J586" s="487">
        <v>0</v>
      </c>
      <c r="K586" s="453">
        <v>0</v>
      </c>
      <c r="L586" s="487">
        <v>0</v>
      </c>
      <c r="M586" s="453">
        <v>0</v>
      </c>
      <c r="N586" s="487">
        <v>0</v>
      </c>
      <c r="O586" s="453">
        <v>0</v>
      </c>
      <c r="P586" s="487">
        <v>0</v>
      </c>
      <c r="Q586" s="453">
        <v>1</v>
      </c>
    </row>
    <row r="587" spans="1:17" x14ac:dyDescent="0.25">
      <c r="A587" s="453">
        <v>6465353</v>
      </c>
      <c r="B587" s="487">
        <v>0</v>
      </c>
      <c r="C587" s="453">
        <v>0</v>
      </c>
      <c r="D587" s="487">
        <v>0</v>
      </c>
      <c r="E587" s="453">
        <v>5</v>
      </c>
      <c r="F587" s="487">
        <v>0</v>
      </c>
      <c r="G587" s="453">
        <v>0</v>
      </c>
      <c r="H587" s="487">
        <v>0</v>
      </c>
      <c r="I587" s="453">
        <v>0</v>
      </c>
      <c r="J587" s="487">
        <v>0</v>
      </c>
      <c r="K587" s="453">
        <v>0</v>
      </c>
      <c r="L587" s="487">
        <v>0</v>
      </c>
      <c r="M587" s="453">
        <v>0</v>
      </c>
      <c r="N587" s="487">
        <v>0</v>
      </c>
      <c r="O587" s="453">
        <v>0</v>
      </c>
      <c r="P587" s="487">
        <v>0</v>
      </c>
      <c r="Q587" s="453">
        <v>5</v>
      </c>
    </row>
    <row r="588" spans="1:17" x14ac:dyDescent="0.25">
      <c r="A588" s="453">
        <v>6435253</v>
      </c>
      <c r="B588" s="487">
        <v>0</v>
      </c>
      <c r="C588" s="453">
        <v>0</v>
      </c>
      <c r="D588" s="487">
        <v>0</v>
      </c>
      <c r="E588" s="453">
        <v>0</v>
      </c>
      <c r="F588" s="487">
        <v>0</v>
      </c>
      <c r="G588" s="453">
        <v>0</v>
      </c>
      <c r="H588" s="487">
        <v>0</v>
      </c>
      <c r="I588" s="453">
        <v>0</v>
      </c>
      <c r="J588" s="487">
        <v>0</v>
      </c>
      <c r="K588" s="453">
        <v>1</v>
      </c>
      <c r="L588" s="487">
        <v>0</v>
      </c>
      <c r="M588" s="453">
        <v>0</v>
      </c>
      <c r="N588" s="487">
        <v>0</v>
      </c>
      <c r="O588" s="453">
        <v>0</v>
      </c>
      <c r="P588" s="487">
        <v>0</v>
      </c>
      <c r="Q588" s="453">
        <v>1</v>
      </c>
    </row>
    <row r="589" spans="1:17" x14ac:dyDescent="0.25">
      <c r="A589" s="453">
        <v>6465342</v>
      </c>
      <c r="B589" s="487">
        <v>0</v>
      </c>
      <c r="C589" s="453">
        <v>2</v>
      </c>
      <c r="D589" s="487">
        <v>0</v>
      </c>
      <c r="E589" s="453">
        <v>0</v>
      </c>
      <c r="F589" s="487">
        <v>0</v>
      </c>
      <c r="G589" s="453">
        <v>3</v>
      </c>
      <c r="H589" s="487">
        <v>0</v>
      </c>
      <c r="I589" s="453">
        <v>0</v>
      </c>
      <c r="J589" s="487">
        <v>0</v>
      </c>
      <c r="K589" s="453">
        <v>4</v>
      </c>
      <c r="L589" s="487">
        <v>0</v>
      </c>
      <c r="M589" s="453">
        <v>3</v>
      </c>
      <c r="N589" s="487">
        <v>0</v>
      </c>
      <c r="O589" s="453">
        <v>3</v>
      </c>
      <c r="P589" s="487">
        <v>0</v>
      </c>
      <c r="Q589" s="453">
        <v>15</v>
      </c>
    </row>
    <row r="590" spans="1:17" x14ac:dyDescent="0.25">
      <c r="A590" s="453">
        <v>6465348</v>
      </c>
      <c r="B590" s="487">
        <v>0</v>
      </c>
      <c r="C590" s="453">
        <v>0</v>
      </c>
      <c r="D590" s="487">
        <v>0</v>
      </c>
      <c r="E590" s="453">
        <v>0</v>
      </c>
      <c r="F590" s="487">
        <v>0</v>
      </c>
      <c r="G590" s="453">
        <v>2</v>
      </c>
      <c r="H590" s="487">
        <v>0</v>
      </c>
      <c r="I590" s="453">
        <v>0</v>
      </c>
      <c r="J590" s="487">
        <v>0</v>
      </c>
      <c r="K590" s="453">
        <v>2</v>
      </c>
      <c r="L590" s="487">
        <v>0</v>
      </c>
      <c r="M590" s="453">
        <v>0</v>
      </c>
      <c r="N590" s="487">
        <v>0</v>
      </c>
      <c r="O590" s="453">
        <v>0</v>
      </c>
      <c r="P590" s="487">
        <v>0</v>
      </c>
      <c r="Q590" s="453">
        <v>4</v>
      </c>
    </row>
    <row r="591" spans="1:17" x14ac:dyDescent="0.25">
      <c r="A591" s="453">
        <v>6455216</v>
      </c>
      <c r="B591" s="487">
        <v>0</v>
      </c>
      <c r="C591" s="453">
        <v>0</v>
      </c>
      <c r="D591" s="487">
        <v>0</v>
      </c>
      <c r="E591" s="453">
        <v>1</v>
      </c>
      <c r="F591" s="487">
        <v>0</v>
      </c>
      <c r="G591" s="453">
        <v>1</v>
      </c>
      <c r="H591" s="487">
        <v>0</v>
      </c>
      <c r="I591" s="453">
        <v>0</v>
      </c>
      <c r="J591" s="487">
        <v>0</v>
      </c>
      <c r="K591" s="453">
        <v>0</v>
      </c>
      <c r="L591" s="487">
        <v>0</v>
      </c>
      <c r="M591" s="453">
        <v>0</v>
      </c>
      <c r="N591" s="487">
        <v>0</v>
      </c>
      <c r="O591" s="453">
        <v>1</v>
      </c>
      <c r="P591" s="487">
        <v>0</v>
      </c>
      <c r="Q591" s="453">
        <v>3</v>
      </c>
    </row>
    <row r="592" spans="1:17" x14ac:dyDescent="0.25">
      <c r="A592" s="453">
        <v>6455245</v>
      </c>
      <c r="B592" s="487">
        <v>0</v>
      </c>
      <c r="C592" s="453">
        <v>0</v>
      </c>
      <c r="D592" s="487">
        <v>0</v>
      </c>
      <c r="E592" s="453">
        <v>0</v>
      </c>
      <c r="F592" s="487">
        <v>0</v>
      </c>
      <c r="G592" s="453">
        <v>0</v>
      </c>
      <c r="H592" s="487">
        <v>0</v>
      </c>
      <c r="I592" s="453">
        <v>0</v>
      </c>
      <c r="J592" s="487">
        <v>0</v>
      </c>
      <c r="K592" s="453">
        <v>1</v>
      </c>
      <c r="L592" s="487">
        <v>0</v>
      </c>
      <c r="M592" s="453">
        <v>0</v>
      </c>
      <c r="N592" s="487">
        <v>0</v>
      </c>
      <c r="O592" s="453">
        <v>0</v>
      </c>
      <c r="P592" s="487">
        <v>0</v>
      </c>
      <c r="Q592" s="453">
        <v>1</v>
      </c>
    </row>
    <row r="593" spans="1:17" x14ac:dyDescent="0.25">
      <c r="A593" s="453">
        <v>6415018</v>
      </c>
      <c r="B593" s="487">
        <v>0</v>
      </c>
      <c r="C593" s="453">
        <v>1</v>
      </c>
      <c r="D593" s="487">
        <v>0</v>
      </c>
      <c r="E593" s="453">
        <v>4</v>
      </c>
      <c r="F593" s="487">
        <v>0</v>
      </c>
      <c r="G593" s="453">
        <v>1</v>
      </c>
      <c r="H593" s="487">
        <v>0</v>
      </c>
      <c r="I593" s="453">
        <v>1</v>
      </c>
      <c r="J593" s="487">
        <v>0</v>
      </c>
      <c r="K593" s="453">
        <v>7</v>
      </c>
      <c r="L593" s="487">
        <v>0</v>
      </c>
      <c r="M593" s="453">
        <v>4</v>
      </c>
      <c r="N593" s="487">
        <v>0</v>
      </c>
      <c r="O593" s="453">
        <v>7</v>
      </c>
      <c r="P593" s="487">
        <v>0</v>
      </c>
      <c r="Q593" s="453">
        <v>25</v>
      </c>
    </row>
    <row r="594" spans="1:17" x14ac:dyDescent="0.25">
      <c r="A594" s="453">
        <v>6435228</v>
      </c>
      <c r="B594" s="487">
        <v>0</v>
      </c>
      <c r="C594" s="453">
        <v>0</v>
      </c>
      <c r="D594" s="487">
        <v>0</v>
      </c>
      <c r="E594" s="453">
        <v>1</v>
      </c>
      <c r="F594" s="487">
        <v>0</v>
      </c>
      <c r="G594" s="453">
        <v>0</v>
      </c>
      <c r="H594" s="487">
        <v>0</v>
      </c>
      <c r="I594" s="453">
        <v>1</v>
      </c>
      <c r="J594" s="487">
        <v>0</v>
      </c>
      <c r="K594" s="453">
        <v>3</v>
      </c>
      <c r="L594" s="487">
        <v>0</v>
      </c>
      <c r="M594" s="453">
        <v>0</v>
      </c>
      <c r="N594" s="487">
        <v>0</v>
      </c>
      <c r="O594" s="453">
        <v>1</v>
      </c>
      <c r="P594" s="487">
        <v>0</v>
      </c>
      <c r="Q594" s="453">
        <v>6</v>
      </c>
    </row>
    <row r="595" spans="1:17" x14ac:dyDescent="0.25">
      <c r="A595" s="453">
        <v>6425245</v>
      </c>
      <c r="B595" s="487">
        <v>0</v>
      </c>
      <c r="C595" s="453">
        <v>0</v>
      </c>
      <c r="D595" s="487">
        <v>0</v>
      </c>
      <c r="E595" s="453">
        <v>1</v>
      </c>
      <c r="F595" s="487">
        <v>0</v>
      </c>
      <c r="G595" s="453">
        <v>0</v>
      </c>
      <c r="H595" s="487">
        <v>0</v>
      </c>
      <c r="I595" s="453">
        <v>0</v>
      </c>
      <c r="J595" s="487">
        <v>0</v>
      </c>
      <c r="K595" s="453">
        <v>0</v>
      </c>
      <c r="L595" s="487">
        <v>0</v>
      </c>
      <c r="M595" s="453">
        <v>4</v>
      </c>
      <c r="N595" s="487">
        <v>0</v>
      </c>
      <c r="O595" s="453">
        <v>0</v>
      </c>
      <c r="P595" s="487">
        <v>0</v>
      </c>
      <c r="Q595" s="453">
        <v>5</v>
      </c>
    </row>
    <row r="596" spans="1:17" x14ac:dyDescent="0.25">
      <c r="A596" s="453">
        <v>6425246</v>
      </c>
      <c r="B596" s="487">
        <v>0</v>
      </c>
      <c r="C596" s="453">
        <v>0</v>
      </c>
      <c r="D596" s="487">
        <v>0</v>
      </c>
      <c r="E596" s="453">
        <v>0</v>
      </c>
      <c r="F596" s="487">
        <v>0</v>
      </c>
      <c r="G596" s="453">
        <v>0</v>
      </c>
      <c r="H596" s="487">
        <v>0</v>
      </c>
      <c r="I596" s="453">
        <v>1</v>
      </c>
      <c r="J596" s="487">
        <v>0</v>
      </c>
      <c r="K596" s="453">
        <v>0</v>
      </c>
      <c r="L596" s="487">
        <v>0</v>
      </c>
      <c r="M596" s="453">
        <v>0</v>
      </c>
      <c r="N596" s="487">
        <v>0</v>
      </c>
      <c r="O596" s="453">
        <v>0</v>
      </c>
      <c r="P596" s="487">
        <v>0</v>
      </c>
      <c r="Q596" s="453">
        <v>1</v>
      </c>
    </row>
    <row r="597" spans="1:17" x14ac:dyDescent="0.25">
      <c r="A597" s="453">
        <v>6445451</v>
      </c>
      <c r="B597" s="487">
        <v>0</v>
      </c>
      <c r="C597" s="453">
        <v>1</v>
      </c>
      <c r="D597" s="487">
        <v>0</v>
      </c>
      <c r="E597" s="453">
        <v>0</v>
      </c>
      <c r="F597" s="487">
        <v>0</v>
      </c>
      <c r="G597" s="453">
        <v>4</v>
      </c>
      <c r="H597" s="487">
        <v>0</v>
      </c>
      <c r="I597" s="453">
        <v>0</v>
      </c>
      <c r="J597" s="487">
        <v>0</v>
      </c>
      <c r="K597" s="453">
        <v>1</v>
      </c>
      <c r="L597" s="487">
        <v>0</v>
      </c>
      <c r="M597" s="453">
        <v>4</v>
      </c>
      <c r="N597" s="487">
        <v>0</v>
      </c>
      <c r="O597" s="453">
        <v>1</v>
      </c>
      <c r="P597" s="487">
        <v>0</v>
      </c>
      <c r="Q597" s="453">
        <v>11</v>
      </c>
    </row>
    <row r="598" spans="1:17" x14ac:dyDescent="0.25">
      <c r="A598" s="453">
        <v>6445452</v>
      </c>
      <c r="B598" s="487">
        <v>0</v>
      </c>
      <c r="C598" s="453">
        <v>0</v>
      </c>
      <c r="D598" s="487">
        <v>0</v>
      </c>
      <c r="E598" s="453">
        <v>0</v>
      </c>
      <c r="F598" s="487">
        <v>0</v>
      </c>
      <c r="G598" s="453">
        <v>2</v>
      </c>
      <c r="H598" s="487">
        <v>0</v>
      </c>
      <c r="I598" s="453">
        <v>0</v>
      </c>
      <c r="J598" s="487">
        <v>0</v>
      </c>
      <c r="K598" s="453">
        <v>1</v>
      </c>
      <c r="L598" s="487">
        <v>0</v>
      </c>
      <c r="M598" s="453">
        <v>0</v>
      </c>
      <c r="N598" s="487">
        <v>0</v>
      </c>
      <c r="O598" s="453">
        <v>0</v>
      </c>
      <c r="P598" s="487">
        <v>0</v>
      </c>
      <c r="Q598" s="453">
        <v>3</v>
      </c>
    </row>
    <row r="599" spans="1:17" x14ac:dyDescent="0.25">
      <c r="A599" s="453">
        <v>6445793</v>
      </c>
      <c r="B599" s="487">
        <v>0</v>
      </c>
      <c r="C599" s="453">
        <v>0</v>
      </c>
      <c r="D599" s="487">
        <v>0</v>
      </c>
      <c r="E599" s="453">
        <v>0</v>
      </c>
      <c r="F599" s="487">
        <v>0</v>
      </c>
      <c r="G599" s="453">
        <v>0</v>
      </c>
      <c r="H599" s="487">
        <v>0</v>
      </c>
      <c r="I599" s="453">
        <v>0</v>
      </c>
      <c r="J599" s="487">
        <v>0</v>
      </c>
      <c r="K599" s="453">
        <v>0</v>
      </c>
      <c r="L599" s="487">
        <v>0</v>
      </c>
      <c r="M599" s="453">
        <v>1</v>
      </c>
      <c r="N599" s="487">
        <v>0</v>
      </c>
      <c r="O599" s="453">
        <v>0</v>
      </c>
      <c r="P599" s="487">
        <v>0</v>
      </c>
      <c r="Q599" s="453">
        <v>1</v>
      </c>
    </row>
    <row r="600" spans="1:17" x14ac:dyDescent="0.25">
      <c r="A600" s="453">
        <v>6445741</v>
      </c>
      <c r="B600" s="487">
        <v>0</v>
      </c>
      <c r="C600" s="453">
        <v>0</v>
      </c>
      <c r="D600" s="487">
        <v>0</v>
      </c>
      <c r="E600" s="453">
        <v>0</v>
      </c>
      <c r="F600" s="487">
        <v>0</v>
      </c>
      <c r="G600" s="453">
        <v>0</v>
      </c>
      <c r="H600" s="487">
        <v>0</v>
      </c>
      <c r="I600" s="453">
        <v>1</v>
      </c>
      <c r="J600" s="487">
        <v>0</v>
      </c>
      <c r="K600" s="453">
        <v>2</v>
      </c>
      <c r="L600" s="487">
        <v>0</v>
      </c>
      <c r="M600" s="453">
        <v>0</v>
      </c>
      <c r="N600" s="487">
        <v>0</v>
      </c>
      <c r="O600" s="453">
        <v>0</v>
      </c>
      <c r="P600" s="487">
        <v>0</v>
      </c>
      <c r="Q600" s="453">
        <v>3</v>
      </c>
    </row>
    <row r="601" spans="1:17" x14ac:dyDescent="0.25">
      <c r="A601" s="453">
        <v>6445164</v>
      </c>
      <c r="B601" s="487">
        <v>0</v>
      </c>
      <c r="C601" s="453">
        <v>0</v>
      </c>
      <c r="D601" s="487">
        <v>0</v>
      </c>
      <c r="E601" s="453">
        <v>0</v>
      </c>
      <c r="F601" s="487">
        <v>0</v>
      </c>
      <c r="G601" s="453">
        <v>1</v>
      </c>
      <c r="H601" s="487">
        <v>0</v>
      </c>
      <c r="I601" s="453">
        <v>0</v>
      </c>
      <c r="J601" s="487">
        <v>0</v>
      </c>
      <c r="K601" s="453">
        <v>1</v>
      </c>
      <c r="L601" s="487">
        <v>0</v>
      </c>
      <c r="M601" s="453">
        <v>1</v>
      </c>
      <c r="N601" s="487">
        <v>0</v>
      </c>
      <c r="O601" s="453">
        <v>0</v>
      </c>
      <c r="P601" s="487">
        <v>0</v>
      </c>
      <c r="Q601" s="453">
        <v>3</v>
      </c>
    </row>
    <row r="602" spans="1:17" x14ac:dyDescent="0.25">
      <c r="A602" s="453">
        <v>6425241</v>
      </c>
      <c r="B602" s="487">
        <v>0</v>
      </c>
      <c r="C602" s="453">
        <v>1</v>
      </c>
      <c r="D602" s="487">
        <v>0</v>
      </c>
      <c r="E602" s="453">
        <v>2</v>
      </c>
      <c r="F602" s="487">
        <v>0</v>
      </c>
      <c r="G602" s="453">
        <v>0</v>
      </c>
      <c r="H602" s="487">
        <v>0</v>
      </c>
      <c r="I602" s="453">
        <v>1</v>
      </c>
      <c r="J602" s="487">
        <v>0</v>
      </c>
      <c r="K602" s="453">
        <v>1</v>
      </c>
      <c r="L602" s="487">
        <v>0</v>
      </c>
      <c r="M602" s="453">
        <v>0</v>
      </c>
      <c r="N602" s="487">
        <v>0</v>
      </c>
      <c r="O602" s="453">
        <v>1</v>
      </c>
      <c r="P602" s="487">
        <v>0</v>
      </c>
      <c r="Q602" s="453">
        <v>6</v>
      </c>
    </row>
    <row r="603" spans="1:17" x14ac:dyDescent="0.25">
      <c r="A603" s="453">
        <v>6425242</v>
      </c>
      <c r="B603" s="487">
        <v>0</v>
      </c>
      <c r="C603" s="453">
        <v>0</v>
      </c>
      <c r="D603" s="487">
        <v>0</v>
      </c>
      <c r="E603" s="453">
        <v>1</v>
      </c>
      <c r="F603" s="487">
        <v>0</v>
      </c>
      <c r="G603" s="453">
        <v>0</v>
      </c>
      <c r="H603" s="487">
        <v>0</v>
      </c>
      <c r="I603" s="453">
        <v>0</v>
      </c>
      <c r="J603" s="487">
        <v>0</v>
      </c>
      <c r="K603" s="453">
        <v>0</v>
      </c>
      <c r="L603" s="487">
        <v>0</v>
      </c>
      <c r="M603" s="453">
        <v>0</v>
      </c>
      <c r="N603" s="487">
        <v>0</v>
      </c>
      <c r="O603" s="453">
        <v>0</v>
      </c>
      <c r="P603" s="487">
        <v>0</v>
      </c>
      <c r="Q603" s="453">
        <v>1</v>
      </c>
    </row>
    <row r="604" spans="1:17" x14ac:dyDescent="0.25">
      <c r="A604" s="453">
        <v>6445776</v>
      </c>
      <c r="B604" s="487">
        <v>0</v>
      </c>
      <c r="C604" s="453">
        <v>2</v>
      </c>
      <c r="D604" s="487">
        <v>0</v>
      </c>
      <c r="E604" s="453">
        <v>1</v>
      </c>
      <c r="F604" s="487">
        <v>0</v>
      </c>
      <c r="G604" s="453">
        <v>3</v>
      </c>
      <c r="H604" s="487">
        <v>0</v>
      </c>
      <c r="I604" s="453">
        <v>88</v>
      </c>
      <c r="J604" s="487">
        <v>0</v>
      </c>
      <c r="K604" s="453">
        <v>10</v>
      </c>
      <c r="L604" s="487">
        <v>0</v>
      </c>
      <c r="M604" s="453">
        <v>13</v>
      </c>
      <c r="N604" s="487">
        <v>0</v>
      </c>
      <c r="O604" s="453">
        <v>4</v>
      </c>
      <c r="P604" s="487">
        <v>0</v>
      </c>
      <c r="Q604" s="453">
        <v>121</v>
      </c>
    </row>
    <row r="605" spans="1:17" x14ac:dyDescent="0.25">
      <c r="A605" s="453">
        <v>6445779</v>
      </c>
      <c r="B605" s="487">
        <v>0</v>
      </c>
      <c r="C605" s="453">
        <v>1</v>
      </c>
      <c r="D605" s="487">
        <v>0</v>
      </c>
      <c r="E605" s="453">
        <v>0</v>
      </c>
      <c r="F605" s="487">
        <v>0</v>
      </c>
      <c r="G605" s="453">
        <v>0</v>
      </c>
      <c r="H605" s="487">
        <v>0</v>
      </c>
      <c r="I605" s="453">
        <v>0</v>
      </c>
      <c r="J605" s="487">
        <v>0</v>
      </c>
      <c r="K605" s="453">
        <v>2</v>
      </c>
      <c r="L605" s="487">
        <v>0</v>
      </c>
      <c r="M605" s="453">
        <v>1</v>
      </c>
      <c r="N605" s="487">
        <v>0</v>
      </c>
      <c r="O605" s="453">
        <v>1</v>
      </c>
      <c r="P605" s="487">
        <v>0</v>
      </c>
      <c r="Q605" s="453">
        <v>5</v>
      </c>
    </row>
    <row r="606" spans="1:17" x14ac:dyDescent="0.25">
      <c r="A606" s="453">
        <v>6445788</v>
      </c>
      <c r="B606" s="487">
        <v>0</v>
      </c>
      <c r="C606" s="453">
        <v>0</v>
      </c>
      <c r="D606" s="487">
        <v>0</v>
      </c>
      <c r="E606" s="453">
        <v>0</v>
      </c>
      <c r="F606" s="487">
        <v>0</v>
      </c>
      <c r="G606" s="453">
        <v>0</v>
      </c>
      <c r="H606" s="487">
        <v>0</v>
      </c>
      <c r="I606" s="453">
        <v>0</v>
      </c>
      <c r="J606" s="487">
        <v>0</v>
      </c>
      <c r="K606" s="453">
        <v>0</v>
      </c>
      <c r="L606" s="487">
        <v>0</v>
      </c>
      <c r="M606" s="453">
        <v>1</v>
      </c>
      <c r="N606" s="487">
        <v>0</v>
      </c>
      <c r="O606" s="453">
        <v>1</v>
      </c>
      <c r="P606" s="487">
        <v>0</v>
      </c>
      <c r="Q606" s="453">
        <v>2</v>
      </c>
    </row>
    <row r="607" spans="1:17" x14ac:dyDescent="0.25">
      <c r="A607" s="453">
        <v>6445679</v>
      </c>
      <c r="B607" s="487">
        <v>0</v>
      </c>
      <c r="C607" s="453">
        <v>0</v>
      </c>
      <c r="D607" s="487">
        <v>0</v>
      </c>
      <c r="E607" s="453">
        <v>1</v>
      </c>
      <c r="F607" s="487">
        <v>0</v>
      </c>
      <c r="G607" s="453">
        <v>0</v>
      </c>
      <c r="H607" s="487">
        <v>0</v>
      </c>
      <c r="I607" s="453">
        <v>0</v>
      </c>
      <c r="J607" s="487">
        <v>0</v>
      </c>
      <c r="K607" s="453">
        <v>0</v>
      </c>
      <c r="L607" s="487">
        <v>0</v>
      </c>
      <c r="M607" s="453">
        <v>0</v>
      </c>
      <c r="N607" s="487">
        <v>0</v>
      </c>
      <c r="O607" s="453">
        <v>0</v>
      </c>
      <c r="P607" s="487">
        <v>0</v>
      </c>
      <c r="Q607" s="453">
        <v>1</v>
      </c>
    </row>
    <row r="608" spans="1:17" x14ac:dyDescent="0.25">
      <c r="A608" s="453">
        <v>6445680</v>
      </c>
      <c r="B608" s="487">
        <v>0</v>
      </c>
      <c r="C608" s="453">
        <v>0</v>
      </c>
      <c r="D608" s="487">
        <v>0</v>
      </c>
      <c r="E608" s="453">
        <v>1</v>
      </c>
      <c r="F608" s="487">
        <v>0</v>
      </c>
      <c r="G608" s="453">
        <v>0</v>
      </c>
      <c r="H608" s="487">
        <v>0</v>
      </c>
      <c r="I608" s="453">
        <v>1</v>
      </c>
      <c r="J608" s="487">
        <v>0</v>
      </c>
      <c r="K608" s="453">
        <v>0</v>
      </c>
      <c r="L608" s="487">
        <v>0</v>
      </c>
      <c r="M608" s="453">
        <v>1</v>
      </c>
      <c r="N608" s="487">
        <v>0</v>
      </c>
      <c r="O608" s="453">
        <v>1</v>
      </c>
      <c r="P608" s="487">
        <v>0</v>
      </c>
      <c r="Q608" s="453">
        <v>4</v>
      </c>
    </row>
    <row r="609" spans="1:17" x14ac:dyDescent="0.25">
      <c r="A609" s="453">
        <v>6445792</v>
      </c>
      <c r="B609" s="487">
        <v>0</v>
      </c>
      <c r="C609" s="453">
        <v>0</v>
      </c>
      <c r="D609" s="487">
        <v>0</v>
      </c>
      <c r="E609" s="453">
        <v>0</v>
      </c>
      <c r="F609" s="487">
        <v>0</v>
      </c>
      <c r="G609" s="453">
        <v>1</v>
      </c>
      <c r="H609" s="487">
        <v>0</v>
      </c>
      <c r="I609" s="453">
        <v>1</v>
      </c>
      <c r="J609" s="487">
        <v>0</v>
      </c>
      <c r="K609" s="453">
        <v>1</v>
      </c>
      <c r="L609" s="487">
        <v>0</v>
      </c>
      <c r="M609" s="453">
        <v>0</v>
      </c>
      <c r="N609" s="487">
        <v>0</v>
      </c>
      <c r="O609" s="453">
        <v>2</v>
      </c>
      <c r="P609" s="487">
        <v>0</v>
      </c>
      <c r="Q609" s="453">
        <v>5</v>
      </c>
    </row>
    <row r="610" spans="1:17" x14ac:dyDescent="0.25">
      <c r="A610" s="453">
        <v>6445413</v>
      </c>
      <c r="B610" s="487">
        <v>0</v>
      </c>
      <c r="C610" s="453">
        <v>0</v>
      </c>
      <c r="D610" s="487">
        <v>0</v>
      </c>
      <c r="E610" s="453">
        <v>0</v>
      </c>
      <c r="F610" s="487">
        <v>0</v>
      </c>
      <c r="G610" s="453">
        <v>1</v>
      </c>
      <c r="H610" s="487">
        <v>0</v>
      </c>
      <c r="I610" s="453">
        <v>0</v>
      </c>
      <c r="J610" s="487">
        <v>0</v>
      </c>
      <c r="K610" s="453">
        <v>1</v>
      </c>
      <c r="L610" s="487">
        <v>0</v>
      </c>
      <c r="M610" s="453">
        <v>1</v>
      </c>
      <c r="N610" s="487">
        <v>0</v>
      </c>
      <c r="O610" s="453">
        <v>2</v>
      </c>
      <c r="P610" s="487">
        <v>0</v>
      </c>
      <c r="Q610" s="453">
        <v>5</v>
      </c>
    </row>
    <row r="611" spans="1:17" x14ac:dyDescent="0.25">
      <c r="A611" s="453">
        <v>6445808</v>
      </c>
      <c r="B611" s="487">
        <v>0</v>
      </c>
      <c r="C611" s="453">
        <v>0</v>
      </c>
      <c r="D611" s="487">
        <v>0</v>
      </c>
      <c r="E611" s="453">
        <v>2</v>
      </c>
      <c r="F611" s="487">
        <v>0</v>
      </c>
      <c r="G611" s="453">
        <v>4</v>
      </c>
      <c r="H611" s="487">
        <v>0</v>
      </c>
      <c r="I611" s="453">
        <v>2</v>
      </c>
      <c r="J611" s="487">
        <v>0</v>
      </c>
      <c r="K611" s="453">
        <v>2</v>
      </c>
      <c r="L611" s="487">
        <v>0</v>
      </c>
      <c r="M611" s="453">
        <v>5</v>
      </c>
      <c r="N611" s="487">
        <v>0</v>
      </c>
      <c r="O611" s="453">
        <v>1</v>
      </c>
      <c r="P611" s="487">
        <v>0</v>
      </c>
      <c r="Q611" s="453">
        <v>16</v>
      </c>
    </row>
    <row r="612" spans="1:17" x14ac:dyDescent="0.25">
      <c r="A612" s="453">
        <v>6445809</v>
      </c>
      <c r="B612" s="487">
        <v>0</v>
      </c>
      <c r="C612" s="453">
        <v>1</v>
      </c>
      <c r="D612" s="487">
        <v>0</v>
      </c>
      <c r="E612" s="453">
        <v>0</v>
      </c>
      <c r="F612" s="487">
        <v>0</v>
      </c>
      <c r="G612" s="453">
        <v>0</v>
      </c>
      <c r="H612" s="487">
        <v>0</v>
      </c>
      <c r="I612" s="453">
        <v>0</v>
      </c>
      <c r="J612" s="487">
        <v>0</v>
      </c>
      <c r="K612" s="453">
        <v>0</v>
      </c>
      <c r="L612" s="487">
        <v>0</v>
      </c>
      <c r="M612" s="453">
        <v>0</v>
      </c>
      <c r="N612" s="487">
        <v>0</v>
      </c>
      <c r="O612" s="453">
        <v>0</v>
      </c>
      <c r="P612" s="487">
        <v>0</v>
      </c>
      <c r="Q612" s="453">
        <v>1</v>
      </c>
    </row>
    <row r="613" spans="1:17" x14ac:dyDescent="0.25">
      <c r="A613" s="453">
        <v>6455020</v>
      </c>
      <c r="B613" s="487">
        <v>0</v>
      </c>
      <c r="C613" s="453">
        <v>1</v>
      </c>
      <c r="D613" s="487">
        <v>0</v>
      </c>
      <c r="E613" s="453">
        <v>2</v>
      </c>
      <c r="F613" s="487">
        <v>0</v>
      </c>
      <c r="G613" s="453">
        <v>0</v>
      </c>
      <c r="H613" s="487">
        <v>0</v>
      </c>
      <c r="I613" s="453">
        <v>0</v>
      </c>
      <c r="J613" s="487">
        <v>0</v>
      </c>
      <c r="K613" s="453">
        <v>6</v>
      </c>
      <c r="L613" s="487">
        <v>0</v>
      </c>
      <c r="M613" s="453">
        <v>8</v>
      </c>
      <c r="N613" s="487">
        <v>0</v>
      </c>
      <c r="O613" s="453">
        <v>3</v>
      </c>
      <c r="P613" s="487">
        <v>0</v>
      </c>
      <c r="Q613" s="453">
        <v>20</v>
      </c>
    </row>
    <row r="614" spans="1:17" x14ac:dyDescent="0.25">
      <c r="A614" s="453">
        <v>6455063</v>
      </c>
      <c r="B614" s="487">
        <v>0</v>
      </c>
      <c r="C614" s="453">
        <v>0</v>
      </c>
      <c r="D614" s="487">
        <v>0</v>
      </c>
      <c r="E614" s="453">
        <v>0</v>
      </c>
      <c r="F614" s="487">
        <v>0</v>
      </c>
      <c r="G614" s="453">
        <v>0</v>
      </c>
      <c r="H614" s="487">
        <v>0</v>
      </c>
      <c r="I614" s="453">
        <v>0</v>
      </c>
      <c r="J614" s="487">
        <v>0</v>
      </c>
      <c r="K614" s="453">
        <v>1</v>
      </c>
      <c r="L614" s="487">
        <v>0</v>
      </c>
      <c r="M614" s="453">
        <v>0</v>
      </c>
      <c r="N614" s="487">
        <v>0</v>
      </c>
      <c r="O614" s="453">
        <v>0</v>
      </c>
      <c r="P614" s="487">
        <v>0</v>
      </c>
      <c r="Q614" s="453">
        <v>1</v>
      </c>
    </row>
    <row r="615" spans="1:17" x14ac:dyDescent="0.25">
      <c r="A615" s="453">
        <v>6436005</v>
      </c>
      <c r="B615" s="487">
        <v>0</v>
      </c>
      <c r="C615" s="453">
        <v>0</v>
      </c>
      <c r="D615" s="487">
        <v>0</v>
      </c>
      <c r="E615" s="453">
        <v>0</v>
      </c>
      <c r="F615" s="487">
        <v>0</v>
      </c>
      <c r="G615" s="453">
        <v>0</v>
      </c>
      <c r="H615" s="487">
        <v>0</v>
      </c>
      <c r="I615" s="453">
        <v>0</v>
      </c>
      <c r="J615" s="487">
        <v>0</v>
      </c>
      <c r="K615" s="453">
        <v>1</v>
      </c>
      <c r="L615" s="487">
        <v>0</v>
      </c>
      <c r="M615" s="453">
        <v>0</v>
      </c>
      <c r="N615" s="487">
        <v>0</v>
      </c>
      <c r="O615" s="453">
        <v>0</v>
      </c>
      <c r="P615" s="487">
        <v>0</v>
      </c>
      <c r="Q615" s="453">
        <v>1</v>
      </c>
    </row>
    <row r="616" spans="1:17" x14ac:dyDescent="0.25">
      <c r="A616" s="800" t="s">
        <v>1939</v>
      </c>
      <c r="B616" s="485">
        <v>55.25</v>
      </c>
      <c r="C616" s="486">
        <v>8</v>
      </c>
      <c r="D616" s="485">
        <v>91.73</v>
      </c>
      <c r="E616" s="486">
        <v>14</v>
      </c>
      <c r="F616" s="485">
        <v>92.63</v>
      </c>
      <c r="G616" s="486">
        <v>12</v>
      </c>
      <c r="H616" s="485">
        <v>34.99</v>
      </c>
      <c r="I616" s="486">
        <v>5</v>
      </c>
      <c r="J616" s="485">
        <v>208.77</v>
      </c>
      <c r="K616" s="486">
        <v>28</v>
      </c>
      <c r="L616" s="485">
        <v>268.17</v>
      </c>
      <c r="M616" s="486">
        <v>36</v>
      </c>
      <c r="N616" s="485">
        <v>176.37</v>
      </c>
      <c r="O616" s="486">
        <v>26</v>
      </c>
      <c r="P616" s="485">
        <v>927.91</v>
      </c>
      <c r="Q616" s="486">
        <v>129</v>
      </c>
    </row>
    <row r="617" spans="1:17" x14ac:dyDescent="0.25">
      <c r="A617" s="800" t="s">
        <v>1939</v>
      </c>
      <c r="B617" s="485">
        <v>0</v>
      </c>
      <c r="C617" s="486">
        <v>0</v>
      </c>
      <c r="D617" s="485">
        <v>0</v>
      </c>
      <c r="E617" s="486">
        <v>0</v>
      </c>
      <c r="F617" s="485">
        <v>0</v>
      </c>
      <c r="G617" s="486">
        <v>0</v>
      </c>
      <c r="H617" s="485">
        <v>0</v>
      </c>
      <c r="I617" s="486">
        <v>0</v>
      </c>
      <c r="J617" s="485">
        <v>6.95</v>
      </c>
      <c r="K617" s="486">
        <v>1</v>
      </c>
      <c r="L617" s="485">
        <v>0</v>
      </c>
      <c r="M617" s="486">
        <v>0</v>
      </c>
      <c r="N617" s="485">
        <v>0</v>
      </c>
      <c r="O617" s="486">
        <v>0</v>
      </c>
      <c r="P617" s="485">
        <v>6.95</v>
      </c>
      <c r="Q617" s="486">
        <v>1</v>
      </c>
    </row>
    <row r="618" spans="1:17" x14ac:dyDescent="0.25">
      <c r="A618" s="453">
        <v>6514001</v>
      </c>
      <c r="B618" s="487">
        <v>0</v>
      </c>
      <c r="C618" s="453">
        <v>0</v>
      </c>
      <c r="D618" s="487">
        <v>0</v>
      </c>
      <c r="E618" s="453">
        <v>0</v>
      </c>
      <c r="F618" s="487">
        <v>0</v>
      </c>
      <c r="G618" s="453">
        <v>0</v>
      </c>
      <c r="H618" s="487">
        <v>0</v>
      </c>
      <c r="I618" s="453">
        <v>0</v>
      </c>
      <c r="J618" s="487">
        <v>6.95</v>
      </c>
      <c r="K618" s="453">
        <v>1</v>
      </c>
      <c r="L618" s="487">
        <v>0</v>
      </c>
      <c r="M618" s="453">
        <v>0</v>
      </c>
      <c r="N618" s="487">
        <v>0</v>
      </c>
      <c r="O618" s="453">
        <v>0</v>
      </c>
      <c r="P618" s="487">
        <v>6.95</v>
      </c>
      <c r="Q618" s="453">
        <v>1</v>
      </c>
    </row>
    <row r="619" spans="1:17" x14ac:dyDescent="0.25">
      <c r="A619" s="800" t="s">
        <v>1939</v>
      </c>
      <c r="B619" s="485">
        <v>22.5</v>
      </c>
      <c r="C619" s="486">
        <v>3</v>
      </c>
      <c r="D619" s="485">
        <v>20.48</v>
      </c>
      <c r="E619" s="486">
        <v>3</v>
      </c>
      <c r="F619" s="485">
        <v>62.45</v>
      </c>
      <c r="G619" s="486">
        <v>9</v>
      </c>
      <c r="H619" s="485">
        <v>21.490000000000002</v>
      </c>
      <c r="I619" s="486">
        <v>3</v>
      </c>
      <c r="J619" s="485">
        <v>152.95000000000002</v>
      </c>
      <c r="K619" s="486">
        <v>20</v>
      </c>
      <c r="L619" s="485">
        <v>233.67000000000002</v>
      </c>
      <c r="M619" s="486">
        <v>30</v>
      </c>
      <c r="N619" s="485">
        <v>153.37</v>
      </c>
      <c r="O619" s="486">
        <v>22</v>
      </c>
      <c r="P619" s="485">
        <v>666.91</v>
      </c>
      <c r="Q619" s="486">
        <v>90</v>
      </c>
    </row>
    <row r="620" spans="1:17" x14ac:dyDescent="0.25">
      <c r="A620" s="453">
        <v>6550326</v>
      </c>
      <c r="B620" s="487">
        <v>22.5</v>
      </c>
      <c r="C620" s="453">
        <v>3</v>
      </c>
      <c r="D620" s="487">
        <v>7.5</v>
      </c>
      <c r="E620" s="453">
        <v>1</v>
      </c>
      <c r="F620" s="487">
        <v>30</v>
      </c>
      <c r="G620" s="453">
        <v>4</v>
      </c>
      <c r="H620" s="487">
        <v>15</v>
      </c>
      <c r="I620" s="453">
        <v>2</v>
      </c>
      <c r="J620" s="487">
        <v>97.5</v>
      </c>
      <c r="K620" s="453">
        <v>13</v>
      </c>
      <c r="L620" s="487">
        <v>127.5</v>
      </c>
      <c r="M620" s="453">
        <v>17</v>
      </c>
      <c r="N620" s="487">
        <v>67.5</v>
      </c>
      <c r="O620" s="453">
        <v>9</v>
      </c>
      <c r="P620" s="487">
        <v>367.5</v>
      </c>
      <c r="Q620" s="453">
        <v>49</v>
      </c>
    </row>
    <row r="621" spans="1:17" x14ac:dyDescent="0.25">
      <c r="A621" s="453">
        <v>6550429</v>
      </c>
      <c r="B621" s="487">
        <v>0</v>
      </c>
      <c r="C621" s="453">
        <v>0</v>
      </c>
      <c r="D621" s="487">
        <v>0</v>
      </c>
      <c r="E621" s="453">
        <v>0</v>
      </c>
      <c r="F621" s="487">
        <v>0</v>
      </c>
      <c r="G621" s="453">
        <v>0</v>
      </c>
      <c r="H621" s="487">
        <v>0</v>
      </c>
      <c r="I621" s="453">
        <v>0</v>
      </c>
      <c r="J621" s="487">
        <v>0</v>
      </c>
      <c r="K621" s="453">
        <v>0</v>
      </c>
      <c r="L621" s="487">
        <v>0</v>
      </c>
      <c r="M621" s="453">
        <v>0</v>
      </c>
      <c r="N621" s="487">
        <v>11.97</v>
      </c>
      <c r="O621" s="453">
        <v>3</v>
      </c>
      <c r="P621" s="487">
        <v>11.97</v>
      </c>
      <c r="Q621" s="453">
        <v>3</v>
      </c>
    </row>
    <row r="622" spans="1:17" x14ac:dyDescent="0.25">
      <c r="A622" s="453">
        <v>6550428</v>
      </c>
      <c r="B622" s="487">
        <v>0</v>
      </c>
      <c r="C622" s="453">
        <v>0</v>
      </c>
      <c r="D622" s="487">
        <v>0</v>
      </c>
      <c r="E622" s="453">
        <v>0</v>
      </c>
      <c r="F622" s="487">
        <v>0</v>
      </c>
      <c r="G622" s="453">
        <v>0</v>
      </c>
      <c r="H622" s="487">
        <v>0</v>
      </c>
      <c r="I622" s="453">
        <v>0</v>
      </c>
      <c r="J622" s="487">
        <v>6.49</v>
      </c>
      <c r="K622" s="453">
        <v>1</v>
      </c>
      <c r="L622" s="487">
        <v>0</v>
      </c>
      <c r="M622" s="453">
        <v>0</v>
      </c>
      <c r="N622" s="487">
        <v>6.49</v>
      </c>
      <c r="O622" s="453">
        <v>1</v>
      </c>
      <c r="P622" s="487">
        <v>12.98</v>
      </c>
      <c r="Q622" s="453">
        <v>2</v>
      </c>
    </row>
    <row r="623" spans="1:17" x14ac:dyDescent="0.25">
      <c r="A623" s="453">
        <v>6550110</v>
      </c>
      <c r="B623" s="487">
        <v>0</v>
      </c>
      <c r="C623" s="453">
        <v>0</v>
      </c>
      <c r="D623" s="487">
        <v>0</v>
      </c>
      <c r="E623" s="453">
        <v>0</v>
      </c>
      <c r="F623" s="487">
        <v>0</v>
      </c>
      <c r="G623" s="453">
        <v>0</v>
      </c>
      <c r="H623" s="487">
        <v>0</v>
      </c>
      <c r="I623" s="453">
        <v>0</v>
      </c>
      <c r="J623" s="487">
        <v>7.99</v>
      </c>
      <c r="K623" s="453">
        <v>1</v>
      </c>
      <c r="L623" s="487">
        <v>0</v>
      </c>
      <c r="M623" s="453">
        <v>0</v>
      </c>
      <c r="N623" s="487">
        <v>0</v>
      </c>
      <c r="O623" s="453">
        <v>0</v>
      </c>
      <c r="P623" s="487">
        <v>7.99</v>
      </c>
      <c r="Q623" s="453">
        <v>1</v>
      </c>
    </row>
    <row r="624" spans="1:17" x14ac:dyDescent="0.25">
      <c r="A624" s="453">
        <v>6550079</v>
      </c>
      <c r="B624" s="487">
        <v>0</v>
      </c>
      <c r="C624" s="453">
        <v>0</v>
      </c>
      <c r="D624" s="487">
        <v>0</v>
      </c>
      <c r="E624" s="453">
        <v>0</v>
      </c>
      <c r="F624" s="487">
        <v>0</v>
      </c>
      <c r="G624" s="453">
        <v>0</v>
      </c>
      <c r="H624" s="487">
        <v>0</v>
      </c>
      <c r="I624" s="453">
        <v>0</v>
      </c>
      <c r="J624" s="487">
        <v>0</v>
      </c>
      <c r="K624" s="453">
        <v>0</v>
      </c>
      <c r="L624" s="487">
        <v>7.99</v>
      </c>
      <c r="M624" s="453">
        <v>1</v>
      </c>
      <c r="N624" s="487">
        <v>7.99</v>
      </c>
      <c r="O624" s="453">
        <v>1</v>
      </c>
      <c r="P624" s="487">
        <v>15.98</v>
      </c>
      <c r="Q624" s="453">
        <v>2</v>
      </c>
    </row>
    <row r="625" spans="1:17" x14ac:dyDescent="0.25">
      <c r="A625" s="453">
        <v>6550417</v>
      </c>
      <c r="B625" s="487">
        <v>0</v>
      </c>
      <c r="C625" s="453">
        <v>0</v>
      </c>
      <c r="D625" s="487">
        <v>6.49</v>
      </c>
      <c r="E625" s="453">
        <v>1</v>
      </c>
      <c r="F625" s="487">
        <v>19.47</v>
      </c>
      <c r="G625" s="453">
        <v>3</v>
      </c>
      <c r="H625" s="487">
        <v>0</v>
      </c>
      <c r="I625" s="453">
        <v>0</v>
      </c>
      <c r="J625" s="487">
        <v>0</v>
      </c>
      <c r="K625" s="453">
        <v>0</v>
      </c>
      <c r="L625" s="487">
        <v>0</v>
      </c>
      <c r="M625" s="453">
        <v>0</v>
      </c>
      <c r="N625" s="487">
        <v>12.98</v>
      </c>
      <c r="O625" s="453">
        <v>2</v>
      </c>
      <c r="P625" s="487">
        <v>38.94</v>
      </c>
      <c r="Q625" s="453">
        <v>6</v>
      </c>
    </row>
    <row r="626" spans="1:17" x14ac:dyDescent="0.25">
      <c r="A626" s="453">
        <v>6550420</v>
      </c>
      <c r="B626" s="487">
        <v>0</v>
      </c>
      <c r="C626" s="453">
        <v>0</v>
      </c>
      <c r="D626" s="487">
        <v>0</v>
      </c>
      <c r="E626" s="453">
        <v>0</v>
      </c>
      <c r="F626" s="487">
        <v>0</v>
      </c>
      <c r="G626" s="453">
        <v>0</v>
      </c>
      <c r="H626" s="487">
        <v>0</v>
      </c>
      <c r="I626" s="453">
        <v>0</v>
      </c>
      <c r="J626" s="487">
        <v>19.5</v>
      </c>
      <c r="K626" s="453">
        <v>2</v>
      </c>
      <c r="L626" s="487">
        <v>48.75</v>
      </c>
      <c r="M626" s="453">
        <v>5</v>
      </c>
      <c r="N626" s="487">
        <v>0</v>
      </c>
      <c r="O626" s="453">
        <v>0</v>
      </c>
      <c r="P626" s="487">
        <v>68.25</v>
      </c>
      <c r="Q626" s="453">
        <v>7</v>
      </c>
    </row>
    <row r="627" spans="1:17" x14ac:dyDescent="0.25">
      <c r="A627" s="453">
        <v>6550108</v>
      </c>
      <c r="B627" s="487">
        <v>0</v>
      </c>
      <c r="C627" s="453">
        <v>0</v>
      </c>
      <c r="D627" s="487">
        <v>0</v>
      </c>
      <c r="E627" s="453">
        <v>0</v>
      </c>
      <c r="F627" s="487">
        <v>0</v>
      </c>
      <c r="G627" s="453">
        <v>0</v>
      </c>
      <c r="H627" s="487">
        <v>0</v>
      </c>
      <c r="I627" s="453">
        <v>0</v>
      </c>
      <c r="J627" s="487">
        <v>0</v>
      </c>
      <c r="K627" s="453">
        <v>0</v>
      </c>
      <c r="L627" s="487">
        <v>7.99</v>
      </c>
      <c r="M627" s="453">
        <v>1</v>
      </c>
      <c r="N627" s="487">
        <v>0</v>
      </c>
      <c r="O627" s="453">
        <v>0</v>
      </c>
      <c r="P627" s="487">
        <v>7.99</v>
      </c>
      <c r="Q627" s="453">
        <v>1</v>
      </c>
    </row>
    <row r="628" spans="1:17" x14ac:dyDescent="0.25">
      <c r="A628" s="453">
        <v>6550090</v>
      </c>
      <c r="B628" s="487">
        <v>0</v>
      </c>
      <c r="C628" s="453">
        <v>0</v>
      </c>
      <c r="D628" s="487">
        <v>0</v>
      </c>
      <c r="E628" s="453">
        <v>0</v>
      </c>
      <c r="F628" s="487">
        <v>0</v>
      </c>
      <c r="G628" s="453">
        <v>0</v>
      </c>
      <c r="H628" s="487">
        <v>0</v>
      </c>
      <c r="I628" s="453">
        <v>0</v>
      </c>
      <c r="J628" s="487">
        <v>7.99</v>
      </c>
      <c r="K628" s="453">
        <v>1</v>
      </c>
      <c r="L628" s="487">
        <v>7.99</v>
      </c>
      <c r="M628" s="453">
        <v>1</v>
      </c>
      <c r="N628" s="487">
        <v>39.950000000000003</v>
      </c>
      <c r="O628" s="453">
        <v>5</v>
      </c>
      <c r="P628" s="487">
        <v>55.930000000000007</v>
      </c>
      <c r="Q628" s="453">
        <v>7</v>
      </c>
    </row>
    <row r="629" spans="1:17" x14ac:dyDescent="0.25">
      <c r="A629" s="453">
        <v>6550427</v>
      </c>
      <c r="B629" s="487">
        <v>0</v>
      </c>
      <c r="C629" s="453">
        <v>0</v>
      </c>
      <c r="D629" s="487">
        <v>6.49</v>
      </c>
      <c r="E629" s="453">
        <v>1</v>
      </c>
      <c r="F629" s="487">
        <v>12.98</v>
      </c>
      <c r="G629" s="453">
        <v>2</v>
      </c>
      <c r="H629" s="487">
        <v>6.49</v>
      </c>
      <c r="I629" s="453">
        <v>1</v>
      </c>
      <c r="J629" s="487">
        <v>6.49</v>
      </c>
      <c r="K629" s="453">
        <v>1</v>
      </c>
      <c r="L629" s="487">
        <v>19.47</v>
      </c>
      <c r="M629" s="453">
        <v>3</v>
      </c>
      <c r="N629" s="487">
        <v>6.49</v>
      </c>
      <c r="O629" s="453">
        <v>1</v>
      </c>
      <c r="P629" s="487">
        <v>58.410000000000004</v>
      </c>
      <c r="Q629" s="453">
        <v>9</v>
      </c>
    </row>
    <row r="630" spans="1:17" x14ac:dyDescent="0.25">
      <c r="A630" s="453">
        <v>6550077</v>
      </c>
      <c r="B630" s="487">
        <v>0</v>
      </c>
      <c r="C630" s="453">
        <v>0</v>
      </c>
      <c r="D630" s="487">
        <v>0</v>
      </c>
      <c r="E630" s="453">
        <v>0</v>
      </c>
      <c r="F630" s="487">
        <v>0</v>
      </c>
      <c r="G630" s="453">
        <v>0</v>
      </c>
      <c r="H630" s="487">
        <v>0</v>
      </c>
      <c r="I630" s="453">
        <v>0</v>
      </c>
      <c r="J630" s="487">
        <v>6.99</v>
      </c>
      <c r="K630" s="453">
        <v>1</v>
      </c>
      <c r="L630" s="487">
        <v>13.98</v>
      </c>
      <c r="M630" s="453">
        <v>2</v>
      </c>
      <c r="N630" s="487">
        <v>0</v>
      </c>
      <c r="O630" s="453">
        <v>0</v>
      </c>
      <c r="P630" s="487">
        <v>20.97</v>
      </c>
      <c r="Q630" s="453">
        <v>3</v>
      </c>
    </row>
    <row r="631" spans="1:17" x14ac:dyDescent="0.25">
      <c r="A631" s="800" t="s">
        <v>1939</v>
      </c>
      <c r="B631" s="485">
        <v>32.75</v>
      </c>
      <c r="C631" s="486">
        <v>5</v>
      </c>
      <c r="D631" s="485">
        <v>71.25</v>
      </c>
      <c r="E631" s="486">
        <v>11</v>
      </c>
      <c r="F631" s="485">
        <v>30.18</v>
      </c>
      <c r="G631" s="486">
        <v>3</v>
      </c>
      <c r="H631" s="485">
        <v>13.5</v>
      </c>
      <c r="I631" s="486">
        <v>2</v>
      </c>
      <c r="J631" s="485">
        <v>48.870000000000005</v>
      </c>
      <c r="K631" s="486">
        <v>7</v>
      </c>
      <c r="L631" s="485">
        <v>34.5</v>
      </c>
      <c r="M631" s="486">
        <v>6</v>
      </c>
      <c r="N631" s="485">
        <v>23</v>
      </c>
      <c r="O631" s="486">
        <v>4</v>
      </c>
      <c r="P631" s="485">
        <v>254.05</v>
      </c>
      <c r="Q631" s="486">
        <v>38</v>
      </c>
    </row>
    <row r="632" spans="1:17" x14ac:dyDescent="0.25">
      <c r="A632" s="453">
        <v>6540002</v>
      </c>
      <c r="B632" s="487">
        <v>0</v>
      </c>
      <c r="C632" s="453">
        <v>0</v>
      </c>
      <c r="D632" s="487">
        <v>0</v>
      </c>
      <c r="E632" s="453">
        <v>0</v>
      </c>
      <c r="F632" s="487">
        <v>0</v>
      </c>
      <c r="G632" s="453">
        <v>0</v>
      </c>
      <c r="H632" s="487">
        <v>0</v>
      </c>
      <c r="I632" s="453">
        <v>0</v>
      </c>
      <c r="J632" s="487">
        <v>11.5</v>
      </c>
      <c r="K632" s="453">
        <v>2</v>
      </c>
      <c r="L632" s="487">
        <v>0</v>
      </c>
      <c r="M632" s="453">
        <v>0</v>
      </c>
      <c r="N632" s="487">
        <v>0</v>
      </c>
      <c r="O632" s="453">
        <v>0</v>
      </c>
      <c r="P632" s="487">
        <v>11.5</v>
      </c>
      <c r="Q632" s="453">
        <v>2</v>
      </c>
    </row>
    <row r="633" spans="1:17" x14ac:dyDescent="0.25">
      <c r="A633" s="453">
        <v>6540087</v>
      </c>
      <c r="B633" s="487">
        <v>0</v>
      </c>
      <c r="C633" s="453">
        <v>0</v>
      </c>
      <c r="D633" s="487">
        <v>0</v>
      </c>
      <c r="E633" s="453">
        <v>0</v>
      </c>
      <c r="F633" s="487">
        <v>0</v>
      </c>
      <c r="G633" s="453">
        <v>0</v>
      </c>
      <c r="H633" s="487">
        <v>0</v>
      </c>
      <c r="I633" s="453">
        <v>0</v>
      </c>
      <c r="J633" s="487">
        <v>5.75</v>
      </c>
      <c r="K633" s="453">
        <v>1</v>
      </c>
      <c r="L633" s="487">
        <v>0</v>
      </c>
      <c r="M633" s="453">
        <v>0</v>
      </c>
      <c r="N633" s="487">
        <v>0</v>
      </c>
      <c r="O633" s="453">
        <v>0</v>
      </c>
      <c r="P633" s="487">
        <v>5.75</v>
      </c>
      <c r="Q633" s="453">
        <v>1</v>
      </c>
    </row>
    <row r="634" spans="1:17" x14ac:dyDescent="0.25">
      <c r="A634" s="453">
        <v>6540161</v>
      </c>
      <c r="B634" s="487">
        <v>0</v>
      </c>
      <c r="C634" s="453">
        <v>0</v>
      </c>
      <c r="D634" s="487">
        <v>17.25</v>
      </c>
      <c r="E634" s="453">
        <v>3</v>
      </c>
      <c r="F634" s="487">
        <v>0</v>
      </c>
      <c r="G634" s="453">
        <v>0</v>
      </c>
      <c r="H634" s="487">
        <v>0</v>
      </c>
      <c r="I634" s="453">
        <v>0</v>
      </c>
      <c r="J634" s="487">
        <v>0</v>
      </c>
      <c r="K634" s="453">
        <v>0</v>
      </c>
      <c r="L634" s="487">
        <v>0</v>
      </c>
      <c r="M634" s="453">
        <v>0</v>
      </c>
      <c r="N634" s="487">
        <v>0</v>
      </c>
      <c r="O634" s="453">
        <v>0</v>
      </c>
      <c r="P634" s="487">
        <v>17.25</v>
      </c>
      <c r="Q634" s="453">
        <v>3</v>
      </c>
    </row>
    <row r="635" spans="1:17" x14ac:dyDescent="0.25">
      <c r="A635" s="453">
        <v>6540028</v>
      </c>
      <c r="B635" s="487">
        <v>5.75</v>
      </c>
      <c r="C635" s="453">
        <v>1</v>
      </c>
      <c r="D635" s="487">
        <v>0</v>
      </c>
      <c r="E635" s="453">
        <v>0</v>
      </c>
      <c r="F635" s="487">
        <v>0</v>
      </c>
      <c r="G635" s="453">
        <v>0</v>
      </c>
      <c r="H635" s="487">
        <v>0</v>
      </c>
      <c r="I635" s="453">
        <v>0</v>
      </c>
      <c r="J635" s="487">
        <v>0</v>
      </c>
      <c r="K635" s="453">
        <v>0</v>
      </c>
      <c r="L635" s="487">
        <v>34.5</v>
      </c>
      <c r="M635" s="453">
        <v>6</v>
      </c>
      <c r="N635" s="487">
        <v>0</v>
      </c>
      <c r="O635" s="453">
        <v>0</v>
      </c>
      <c r="P635" s="487">
        <v>40.25</v>
      </c>
      <c r="Q635" s="453">
        <v>7</v>
      </c>
    </row>
    <row r="636" spans="1:17" x14ac:dyDescent="0.25">
      <c r="A636" s="453">
        <v>6543003</v>
      </c>
      <c r="B636" s="487">
        <v>0</v>
      </c>
      <c r="C636" s="453">
        <v>0</v>
      </c>
      <c r="D636" s="487">
        <v>0</v>
      </c>
      <c r="E636" s="453">
        <v>0</v>
      </c>
      <c r="F636" s="487">
        <v>30.18</v>
      </c>
      <c r="G636" s="453">
        <v>3</v>
      </c>
      <c r="H636" s="487">
        <v>0</v>
      </c>
      <c r="I636" s="453">
        <v>0</v>
      </c>
      <c r="J636" s="487">
        <v>0</v>
      </c>
      <c r="K636" s="453">
        <v>0</v>
      </c>
      <c r="L636" s="487">
        <v>0</v>
      </c>
      <c r="M636" s="453">
        <v>0</v>
      </c>
      <c r="N636" s="487">
        <v>0</v>
      </c>
      <c r="O636" s="453">
        <v>0</v>
      </c>
      <c r="P636" s="487">
        <v>30.18</v>
      </c>
      <c r="Q636" s="453">
        <v>3</v>
      </c>
    </row>
    <row r="637" spans="1:17" x14ac:dyDescent="0.25">
      <c r="A637" s="453">
        <v>6543004</v>
      </c>
      <c r="B637" s="487">
        <v>0</v>
      </c>
      <c r="C637" s="453">
        <v>0</v>
      </c>
      <c r="D637" s="487">
        <v>0</v>
      </c>
      <c r="E637" s="453">
        <v>0</v>
      </c>
      <c r="F637" s="487">
        <v>0</v>
      </c>
      <c r="G637" s="453">
        <v>0</v>
      </c>
      <c r="H637" s="487">
        <v>0</v>
      </c>
      <c r="I637" s="453">
        <v>0</v>
      </c>
      <c r="J637" s="487">
        <v>20.12</v>
      </c>
      <c r="K637" s="453">
        <v>2</v>
      </c>
      <c r="L637" s="487">
        <v>0</v>
      </c>
      <c r="M637" s="453">
        <v>0</v>
      </c>
      <c r="N637" s="487">
        <v>0</v>
      </c>
      <c r="O637" s="453">
        <v>0</v>
      </c>
      <c r="P637" s="487">
        <v>20.12</v>
      </c>
      <c r="Q637" s="453">
        <v>2</v>
      </c>
    </row>
    <row r="638" spans="1:17" x14ac:dyDescent="0.25">
      <c r="A638" s="453">
        <v>6540015</v>
      </c>
      <c r="B638" s="487">
        <v>0</v>
      </c>
      <c r="C638" s="453">
        <v>0</v>
      </c>
      <c r="D638" s="487">
        <v>0</v>
      </c>
      <c r="E638" s="453">
        <v>0</v>
      </c>
      <c r="F638" s="487">
        <v>0</v>
      </c>
      <c r="G638" s="453">
        <v>0</v>
      </c>
      <c r="H638" s="487">
        <v>13.5</v>
      </c>
      <c r="I638" s="453">
        <v>2</v>
      </c>
      <c r="J638" s="487">
        <v>0</v>
      </c>
      <c r="K638" s="453">
        <v>0</v>
      </c>
      <c r="L638" s="487">
        <v>0</v>
      </c>
      <c r="M638" s="453">
        <v>0</v>
      </c>
      <c r="N638" s="487">
        <v>0</v>
      </c>
      <c r="O638" s="453">
        <v>0</v>
      </c>
      <c r="P638" s="487">
        <v>13.5</v>
      </c>
      <c r="Q638" s="453">
        <v>2</v>
      </c>
    </row>
    <row r="639" spans="1:17" x14ac:dyDescent="0.25">
      <c r="A639" s="453">
        <v>6540012</v>
      </c>
      <c r="B639" s="487">
        <v>0</v>
      </c>
      <c r="C639" s="453">
        <v>0</v>
      </c>
      <c r="D639" s="487">
        <v>13.5</v>
      </c>
      <c r="E639" s="453">
        <v>2</v>
      </c>
      <c r="F639" s="487">
        <v>0</v>
      </c>
      <c r="G639" s="453">
        <v>0</v>
      </c>
      <c r="H639" s="487">
        <v>0</v>
      </c>
      <c r="I639" s="453">
        <v>0</v>
      </c>
      <c r="J639" s="487">
        <v>0</v>
      </c>
      <c r="K639" s="453">
        <v>0</v>
      </c>
      <c r="L639" s="487">
        <v>0</v>
      </c>
      <c r="M639" s="453">
        <v>0</v>
      </c>
      <c r="N639" s="487">
        <v>0</v>
      </c>
      <c r="O639" s="453">
        <v>0</v>
      </c>
      <c r="P639" s="487">
        <v>13.5</v>
      </c>
      <c r="Q639" s="453">
        <v>2</v>
      </c>
    </row>
    <row r="640" spans="1:17" x14ac:dyDescent="0.25">
      <c r="A640" s="453">
        <v>6540439</v>
      </c>
      <c r="B640" s="487">
        <v>27</v>
      </c>
      <c r="C640" s="453">
        <v>4</v>
      </c>
      <c r="D640" s="487">
        <v>40.5</v>
      </c>
      <c r="E640" s="453">
        <v>6</v>
      </c>
      <c r="F640" s="487">
        <v>0</v>
      </c>
      <c r="G640" s="453">
        <v>0</v>
      </c>
      <c r="H640" s="487">
        <v>0</v>
      </c>
      <c r="I640" s="453">
        <v>0</v>
      </c>
      <c r="J640" s="487">
        <v>0</v>
      </c>
      <c r="K640" s="453">
        <v>0</v>
      </c>
      <c r="L640" s="487">
        <v>0</v>
      </c>
      <c r="M640" s="453">
        <v>0</v>
      </c>
      <c r="N640" s="487">
        <v>0</v>
      </c>
      <c r="O640" s="453">
        <v>0</v>
      </c>
      <c r="P640" s="487">
        <v>67.5</v>
      </c>
      <c r="Q640" s="453">
        <v>10</v>
      </c>
    </row>
    <row r="641" spans="1:17" x14ac:dyDescent="0.25">
      <c r="A641" s="453">
        <v>6540004</v>
      </c>
      <c r="B641" s="487">
        <v>0</v>
      </c>
      <c r="C641" s="453">
        <v>0</v>
      </c>
      <c r="D641" s="487">
        <v>0</v>
      </c>
      <c r="E641" s="453">
        <v>0</v>
      </c>
      <c r="F641" s="487">
        <v>0</v>
      </c>
      <c r="G641" s="453">
        <v>0</v>
      </c>
      <c r="H641" s="487">
        <v>0</v>
      </c>
      <c r="I641" s="453">
        <v>0</v>
      </c>
      <c r="J641" s="487">
        <v>11.5</v>
      </c>
      <c r="K641" s="453">
        <v>2</v>
      </c>
      <c r="L641" s="487">
        <v>0</v>
      </c>
      <c r="M641" s="453">
        <v>0</v>
      </c>
      <c r="N641" s="487">
        <v>23</v>
      </c>
      <c r="O641" s="453">
        <v>4</v>
      </c>
      <c r="P641" s="487">
        <v>34.5</v>
      </c>
      <c r="Q641" s="453">
        <v>6</v>
      </c>
    </row>
    <row r="642" spans="1:17" x14ac:dyDescent="0.25">
      <c r="A642" s="800" t="s">
        <v>1939</v>
      </c>
      <c r="B642" s="485">
        <v>158.91999999999999</v>
      </c>
      <c r="C642" s="486">
        <v>53</v>
      </c>
      <c r="D642" s="485">
        <v>123.93999999999998</v>
      </c>
      <c r="E642" s="486">
        <v>49</v>
      </c>
      <c r="F642" s="485">
        <v>201.79000000000005</v>
      </c>
      <c r="G642" s="486">
        <v>83</v>
      </c>
      <c r="H642" s="485">
        <v>135.65</v>
      </c>
      <c r="I642" s="486">
        <v>49</v>
      </c>
      <c r="J642" s="485">
        <v>433.34</v>
      </c>
      <c r="K642" s="486">
        <v>194</v>
      </c>
      <c r="L642" s="485">
        <v>552.1</v>
      </c>
      <c r="M642" s="486">
        <v>206</v>
      </c>
      <c r="N642" s="485">
        <v>300.74999999999994</v>
      </c>
      <c r="O642" s="486">
        <v>140</v>
      </c>
      <c r="P642" s="485">
        <v>1906.4899999999998</v>
      </c>
      <c r="Q642" s="486">
        <v>774</v>
      </c>
    </row>
    <row r="643" spans="1:17" x14ac:dyDescent="0.25">
      <c r="A643" s="800" t="s">
        <v>1939</v>
      </c>
      <c r="B643" s="485">
        <v>142.95999999999998</v>
      </c>
      <c r="C643" s="486">
        <v>49</v>
      </c>
      <c r="D643" s="485">
        <v>123.93999999999998</v>
      </c>
      <c r="E643" s="486">
        <v>49</v>
      </c>
      <c r="F643" s="485">
        <v>184.83000000000004</v>
      </c>
      <c r="G643" s="486">
        <v>79</v>
      </c>
      <c r="H643" s="485">
        <v>126.67</v>
      </c>
      <c r="I643" s="486">
        <v>47</v>
      </c>
      <c r="J643" s="485">
        <v>412.39</v>
      </c>
      <c r="K643" s="486">
        <v>189</v>
      </c>
      <c r="L643" s="485">
        <v>531.15</v>
      </c>
      <c r="M643" s="486">
        <v>201</v>
      </c>
      <c r="N643" s="485">
        <v>280.79999999999995</v>
      </c>
      <c r="O643" s="486">
        <v>135</v>
      </c>
      <c r="P643" s="485">
        <v>1802.74</v>
      </c>
      <c r="Q643" s="486">
        <v>749</v>
      </c>
    </row>
    <row r="644" spans="1:17" x14ac:dyDescent="0.25">
      <c r="A644" s="453">
        <v>6562194</v>
      </c>
      <c r="B644" s="487">
        <v>8.24</v>
      </c>
      <c r="C644" s="453">
        <v>1</v>
      </c>
      <c r="D644" s="487">
        <v>0</v>
      </c>
      <c r="E644" s="453">
        <v>0</v>
      </c>
      <c r="F644" s="487">
        <v>0</v>
      </c>
      <c r="G644" s="453">
        <v>0</v>
      </c>
      <c r="H644" s="487">
        <v>0</v>
      </c>
      <c r="I644" s="453">
        <v>0</v>
      </c>
      <c r="J644" s="487">
        <v>0</v>
      </c>
      <c r="K644" s="453">
        <v>0</v>
      </c>
      <c r="L644" s="487">
        <v>0</v>
      </c>
      <c r="M644" s="453">
        <v>0</v>
      </c>
      <c r="N644" s="487">
        <v>0</v>
      </c>
      <c r="O644" s="453">
        <v>0</v>
      </c>
      <c r="P644" s="487">
        <v>8.24</v>
      </c>
      <c r="Q644" s="453">
        <v>1</v>
      </c>
    </row>
    <row r="645" spans="1:17" x14ac:dyDescent="0.25">
      <c r="A645" s="453">
        <v>6562141</v>
      </c>
      <c r="B645" s="487">
        <v>3.49</v>
      </c>
      <c r="C645" s="453">
        <v>1</v>
      </c>
      <c r="D645" s="487">
        <v>3.49</v>
      </c>
      <c r="E645" s="453">
        <v>1</v>
      </c>
      <c r="F645" s="487">
        <v>6.98</v>
      </c>
      <c r="G645" s="453">
        <v>2</v>
      </c>
      <c r="H645" s="487">
        <v>3.49</v>
      </c>
      <c r="I645" s="453">
        <v>1</v>
      </c>
      <c r="J645" s="487">
        <v>10.47</v>
      </c>
      <c r="K645" s="453">
        <v>3</v>
      </c>
      <c r="L645" s="487">
        <v>31.41</v>
      </c>
      <c r="M645" s="453">
        <v>9</v>
      </c>
      <c r="N645" s="487">
        <v>6.98</v>
      </c>
      <c r="O645" s="453">
        <v>2</v>
      </c>
      <c r="P645" s="487">
        <v>66.31</v>
      </c>
      <c r="Q645" s="453">
        <v>19</v>
      </c>
    </row>
    <row r="646" spans="1:17" x14ac:dyDescent="0.25">
      <c r="A646" s="453">
        <v>6562182</v>
      </c>
      <c r="B646" s="487">
        <v>0</v>
      </c>
      <c r="C646" s="453">
        <v>0</v>
      </c>
      <c r="D646" s="487">
        <v>0</v>
      </c>
      <c r="E646" s="453">
        <v>1</v>
      </c>
      <c r="F646" s="487">
        <v>0</v>
      </c>
      <c r="G646" s="453">
        <v>0</v>
      </c>
      <c r="H646" s="487">
        <v>0</v>
      </c>
      <c r="I646" s="453">
        <v>0</v>
      </c>
      <c r="J646" s="487">
        <v>0</v>
      </c>
      <c r="K646" s="453">
        <v>0</v>
      </c>
      <c r="L646" s="487">
        <v>0</v>
      </c>
      <c r="M646" s="453">
        <v>0</v>
      </c>
      <c r="N646" s="487">
        <v>0</v>
      </c>
      <c r="O646" s="453">
        <v>0</v>
      </c>
      <c r="P646" s="487">
        <v>0</v>
      </c>
      <c r="Q646" s="453">
        <v>1</v>
      </c>
    </row>
    <row r="647" spans="1:17" x14ac:dyDescent="0.25">
      <c r="A647" s="453">
        <v>6562188</v>
      </c>
      <c r="B647" s="487">
        <v>0</v>
      </c>
      <c r="C647" s="453">
        <v>0</v>
      </c>
      <c r="D647" s="487">
        <v>0</v>
      </c>
      <c r="E647" s="453">
        <v>0</v>
      </c>
      <c r="F647" s="487">
        <v>0</v>
      </c>
      <c r="G647" s="453">
        <v>0</v>
      </c>
      <c r="H647" s="487">
        <v>0</v>
      </c>
      <c r="I647" s="453">
        <v>0</v>
      </c>
      <c r="J647" s="487">
        <v>0</v>
      </c>
      <c r="K647" s="453">
        <v>0</v>
      </c>
      <c r="L647" s="487">
        <v>0</v>
      </c>
      <c r="M647" s="453">
        <v>0</v>
      </c>
      <c r="N647" s="487">
        <v>2.96</v>
      </c>
      <c r="O647" s="453">
        <v>1</v>
      </c>
      <c r="P647" s="487">
        <v>2.96</v>
      </c>
      <c r="Q647" s="453">
        <v>1</v>
      </c>
    </row>
    <row r="648" spans="1:17" x14ac:dyDescent="0.25">
      <c r="A648" s="453">
        <v>6562282</v>
      </c>
      <c r="B648" s="487">
        <v>0</v>
      </c>
      <c r="C648" s="453">
        <v>0</v>
      </c>
      <c r="D648" s="487">
        <v>0</v>
      </c>
      <c r="E648" s="453">
        <v>0</v>
      </c>
      <c r="F648" s="487">
        <v>0</v>
      </c>
      <c r="G648" s="453">
        <v>0</v>
      </c>
      <c r="H648" s="487">
        <v>0</v>
      </c>
      <c r="I648" s="453">
        <v>0</v>
      </c>
      <c r="J648" s="487">
        <v>0</v>
      </c>
      <c r="K648" s="453">
        <v>0</v>
      </c>
      <c r="L648" s="487">
        <v>0</v>
      </c>
      <c r="M648" s="453">
        <v>0</v>
      </c>
      <c r="N648" s="487">
        <v>2.4900000000000002</v>
      </c>
      <c r="O648" s="453">
        <v>1</v>
      </c>
      <c r="P648" s="487">
        <v>2.4900000000000002</v>
      </c>
      <c r="Q648" s="453">
        <v>1</v>
      </c>
    </row>
    <row r="649" spans="1:17" x14ac:dyDescent="0.25">
      <c r="A649" s="453">
        <v>6562276</v>
      </c>
      <c r="B649" s="487">
        <v>0</v>
      </c>
      <c r="C649" s="453">
        <v>0</v>
      </c>
      <c r="D649" s="487">
        <v>0</v>
      </c>
      <c r="E649" s="453">
        <v>0</v>
      </c>
      <c r="F649" s="487">
        <v>0</v>
      </c>
      <c r="G649" s="453">
        <v>0</v>
      </c>
      <c r="H649" s="487">
        <v>0</v>
      </c>
      <c r="I649" s="453">
        <v>0</v>
      </c>
      <c r="J649" s="487">
        <v>0</v>
      </c>
      <c r="K649" s="453">
        <v>2</v>
      </c>
      <c r="L649" s="487">
        <v>0</v>
      </c>
      <c r="M649" s="453">
        <v>0</v>
      </c>
      <c r="N649" s="487">
        <v>0</v>
      </c>
      <c r="O649" s="453">
        <v>2</v>
      </c>
      <c r="P649" s="487">
        <v>0</v>
      </c>
      <c r="Q649" s="453">
        <v>4</v>
      </c>
    </row>
    <row r="650" spans="1:17" x14ac:dyDescent="0.25">
      <c r="A650" s="453">
        <v>6460104</v>
      </c>
      <c r="B650" s="487">
        <v>0</v>
      </c>
      <c r="C650" s="453">
        <v>0</v>
      </c>
      <c r="D650" s="487">
        <v>0</v>
      </c>
      <c r="E650" s="453">
        <v>0</v>
      </c>
      <c r="F650" s="487">
        <v>0</v>
      </c>
      <c r="G650" s="453">
        <v>2</v>
      </c>
      <c r="H650" s="487">
        <v>0</v>
      </c>
      <c r="I650" s="453">
        <v>0</v>
      </c>
      <c r="J650" s="487">
        <v>0</v>
      </c>
      <c r="K650" s="453">
        <v>4</v>
      </c>
      <c r="L650" s="487">
        <v>0</v>
      </c>
      <c r="M650" s="453">
        <v>1</v>
      </c>
      <c r="N650" s="487">
        <v>0</v>
      </c>
      <c r="O650" s="453">
        <v>0</v>
      </c>
      <c r="P650" s="487">
        <v>0</v>
      </c>
      <c r="Q650" s="453">
        <v>7</v>
      </c>
    </row>
    <row r="651" spans="1:17" x14ac:dyDescent="0.25">
      <c r="A651" s="453">
        <v>6460340</v>
      </c>
      <c r="B651" s="487">
        <v>0</v>
      </c>
      <c r="C651" s="453">
        <v>0</v>
      </c>
      <c r="D651" s="487">
        <v>0</v>
      </c>
      <c r="E651" s="453">
        <v>0</v>
      </c>
      <c r="F651" s="487">
        <v>0</v>
      </c>
      <c r="G651" s="453">
        <v>2</v>
      </c>
      <c r="H651" s="487">
        <v>0</v>
      </c>
      <c r="I651" s="453">
        <v>0</v>
      </c>
      <c r="J651" s="487">
        <v>0</v>
      </c>
      <c r="K651" s="453">
        <v>1</v>
      </c>
      <c r="L651" s="487">
        <v>0</v>
      </c>
      <c r="M651" s="453">
        <v>2</v>
      </c>
      <c r="N651" s="487">
        <v>0</v>
      </c>
      <c r="O651" s="453">
        <v>1</v>
      </c>
      <c r="P651" s="487">
        <v>0</v>
      </c>
      <c r="Q651" s="453">
        <v>6</v>
      </c>
    </row>
    <row r="652" spans="1:17" x14ac:dyDescent="0.25">
      <c r="A652" s="453">
        <v>6562329</v>
      </c>
      <c r="B652" s="487">
        <v>0</v>
      </c>
      <c r="C652" s="453">
        <v>0</v>
      </c>
      <c r="D652" s="487">
        <v>0</v>
      </c>
      <c r="E652" s="453">
        <v>0</v>
      </c>
      <c r="F652" s="487">
        <v>0</v>
      </c>
      <c r="G652" s="453">
        <v>0</v>
      </c>
      <c r="H652" s="487">
        <v>0</v>
      </c>
      <c r="I652" s="453">
        <v>0</v>
      </c>
      <c r="J652" s="487">
        <v>2.79</v>
      </c>
      <c r="K652" s="453">
        <v>1</v>
      </c>
      <c r="L652" s="487">
        <v>0</v>
      </c>
      <c r="M652" s="453">
        <v>0</v>
      </c>
      <c r="N652" s="487">
        <v>0</v>
      </c>
      <c r="O652" s="453">
        <v>0</v>
      </c>
      <c r="P652" s="487">
        <v>2.79</v>
      </c>
      <c r="Q652" s="453">
        <v>1</v>
      </c>
    </row>
    <row r="653" spans="1:17" x14ac:dyDescent="0.25">
      <c r="A653" s="453">
        <v>6562207</v>
      </c>
      <c r="B653" s="487">
        <v>0</v>
      </c>
      <c r="C653" s="453">
        <v>0</v>
      </c>
      <c r="D653" s="487">
        <v>3.49</v>
      </c>
      <c r="E653" s="453">
        <v>1</v>
      </c>
      <c r="F653" s="487">
        <v>0</v>
      </c>
      <c r="G653" s="453">
        <v>0</v>
      </c>
      <c r="H653" s="487">
        <v>3.49</v>
      </c>
      <c r="I653" s="453">
        <v>1</v>
      </c>
      <c r="J653" s="487">
        <v>3.49</v>
      </c>
      <c r="K653" s="453">
        <v>1</v>
      </c>
      <c r="L653" s="487">
        <v>6.98</v>
      </c>
      <c r="M653" s="453">
        <v>2</v>
      </c>
      <c r="N653" s="487">
        <v>0</v>
      </c>
      <c r="O653" s="453">
        <v>0</v>
      </c>
      <c r="P653" s="487">
        <v>17.450000000000003</v>
      </c>
      <c r="Q653" s="453">
        <v>5</v>
      </c>
    </row>
    <row r="654" spans="1:17" x14ac:dyDescent="0.25">
      <c r="A654" s="453">
        <v>6562173</v>
      </c>
      <c r="B654" s="487">
        <v>0</v>
      </c>
      <c r="C654" s="453">
        <v>0</v>
      </c>
      <c r="D654" s="487">
        <v>0</v>
      </c>
      <c r="E654" s="453">
        <v>0</v>
      </c>
      <c r="F654" s="487">
        <v>0</v>
      </c>
      <c r="G654" s="453">
        <v>0</v>
      </c>
      <c r="H654" s="487">
        <v>0</v>
      </c>
      <c r="I654" s="453">
        <v>0</v>
      </c>
      <c r="J654" s="487">
        <v>2.79</v>
      </c>
      <c r="K654" s="453">
        <v>1</v>
      </c>
      <c r="L654" s="487">
        <v>0</v>
      </c>
      <c r="M654" s="453">
        <v>0</v>
      </c>
      <c r="N654" s="487">
        <v>0</v>
      </c>
      <c r="O654" s="453">
        <v>0</v>
      </c>
      <c r="P654" s="487">
        <v>2.79</v>
      </c>
      <c r="Q654" s="453">
        <v>1</v>
      </c>
    </row>
    <row r="655" spans="1:17" x14ac:dyDescent="0.25">
      <c r="A655" s="453">
        <v>6562174</v>
      </c>
      <c r="B655" s="487">
        <v>0</v>
      </c>
      <c r="C655" s="453">
        <v>0</v>
      </c>
      <c r="D655" s="487">
        <v>0</v>
      </c>
      <c r="E655" s="453">
        <v>0</v>
      </c>
      <c r="F655" s="487">
        <v>0</v>
      </c>
      <c r="G655" s="453">
        <v>1</v>
      </c>
      <c r="H655" s="487">
        <v>0</v>
      </c>
      <c r="I655" s="453">
        <v>0</v>
      </c>
      <c r="J655" s="487">
        <v>0</v>
      </c>
      <c r="K655" s="453">
        <v>1</v>
      </c>
      <c r="L655" s="487">
        <v>0</v>
      </c>
      <c r="M655" s="453">
        <v>0</v>
      </c>
      <c r="N655" s="487">
        <v>0</v>
      </c>
      <c r="O655" s="453">
        <v>2</v>
      </c>
      <c r="P655" s="487">
        <v>0</v>
      </c>
      <c r="Q655" s="453">
        <v>4</v>
      </c>
    </row>
    <row r="656" spans="1:17" x14ac:dyDescent="0.25">
      <c r="A656" s="453">
        <v>6562197</v>
      </c>
      <c r="B656" s="487">
        <v>7.98</v>
      </c>
      <c r="C656" s="453">
        <v>2</v>
      </c>
      <c r="D656" s="487">
        <v>0</v>
      </c>
      <c r="E656" s="453">
        <v>0</v>
      </c>
      <c r="F656" s="487">
        <v>0</v>
      </c>
      <c r="G656" s="453">
        <v>0</v>
      </c>
      <c r="H656" s="487">
        <v>0</v>
      </c>
      <c r="I656" s="453">
        <v>0</v>
      </c>
      <c r="J656" s="487">
        <v>3.99</v>
      </c>
      <c r="K656" s="453">
        <v>1</v>
      </c>
      <c r="L656" s="487">
        <v>3.99</v>
      </c>
      <c r="M656" s="453">
        <v>1</v>
      </c>
      <c r="N656" s="487">
        <v>0</v>
      </c>
      <c r="O656" s="453">
        <v>0</v>
      </c>
      <c r="P656" s="487">
        <v>15.96</v>
      </c>
      <c r="Q656" s="453">
        <v>4</v>
      </c>
    </row>
    <row r="657" spans="1:17" x14ac:dyDescent="0.25">
      <c r="A657" s="453">
        <v>6562025</v>
      </c>
      <c r="B657" s="487">
        <v>0</v>
      </c>
      <c r="C657" s="453">
        <v>0</v>
      </c>
      <c r="D657" s="487">
        <v>0</v>
      </c>
      <c r="E657" s="453">
        <v>0</v>
      </c>
      <c r="F657" s="487">
        <v>3.49</v>
      </c>
      <c r="G657" s="453">
        <v>1</v>
      </c>
      <c r="H657" s="487">
        <v>0</v>
      </c>
      <c r="I657" s="453">
        <v>0</v>
      </c>
      <c r="J657" s="487">
        <v>6.98</v>
      </c>
      <c r="K657" s="453">
        <v>2</v>
      </c>
      <c r="L657" s="487">
        <v>10.47</v>
      </c>
      <c r="M657" s="453">
        <v>3</v>
      </c>
      <c r="N657" s="487">
        <v>3.49</v>
      </c>
      <c r="O657" s="453">
        <v>1</v>
      </c>
      <c r="P657" s="487">
        <v>24.43</v>
      </c>
      <c r="Q657" s="453">
        <v>7</v>
      </c>
    </row>
    <row r="658" spans="1:17" x14ac:dyDescent="0.25">
      <c r="A658" s="453">
        <v>6562047</v>
      </c>
      <c r="B658" s="487">
        <v>8.9700000000000006</v>
      </c>
      <c r="C658" s="453">
        <v>3</v>
      </c>
      <c r="D658" s="487">
        <v>5.98</v>
      </c>
      <c r="E658" s="453">
        <v>2</v>
      </c>
      <c r="F658" s="487">
        <v>20.93</v>
      </c>
      <c r="G658" s="453">
        <v>7</v>
      </c>
      <c r="H658" s="487">
        <v>2.99</v>
      </c>
      <c r="I658" s="453">
        <v>1</v>
      </c>
      <c r="J658" s="487">
        <v>20.93</v>
      </c>
      <c r="K658" s="453">
        <v>7</v>
      </c>
      <c r="L658" s="487">
        <v>23.92</v>
      </c>
      <c r="M658" s="453">
        <v>8</v>
      </c>
      <c r="N658" s="487">
        <v>23.92</v>
      </c>
      <c r="O658" s="453">
        <v>8</v>
      </c>
      <c r="P658" s="487">
        <v>107.64</v>
      </c>
      <c r="Q658" s="453">
        <v>36</v>
      </c>
    </row>
    <row r="659" spans="1:17" x14ac:dyDescent="0.25">
      <c r="A659" s="453">
        <v>6562168</v>
      </c>
      <c r="B659" s="487">
        <v>0</v>
      </c>
      <c r="C659" s="453">
        <v>0</v>
      </c>
      <c r="D659" s="487">
        <v>0</v>
      </c>
      <c r="E659" s="453">
        <v>0</v>
      </c>
      <c r="F659" s="487">
        <v>0</v>
      </c>
      <c r="G659" s="453">
        <v>0</v>
      </c>
      <c r="H659" s="487">
        <v>0</v>
      </c>
      <c r="I659" s="453">
        <v>0</v>
      </c>
      <c r="J659" s="487">
        <v>6.98</v>
      </c>
      <c r="K659" s="453">
        <v>2</v>
      </c>
      <c r="L659" s="487">
        <v>3.49</v>
      </c>
      <c r="M659" s="453">
        <v>1</v>
      </c>
      <c r="N659" s="487">
        <v>6.98</v>
      </c>
      <c r="O659" s="453">
        <v>2</v>
      </c>
      <c r="P659" s="487">
        <v>17.450000000000003</v>
      </c>
      <c r="Q659" s="453">
        <v>5</v>
      </c>
    </row>
    <row r="660" spans="1:17" x14ac:dyDescent="0.25">
      <c r="A660" s="453">
        <v>6562140</v>
      </c>
      <c r="B660" s="487">
        <v>17.45</v>
      </c>
      <c r="C660" s="453">
        <v>5</v>
      </c>
      <c r="D660" s="487">
        <v>17.45</v>
      </c>
      <c r="E660" s="453">
        <v>5</v>
      </c>
      <c r="F660" s="487">
        <v>6.98</v>
      </c>
      <c r="G660" s="453">
        <v>2</v>
      </c>
      <c r="H660" s="487">
        <v>31.41</v>
      </c>
      <c r="I660" s="453">
        <v>9</v>
      </c>
      <c r="J660" s="487">
        <v>76.78</v>
      </c>
      <c r="K660" s="453">
        <v>22</v>
      </c>
      <c r="L660" s="487">
        <v>41.88</v>
      </c>
      <c r="M660" s="453">
        <v>12</v>
      </c>
      <c r="N660" s="487">
        <v>45.37</v>
      </c>
      <c r="O660" s="453">
        <v>13</v>
      </c>
      <c r="P660" s="487">
        <v>237.32</v>
      </c>
      <c r="Q660" s="453">
        <v>68</v>
      </c>
    </row>
    <row r="661" spans="1:17" x14ac:dyDescent="0.25">
      <c r="A661" s="453">
        <v>6562181</v>
      </c>
      <c r="B661" s="487">
        <v>0</v>
      </c>
      <c r="C661" s="453">
        <v>0</v>
      </c>
      <c r="D661" s="487">
        <v>0</v>
      </c>
      <c r="E661" s="453">
        <v>0</v>
      </c>
      <c r="F661" s="487">
        <v>0</v>
      </c>
      <c r="G661" s="453">
        <v>0</v>
      </c>
      <c r="H661" s="487">
        <v>0</v>
      </c>
      <c r="I661" s="453">
        <v>0</v>
      </c>
      <c r="J661" s="487">
        <v>0</v>
      </c>
      <c r="K661" s="453">
        <v>0</v>
      </c>
      <c r="L661" s="487">
        <v>0</v>
      </c>
      <c r="M661" s="453">
        <v>1</v>
      </c>
      <c r="N661" s="487">
        <v>0</v>
      </c>
      <c r="O661" s="453">
        <v>2</v>
      </c>
      <c r="P661" s="487">
        <v>0</v>
      </c>
      <c r="Q661" s="453">
        <v>3</v>
      </c>
    </row>
    <row r="662" spans="1:17" x14ac:dyDescent="0.25">
      <c r="A662" s="453">
        <v>6562187</v>
      </c>
      <c r="B662" s="487">
        <v>0</v>
      </c>
      <c r="C662" s="453">
        <v>0</v>
      </c>
      <c r="D662" s="487">
        <v>0</v>
      </c>
      <c r="E662" s="453">
        <v>0</v>
      </c>
      <c r="F662" s="487">
        <v>2.74</v>
      </c>
      <c r="G662" s="453">
        <v>1</v>
      </c>
      <c r="H662" s="487">
        <v>0</v>
      </c>
      <c r="I662" s="453">
        <v>0</v>
      </c>
      <c r="J662" s="487">
        <v>0</v>
      </c>
      <c r="K662" s="453">
        <v>0</v>
      </c>
      <c r="L662" s="487">
        <v>5.48</v>
      </c>
      <c r="M662" s="453">
        <v>2</v>
      </c>
      <c r="N662" s="487">
        <v>0</v>
      </c>
      <c r="O662" s="453">
        <v>0</v>
      </c>
      <c r="P662" s="487">
        <v>8.2200000000000006</v>
      </c>
      <c r="Q662" s="453">
        <v>3</v>
      </c>
    </row>
    <row r="663" spans="1:17" x14ac:dyDescent="0.25">
      <c r="A663" s="453">
        <v>6562303</v>
      </c>
      <c r="B663" s="487">
        <v>0</v>
      </c>
      <c r="C663" s="453">
        <v>4</v>
      </c>
      <c r="D663" s="487">
        <v>0</v>
      </c>
      <c r="E663" s="453">
        <v>0</v>
      </c>
      <c r="F663" s="487">
        <v>0</v>
      </c>
      <c r="G663" s="453">
        <v>0</v>
      </c>
      <c r="H663" s="487">
        <v>0</v>
      </c>
      <c r="I663" s="453">
        <v>0</v>
      </c>
      <c r="J663" s="487">
        <v>0</v>
      </c>
      <c r="K663" s="453">
        <v>0</v>
      </c>
      <c r="L663" s="487">
        <v>0</v>
      </c>
      <c r="M663" s="453">
        <v>0</v>
      </c>
      <c r="N663" s="487">
        <v>0</v>
      </c>
      <c r="O663" s="453">
        <v>0</v>
      </c>
      <c r="P663" s="487">
        <v>0</v>
      </c>
      <c r="Q663" s="453">
        <v>4</v>
      </c>
    </row>
    <row r="664" spans="1:17" x14ac:dyDescent="0.25">
      <c r="A664" s="453">
        <v>6562143</v>
      </c>
      <c r="B664" s="487">
        <v>3.49</v>
      </c>
      <c r="C664" s="453">
        <v>1</v>
      </c>
      <c r="D664" s="487">
        <v>0</v>
      </c>
      <c r="E664" s="453">
        <v>0</v>
      </c>
      <c r="F664" s="487">
        <v>0</v>
      </c>
      <c r="G664" s="453">
        <v>0</v>
      </c>
      <c r="H664" s="487">
        <v>0</v>
      </c>
      <c r="I664" s="453">
        <v>0</v>
      </c>
      <c r="J664" s="487">
        <v>6.98</v>
      </c>
      <c r="K664" s="453">
        <v>2</v>
      </c>
      <c r="L664" s="487">
        <v>6.98</v>
      </c>
      <c r="M664" s="453">
        <v>2</v>
      </c>
      <c r="N664" s="487">
        <v>0</v>
      </c>
      <c r="O664" s="453">
        <v>0</v>
      </c>
      <c r="P664" s="487">
        <v>17.450000000000003</v>
      </c>
      <c r="Q664" s="453">
        <v>5</v>
      </c>
    </row>
    <row r="665" spans="1:17" x14ac:dyDescent="0.25">
      <c r="A665" s="453">
        <v>6562017</v>
      </c>
      <c r="B665" s="487">
        <v>6.98</v>
      </c>
      <c r="C665" s="453">
        <v>2</v>
      </c>
      <c r="D665" s="487">
        <v>10.47</v>
      </c>
      <c r="E665" s="453">
        <v>3</v>
      </c>
      <c r="F665" s="487">
        <v>17.45</v>
      </c>
      <c r="G665" s="453">
        <v>5</v>
      </c>
      <c r="H665" s="487">
        <v>10.47</v>
      </c>
      <c r="I665" s="453">
        <v>3</v>
      </c>
      <c r="J665" s="487">
        <v>17.45</v>
      </c>
      <c r="K665" s="453">
        <v>5</v>
      </c>
      <c r="L665" s="487">
        <v>20.94</v>
      </c>
      <c r="M665" s="453">
        <v>6</v>
      </c>
      <c r="N665" s="487">
        <v>3.49</v>
      </c>
      <c r="O665" s="453">
        <v>1</v>
      </c>
      <c r="P665" s="487">
        <v>87.25</v>
      </c>
      <c r="Q665" s="453">
        <v>25</v>
      </c>
    </row>
    <row r="666" spans="1:17" x14ac:dyDescent="0.25">
      <c r="A666" s="453">
        <v>6562201</v>
      </c>
      <c r="B666" s="487">
        <v>0</v>
      </c>
      <c r="C666" s="453">
        <v>0</v>
      </c>
      <c r="D666" s="487">
        <v>8.2200000000000006</v>
      </c>
      <c r="E666" s="453">
        <v>3</v>
      </c>
      <c r="F666" s="487">
        <v>0</v>
      </c>
      <c r="G666" s="453">
        <v>0</v>
      </c>
      <c r="H666" s="487">
        <v>0</v>
      </c>
      <c r="I666" s="453">
        <v>0</v>
      </c>
      <c r="J666" s="487">
        <v>0</v>
      </c>
      <c r="K666" s="453">
        <v>0</v>
      </c>
      <c r="L666" s="487">
        <v>0</v>
      </c>
      <c r="M666" s="453">
        <v>0</v>
      </c>
      <c r="N666" s="487">
        <v>0</v>
      </c>
      <c r="O666" s="453">
        <v>0</v>
      </c>
      <c r="P666" s="487">
        <v>8.2200000000000006</v>
      </c>
      <c r="Q666" s="453">
        <v>3</v>
      </c>
    </row>
    <row r="667" spans="1:17" x14ac:dyDescent="0.25">
      <c r="A667" s="453">
        <v>6562203</v>
      </c>
      <c r="B667" s="487">
        <v>5.92</v>
      </c>
      <c r="C667" s="453">
        <v>2</v>
      </c>
      <c r="D667" s="487">
        <v>0</v>
      </c>
      <c r="E667" s="453">
        <v>0</v>
      </c>
      <c r="F667" s="487">
        <v>0</v>
      </c>
      <c r="G667" s="453">
        <v>0</v>
      </c>
      <c r="H667" s="487">
        <v>0</v>
      </c>
      <c r="I667" s="453">
        <v>0</v>
      </c>
      <c r="J667" s="487">
        <v>0</v>
      </c>
      <c r="K667" s="453">
        <v>0</v>
      </c>
      <c r="L667" s="487">
        <v>0</v>
      </c>
      <c r="M667" s="453">
        <v>0</v>
      </c>
      <c r="N667" s="487">
        <v>2.96</v>
      </c>
      <c r="O667" s="453">
        <v>1</v>
      </c>
      <c r="P667" s="487">
        <v>8.879999999999999</v>
      </c>
      <c r="Q667" s="453">
        <v>3</v>
      </c>
    </row>
    <row r="668" spans="1:17" x14ac:dyDescent="0.25">
      <c r="A668" s="453">
        <v>6562205</v>
      </c>
      <c r="B668" s="487">
        <v>0</v>
      </c>
      <c r="C668" s="453">
        <v>1</v>
      </c>
      <c r="D668" s="487">
        <v>0</v>
      </c>
      <c r="E668" s="453">
        <v>0</v>
      </c>
      <c r="F668" s="487">
        <v>0</v>
      </c>
      <c r="G668" s="453">
        <v>0</v>
      </c>
      <c r="H668" s="487">
        <v>0</v>
      </c>
      <c r="I668" s="453">
        <v>0</v>
      </c>
      <c r="J668" s="487">
        <v>0</v>
      </c>
      <c r="K668" s="453">
        <v>0</v>
      </c>
      <c r="L668" s="487">
        <v>0</v>
      </c>
      <c r="M668" s="453">
        <v>0</v>
      </c>
      <c r="N668" s="487">
        <v>0</v>
      </c>
      <c r="O668" s="453">
        <v>1</v>
      </c>
      <c r="P668" s="487">
        <v>0</v>
      </c>
      <c r="Q668" s="453">
        <v>2</v>
      </c>
    </row>
    <row r="669" spans="1:17" x14ac:dyDescent="0.25">
      <c r="A669" s="453">
        <v>6562023</v>
      </c>
      <c r="B669" s="487">
        <v>2.59</v>
      </c>
      <c r="C669" s="453">
        <v>1</v>
      </c>
      <c r="D669" s="487">
        <v>0</v>
      </c>
      <c r="E669" s="453">
        <v>0</v>
      </c>
      <c r="F669" s="487">
        <v>0</v>
      </c>
      <c r="G669" s="453">
        <v>0</v>
      </c>
      <c r="H669" s="487">
        <v>0</v>
      </c>
      <c r="I669" s="453">
        <v>0</v>
      </c>
      <c r="J669" s="487">
        <v>2.59</v>
      </c>
      <c r="K669" s="453">
        <v>1</v>
      </c>
      <c r="L669" s="487">
        <v>0</v>
      </c>
      <c r="M669" s="453">
        <v>0</v>
      </c>
      <c r="N669" s="487">
        <v>0</v>
      </c>
      <c r="O669" s="453">
        <v>0</v>
      </c>
      <c r="P669" s="487">
        <v>5.18</v>
      </c>
      <c r="Q669" s="453">
        <v>2</v>
      </c>
    </row>
    <row r="670" spans="1:17" x14ac:dyDescent="0.25">
      <c r="A670" s="453">
        <v>6562001</v>
      </c>
      <c r="B670" s="487">
        <v>6.98</v>
      </c>
      <c r="C670" s="453">
        <v>2</v>
      </c>
      <c r="D670" s="487">
        <v>17.45</v>
      </c>
      <c r="E670" s="453">
        <v>5</v>
      </c>
      <c r="F670" s="487">
        <v>6.98</v>
      </c>
      <c r="G670" s="453">
        <v>2</v>
      </c>
      <c r="H670" s="487">
        <v>20.94</v>
      </c>
      <c r="I670" s="453">
        <v>6</v>
      </c>
      <c r="J670" s="487">
        <v>45.37</v>
      </c>
      <c r="K670" s="453">
        <v>13</v>
      </c>
      <c r="L670" s="487">
        <v>97.72</v>
      </c>
      <c r="M670" s="453">
        <v>28</v>
      </c>
      <c r="N670" s="487">
        <v>34.9</v>
      </c>
      <c r="O670" s="453">
        <v>10</v>
      </c>
      <c r="P670" s="487">
        <v>230.34</v>
      </c>
      <c r="Q670" s="453">
        <v>66</v>
      </c>
    </row>
    <row r="671" spans="1:17" x14ac:dyDescent="0.25">
      <c r="A671" s="453">
        <v>6562183</v>
      </c>
      <c r="B671" s="487">
        <v>0</v>
      </c>
      <c r="C671" s="453">
        <v>0</v>
      </c>
      <c r="D671" s="487">
        <v>0</v>
      </c>
      <c r="E671" s="453">
        <v>0</v>
      </c>
      <c r="F671" s="487">
        <v>0</v>
      </c>
      <c r="G671" s="453">
        <v>0</v>
      </c>
      <c r="H671" s="487">
        <v>0</v>
      </c>
      <c r="I671" s="453">
        <v>0</v>
      </c>
      <c r="J671" s="487">
        <v>0</v>
      </c>
      <c r="K671" s="453">
        <v>0</v>
      </c>
      <c r="L671" s="487">
        <v>0</v>
      </c>
      <c r="M671" s="453">
        <v>0</v>
      </c>
      <c r="N671" s="487">
        <v>0</v>
      </c>
      <c r="O671" s="453">
        <v>1</v>
      </c>
      <c r="P671" s="487">
        <v>0</v>
      </c>
      <c r="Q671" s="453">
        <v>1</v>
      </c>
    </row>
    <row r="672" spans="1:17" x14ac:dyDescent="0.25">
      <c r="A672" s="453">
        <v>6562189</v>
      </c>
      <c r="B672" s="487">
        <v>0</v>
      </c>
      <c r="C672" s="453">
        <v>0</v>
      </c>
      <c r="D672" s="487">
        <v>0</v>
      </c>
      <c r="E672" s="453">
        <v>0</v>
      </c>
      <c r="F672" s="487">
        <v>5.48</v>
      </c>
      <c r="G672" s="453">
        <v>2</v>
      </c>
      <c r="H672" s="487">
        <v>0</v>
      </c>
      <c r="I672" s="453">
        <v>0</v>
      </c>
      <c r="J672" s="487">
        <v>2.96</v>
      </c>
      <c r="K672" s="453">
        <v>1</v>
      </c>
      <c r="L672" s="487">
        <v>0</v>
      </c>
      <c r="M672" s="453">
        <v>0</v>
      </c>
      <c r="N672" s="487">
        <v>0</v>
      </c>
      <c r="O672" s="453">
        <v>0</v>
      </c>
      <c r="P672" s="487">
        <v>8.4400000000000013</v>
      </c>
      <c r="Q672" s="453">
        <v>3</v>
      </c>
    </row>
    <row r="673" spans="1:17" x14ac:dyDescent="0.25">
      <c r="A673" s="453">
        <v>6562283</v>
      </c>
      <c r="B673" s="487">
        <v>0</v>
      </c>
      <c r="C673" s="453">
        <v>0</v>
      </c>
      <c r="D673" s="487">
        <v>0</v>
      </c>
      <c r="E673" s="453">
        <v>0</v>
      </c>
      <c r="F673" s="487">
        <v>0</v>
      </c>
      <c r="G673" s="453">
        <v>0</v>
      </c>
      <c r="H673" s="487">
        <v>0</v>
      </c>
      <c r="I673" s="453">
        <v>0</v>
      </c>
      <c r="J673" s="487">
        <v>0</v>
      </c>
      <c r="K673" s="453">
        <v>0</v>
      </c>
      <c r="L673" s="487">
        <v>0</v>
      </c>
      <c r="M673" s="453">
        <v>0</v>
      </c>
      <c r="N673" s="487">
        <v>2.4900000000000002</v>
      </c>
      <c r="O673" s="453">
        <v>1</v>
      </c>
      <c r="P673" s="487">
        <v>2.4900000000000002</v>
      </c>
      <c r="Q673" s="453">
        <v>1</v>
      </c>
    </row>
    <row r="674" spans="1:17" x14ac:dyDescent="0.25">
      <c r="A674" s="453">
        <v>6562272</v>
      </c>
      <c r="B674" s="487">
        <v>0</v>
      </c>
      <c r="C674" s="453">
        <v>0</v>
      </c>
      <c r="D674" s="487">
        <v>0</v>
      </c>
      <c r="E674" s="453">
        <v>0</v>
      </c>
      <c r="F674" s="487">
        <v>7.98</v>
      </c>
      <c r="G674" s="453">
        <v>2</v>
      </c>
      <c r="H674" s="487">
        <v>0</v>
      </c>
      <c r="I674" s="453">
        <v>0</v>
      </c>
      <c r="J674" s="487">
        <v>3.99</v>
      </c>
      <c r="K674" s="453">
        <v>1</v>
      </c>
      <c r="L674" s="487">
        <v>23.94</v>
      </c>
      <c r="M674" s="453">
        <v>6</v>
      </c>
      <c r="N674" s="487">
        <v>11.97</v>
      </c>
      <c r="O674" s="453">
        <v>3</v>
      </c>
      <c r="P674" s="487">
        <v>47.88</v>
      </c>
      <c r="Q674" s="453">
        <v>12</v>
      </c>
    </row>
    <row r="675" spans="1:17" x14ac:dyDescent="0.25">
      <c r="A675" s="453">
        <v>6562270</v>
      </c>
      <c r="B675" s="487">
        <v>3.99</v>
      </c>
      <c r="C675" s="453">
        <v>1</v>
      </c>
      <c r="D675" s="487">
        <v>0</v>
      </c>
      <c r="E675" s="453">
        <v>0</v>
      </c>
      <c r="F675" s="487">
        <v>3.99</v>
      </c>
      <c r="G675" s="453">
        <v>1</v>
      </c>
      <c r="H675" s="487">
        <v>11.97</v>
      </c>
      <c r="I675" s="453">
        <v>3</v>
      </c>
      <c r="J675" s="487">
        <v>0</v>
      </c>
      <c r="K675" s="453">
        <v>0</v>
      </c>
      <c r="L675" s="487">
        <v>7.98</v>
      </c>
      <c r="M675" s="453">
        <v>2</v>
      </c>
      <c r="N675" s="487">
        <v>7.98</v>
      </c>
      <c r="O675" s="453">
        <v>2</v>
      </c>
      <c r="P675" s="487">
        <v>35.910000000000004</v>
      </c>
      <c r="Q675" s="453">
        <v>9</v>
      </c>
    </row>
    <row r="676" spans="1:17" x14ac:dyDescent="0.25">
      <c r="A676" s="453">
        <v>6460347</v>
      </c>
      <c r="B676" s="487">
        <v>7</v>
      </c>
      <c r="C676" s="453">
        <v>2</v>
      </c>
      <c r="D676" s="487">
        <v>0</v>
      </c>
      <c r="E676" s="453">
        <v>0</v>
      </c>
      <c r="F676" s="487">
        <v>3.5</v>
      </c>
      <c r="G676" s="453">
        <v>1</v>
      </c>
      <c r="H676" s="487">
        <v>0</v>
      </c>
      <c r="I676" s="453">
        <v>0</v>
      </c>
      <c r="J676" s="487">
        <v>10.5</v>
      </c>
      <c r="K676" s="453">
        <v>3</v>
      </c>
      <c r="L676" s="487">
        <v>7</v>
      </c>
      <c r="M676" s="453">
        <v>2</v>
      </c>
      <c r="N676" s="487">
        <v>14</v>
      </c>
      <c r="O676" s="453">
        <v>4</v>
      </c>
      <c r="P676" s="487">
        <v>42</v>
      </c>
      <c r="Q676" s="453">
        <v>12</v>
      </c>
    </row>
    <row r="677" spans="1:17" x14ac:dyDescent="0.25">
      <c r="A677" s="453">
        <v>6460330</v>
      </c>
      <c r="B677" s="487">
        <v>12</v>
      </c>
      <c r="C677" s="453">
        <v>3</v>
      </c>
      <c r="D677" s="487">
        <v>12</v>
      </c>
      <c r="E677" s="453">
        <v>3</v>
      </c>
      <c r="F677" s="487">
        <v>20</v>
      </c>
      <c r="G677" s="453">
        <v>5</v>
      </c>
      <c r="H677" s="487">
        <v>8</v>
      </c>
      <c r="I677" s="453">
        <v>2</v>
      </c>
      <c r="J677" s="487">
        <v>24</v>
      </c>
      <c r="K677" s="453">
        <v>6</v>
      </c>
      <c r="L677" s="487">
        <v>20</v>
      </c>
      <c r="M677" s="453">
        <v>5</v>
      </c>
      <c r="N677" s="487">
        <v>24</v>
      </c>
      <c r="O677" s="453">
        <v>6</v>
      </c>
      <c r="P677" s="487">
        <v>120</v>
      </c>
      <c r="Q677" s="453">
        <v>30</v>
      </c>
    </row>
    <row r="678" spans="1:17" x14ac:dyDescent="0.25">
      <c r="A678" s="453">
        <v>6460163</v>
      </c>
      <c r="B678" s="487">
        <v>0</v>
      </c>
      <c r="C678" s="453">
        <v>0</v>
      </c>
      <c r="D678" s="487">
        <v>0</v>
      </c>
      <c r="E678" s="453">
        <v>0</v>
      </c>
      <c r="F678" s="487">
        <v>0</v>
      </c>
      <c r="G678" s="453">
        <v>0</v>
      </c>
      <c r="H678" s="487">
        <v>0</v>
      </c>
      <c r="I678" s="453">
        <v>0</v>
      </c>
      <c r="J678" s="487">
        <v>0</v>
      </c>
      <c r="K678" s="453">
        <v>0</v>
      </c>
      <c r="L678" s="487">
        <v>0</v>
      </c>
      <c r="M678" s="453">
        <v>0</v>
      </c>
      <c r="N678" s="487">
        <v>0</v>
      </c>
      <c r="O678" s="453">
        <v>2</v>
      </c>
      <c r="P678" s="487">
        <v>0</v>
      </c>
      <c r="Q678" s="453">
        <v>2</v>
      </c>
    </row>
    <row r="679" spans="1:17" x14ac:dyDescent="0.25">
      <c r="A679" s="453">
        <v>6460033</v>
      </c>
      <c r="B679" s="487">
        <v>0</v>
      </c>
      <c r="C679" s="453">
        <v>0</v>
      </c>
      <c r="D679" s="487">
        <v>0</v>
      </c>
      <c r="E679" s="453">
        <v>3</v>
      </c>
      <c r="F679" s="487">
        <v>0</v>
      </c>
      <c r="G679" s="453">
        <v>1</v>
      </c>
      <c r="H679" s="487">
        <v>0</v>
      </c>
      <c r="I679" s="453">
        <v>0</v>
      </c>
      <c r="J679" s="487">
        <v>0</v>
      </c>
      <c r="K679" s="453">
        <v>1</v>
      </c>
      <c r="L679" s="487">
        <v>0</v>
      </c>
      <c r="M679" s="453">
        <v>0</v>
      </c>
      <c r="N679" s="487">
        <v>0</v>
      </c>
      <c r="O679" s="453">
        <v>0</v>
      </c>
      <c r="P679" s="487">
        <v>0</v>
      </c>
      <c r="Q679" s="453">
        <v>5</v>
      </c>
    </row>
    <row r="680" spans="1:17" x14ac:dyDescent="0.25">
      <c r="A680" s="453">
        <v>6460044</v>
      </c>
      <c r="B680" s="487">
        <v>0</v>
      </c>
      <c r="C680" s="453">
        <v>2</v>
      </c>
      <c r="D680" s="487">
        <v>0</v>
      </c>
      <c r="E680" s="453">
        <v>6</v>
      </c>
      <c r="F680" s="487">
        <v>0</v>
      </c>
      <c r="G680" s="453">
        <v>1</v>
      </c>
      <c r="H680" s="487">
        <v>0</v>
      </c>
      <c r="I680" s="453">
        <v>0</v>
      </c>
      <c r="J680" s="487">
        <v>0</v>
      </c>
      <c r="K680" s="453">
        <v>5</v>
      </c>
      <c r="L680" s="487">
        <v>0</v>
      </c>
      <c r="M680" s="453">
        <v>5</v>
      </c>
      <c r="N680" s="487">
        <v>0</v>
      </c>
      <c r="O680" s="453">
        <v>6</v>
      </c>
      <c r="P680" s="487">
        <v>0</v>
      </c>
      <c r="Q680" s="453">
        <v>25</v>
      </c>
    </row>
    <row r="681" spans="1:17" x14ac:dyDescent="0.25">
      <c r="A681" s="453">
        <v>6460175</v>
      </c>
      <c r="B681" s="487">
        <v>0</v>
      </c>
      <c r="C681" s="453">
        <v>0</v>
      </c>
      <c r="D681" s="487">
        <v>0</v>
      </c>
      <c r="E681" s="453">
        <v>1</v>
      </c>
      <c r="F681" s="487">
        <v>0</v>
      </c>
      <c r="G681" s="453">
        <v>0</v>
      </c>
      <c r="H681" s="487">
        <v>0</v>
      </c>
      <c r="I681" s="453">
        <v>0</v>
      </c>
      <c r="J681" s="487">
        <v>0</v>
      </c>
      <c r="K681" s="453">
        <v>0</v>
      </c>
      <c r="L681" s="487">
        <v>0</v>
      </c>
      <c r="M681" s="453">
        <v>0</v>
      </c>
      <c r="N681" s="487">
        <v>0</v>
      </c>
      <c r="O681" s="453">
        <v>0</v>
      </c>
      <c r="P681" s="487">
        <v>0</v>
      </c>
      <c r="Q681" s="453">
        <v>1</v>
      </c>
    </row>
    <row r="682" spans="1:17" x14ac:dyDescent="0.25">
      <c r="A682" s="453">
        <v>6460026</v>
      </c>
      <c r="B682" s="487">
        <v>0</v>
      </c>
      <c r="C682" s="453">
        <v>0</v>
      </c>
      <c r="D682" s="487">
        <v>0</v>
      </c>
      <c r="E682" s="453">
        <v>0</v>
      </c>
      <c r="F682" s="487">
        <v>0</v>
      </c>
      <c r="G682" s="453">
        <v>0</v>
      </c>
      <c r="H682" s="487">
        <v>0</v>
      </c>
      <c r="I682" s="453">
        <v>0</v>
      </c>
      <c r="J682" s="487">
        <v>0</v>
      </c>
      <c r="K682" s="453">
        <v>0</v>
      </c>
      <c r="L682" s="487">
        <v>0</v>
      </c>
      <c r="M682" s="453">
        <v>0</v>
      </c>
      <c r="N682" s="487">
        <v>0</v>
      </c>
      <c r="O682" s="453">
        <v>2</v>
      </c>
      <c r="P682" s="487">
        <v>0</v>
      </c>
      <c r="Q682" s="453">
        <v>2</v>
      </c>
    </row>
    <row r="683" spans="1:17" x14ac:dyDescent="0.25">
      <c r="A683" s="453">
        <v>6460034</v>
      </c>
      <c r="B683" s="487">
        <v>0</v>
      </c>
      <c r="C683" s="453">
        <v>0</v>
      </c>
      <c r="D683" s="487">
        <v>0</v>
      </c>
      <c r="E683" s="453">
        <v>1</v>
      </c>
      <c r="F683" s="487">
        <v>0</v>
      </c>
      <c r="G683" s="453">
        <v>0</v>
      </c>
      <c r="H683" s="487">
        <v>0</v>
      </c>
      <c r="I683" s="453">
        <v>0</v>
      </c>
      <c r="J683" s="487">
        <v>0</v>
      </c>
      <c r="K683" s="453">
        <v>0</v>
      </c>
      <c r="L683" s="487">
        <v>0</v>
      </c>
      <c r="M683" s="453">
        <v>0</v>
      </c>
      <c r="N683" s="487">
        <v>0</v>
      </c>
      <c r="O683" s="453">
        <v>0</v>
      </c>
      <c r="P683" s="487">
        <v>0</v>
      </c>
      <c r="Q683" s="453">
        <v>1</v>
      </c>
    </row>
    <row r="684" spans="1:17" x14ac:dyDescent="0.25">
      <c r="A684" s="453">
        <v>6460164</v>
      </c>
      <c r="B684" s="487">
        <v>0</v>
      </c>
      <c r="C684" s="453">
        <v>0</v>
      </c>
      <c r="D684" s="487">
        <v>0</v>
      </c>
      <c r="E684" s="453">
        <v>0</v>
      </c>
      <c r="F684" s="487">
        <v>0</v>
      </c>
      <c r="G684" s="453">
        <v>0</v>
      </c>
      <c r="H684" s="487">
        <v>0</v>
      </c>
      <c r="I684" s="453">
        <v>0</v>
      </c>
      <c r="J684" s="487">
        <v>0</v>
      </c>
      <c r="K684" s="453">
        <v>1</v>
      </c>
      <c r="L684" s="487">
        <v>0</v>
      </c>
      <c r="M684" s="453">
        <v>0</v>
      </c>
      <c r="N684" s="487">
        <v>0</v>
      </c>
      <c r="O684" s="453">
        <v>2</v>
      </c>
      <c r="P684" s="487">
        <v>0</v>
      </c>
      <c r="Q684" s="453">
        <v>3</v>
      </c>
    </row>
    <row r="685" spans="1:17" x14ac:dyDescent="0.25">
      <c r="A685" s="453">
        <v>6562004</v>
      </c>
      <c r="B685" s="487">
        <v>10.47</v>
      </c>
      <c r="C685" s="453">
        <v>3</v>
      </c>
      <c r="D685" s="487">
        <v>0</v>
      </c>
      <c r="E685" s="453">
        <v>0</v>
      </c>
      <c r="F685" s="487">
        <v>3.49</v>
      </c>
      <c r="G685" s="453">
        <v>1</v>
      </c>
      <c r="H685" s="487">
        <v>0</v>
      </c>
      <c r="I685" s="453">
        <v>0</v>
      </c>
      <c r="J685" s="487">
        <v>3.49</v>
      </c>
      <c r="K685" s="453">
        <v>1</v>
      </c>
      <c r="L685" s="487">
        <v>3.49</v>
      </c>
      <c r="M685" s="453">
        <v>1</v>
      </c>
      <c r="N685" s="487">
        <v>0</v>
      </c>
      <c r="O685" s="453">
        <v>0</v>
      </c>
      <c r="P685" s="487">
        <v>20.940000000000005</v>
      </c>
      <c r="Q685" s="453">
        <v>6</v>
      </c>
    </row>
    <row r="686" spans="1:17" x14ac:dyDescent="0.25">
      <c r="A686" s="453">
        <v>6562024</v>
      </c>
      <c r="B686" s="487">
        <v>0</v>
      </c>
      <c r="C686" s="453">
        <v>0</v>
      </c>
      <c r="D686" s="487">
        <v>0</v>
      </c>
      <c r="E686" s="453">
        <v>0</v>
      </c>
      <c r="F686" s="487">
        <v>6.98</v>
      </c>
      <c r="G686" s="453">
        <v>2</v>
      </c>
      <c r="H686" s="487">
        <v>0</v>
      </c>
      <c r="I686" s="453">
        <v>0</v>
      </c>
      <c r="J686" s="487">
        <v>0</v>
      </c>
      <c r="K686" s="453">
        <v>0</v>
      </c>
      <c r="L686" s="487">
        <v>0</v>
      </c>
      <c r="M686" s="453">
        <v>0</v>
      </c>
      <c r="N686" s="487">
        <v>0</v>
      </c>
      <c r="O686" s="453">
        <v>0</v>
      </c>
      <c r="P686" s="487">
        <v>6.98</v>
      </c>
      <c r="Q686" s="453">
        <v>2</v>
      </c>
    </row>
    <row r="687" spans="1:17" x14ac:dyDescent="0.25">
      <c r="A687" s="453">
        <v>6562139</v>
      </c>
      <c r="B687" s="487">
        <v>10.47</v>
      </c>
      <c r="C687" s="453">
        <v>3</v>
      </c>
      <c r="D687" s="487">
        <v>31.41</v>
      </c>
      <c r="E687" s="453">
        <v>9</v>
      </c>
      <c r="F687" s="487">
        <v>20.94</v>
      </c>
      <c r="G687" s="453">
        <v>6</v>
      </c>
      <c r="H687" s="487">
        <v>20.94</v>
      </c>
      <c r="I687" s="453">
        <v>6</v>
      </c>
      <c r="J687" s="487">
        <v>83.76</v>
      </c>
      <c r="K687" s="453">
        <v>24</v>
      </c>
      <c r="L687" s="487">
        <v>87.25</v>
      </c>
      <c r="M687" s="453">
        <v>25</v>
      </c>
      <c r="N687" s="487">
        <v>24.43</v>
      </c>
      <c r="O687" s="453">
        <v>7</v>
      </c>
      <c r="P687" s="487">
        <v>279.2</v>
      </c>
      <c r="Q687" s="453">
        <v>80</v>
      </c>
    </row>
    <row r="688" spans="1:17" x14ac:dyDescent="0.25">
      <c r="A688" s="453">
        <v>6562180</v>
      </c>
      <c r="B688" s="487">
        <v>0</v>
      </c>
      <c r="C688" s="453">
        <v>0</v>
      </c>
      <c r="D688" s="487">
        <v>0</v>
      </c>
      <c r="E688" s="453">
        <v>1</v>
      </c>
      <c r="F688" s="487">
        <v>0</v>
      </c>
      <c r="G688" s="453">
        <v>0</v>
      </c>
      <c r="H688" s="487">
        <v>0</v>
      </c>
      <c r="I688" s="453">
        <v>0</v>
      </c>
      <c r="J688" s="487">
        <v>0</v>
      </c>
      <c r="K688" s="453">
        <v>0</v>
      </c>
      <c r="L688" s="487">
        <v>0</v>
      </c>
      <c r="M688" s="453">
        <v>1</v>
      </c>
      <c r="N688" s="487">
        <v>0</v>
      </c>
      <c r="O688" s="453">
        <v>0</v>
      </c>
      <c r="P688" s="487">
        <v>0</v>
      </c>
      <c r="Q688" s="453">
        <v>2</v>
      </c>
    </row>
    <row r="689" spans="1:17" x14ac:dyDescent="0.25">
      <c r="A689" s="453">
        <v>6562186</v>
      </c>
      <c r="B689" s="487">
        <v>0</v>
      </c>
      <c r="C689" s="453">
        <v>0</v>
      </c>
      <c r="D689" s="487">
        <v>0</v>
      </c>
      <c r="E689" s="453">
        <v>0</v>
      </c>
      <c r="F689" s="487">
        <v>0</v>
      </c>
      <c r="G689" s="453">
        <v>0</v>
      </c>
      <c r="H689" s="487">
        <v>0</v>
      </c>
      <c r="I689" s="453">
        <v>0</v>
      </c>
      <c r="J689" s="487">
        <v>0</v>
      </c>
      <c r="K689" s="453">
        <v>0</v>
      </c>
      <c r="L689" s="487">
        <v>2.96</v>
      </c>
      <c r="M689" s="453">
        <v>1</v>
      </c>
      <c r="N689" s="487">
        <v>0</v>
      </c>
      <c r="O689" s="453">
        <v>0</v>
      </c>
      <c r="P689" s="487">
        <v>2.96</v>
      </c>
      <c r="Q689" s="453">
        <v>1</v>
      </c>
    </row>
    <row r="690" spans="1:17" x14ac:dyDescent="0.25">
      <c r="A690" s="453">
        <v>6562280</v>
      </c>
      <c r="B690" s="487">
        <v>0</v>
      </c>
      <c r="C690" s="453">
        <v>0</v>
      </c>
      <c r="D690" s="487">
        <v>0</v>
      </c>
      <c r="E690" s="453">
        <v>0</v>
      </c>
      <c r="F690" s="487">
        <v>0</v>
      </c>
      <c r="G690" s="453">
        <v>0</v>
      </c>
      <c r="H690" s="487">
        <v>0</v>
      </c>
      <c r="I690" s="453">
        <v>0</v>
      </c>
      <c r="J690" s="487">
        <v>4.9800000000000004</v>
      </c>
      <c r="K690" s="453">
        <v>2</v>
      </c>
      <c r="L690" s="487">
        <v>0</v>
      </c>
      <c r="M690" s="453">
        <v>0</v>
      </c>
      <c r="N690" s="487">
        <v>0</v>
      </c>
      <c r="O690" s="453">
        <v>0</v>
      </c>
      <c r="P690" s="487">
        <v>4.9800000000000004</v>
      </c>
      <c r="Q690" s="453">
        <v>2</v>
      </c>
    </row>
    <row r="691" spans="1:17" x14ac:dyDescent="0.25">
      <c r="A691" s="453">
        <v>6560031</v>
      </c>
      <c r="B691" s="487">
        <v>0</v>
      </c>
      <c r="C691" s="453">
        <v>0</v>
      </c>
      <c r="D691" s="487">
        <v>7</v>
      </c>
      <c r="E691" s="453">
        <v>2</v>
      </c>
      <c r="F691" s="487">
        <v>17.5</v>
      </c>
      <c r="G691" s="453">
        <v>5</v>
      </c>
      <c r="H691" s="487">
        <v>0</v>
      </c>
      <c r="I691" s="453">
        <v>0</v>
      </c>
      <c r="J691" s="487">
        <v>21</v>
      </c>
      <c r="K691" s="453">
        <v>6</v>
      </c>
      <c r="L691" s="487">
        <v>24.5</v>
      </c>
      <c r="M691" s="453">
        <v>7</v>
      </c>
      <c r="N691" s="487">
        <v>14</v>
      </c>
      <c r="O691" s="453">
        <v>4</v>
      </c>
      <c r="P691" s="487">
        <v>84</v>
      </c>
      <c r="Q691" s="453">
        <v>24</v>
      </c>
    </row>
    <row r="692" spans="1:17" x14ac:dyDescent="0.25">
      <c r="A692" s="453">
        <v>6562274</v>
      </c>
      <c r="B692" s="487">
        <v>0</v>
      </c>
      <c r="C692" s="453">
        <v>0</v>
      </c>
      <c r="D692" s="487">
        <v>0</v>
      </c>
      <c r="E692" s="453">
        <v>0</v>
      </c>
      <c r="F692" s="487">
        <v>0</v>
      </c>
      <c r="G692" s="453">
        <v>1</v>
      </c>
      <c r="H692" s="487">
        <v>0</v>
      </c>
      <c r="I692" s="453">
        <v>0</v>
      </c>
      <c r="J692" s="487">
        <v>0</v>
      </c>
      <c r="K692" s="453">
        <v>0</v>
      </c>
      <c r="L692" s="487">
        <v>0</v>
      </c>
      <c r="M692" s="453">
        <v>2</v>
      </c>
      <c r="N692" s="487">
        <v>0</v>
      </c>
      <c r="O692" s="453">
        <v>1</v>
      </c>
      <c r="P692" s="487">
        <v>0</v>
      </c>
      <c r="Q692" s="453">
        <v>4</v>
      </c>
    </row>
    <row r="693" spans="1:17" x14ac:dyDescent="0.25">
      <c r="A693" s="453">
        <v>6562275</v>
      </c>
      <c r="B693" s="487">
        <v>0</v>
      </c>
      <c r="C693" s="453">
        <v>0</v>
      </c>
      <c r="D693" s="487">
        <v>0</v>
      </c>
      <c r="E693" s="453">
        <v>0</v>
      </c>
      <c r="F693" s="487">
        <v>0</v>
      </c>
      <c r="G693" s="453">
        <v>1</v>
      </c>
      <c r="H693" s="487">
        <v>0</v>
      </c>
      <c r="I693" s="453">
        <v>0</v>
      </c>
      <c r="J693" s="487">
        <v>0</v>
      </c>
      <c r="K693" s="453">
        <v>0</v>
      </c>
      <c r="L693" s="487">
        <v>0</v>
      </c>
      <c r="M693" s="453">
        <v>0</v>
      </c>
      <c r="N693" s="487">
        <v>0</v>
      </c>
      <c r="O693" s="453">
        <v>1</v>
      </c>
      <c r="P693" s="487">
        <v>0</v>
      </c>
      <c r="Q693" s="453">
        <v>2</v>
      </c>
    </row>
    <row r="694" spans="1:17" x14ac:dyDescent="0.25">
      <c r="A694" s="453">
        <v>6460077</v>
      </c>
      <c r="B694" s="487">
        <v>0</v>
      </c>
      <c r="C694" s="453">
        <v>0</v>
      </c>
      <c r="D694" s="487">
        <v>0</v>
      </c>
      <c r="E694" s="453">
        <v>0</v>
      </c>
      <c r="F694" s="487">
        <v>1</v>
      </c>
      <c r="G694" s="453">
        <v>1</v>
      </c>
      <c r="H694" s="487">
        <v>0</v>
      </c>
      <c r="I694" s="453">
        <v>0</v>
      </c>
      <c r="J694" s="487">
        <v>0</v>
      </c>
      <c r="K694" s="453">
        <v>0</v>
      </c>
      <c r="L694" s="487">
        <v>0</v>
      </c>
      <c r="M694" s="453">
        <v>0</v>
      </c>
      <c r="N694" s="487">
        <v>0</v>
      </c>
      <c r="O694" s="453">
        <v>0</v>
      </c>
      <c r="P694" s="487">
        <v>1</v>
      </c>
      <c r="Q694" s="453">
        <v>1</v>
      </c>
    </row>
    <row r="695" spans="1:17" x14ac:dyDescent="0.25">
      <c r="A695" s="453">
        <v>6562142</v>
      </c>
      <c r="B695" s="487">
        <v>13.96</v>
      </c>
      <c r="C695" s="453">
        <v>4</v>
      </c>
      <c r="D695" s="487">
        <v>3.49</v>
      </c>
      <c r="E695" s="453">
        <v>1</v>
      </c>
      <c r="F695" s="487">
        <v>3.49</v>
      </c>
      <c r="G695" s="453">
        <v>1</v>
      </c>
      <c r="H695" s="487">
        <v>0</v>
      </c>
      <c r="I695" s="453">
        <v>0</v>
      </c>
      <c r="J695" s="487">
        <v>27.92</v>
      </c>
      <c r="K695" s="453">
        <v>8</v>
      </c>
      <c r="L695" s="487">
        <v>20.94</v>
      </c>
      <c r="M695" s="453">
        <v>6</v>
      </c>
      <c r="N695" s="487">
        <v>3.49</v>
      </c>
      <c r="O695" s="453">
        <v>1</v>
      </c>
      <c r="P695" s="487">
        <v>73.290000000000006</v>
      </c>
      <c r="Q695" s="453">
        <v>21</v>
      </c>
    </row>
    <row r="696" spans="1:17" x14ac:dyDescent="0.25">
      <c r="A696" s="453">
        <v>6562185</v>
      </c>
      <c r="B696" s="487">
        <v>0</v>
      </c>
      <c r="C696" s="453">
        <v>1</v>
      </c>
      <c r="D696" s="487">
        <v>0</v>
      </c>
      <c r="E696" s="453">
        <v>0</v>
      </c>
      <c r="F696" s="487">
        <v>0</v>
      </c>
      <c r="G696" s="453">
        <v>0</v>
      </c>
      <c r="H696" s="487">
        <v>0</v>
      </c>
      <c r="I696" s="453">
        <v>0</v>
      </c>
      <c r="J696" s="487">
        <v>0</v>
      </c>
      <c r="K696" s="453">
        <v>0</v>
      </c>
      <c r="L696" s="487">
        <v>0</v>
      </c>
      <c r="M696" s="453">
        <v>2</v>
      </c>
      <c r="N696" s="487">
        <v>0</v>
      </c>
      <c r="O696" s="453">
        <v>0</v>
      </c>
      <c r="P696" s="487">
        <v>0</v>
      </c>
      <c r="Q696" s="453">
        <v>3</v>
      </c>
    </row>
    <row r="697" spans="1:17" x14ac:dyDescent="0.25">
      <c r="A697" s="453">
        <v>6562191</v>
      </c>
      <c r="B697" s="487">
        <v>0</v>
      </c>
      <c r="C697" s="453">
        <v>0</v>
      </c>
      <c r="D697" s="487">
        <v>0</v>
      </c>
      <c r="E697" s="453">
        <v>0</v>
      </c>
      <c r="F697" s="487">
        <v>0</v>
      </c>
      <c r="G697" s="453">
        <v>0</v>
      </c>
      <c r="H697" s="487">
        <v>0</v>
      </c>
      <c r="I697" s="453">
        <v>0</v>
      </c>
      <c r="J697" s="487">
        <v>2.74</v>
      </c>
      <c r="K697" s="453">
        <v>1</v>
      </c>
      <c r="L697" s="487">
        <v>0</v>
      </c>
      <c r="M697" s="453">
        <v>0</v>
      </c>
      <c r="N697" s="487">
        <v>0</v>
      </c>
      <c r="O697" s="453">
        <v>0</v>
      </c>
      <c r="P697" s="487">
        <v>2.74</v>
      </c>
      <c r="Q697" s="453">
        <v>1</v>
      </c>
    </row>
    <row r="698" spans="1:17" x14ac:dyDescent="0.25">
      <c r="A698" s="453">
        <v>6562339</v>
      </c>
      <c r="B698" s="487">
        <v>0</v>
      </c>
      <c r="C698" s="453">
        <v>0</v>
      </c>
      <c r="D698" s="487">
        <v>0</v>
      </c>
      <c r="E698" s="453">
        <v>0</v>
      </c>
      <c r="F698" s="487">
        <v>0</v>
      </c>
      <c r="G698" s="453">
        <v>2</v>
      </c>
      <c r="H698" s="487">
        <v>0</v>
      </c>
      <c r="I698" s="453">
        <v>0</v>
      </c>
      <c r="J698" s="487">
        <v>0</v>
      </c>
      <c r="K698" s="453">
        <v>1</v>
      </c>
      <c r="L698" s="487">
        <v>0</v>
      </c>
      <c r="M698" s="453">
        <v>3</v>
      </c>
      <c r="N698" s="487">
        <v>0</v>
      </c>
      <c r="O698" s="453">
        <v>1</v>
      </c>
      <c r="P698" s="487">
        <v>0</v>
      </c>
      <c r="Q698" s="453">
        <v>7</v>
      </c>
    </row>
    <row r="699" spans="1:17" x14ac:dyDescent="0.25">
      <c r="A699" s="453">
        <v>6562026</v>
      </c>
      <c r="B699" s="487">
        <v>5</v>
      </c>
      <c r="C699" s="453">
        <v>2</v>
      </c>
      <c r="D699" s="487">
        <v>0</v>
      </c>
      <c r="E699" s="453">
        <v>0</v>
      </c>
      <c r="F699" s="487">
        <v>0</v>
      </c>
      <c r="G699" s="453">
        <v>0</v>
      </c>
      <c r="H699" s="487">
        <v>0</v>
      </c>
      <c r="I699" s="453">
        <v>0</v>
      </c>
      <c r="J699" s="487">
        <v>0</v>
      </c>
      <c r="K699" s="453">
        <v>0</v>
      </c>
      <c r="L699" s="487">
        <v>0</v>
      </c>
      <c r="M699" s="453">
        <v>0</v>
      </c>
      <c r="N699" s="487">
        <v>0</v>
      </c>
      <c r="O699" s="453">
        <v>0</v>
      </c>
      <c r="P699" s="487">
        <v>5</v>
      </c>
      <c r="Q699" s="453">
        <v>2</v>
      </c>
    </row>
    <row r="700" spans="1:17" x14ac:dyDescent="0.25">
      <c r="A700" s="453">
        <v>6562018</v>
      </c>
      <c r="B700" s="487">
        <v>0</v>
      </c>
      <c r="C700" s="453">
        <v>0</v>
      </c>
      <c r="D700" s="487">
        <v>3.49</v>
      </c>
      <c r="E700" s="453">
        <v>1</v>
      </c>
      <c r="F700" s="487">
        <v>13.96</v>
      </c>
      <c r="G700" s="453">
        <v>4</v>
      </c>
      <c r="H700" s="487">
        <v>3.49</v>
      </c>
      <c r="I700" s="453">
        <v>1</v>
      </c>
      <c r="J700" s="487">
        <v>0</v>
      </c>
      <c r="K700" s="453">
        <v>0</v>
      </c>
      <c r="L700" s="487">
        <v>0</v>
      </c>
      <c r="M700" s="453">
        <v>0</v>
      </c>
      <c r="N700" s="487">
        <v>3.49</v>
      </c>
      <c r="O700" s="453">
        <v>1</v>
      </c>
      <c r="P700" s="487">
        <v>24.430000000000007</v>
      </c>
      <c r="Q700" s="453">
        <v>7</v>
      </c>
    </row>
    <row r="701" spans="1:17" x14ac:dyDescent="0.25">
      <c r="A701" s="453">
        <v>6560038</v>
      </c>
      <c r="B701" s="487">
        <v>0</v>
      </c>
      <c r="C701" s="453">
        <v>0</v>
      </c>
      <c r="D701" s="487">
        <v>0</v>
      </c>
      <c r="E701" s="453">
        <v>0</v>
      </c>
      <c r="F701" s="487">
        <v>0</v>
      </c>
      <c r="G701" s="453">
        <v>0</v>
      </c>
      <c r="H701" s="487">
        <v>3.5</v>
      </c>
      <c r="I701" s="453">
        <v>1</v>
      </c>
      <c r="J701" s="487">
        <v>3.5</v>
      </c>
      <c r="K701" s="453">
        <v>1</v>
      </c>
      <c r="L701" s="487">
        <v>14</v>
      </c>
      <c r="M701" s="453">
        <v>4</v>
      </c>
      <c r="N701" s="487">
        <v>10.5</v>
      </c>
      <c r="O701" s="453">
        <v>3</v>
      </c>
      <c r="P701" s="487">
        <v>31.5</v>
      </c>
      <c r="Q701" s="453">
        <v>9</v>
      </c>
    </row>
    <row r="702" spans="1:17" x14ac:dyDescent="0.25">
      <c r="A702" s="453">
        <v>6562021</v>
      </c>
      <c r="B702" s="487">
        <v>0</v>
      </c>
      <c r="C702" s="453">
        <v>0</v>
      </c>
      <c r="D702" s="487">
        <v>0</v>
      </c>
      <c r="E702" s="453">
        <v>0</v>
      </c>
      <c r="F702" s="487">
        <v>2.99</v>
      </c>
      <c r="G702" s="453">
        <v>1</v>
      </c>
      <c r="H702" s="487">
        <v>5.98</v>
      </c>
      <c r="I702" s="453">
        <v>2</v>
      </c>
      <c r="J702" s="487">
        <v>0</v>
      </c>
      <c r="K702" s="453">
        <v>0</v>
      </c>
      <c r="L702" s="487">
        <v>5.98</v>
      </c>
      <c r="M702" s="453">
        <v>2</v>
      </c>
      <c r="N702" s="487">
        <v>14.95</v>
      </c>
      <c r="O702" s="453">
        <v>5</v>
      </c>
      <c r="P702" s="487">
        <v>29.9</v>
      </c>
      <c r="Q702" s="453">
        <v>10</v>
      </c>
    </row>
    <row r="703" spans="1:17" x14ac:dyDescent="0.25">
      <c r="A703" s="453">
        <v>6562338</v>
      </c>
      <c r="B703" s="487">
        <v>7.98</v>
      </c>
      <c r="C703" s="453">
        <v>2</v>
      </c>
      <c r="D703" s="487">
        <v>0</v>
      </c>
      <c r="E703" s="453">
        <v>0</v>
      </c>
      <c r="F703" s="487">
        <v>7.98</v>
      </c>
      <c r="G703" s="453">
        <v>2</v>
      </c>
      <c r="H703" s="487">
        <v>0</v>
      </c>
      <c r="I703" s="453">
        <v>0</v>
      </c>
      <c r="J703" s="487">
        <v>15.96</v>
      </c>
      <c r="K703" s="453">
        <v>4</v>
      </c>
      <c r="L703" s="487">
        <v>59.85</v>
      </c>
      <c r="M703" s="453">
        <v>15</v>
      </c>
      <c r="N703" s="487">
        <v>15.96</v>
      </c>
      <c r="O703" s="453">
        <v>4</v>
      </c>
      <c r="P703" s="487">
        <v>107.73000000000002</v>
      </c>
      <c r="Q703" s="453">
        <v>27</v>
      </c>
    </row>
    <row r="704" spans="1:17" x14ac:dyDescent="0.25">
      <c r="A704" s="453">
        <v>6562032</v>
      </c>
      <c r="B704" s="487">
        <v>0</v>
      </c>
      <c r="C704" s="453">
        <v>1</v>
      </c>
      <c r="D704" s="487">
        <v>0</v>
      </c>
      <c r="E704" s="453">
        <v>0</v>
      </c>
      <c r="F704" s="487">
        <v>0</v>
      </c>
      <c r="G704" s="453">
        <v>14</v>
      </c>
      <c r="H704" s="487">
        <v>0</v>
      </c>
      <c r="I704" s="453">
        <v>11</v>
      </c>
      <c r="J704" s="487">
        <v>0</v>
      </c>
      <c r="K704" s="453">
        <v>54</v>
      </c>
      <c r="L704" s="487">
        <v>0</v>
      </c>
      <c r="M704" s="453">
        <v>34</v>
      </c>
      <c r="N704" s="487">
        <v>0</v>
      </c>
      <c r="O704" s="453">
        <v>30</v>
      </c>
      <c r="P704" s="487">
        <v>0</v>
      </c>
      <c r="Q704" s="453">
        <v>144</v>
      </c>
    </row>
    <row r="705" spans="1:17" x14ac:dyDescent="0.25">
      <c r="A705" s="800" t="s">
        <v>1939</v>
      </c>
      <c r="B705" s="485">
        <v>15.96</v>
      </c>
      <c r="C705" s="486">
        <v>4</v>
      </c>
      <c r="D705" s="485">
        <v>0</v>
      </c>
      <c r="E705" s="486">
        <v>0</v>
      </c>
      <c r="F705" s="485">
        <v>16.96</v>
      </c>
      <c r="G705" s="486">
        <v>4</v>
      </c>
      <c r="H705" s="485">
        <v>8.98</v>
      </c>
      <c r="I705" s="486">
        <v>2</v>
      </c>
      <c r="J705" s="485">
        <v>20.950000000000003</v>
      </c>
      <c r="K705" s="486">
        <v>5</v>
      </c>
      <c r="L705" s="485">
        <v>20.950000000000003</v>
      </c>
      <c r="M705" s="486">
        <v>5</v>
      </c>
      <c r="N705" s="485">
        <v>19.950000000000003</v>
      </c>
      <c r="O705" s="486">
        <v>5</v>
      </c>
      <c r="P705" s="485">
        <v>103.75000000000001</v>
      </c>
      <c r="Q705" s="486">
        <v>25</v>
      </c>
    </row>
    <row r="706" spans="1:17" x14ac:dyDescent="0.25">
      <c r="A706" s="453">
        <v>6560033</v>
      </c>
      <c r="B706" s="487">
        <v>0</v>
      </c>
      <c r="C706" s="453">
        <v>0</v>
      </c>
      <c r="D706" s="487">
        <v>0</v>
      </c>
      <c r="E706" s="453">
        <v>0</v>
      </c>
      <c r="F706" s="487">
        <v>4.99</v>
      </c>
      <c r="G706" s="453">
        <v>1</v>
      </c>
      <c r="H706" s="487">
        <v>4.99</v>
      </c>
      <c r="I706" s="453">
        <v>1</v>
      </c>
      <c r="J706" s="487">
        <v>4.99</v>
      </c>
      <c r="K706" s="453">
        <v>1</v>
      </c>
      <c r="L706" s="487">
        <v>4.99</v>
      </c>
      <c r="M706" s="453">
        <v>1</v>
      </c>
      <c r="N706" s="487">
        <v>0</v>
      </c>
      <c r="O706" s="453">
        <v>0</v>
      </c>
      <c r="P706" s="487">
        <v>19.96</v>
      </c>
      <c r="Q706" s="453">
        <v>4</v>
      </c>
    </row>
    <row r="707" spans="1:17" x14ac:dyDescent="0.25">
      <c r="A707" s="453">
        <v>6560006</v>
      </c>
      <c r="B707" s="487">
        <v>15.96</v>
      </c>
      <c r="C707" s="453">
        <v>4</v>
      </c>
      <c r="D707" s="487">
        <v>0</v>
      </c>
      <c r="E707" s="453">
        <v>0</v>
      </c>
      <c r="F707" s="487">
        <v>0</v>
      </c>
      <c r="G707" s="453">
        <v>0</v>
      </c>
      <c r="H707" s="487">
        <v>0</v>
      </c>
      <c r="I707" s="453">
        <v>0</v>
      </c>
      <c r="J707" s="487">
        <v>7.98</v>
      </c>
      <c r="K707" s="453">
        <v>2</v>
      </c>
      <c r="L707" s="487">
        <v>0</v>
      </c>
      <c r="M707" s="453">
        <v>0</v>
      </c>
      <c r="N707" s="487">
        <v>7.98</v>
      </c>
      <c r="O707" s="453">
        <v>2</v>
      </c>
      <c r="P707" s="487">
        <v>31.92</v>
      </c>
      <c r="Q707" s="453">
        <v>8</v>
      </c>
    </row>
    <row r="708" spans="1:17" x14ac:dyDescent="0.25">
      <c r="A708" s="453">
        <v>6560013</v>
      </c>
      <c r="B708" s="487">
        <v>0</v>
      </c>
      <c r="C708" s="453">
        <v>0</v>
      </c>
      <c r="D708" s="487">
        <v>0</v>
      </c>
      <c r="E708" s="453">
        <v>0</v>
      </c>
      <c r="F708" s="487">
        <v>11.97</v>
      </c>
      <c r="G708" s="453">
        <v>3</v>
      </c>
      <c r="H708" s="487">
        <v>3.99</v>
      </c>
      <c r="I708" s="453">
        <v>1</v>
      </c>
      <c r="J708" s="487">
        <v>0</v>
      </c>
      <c r="K708" s="453">
        <v>0</v>
      </c>
      <c r="L708" s="487">
        <v>7.98</v>
      </c>
      <c r="M708" s="453">
        <v>2</v>
      </c>
      <c r="N708" s="487">
        <v>0</v>
      </c>
      <c r="O708" s="453">
        <v>0</v>
      </c>
      <c r="P708" s="487">
        <v>23.94</v>
      </c>
      <c r="Q708" s="453">
        <v>6</v>
      </c>
    </row>
    <row r="709" spans="1:17" x14ac:dyDescent="0.25">
      <c r="A709" s="453">
        <v>6560012</v>
      </c>
      <c r="B709" s="487">
        <v>0</v>
      </c>
      <c r="C709" s="453">
        <v>0</v>
      </c>
      <c r="D709" s="487">
        <v>0</v>
      </c>
      <c r="E709" s="453">
        <v>0</v>
      </c>
      <c r="F709" s="487">
        <v>0</v>
      </c>
      <c r="G709" s="453">
        <v>0</v>
      </c>
      <c r="H709" s="487">
        <v>0</v>
      </c>
      <c r="I709" s="453">
        <v>0</v>
      </c>
      <c r="J709" s="487">
        <v>3.99</v>
      </c>
      <c r="K709" s="453">
        <v>1</v>
      </c>
      <c r="L709" s="487">
        <v>0</v>
      </c>
      <c r="M709" s="453">
        <v>0</v>
      </c>
      <c r="N709" s="487">
        <v>0</v>
      </c>
      <c r="O709" s="453">
        <v>0</v>
      </c>
      <c r="P709" s="487">
        <v>3.99</v>
      </c>
      <c r="Q709" s="453">
        <v>1</v>
      </c>
    </row>
    <row r="710" spans="1:17" x14ac:dyDescent="0.25">
      <c r="A710" s="453">
        <v>6560018</v>
      </c>
      <c r="B710" s="487">
        <v>0</v>
      </c>
      <c r="C710" s="453">
        <v>0</v>
      </c>
      <c r="D710" s="487">
        <v>0</v>
      </c>
      <c r="E710" s="453">
        <v>0</v>
      </c>
      <c r="F710" s="487">
        <v>0</v>
      </c>
      <c r="G710" s="453">
        <v>0</v>
      </c>
      <c r="H710" s="487">
        <v>0</v>
      </c>
      <c r="I710" s="453">
        <v>0</v>
      </c>
      <c r="J710" s="487">
        <v>3.99</v>
      </c>
      <c r="K710" s="453">
        <v>1</v>
      </c>
      <c r="L710" s="487">
        <v>0</v>
      </c>
      <c r="M710" s="453">
        <v>0</v>
      </c>
      <c r="N710" s="487">
        <v>0</v>
      </c>
      <c r="O710" s="453">
        <v>0</v>
      </c>
      <c r="P710" s="487">
        <v>3.99</v>
      </c>
      <c r="Q710" s="453">
        <v>1</v>
      </c>
    </row>
    <row r="711" spans="1:17" x14ac:dyDescent="0.25">
      <c r="A711" s="453">
        <v>6560016</v>
      </c>
      <c r="B711" s="487">
        <v>0</v>
      </c>
      <c r="C711" s="453">
        <v>0</v>
      </c>
      <c r="D711" s="487">
        <v>0</v>
      </c>
      <c r="E711" s="453">
        <v>0</v>
      </c>
      <c r="F711" s="487">
        <v>0</v>
      </c>
      <c r="G711" s="453">
        <v>0</v>
      </c>
      <c r="H711" s="487">
        <v>0</v>
      </c>
      <c r="I711" s="453">
        <v>0</v>
      </c>
      <c r="J711" s="487">
        <v>0</v>
      </c>
      <c r="K711" s="453">
        <v>0</v>
      </c>
      <c r="L711" s="487">
        <v>7.98</v>
      </c>
      <c r="M711" s="453">
        <v>2</v>
      </c>
      <c r="N711" s="487">
        <v>11.97</v>
      </c>
      <c r="O711" s="453">
        <v>3</v>
      </c>
      <c r="P711" s="487">
        <v>19.950000000000003</v>
      </c>
      <c r="Q711" s="453">
        <v>5</v>
      </c>
    </row>
    <row r="712" spans="1:17" x14ac:dyDescent="0.25">
      <c r="A712" s="800" t="s">
        <v>1939</v>
      </c>
      <c r="B712" s="485">
        <v>22.75</v>
      </c>
      <c r="C712" s="486">
        <v>2</v>
      </c>
      <c r="D712" s="485">
        <v>58.5</v>
      </c>
      <c r="E712" s="486">
        <v>7</v>
      </c>
      <c r="F712" s="485">
        <v>22</v>
      </c>
      <c r="G712" s="486">
        <v>3</v>
      </c>
      <c r="H712" s="485">
        <v>95.5</v>
      </c>
      <c r="I712" s="486">
        <v>9</v>
      </c>
      <c r="J712" s="485">
        <v>178.49</v>
      </c>
      <c r="K712" s="486">
        <v>13</v>
      </c>
      <c r="L712" s="485">
        <v>312.98</v>
      </c>
      <c r="M712" s="486">
        <v>29</v>
      </c>
      <c r="N712" s="485">
        <v>79.75</v>
      </c>
      <c r="O712" s="486">
        <v>7</v>
      </c>
      <c r="P712" s="485">
        <v>769.97</v>
      </c>
      <c r="Q712" s="486">
        <v>70</v>
      </c>
    </row>
    <row r="713" spans="1:17" x14ac:dyDescent="0.25">
      <c r="A713" s="800" t="s">
        <v>1939</v>
      </c>
      <c r="B713" s="485">
        <v>0</v>
      </c>
      <c r="C713" s="486">
        <v>0</v>
      </c>
      <c r="D713" s="485">
        <v>18</v>
      </c>
      <c r="E713" s="486">
        <v>2</v>
      </c>
      <c r="F713" s="485">
        <v>0</v>
      </c>
      <c r="G713" s="486">
        <v>0</v>
      </c>
      <c r="H713" s="485">
        <v>69</v>
      </c>
      <c r="I713" s="486">
        <v>6</v>
      </c>
      <c r="J713" s="485">
        <v>36</v>
      </c>
      <c r="K713" s="486">
        <v>3</v>
      </c>
      <c r="L713" s="485">
        <v>24</v>
      </c>
      <c r="M713" s="486">
        <v>2</v>
      </c>
      <c r="N713" s="485">
        <v>0</v>
      </c>
      <c r="O713" s="486">
        <v>0</v>
      </c>
      <c r="P713" s="485">
        <v>147</v>
      </c>
      <c r="Q713" s="486">
        <v>13</v>
      </c>
    </row>
    <row r="714" spans="1:17" x14ac:dyDescent="0.25">
      <c r="A714" s="453">
        <v>6530062</v>
      </c>
      <c r="B714" s="487">
        <v>0</v>
      </c>
      <c r="C714" s="453">
        <v>0</v>
      </c>
      <c r="D714" s="487">
        <v>0</v>
      </c>
      <c r="E714" s="453">
        <v>0</v>
      </c>
      <c r="F714" s="487">
        <v>0</v>
      </c>
      <c r="G714" s="453">
        <v>0</v>
      </c>
      <c r="H714" s="487">
        <v>24</v>
      </c>
      <c r="I714" s="453">
        <v>2</v>
      </c>
      <c r="J714" s="487">
        <v>0</v>
      </c>
      <c r="K714" s="453">
        <v>0</v>
      </c>
      <c r="L714" s="487">
        <v>12</v>
      </c>
      <c r="M714" s="453">
        <v>1</v>
      </c>
      <c r="N714" s="487">
        <v>0</v>
      </c>
      <c r="O714" s="453">
        <v>0</v>
      </c>
      <c r="P714" s="487">
        <v>36</v>
      </c>
      <c r="Q714" s="453">
        <v>3</v>
      </c>
    </row>
    <row r="715" spans="1:17" x14ac:dyDescent="0.25">
      <c r="A715" s="453">
        <v>6530063</v>
      </c>
      <c r="B715" s="487">
        <v>0</v>
      </c>
      <c r="C715" s="453">
        <v>0</v>
      </c>
      <c r="D715" s="487">
        <v>12</v>
      </c>
      <c r="E715" s="453">
        <v>1</v>
      </c>
      <c r="F715" s="487">
        <v>0</v>
      </c>
      <c r="G715" s="453">
        <v>0</v>
      </c>
      <c r="H715" s="487">
        <v>36</v>
      </c>
      <c r="I715" s="453">
        <v>3</v>
      </c>
      <c r="J715" s="487">
        <v>36</v>
      </c>
      <c r="K715" s="453">
        <v>3</v>
      </c>
      <c r="L715" s="487">
        <v>12</v>
      </c>
      <c r="M715" s="453">
        <v>1</v>
      </c>
      <c r="N715" s="487">
        <v>0</v>
      </c>
      <c r="O715" s="453">
        <v>0</v>
      </c>
      <c r="P715" s="487">
        <v>96</v>
      </c>
      <c r="Q715" s="453">
        <v>8</v>
      </c>
    </row>
    <row r="716" spans="1:17" x14ac:dyDescent="0.25">
      <c r="A716" s="453">
        <v>6530001</v>
      </c>
      <c r="B716" s="487">
        <v>0</v>
      </c>
      <c r="C716" s="453">
        <v>0</v>
      </c>
      <c r="D716" s="487">
        <v>6</v>
      </c>
      <c r="E716" s="453">
        <v>1</v>
      </c>
      <c r="F716" s="487">
        <v>0</v>
      </c>
      <c r="G716" s="453">
        <v>0</v>
      </c>
      <c r="H716" s="487">
        <v>0</v>
      </c>
      <c r="I716" s="453">
        <v>0</v>
      </c>
      <c r="J716" s="487">
        <v>0</v>
      </c>
      <c r="K716" s="453">
        <v>0</v>
      </c>
      <c r="L716" s="487">
        <v>0</v>
      </c>
      <c r="M716" s="453">
        <v>0</v>
      </c>
      <c r="N716" s="487">
        <v>0</v>
      </c>
      <c r="O716" s="453">
        <v>0</v>
      </c>
      <c r="P716" s="487">
        <v>6</v>
      </c>
      <c r="Q716" s="453">
        <v>1</v>
      </c>
    </row>
    <row r="717" spans="1:17" x14ac:dyDescent="0.25">
      <c r="A717" s="453">
        <v>6530002</v>
      </c>
      <c r="B717" s="487">
        <v>0</v>
      </c>
      <c r="C717" s="453">
        <v>0</v>
      </c>
      <c r="D717" s="487">
        <v>0</v>
      </c>
      <c r="E717" s="453">
        <v>0</v>
      </c>
      <c r="F717" s="487">
        <v>0</v>
      </c>
      <c r="G717" s="453">
        <v>0</v>
      </c>
      <c r="H717" s="487">
        <v>9</v>
      </c>
      <c r="I717" s="453">
        <v>1</v>
      </c>
      <c r="J717" s="487">
        <v>0</v>
      </c>
      <c r="K717" s="453">
        <v>0</v>
      </c>
      <c r="L717" s="487">
        <v>0</v>
      </c>
      <c r="M717" s="453">
        <v>0</v>
      </c>
      <c r="N717" s="487">
        <v>0</v>
      </c>
      <c r="O717" s="453">
        <v>0</v>
      </c>
      <c r="P717" s="487">
        <v>9</v>
      </c>
      <c r="Q717" s="453">
        <v>1</v>
      </c>
    </row>
    <row r="718" spans="1:17" x14ac:dyDescent="0.25">
      <c r="A718" s="800" t="s">
        <v>1939</v>
      </c>
      <c r="B718" s="485">
        <v>22.75</v>
      </c>
      <c r="C718" s="486">
        <v>2</v>
      </c>
      <c r="D718" s="485">
        <v>19.5</v>
      </c>
      <c r="E718" s="486">
        <v>2</v>
      </c>
      <c r="F718" s="485">
        <v>15</v>
      </c>
      <c r="G718" s="486">
        <v>2</v>
      </c>
      <c r="H718" s="485">
        <v>19.5</v>
      </c>
      <c r="I718" s="486">
        <v>2</v>
      </c>
      <c r="J718" s="485">
        <v>97.5</v>
      </c>
      <c r="K718" s="486">
        <v>5</v>
      </c>
      <c r="L718" s="485">
        <v>150</v>
      </c>
      <c r="M718" s="486">
        <v>10</v>
      </c>
      <c r="N718" s="485">
        <v>72.75</v>
      </c>
      <c r="O718" s="486">
        <v>6</v>
      </c>
      <c r="P718" s="485">
        <v>397</v>
      </c>
      <c r="Q718" s="486">
        <v>29</v>
      </c>
    </row>
    <row r="719" spans="1:17" x14ac:dyDescent="0.25">
      <c r="A719" s="453">
        <v>6533686</v>
      </c>
      <c r="B719" s="487">
        <v>0</v>
      </c>
      <c r="C719" s="453">
        <v>0</v>
      </c>
      <c r="D719" s="487">
        <v>0</v>
      </c>
      <c r="E719" s="453">
        <v>0</v>
      </c>
      <c r="F719" s="487">
        <v>0</v>
      </c>
      <c r="G719" s="453">
        <v>0</v>
      </c>
      <c r="H719" s="487">
        <v>0</v>
      </c>
      <c r="I719" s="453">
        <v>0</v>
      </c>
      <c r="J719" s="487">
        <v>0</v>
      </c>
      <c r="K719" s="453">
        <v>0</v>
      </c>
      <c r="L719" s="487">
        <v>25.5</v>
      </c>
      <c r="M719" s="453">
        <v>2</v>
      </c>
      <c r="N719" s="487">
        <v>12.75</v>
      </c>
      <c r="O719" s="453">
        <v>1</v>
      </c>
      <c r="P719" s="487">
        <v>38.25</v>
      </c>
      <c r="Q719" s="453">
        <v>3</v>
      </c>
    </row>
    <row r="720" spans="1:17" x14ac:dyDescent="0.25">
      <c r="A720" s="453">
        <v>6533682</v>
      </c>
      <c r="B720" s="487">
        <v>12.75</v>
      </c>
      <c r="C720" s="453">
        <v>1</v>
      </c>
      <c r="D720" s="487">
        <v>0</v>
      </c>
      <c r="E720" s="453">
        <v>0</v>
      </c>
      <c r="F720" s="487">
        <v>0</v>
      </c>
      <c r="G720" s="453">
        <v>0</v>
      </c>
      <c r="H720" s="487">
        <v>12.75</v>
      </c>
      <c r="I720" s="453">
        <v>1</v>
      </c>
      <c r="J720" s="487">
        <v>12.75</v>
      </c>
      <c r="K720" s="453">
        <v>1</v>
      </c>
      <c r="L720" s="487">
        <v>63.75</v>
      </c>
      <c r="M720" s="453">
        <v>5</v>
      </c>
      <c r="N720" s="487">
        <v>0</v>
      </c>
      <c r="O720" s="453">
        <v>0</v>
      </c>
      <c r="P720" s="487">
        <v>102</v>
      </c>
      <c r="Q720" s="453">
        <v>8</v>
      </c>
    </row>
    <row r="721" spans="1:17" x14ac:dyDescent="0.25">
      <c r="A721" s="453">
        <v>6533698</v>
      </c>
      <c r="B721" s="487">
        <v>0</v>
      </c>
      <c r="C721" s="453">
        <v>0</v>
      </c>
      <c r="D721" s="487">
        <v>0</v>
      </c>
      <c r="E721" s="453">
        <v>0</v>
      </c>
      <c r="F721" s="487">
        <v>8.25</v>
      </c>
      <c r="G721" s="453">
        <v>1</v>
      </c>
      <c r="H721" s="487">
        <v>0</v>
      </c>
      <c r="I721" s="453">
        <v>0</v>
      </c>
      <c r="J721" s="487">
        <v>0</v>
      </c>
      <c r="K721" s="453">
        <v>0</v>
      </c>
      <c r="L721" s="487">
        <v>0</v>
      </c>
      <c r="M721" s="453">
        <v>0</v>
      </c>
      <c r="N721" s="487">
        <v>0</v>
      </c>
      <c r="O721" s="453">
        <v>0</v>
      </c>
      <c r="P721" s="487">
        <v>8.25</v>
      </c>
      <c r="Q721" s="453">
        <v>1</v>
      </c>
    </row>
    <row r="722" spans="1:17" x14ac:dyDescent="0.25">
      <c r="A722" s="453">
        <v>6533684</v>
      </c>
      <c r="B722" s="487">
        <v>0</v>
      </c>
      <c r="C722" s="453">
        <v>0</v>
      </c>
      <c r="D722" s="487">
        <v>0</v>
      </c>
      <c r="E722" s="453">
        <v>0</v>
      </c>
      <c r="F722" s="487">
        <v>6.75</v>
      </c>
      <c r="G722" s="453">
        <v>1</v>
      </c>
      <c r="H722" s="487">
        <v>0</v>
      </c>
      <c r="I722" s="453">
        <v>0</v>
      </c>
      <c r="J722" s="487">
        <v>0</v>
      </c>
      <c r="K722" s="453">
        <v>0</v>
      </c>
      <c r="L722" s="487">
        <v>0</v>
      </c>
      <c r="M722" s="453">
        <v>0</v>
      </c>
      <c r="N722" s="487">
        <v>6.75</v>
      </c>
      <c r="O722" s="453">
        <v>1</v>
      </c>
      <c r="P722" s="487">
        <v>13.5</v>
      </c>
      <c r="Q722" s="453">
        <v>2</v>
      </c>
    </row>
    <row r="723" spans="1:17" x14ac:dyDescent="0.25">
      <c r="A723" s="453">
        <v>6533680</v>
      </c>
      <c r="B723" s="487">
        <v>0</v>
      </c>
      <c r="C723" s="453">
        <v>0</v>
      </c>
      <c r="D723" s="487">
        <v>0</v>
      </c>
      <c r="E723" s="453">
        <v>0</v>
      </c>
      <c r="F723" s="487">
        <v>0</v>
      </c>
      <c r="G723" s="453">
        <v>0</v>
      </c>
      <c r="H723" s="487">
        <v>6.75</v>
      </c>
      <c r="I723" s="453">
        <v>1</v>
      </c>
      <c r="J723" s="487">
        <v>6.75</v>
      </c>
      <c r="K723" s="453">
        <v>1</v>
      </c>
      <c r="L723" s="487">
        <v>6.75</v>
      </c>
      <c r="M723" s="453">
        <v>1</v>
      </c>
      <c r="N723" s="487">
        <v>0</v>
      </c>
      <c r="O723" s="453">
        <v>0</v>
      </c>
      <c r="P723" s="487">
        <v>20.25</v>
      </c>
      <c r="Q723" s="453">
        <v>3</v>
      </c>
    </row>
    <row r="724" spans="1:17" x14ac:dyDescent="0.25">
      <c r="A724" s="453">
        <v>6533029</v>
      </c>
      <c r="B724" s="487">
        <v>0</v>
      </c>
      <c r="C724" s="453">
        <v>0</v>
      </c>
      <c r="D724" s="487">
        <v>0</v>
      </c>
      <c r="E724" s="453">
        <v>0</v>
      </c>
      <c r="F724" s="487">
        <v>0</v>
      </c>
      <c r="G724" s="453">
        <v>0</v>
      </c>
      <c r="H724" s="487">
        <v>0</v>
      </c>
      <c r="I724" s="453">
        <v>0</v>
      </c>
      <c r="J724" s="487">
        <v>0</v>
      </c>
      <c r="K724" s="453">
        <v>0</v>
      </c>
      <c r="L724" s="487">
        <v>0</v>
      </c>
      <c r="M724" s="453">
        <v>0</v>
      </c>
      <c r="N724" s="487">
        <v>7.25</v>
      </c>
      <c r="O724" s="453">
        <v>1</v>
      </c>
      <c r="P724" s="487">
        <v>7.25</v>
      </c>
      <c r="Q724" s="453">
        <v>1</v>
      </c>
    </row>
    <row r="725" spans="1:17" x14ac:dyDescent="0.25">
      <c r="A725" s="453">
        <v>6533681</v>
      </c>
      <c r="B725" s="487">
        <v>0</v>
      </c>
      <c r="C725" s="453">
        <v>0</v>
      </c>
      <c r="D725" s="487">
        <v>19.5</v>
      </c>
      <c r="E725" s="453">
        <v>2</v>
      </c>
      <c r="F725" s="487">
        <v>0</v>
      </c>
      <c r="G725" s="453">
        <v>0</v>
      </c>
      <c r="H725" s="487">
        <v>0</v>
      </c>
      <c r="I725" s="453">
        <v>0</v>
      </c>
      <c r="J725" s="487">
        <v>0</v>
      </c>
      <c r="K725" s="453">
        <v>0</v>
      </c>
      <c r="L725" s="487">
        <v>0</v>
      </c>
      <c r="M725" s="453">
        <v>0</v>
      </c>
      <c r="N725" s="487">
        <v>9.75</v>
      </c>
      <c r="O725" s="453">
        <v>1</v>
      </c>
      <c r="P725" s="487">
        <v>29.25</v>
      </c>
      <c r="Q725" s="453">
        <v>3</v>
      </c>
    </row>
    <row r="726" spans="1:17" x14ac:dyDescent="0.25">
      <c r="A726" s="453">
        <v>6533591</v>
      </c>
      <c r="B726" s="487">
        <v>10</v>
      </c>
      <c r="C726" s="453">
        <v>1</v>
      </c>
      <c r="D726" s="487">
        <v>0</v>
      </c>
      <c r="E726" s="453">
        <v>0</v>
      </c>
      <c r="F726" s="487">
        <v>0</v>
      </c>
      <c r="G726" s="453">
        <v>0</v>
      </c>
      <c r="H726" s="487">
        <v>0</v>
      </c>
      <c r="I726" s="453">
        <v>0</v>
      </c>
      <c r="J726" s="487">
        <v>0</v>
      </c>
      <c r="K726" s="453">
        <v>0</v>
      </c>
      <c r="L726" s="487">
        <v>0</v>
      </c>
      <c r="M726" s="453">
        <v>0</v>
      </c>
      <c r="N726" s="487">
        <v>0</v>
      </c>
      <c r="O726" s="453">
        <v>0</v>
      </c>
      <c r="P726" s="487">
        <v>10</v>
      </c>
      <c r="Q726" s="453">
        <v>1</v>
      </c>
    </row>
    <row r="727" spans="1:17" x14ac:dyDescent="0.25">
      <c r="A727" s="453">
        <v>6533030</v>
      </c>
      <c r="B727" s="487">
        <v>0</v>
      </c>
      <c r="C727" s="453">
        <v>0</v>
      </c>
      <c r="D727" s="487">
        <v>0</v>
      </c>
      <c r="E727" s="453">
        <v>0</v>
      </c>
      <c r="F727" s="487">
        <v>0</v>
      </c>
      <c r="G727" s="453">
        <v>0</v>
      </c>
      <c r="H727" s="487">
        <v>0</v>
      </c>
      <c r="I727" s="453">
        <v>0</v>
      </c>
      <c r="J727" s="487">
        <v>0</v>
      </c>
      <c r="K727" s="453">
        <v>0</v>
      </c>
      <c r="L727" s="487">
        <v>0</v>
      </c>
      <c r="M727" s="453">
        <v>0</v>
      </c>
      <c r="N727" s="487">
        <v>10.25</v>
      </c>
      <c r="O727" s="453">
        <v>1</v>
      </c>
      <c r="P727" s="487">
        <v>10.25</v>
      </c>
      <c r="Q727" s="453">
        <v>1</v>
      </c>
    </row>
    <row r="728" spans="1:17" x14ac:dyDescent="0.25">
      <c r="A728" s="453">
        <v>6533687</v>
      </c>
      <c r="B728" s="487">
        <v>0</v>
      </c>
      <c r="C728" s="453">
        <v>0</v>
      </c>
      <c r="D728" s="487">
        <v>0</v>
      </c>
      <c r="E728" s="453">
        <v>0</v>
      </c>
      <c r="F728" s="487">
        <v>0</v>
      </c>
      <c r="G728" s="453">
        <v>0</v>
      </c>
      <c r="H728" s="487">
        <v>0</v>
      </c>
      <c r="I728" s="453">
        <v>0</v>
      </c>
      <c r="J728" s="487">
        <v>52</v>
      </c>
      <c r="K728" s="453">
        <v>2</v>
      </c>
      <c r="L728" s="487">
        <v>26</v>
      </c>
      <c r="M728" s="453">
        <v>1</v>
      </c>
      <c r="N728" s="487">
        <v>0</v>
      </c>
      <c r="O728" s="453">
        <v>0</v>
      </c>
      <c r="P728" s="487">
        <v>78</v>
      </c>
      <c r="Q728" s="453">
        <v>3</v>
      </c>
    </row>
    <row r="729" spans="1:17" x14ac:dyDescent="0.25">
      <c r="A729" s="453">
        <v>6533683</v>
      </c>
      <c r="B729" s="487">
        <v>0</v>
      </c>
      <c r="C729" s="453">
        <v>0</v>
      </c>
      <c r="D729" s="487">
        <v>0</v>
      </c>
      <c r="E729" s="453">
        <v>0</v>
      </c>
      <c r="F729" s="487">
        <v>0</v>
      </c>
      <c r="G729" s="453">
        <v>0</v>
      </c>
      <c r="H729" s="487">
        <v>0</v>
      </c>
      <c r="I729" s="453">
        <v>0</v>
      </c>
      <c r="J729" s="487">
        <v>26</v>
      </c>
      <c r="K729" s="453">
        <v>1</v>
      </c>
      <c r="L729" s="487">
        <v>0</v>
      </c>
      <c r="M729" s="453">
        <v>0</v>
      </c>
      <c r="N729" s="487">
        <v>26</v>
      </c>
      <c r="O729" s="453">
        <v>1</v>
      </c>
      <c r="P729" s="487">
        <v>52</v>
      </c>
      <c r="Q729" s="453">
        <v>2</v>
      </c>
    </row>
    <row r="730" spans="1:17" x14ac:dyDescent="0.25">
      <c r="A730" s="453">
        <v>6533593</v>
      </c>
      <c r="B730" s="487">
        <v>0</v>
      </c>
      <c r="C730" s="453">
        <v>0</v>
      </c>
      <c r="D730" s="487">
        <v>0</v>
      </c>
      <c r="E730" s="453">
        <v>0</v>
      </c>
      <c r="F730" s="487">
        <v>0</v>
      </c>
      <c r="G730" s="453">
        <v>0</v>
      </c>
      <c r="H730" s="487">
        <v>0</v>
      </c>
      <c r="I730" s="453">
        <v>0</v>
      </c>
      <c r="J730" s="487">
        <v>0</v>
      </c>
      <c r="K730" s="453">
        <v>0</v>
      </c>
      <c r="L730" s="487">
        <v>28</v>
      </c>
      <c r="M730" s="453">
        <v>1</v>
      </c>
      <c r="N730" s="487">
        <v>0</v>
      </c>
      <c r="O730" s="453">
        <v>0</v>
      </c>
      <c r="P730" s="487">
        <v>28</v>
      </c>
      <c r="Q730" s="453">
        <v>1</v>
      </c>
    </row>
    <row r="731" spans="1:17" x14ac:dyDescent="0.25">
      <c r="A731" s="800" t="s">
        <v>1939</v>
      </c>
      <c r="B731" s="485">
        <v>0</v>
      </c>
      <c r="C731" s="486">
        <v>0</v>
      </c>
      <c r="D731" s="485">
        <v>21</v>
      </c>
      <c r="E731" s="486">
        <v>3</v>
      </c>
      <c r="F731" s="485">
        <v>7</v>
      </c>
      <c r="G731" s="486">
        <v>1</v>
      </c>
      <c r="H731" s="485">
        <v>7</v>
      </c>
      <c r="I731" s="486">
        <v>1</v>
      </c>
      <c r="J731" s="485">
        <v>44.989999999999995</v>
      </c>
      <c r="K731" s="486">
        <v>5</v>
      </c>
      <c r="L731" s="485">
        <v>138.97999999999999</v>
      </c>
      <c r="M731" s="486">
        <v>17</v>
      </c>
      <c r="N731" s="485">
        <v>7</v>
      </c>
      <c r="O731" s="486">
        <v>1</v>
      </c>
      <c r="P731" s="485">
        <v>225.96999999999997</v>
      </c>
      <c r="Q731" s="486">
        <v>28</v>
      </c>
    </row>
    <row r="732" spans="1:17" x14ac:dyDescent="0.25">
      <c r="A732" s="453">
        <v>6550102</v>
      </c>
      <c r="B732" s="487">
        <v>0</v>
      </c>
      <c r="C732" s="453">
        <v>0</v>
      </c>
      <c r="D732" s="487">
        <v>0</v>
      </c>
      <c r="E732" s="453">
        <v>0</v>
      </c>
      <c r="F732" s="487">
        <v>0</v>
      </c>
      <c r="G732" s="453">
        <v>0</v>
      </c>
      <c r="H732" s="487">
        <v>0</v>
      </c>
      <c r="I732" s="453">
        <v>0</v>
      </c>
      <c r="J732" s="487">
        <v>0</v>
      </c>
      <c r="K732" s="453">
        <v>0</v>
      </c>
      <c r="L732" s="487">
        <v>0</v>
      </c>
      <c r="M732" s="453">
        <v>0</v>
      </c>
      <c r="N732" s="487">
        <v>7</v>
      </c>
      <c r="O732" s="453">
        <v>1</v>
      </c>
      <c r="P732" s="487">
        <v>7</v>
      </c>
      <c r="Q732" s="453">
        <v>1</v>
      </c>
    </row>
    <row r="733" spans="1:17" x14ac:dyDescent="0.25">
      <c r="A733" s="453">
        <v>6550203</v>
      </c>
      <c r="B733" s="487">
        <v>0</v>
      </c>
      <c r="C733" s="453">
        <v>0</v>
      </c>
      <c r="D733" s="487">
        <v>14</v>
      </c>
      <c r="E733" s="453">
        <v>2</v>
      </c>
      <c r="F733" s="487">
        <v>7</v>
      </c>
      <c r="G733" s="453">
        <v>1</v>
      </c>
      <c r="H733" s="487">
        <v>0</v>
      </c>
      <c r="I733" s="453">
        <v>0</v>
      </c>
      <c r="J733" s="487">
        <v>14</v>
      </c>
      <c r="K733" s="453">
        <v>2</v>
      </c>
      <c r="L733" s="487">
        <v>42</v>
      </c>
      <c r="M733" s="453">
        <v>6</v>
      </c>
      <c r="N733" s="487">
        <v>0</v>
      </c>
      <c r="O733" s="453">
        <v>0</v>
      </c>
      <c r="P733" s="487">
        <v>77</v>
      </c>
      <c r="Q733" s="453">
        <v>11</v>
      </c>
    </row>
    <row r="734" spans="1:17" x14ac:dyDescent="0.25">
      <c r="A734" s="453">
        <v>6550131</v>
      </c>
      <c r="B734" s="487">
        <v>0</v>
      </c>
      <c r="C734" s="453">
        <v>0</v>
      </c>
      <c r="D734" s="487">
        <v>0</v>
      </c>
      <c r="E734" s="453">
        <v>0</v>
      </c>
      <c r="F734" s="487">
        <v>0</v>
      </c>
      <c r="G734" s="453">
        <v>0</v>
      </c>
      <c r="H734" s="487">
        <v>0</v>
      </c>
      <c r="I734" s="453">
        <v>0</v>
      </c>
      <c r="J734" s="487">
        <v>16.989999999999998</v>
      </c>
      <c r="K734" s="453">
        <v>1</v>
      </c>
      <c r="L734" s="487">
        <v>33.979999999999997</v>
      </c>
      <c r="M734" s="453">
        <v>2</v>
      </c>
      <c r="N734" s="487">
        <v>0</v>
      </c>
      <c r="O734" s="453">
        <v>0</v>
      </c>
      <c r="P734" s="487">
        <v>50.97</v>
      </c>
      <c r="Q734" s="453">
        <v>3</v>
      </c>
    </row>
    <row r="735" spans="1:17" x14ac:dyDescent="0.25">
      <c r="A735" s="453">
        <v>6550100</v>
      </c>
      <c r="B735" s="487">
        <v>0</v>
      </c>
      <c r="C735" s="453">
        <v>0</v>
      </c>
      <c r="D735" s="487">
        <v>7</v>
      </c>
      <c r="E735" s="453">
        <v>1</v>
      </c>
      <c r="F735" s="487">
        <v>0</v>
      </c>
      <c r="G735" s="453">
        <v>0</v>
      </c>
      <c r="H735" s="487">
        <v>7</v>
      </c>
      <c r="I735" s="453">
        <v>1</v>
      </c>
      <c r="J735" s="487">
        <v>14</v>
      </c>
      <c r="K735" s="453">
        <v>2</v>
      </c>
      <c r="L735" s="487">
        <v>63</v>
      </c>
      <c r="M735" s="453">
        <v>9</v>
      </c>
      <c r="N735" s="487">
        <v>0</v>
      </c>
      <c r="O735" s="453">
        <v>0</v>
      </c>
      <c r="P735" s="487">
        <v>91</v>
      </c>
      <c r="Q735" s="453">
        <v>13</v>
      </c>
    </row>
    <row r="736" spans="1:17" x14ac:dyDescent="0.25">
      <c r="A736" s="800" t="s">
        <v>1939</v>
      </c>
      <c r="B736" s="485">
        <v>0</v>
      </c>
      <c r="C736" s="486">
        <v>6</v>
      </c>
      <c r="D736" s="485">
        <v>0</v>
      </c>
      <c r="E736" s="486">
        <v>5</v>
      </c>
      <c r="F736" s="485">
        <v>0</v>
      </c>
      <c r="G736" s="486">
        <v>0</v>
      </c>
      <c r="H736" s="485">
        <v>0</v>
      </c>
      <c r="I736" s="486">
        <v>6</v>
      </c>
      <c r="J736" s="485">
        <v>0</v>
      </c>
      <c r="K736" s="486">
        <v>10</v>
      </c>
      <c r="L736" s="485">
        <v>0</v>
      </c>
      <c r="M736" s="486">
        <v>14</v>
      </c>
      <c r="N736" s="485">
        <v>0</v>
      </c>
      <c r="O736" s="486">
        <v>10</v>
      </c>
      <c r="P736" s="485">
        <v>0</v>
      </c>
      <c r="Q736" s="486">
        <v>51</v>
      </c>
    </row>
    <row r="737" spans="1:17" x14ac:dyDescent="0.25">
      <c r="A737" s="800" t="s">
        <v>1939</v>
      </c>
      <c r="B737" s="485">
        <v>0</v>
      </c>
      <c r="C737" s="486">
        <v>6</v>
      </c>
      <c r="D737" s="485">
        <v>0</v>
      </c>
      <c r="E737" s="486">
        <v>5</v>
      </c>
      <c r="F737" s="485">
        <v>0</v>
      </c>
      <c r="G737" s="486">
        <v>0</v>
      </c>
      <c r="H737" s="485">
        <v>0</v>
      </c>
      <c r="I737" s="486">
        <v>6</v>
      </c>
      <c r="J737" s="485">
        <v>0</v>
      </c>
      <c r="K737" s="486">
        <v>10</v>
      </c>
      <c r="L737" s="485">
        <v>0</v>
      </c>
      <c r="M737" s="486">
        <v>14</v>
      </c>
      <c r="N737" s="485">
        <v>0</v>
      </c>
      <c r="O737" s="486">
        <v>10</v>
      </c>
      <c r="P737" s="485">
        <v>0</v>
      </c>
      <c r="Q737" s="486">
        <v>51</v>
      </c>
    </row>
    <row r="738" spans="1:17" x14ac:dyDescent="0.25">
      <c r="A738" s="453">
        <v>1066</v>
      </c>
      <c r="B738" s="487">
        <v>0</v>
      </c>
      <c r="C738" s="453">
        <v>2</v>
      </c>
      <c r="D738" s="487">
        <v>0</v>
      </c>
      <c r="E738" s="453">
        <v>2</v>
      </c>
      <c r="F738" s="487">
        <v>0</v>
      </c>
      <c r="G738" s="453">
        <v>0</v>
      </c>
      <c r="H738" s="487">
        <v>0</v>
      </c>
      <c r="I738" s="453">
        <v>3</v>
      </c>
      <c r="J738" s="487">
        <v>0</v>
      </c>
      <c r="K738" s="453">
        <v>4</v>
      </c>
      <c r="L738" s="487">
        <v>0</v>
      </c>
      <c r="M738" s="453">
        <v>5</v>
      </c>
      <c r="N738" s="487">
        <v>0</v>
      </c>
      <c r="O738" s="453">
        <v>4</v>
      </c>
      <c r="P738" s="487">
        <v>0</v>
      </c>
      <c r="Q738" s="453">
        <v>20</v>
      </c>
    </row>
    <row r="739" spans="1:17" x14ac:dyDescent="0.25">
      <c r="A739" s="453">
        <v>1063</v>
      </c>
      <c r="B739" s="487">
        <v>0</v>
      </c>
      <c r="C739" s="453">
        <v>1</v>
      </c>
      <c r="D739" s="487">
        <v>0</v>
      </c>
      <c r="E739" s="453">
        <v>1</v>
      </c>
      <c r="F739" s="487">
        <v>0</v>
      </c>
      <c r="G739" s="453">
        <v>0</v>
      </c>
      <c r="H739" s="487">
        <v>0</v>
      </c>
      <c r="I739" s="453">
        <v>0</v>
      </c>
      <c r="J739" s="487">
        <v>0</v>
      </c>
      <c r="K739" s="453">
        <v>2</v>
      </c>
      <c r="L739" s="487">
        <v>0</v>
      </c>
      <c r="M739" s="453">
        <v>2</v>
      </c>
      <c r="N739" s="487">
        <v>0</v>
      </c>
      <c r="O739" s="453">
        <v>2</v>
      </c>
      <c r="P739" s="487">
        <v>0</v>
      </c>
      <c r="Q739" s="453">
        <v>8</v>
      </c>
    </row>
    <row r="740" spans="1:17" x14ac:dyDescent="0.25">
      <c r="A740" s="453">
        <v>1053</v>
      </c>
      <c r="B740" s="487">
        <v>0</v>
      </c>
      <c r="C740" s="453">
        <v>1</v>
      </c>
      <c r="D740" s="487">
        <v>0</v>
      </c>
      <c r="E740" s="453">
        <v>0</v>
      </c>
      <c r="F740" s="487">
        <v>0</v>
      </c>
      <c r="G740" s="453">
        <v>0</v>
      </c>
      <c r="H740" s="487">
        <v>0</v>
      </c>
      <c r="I740" s="453">
        <v>0</v>
      </c>
      <c r="J740" s="487">
        <v>0</v>
      </c>
      <c r="K740" s="453">
        <v>0</v>
      </c>
      <c r="L740" s="487">
        <v>0</v>
      </c>
      <c r="M740" s="453">
        <v>2</v>
      </c>
      <c r="N740" s="487">
        <v>0</v>
      </c>
      <c r="O740" s="453">
        <v>0</v>
      </c>
      <c r="P740" s="487">
        <v>0</v>
      </c>
      <c r="Q740" s="453">
        <v>3</v>
      </c>
    </row>
    <row r="741" spans="1:17" x14ac:dyDescent="0.25">
      <c r="A741" s="453">
        <v>1067</v>
      </c>
      <c r="B741" s="487">
        <v>0</v>
      </c>
      <c r="C741" s="453">
        <v>2</v>
      </c>
      <c r="D741" s="487">
        <v>0</v>
      </c>
      <c r="E741" s="453">
        <v>2</v>
      </c>
      <c r="F741" s="487">
        <v>0</v>
      </c>
      <c r="G741" s="453">
        <v>0</v>
      </c>
      <c r="H741" s="487">
        <v>0</v>
      </c>
      <c r="I741" s="453">
        <v>3</v>
      </c>
      <c r="J741" s="487">
        <v>0</v>
      </c>
      <c r="K741" s="453">
        <v>4</v>
      </c>
      <c r="L741" s="487">
        <v>0</v>
      </c>
      <c r="M741" s="453">
        <v>5</v>
      </c>
      <c r="N741" s="487">
        <v>0</v>
      </c>
      <c r="O741" s="453">
        <v>4</v>
      </c>
      <c r="P741" s="487">
        <v>0</v>
      </c>
      <c r="Q741" s="453">
        <v>20</v>
      </c>
    </row>
    <row r="742" spans="1:17" x14ac:dyDescent="0.25">
      <c r="A742" s="453">
        <v>6533701</v>
      </c>
      <c r="B742" s="487">
        <v>0</v>
      </c>
      <c r="C742" s="453">
        <v>0</v>
      </c>
      <c r="D742" s="487">
        <v>34</v>
      </c>
      <c r="E742" s="453">
        <v>1</v>
      </c>
      <c r="F742" s="487">
        <v>0</v>
      </c>
      <c r="G742" s="453">
        <v>0</v>
      </c>
      <c r="H742" s="487">
        <v>0</v>
      </c>
      <c r="I742" s="453">
        <v>0</v>
      </c>
      <c r="J742" s="487">
        <v>0</v>
      </c>
      <c r="K742" s="453">
        <v>0</v>
      </c>
      <c r="L742" s="487">
        <v>0</v>
      </c>
      <c r="M742" s="453">
        <v>0</v>
      </c>
      <c r="N742" s="487">
        <v>0</v>
      </c>
      <c r="O742" s="453">
        <v>0</v>
      </c>
      <c r="P742" s="487">
        <v>34</v>
      </c>
      <c r="Q742" s="453">
        <v>1</v>
      </c>
    </row>
    <row r="743" spans="1:17" x14ac:dyDescent="0.25">
      <c r="A743" s="453">
        <v>6533687</v>
      </c>
      <c r="B743" s="487">
        <v>0</v>
      </c>
      <c r="C743" s="453">
        <v>0</v>
      </c>
      <c r="D743" s="487">
        <v>0</v>
      </c>
      <c r="E743" s="453">
        <v>0</v>
      </c>
      <c r="F743" s="487">
        <v>0</v>
      </c>
      <c r="G743" s="453">
        <v>0</v>
      </c>
      <c r="H743" s="487">
        <v>0</v>
      </c>
      <c r="I743" s="453">
        <v>0</v>
      </c>
      <c r="J743" s="487">
        <v>0</v>
      </c>
      <c r="K743" s="453">
        <v>0</v>
      </c>
      <c r="L743" s="487">
        <v>0</v>
      </c>
      <c r="M743" s="453">
        <v>0</v>
      </c>
      <c r="N743" s="487">
        <v>26</v>
      </c>
      <c r="O743" s="453">
        <v>1</v>
      </c>
      <c r="P743" s="487">
        <v>26</v>
      </c>
      <c r="Q743" s="453">
        <v>1</v>
      </c>
    </row>
    <row r="744" spans="1:17" x14ac:dyDescent="0.25">
      <c r="A744" s="453"/>
      <c r="B744" s="487">
        <v>63</v>
      </c>
      <c r="C744" s="453">
        <v>9</v>
      </c>
      <c r="D744" s="487">
        <v>63</v>
      </c>
      <c r="E744" s="453">
        <v>9</v>
      </c>
      <c r="F744" s="487">
        <v>28</v>
      </c>
      <c r="G744" s="453">
        <v>4</v>
      </c>
      <c r="H744" s="487">
        <v>7</v>
      </c>
      <c r="I744" s="453">
        <v>1</v>
      </c>
      <c r="J744" s="487">
        <v>35</v>
      </c>
      <c r="K744" s="453">
        <v>5</v>
      </c>
      <c r="L744" s="487">
        <v>77</v>
      </c>
      <c r="M744" s="453">
        <v>11</v>
      </c>
      <c r="N744" s="487">
        <v>28</v>
      </c>
      <c r="O744" s="453">
        <v>4</v>
      </c>
      <c r="P744" s="487">
        <v>301</v>
      </c>
      <c r="Q744" s="453">
        <v>43</v>
      </c>
    </row>
    <row r="745" spans="1:17" x14ac:dyDescent="0.25">
      <c r="A745" s="453">
        <v>6550102</v>
      </c>
      <c r="B745" s="487">
        <v>0</v>
      </c>
      <c r="C745" s="453">
        <v>0</v>
      </c>
      <c r="D745" s="487">
        <v>7</v>
      </c>
      <c r="E745" s="453">
        <v>1</v>
      </c>
      <c r="F745" s="487">
        <v>0</v>
      </c>
      <c r="G745" s="453">
        <v>0</v>
      </c>
      <c r="H745" s="487">
        <v>0</v>
      </c>
      <c r="I745" s="453">
        <v>0</v>
      </c>
      <c r="J745" s="487">
        <v>0</v>
      </c>
      <c r="K745" s="453">
        <v>0</v>
      </c>
      <c r="L745" s="487">
        <v>0</v>
      </c>
      <c r="M745" s="453">
        <v>0</v>
      </c>
      <c r="N745" s="487">
        <v>0</v>
      </c>
      <c r="O745" s="453">
        <v>0</v>
      </c>
      <c r="P745" s="487">
        <v>7</v>
      </c>
      <c r="Q745" s="453">
        <v>1</v>
      </c>
    </row>
    <row r="746" spans="1:17" x14ac:dyDescent="0.25">
      <c r="A746" s="453">
        <v>6550203</v>
      </c>
      <c r="B746" s="487">
        <v>28</v>
      </c>
      <c r="C746" s="453">
        <v>4</v>
      </c>
      <c r="D746" s="487">
        <v>28</v>
      </c>
      <c r="E746" s="453">
        <v>4</v>
      </c>
      <c r="F746" s="487">
        <v>0</v>
      </c>
      <c r="G746" s="453">
        <v>0</v>
      </c>
      <c r="H746" s="487">
        <v>7</v>
      </c>
      <c r="I746" s="453">
        <v>1</v>
      </c>
      <c r="J746" s="487">
        <v>7</v>
      </c>
      <c r="K746" s="453">
        <v>1</v>
      </c>
      <c r="L746" s="487">
        <v>0</v>
      </c>
      <c r="M746" s="453">
        <v>0</v>
      </c>
      <c r="N746" s="487">
        <v>0</v>
      </c>
      <c r="O746" s="453">
        <v>0</v>
      </c>
      <c r="P746" s="487">
        <v>70</v>
      </c>
      <c r="Q746" s="453">
        <v>10</v>
      </c>
    </row>
    <row r="747" spans="1:17" x14ac:dyDescent="0.25">
      <c r="A747" s="453">
        <v>6550100</v>
      </c>
      <c r="B747" s="487">
        <v>35</v>
      </c>
      <c r="C747" s="453">
        <v>5</v>
      </c>
      <c r="D747" s="487">
        <v>28</v>
      </c>
      <c r="E747" s="453">
        <v>4</v>
      </c>
      <c r="F747" s="487">
        <v>28</v>
      </c>
      <c r="G747" s="453">
        <v>4</v>
      </c>
      <c r="H747" s="487">
        <v>0</v>
      </c>
      <c r="I747" s="453">
        <v>0</v>
      </c>
      <c r="J747" s="487">
        <v>28</v>
      </c>
      <c r="K747" s="453">
        <v>4</v>
      </c>
      <c r="L747" s="487">
        <v>77</v>
      </c>
      <c r="M747" s="453">
        <v>11</v>
      </c>
      <c r="N747" s="487">
        <v>28</v>
      </c>
      <c r="O747" s="453">
        <v>4</v>
      </c>
      <c r="P747" s="487">
        <v>224</v>
      </c>
      <c r="Q747" s="453">
        <v>32</v>
      </c>
    </row>
    <row r="748" spans="1:17" x14ac:dyDescent="0.25">
      <c r="A748" s="453"/>
      <c r="B748" s="487">
        <v>0</v>
      </c>
      <c r="C748" s="453">
        <v>6</v>
      </c>
      <c r="D748" s="487">
        <v>0</v>
      </c>
      <c r="E748" s="453">
        <v>9</v>
      </c>
      <c r="F748" s="487">
        <v>0</v>
      </c>
      <c r="G748" s="453">
        <v>12</v>
      </c>
      <c r="H748" s="487">
        <v>0</v>
      </c>
      <c r="I748" s="453">
        <v>5</v>
      </c>
      <c r="J748" s="487">
        <v>0</v>
      </c>
      <c r="K748" s="453">
        <v>15</v>
      </c>
      <c r="L748" s="487">
        <v>0</v>
      </c>
      <c r="M748" s="453">
        <v>8</v>
      </c>
      <c r="N748" s="487">
        <v>0</v>
      </c>
      <c r="O748" s="453">
        <v>14</v>
      </c>
      <c r="P748" s="487">
        <v>0</v>
      </c>
      <c r="Q748" s="453">
        <v>69</v>
      </c>
    </row>
    <row r="749" spans="1:17" x14ac:dyDescent="0.25">
      <c r="A749" s="453"/>
      <c r="B749" s="487">
        <v>0</v>
      </c>
      <c r="C749" s="453">
        <v>6</v>
      </c>
      <c r="D749" s="487">
        <v>0</v>
      </c>
      <c r="E749" s="453">
        <v>9</v>
      </c>
      <c r="F749" s="487">
        <v>0</v>
      </c>
      <c r="G749" s="453">
        <v>12</v>
      </c>
      <c r="H749" s="487">
        <v>0</v>
      </c>
      <c r="I749" s="453">
        <v>5</v>
      </c>
      <c r="J749" s="487">
        <v>0</v>
      </c>
      <c r="K749" s="453">
        <v>15</v>
      </c>
      <c r="L749" s="487">
        <v>0</v>
      </c>
      <c r="M749" s="453">
        <v>8</v>
      </c>
      <c r="N749" s="487">
        <v>0</v>
      </c>
      <c r="O749" s="453">
        <v>14</v>
      </c>
      <c r="P749" s="487">
        <v>0</v>
      </c>
      <c r="Q749" s="453">
        <v>69</v>
      </c>
    </row>
    <row r="750" spans="1:17" x14ac:dyDescent="0.25">
      <c r="A750" s="453">
        <v>1066</v>
      </c>
      <c r="B750" s="487">
        <v>0</v>
      </c>
      <c r="C750" s="453">
        <v>3</v>
      </c>
      <c r="D750" s="487">
        <v>0</v>
      </c>
      <c r="E750" s="453">
        <v>3</v>
      </c>
      <c r="F750" s="487">
        <v>0</v>
      </c>
      <c r="G750" s="453">
        <v>6</v>
      </c>
      <c r="H750" s="487">
        <v>0</v>
      </c>
      <c r="I750" s="453">
        <v>2</v>
      </c>
      <c r="J750" s="487">
        <v>0</v>
      </c>
      <c r="K750" s="453">
        <v>6</v>
      </c>
      <c r="L750" s="487">
        <v>0</v>
      </c>
      <c r="M750" s="453">
        <v>2</v>
      </c>
      <c r="N750" s="487">
        <v>0</v>
      </c>
      <c r="O750" s="453">
        <v>5</v>
      </c>
      <c r="P750" s="487">
        <v>0</v>
      </c>
      <c r="Q750" s="453">
        <v>27</v>
      </c>
    </row>
    <row r="751" spans="1:17" x14ac:dyDescent="0.25">
      <c r="A751" s="453">
        <v>1063</v>
      </c>
      <c r="B751" s="487">
        <v>0</v>
      </c>
      <c r="C751" s="453">
        <v>0</v>
      </c>
      <c r="D751" s="487">
        <v>0</v>
      </c>
      <c r="E751" s="453">
        <v>3</v>
      </c>
      <c r="F751" s="487">
        <v>0</v>
      </c>
      <c r="G751" s="453">
        <v>0</v>
      </c>
      <c r="H751" s="487">
        <v>0</v>
      </c>
      <c r="I751" s="453">
        <v>0</v>
      </c>
      <c r="J751" s="487">
        <v>0</v>
      </c>
      <c r="K751" s="453">
        <v>1</v>
      </c>
      <c r="L751" s="487">
        <v>0</v>
      </c>
      <c r="M751" s="453">
        <v>1</v>
      </c>
      <c r="N751" s="487">
        <v>0</v>
      </c>
      <c r="O751" s="453">
        <v>4</v>
      </c>
      <c r="P751" s="487">
        <v>0</v>
      </c>
      <c r="Q751" s="453">
        <v>9</v>
      </c>
    </row>
    <row r="752" spans="1:17" x14ac:dyDescent="0.25">
      <c r="A752" s="453">
        <v>1053</v>
      </c>
      <c r="B752" s="487">
        <v>0</v>
      </c>
      <c r="C752" s="453">
        <v>0</v>
      </c>
      <c r="D752" s="487">
        <v>0</v>
      </c>
      <c r="E752" s="453">
        <v>0</v>
      </c>
      <c r="F752" s="487">
        <v>0</v>
      </c>
      <c r="G752" s="453">
        <v>0</v>
      </c>
      <c r="H752" s="487">
        <v>0</v>
      </c>
      <c r="I752" s="453">
        <v>1</v>
      </c>
      <c r="J752" s="487">
        <v>0</v>
      </c>
      <c r="K752" s="453">
        <v>2</v>
      </c>
      <c r="L752" s="487">
        <v>0</v>
      </c>
      <c r="M752" s="453">
        <v>3</v>
      </c>
      <c r="N752" s="487">
        <v>0</v>
      </c>
      <c r="O752" s="453">
        <v>0</v>
      </c>
      <c r="P752" s="487">
        <v>0</v>
      </c>
      <c r="Q752" s="453">
        <v>6</v>
      </c>
    </row>
    <row r="753" spans="1:17" x14ac:dyDescent="0.25">
      <c r="A753" s="486">
        <v>1067</v>
      </c>
      <c r="B753" s="485">
        <v>0</v>
      </c>
      <c r="C753" s="486">
        <v>3</v>
      </c>
      <c r="D753" s="485">
        <v>0</v>
      </c>
      <c r="E753" s="486">
        <v>3</v>
      </c>
      <c r="F753" s="485">
        <v>0</v>
      </c>
      <c r="G753" s="486">
        <v>6</v>
      </c>
      <c r="H753" s="485">
        <v>0</v>
      </c>
      <c r="I753" s="486">
        <v>2</v>
      </c>
      <c r="J753" s="485">
        <v>0</v>
      </c>
      <c r="K753" s="486">
        <v>6</v>
      </c>
      <c r="L753" s="485">
        <v>0</v>
      </c>
      <c r="M753" s="486">
        <v>2</v>
      </c>
      <c r="N753" s="485">
        <v>0</v>
      </c>
      <c r="O753" s="486">
        <v>5</v>
      </c>
      <c r="P753" s="485">
        <v>0</v>
      </c>
      <c r="Q753" s="486">
        <v>27</v>
      </c>
    </row>
    <row r="754" spans="1:17" x14ac:dyDescent="0.25">
      <c r="A754" s="453">
        <v>6550203</v>
      </c>
      <c r="B754" s="487">
        <v>0</v>
      </c>
      <c r="C754" s="453">
        <v>0</v>
      </c>
      <c r="D754" s="487">
        <v>7</v>
      </c>
      <c r="E754" s="453">
        <v>1</v>
      </c>
      <c r="F754" s="487">
        <v>0</v>
      </c>
      <c r="G754" s="453">
        <v>0</v>
      </c>
      <c r="H754" s="487">
        <v>0</v>
      </c>
      <c r="I754" s="453">
        <v>0</v>
      </c>
      <c r="J754" s="487">
        <v>7</v>
      </c>
      <c r="K754" s="453">
        <v>1</v>
      </c>
      <c r="L754" s="487">
        <v>7</v>
      </c>
      <c r="M754" s="453">
        <v>1</v>
      </c>
      <c r="N754" s="487">
        <v>21</v>
      </c>
      <c r="O754" s="453">
        <v>3</v>
      </c>
      <c r="P754" s="487">
        <v>42</v>
      </c>
      <c r="Q754" s="453">
        <v>6</v>
      </c>
    </row>
    <row r="755" spans="1:17" x14ac:dyDescent="0.25">
      <c r="A755" s="453">
        <v>6550100</v>
      </c>
      <c r="B755" s="487">
        <v>0</v>
      </c>
      <c r="C755" s="453">
        <v>0</v>
      </c>
      <c r="D755" s="487">
        <v>7</v>
      </c>
      <c r="E755" s="453">
        <v>1</v>
      </c>
      <c r="F755" s="487">
        <v>7</v>
      </c>
      <c r="G755" s="453">
        <v>1</v>
      </c>
      <c r="H755" s="487">
        <v>35</v>
      </c>
      <c r="I755" s="453">
        <v>5</v>
      </c>
      <c r="J755" s="487">
        <v>56</v>
      </c>
      <c r="K755" s="453">
        <v>8</v>
      </c>
      <c r="L755" s="487">
        <v>28</v>
      </c>
      <c r="M755" s="453">
        <v>4</v>
      </c>
      <c r="N755" s="487">
        <v>35</v>
      </c>
      <c r="O755" s="453">
        <v>5</v>
      </c>
      <c r="P755" s="487">
        <v>168</v>
      </c>
      <c r="Q755" s="453">
        <v>24</v>
      </c>
    </row>
    <row r="756" spans="1:17" x14ac:dyDescent="0.25">
      <c r="A756" s="800" t="s">
        <v>1939</v>
      </c>
      <c r="B756" s="485">
        <v>0</v>
      </c>
      <c r="C756" s="486">
        <v>11</v>
      </c>
      <c r="D756" s="485">
        <v>0</v>
      </c>
      <c r="E756" s="486">
        <v>13</v>
      </c>
      <c r="F756" s="485">
        <v>0</v>
      </c>
      <c r="G756" s="486">
        <v>8</v>
      </c>
      <c r="H756" s="485">
        <v>0</v>
      </c>
      <c r="I756" s="486">
        <v>4</v>
      </c>
      <c r="J756" s="485">
        <v>0</v>
      </c>
      <c r="K756" s="486">
        <v>13</v>
      </c>
      <c r="L756" s="485">
        <v>0</v>
      </c>
      <c r="M756" s="486">
        <v>21</v>
      </c>
      <c r="N756" s="485">
        <v>0</v>
      </c>
      <c r="O756" s="486">
        <v>9</v>
      </c>
      <c r="P756" s="485">
        <v>0</v>
      </c>
      <c r="Q756" s="486">
        <v>79</v>
      </c>
    </row>
    <row r="757" spans="1:17" x14ac:dyDescent="0.25">
      <c r="A757" s="800" t="s">
        <v>1939</v>
      </c>
      <c r="B757" s="485">
        <v>0</v>
      </c>
      <c r="C757" s="486">
        <v>11</v>
      </c>
      <c r="D757" s="485">
        <v>0</v>
      </c>
      <c r="E757" s="486">
        <v>13</v>
      </c>
      <c r="F757" s="485">
        <v>0</v>
      </c>
      <c r="G757" s="486">
        <v>8</v>
      </c>
      <c r="H757" s="485">
        <v>0</v>
      </c>
      <c r="I757" s="486">
        <v>4</v>
      </c>
      <c r="J757" s="485">
        <v>0</v>
      </c>
      <c r="K757" s="486">
        <v>13</v>
      </c>
      <c r="L757" s="485">
        <v>0</v>
      </c>
      <c r="M757" s="486">
        <v>21</v>
      </c>
      <c r="N757" s="485">
        <v>0</v>
      </c>
      <c r="O757" s="486">
        <v>9</v>
      </c>
      <c r="P757" s="485">
        <v>0</v>
      </c>
      <c r="Q757" s="486">
        <v>79</v>
      </c>
    </row>
    <row r="758" spans="1:17" x14ac:dyDescent="0.25">
      <c r="A758" s="453">
        <v>1066</v>
      </c>
      <c r="B758" s="487">
        <v>0</v>
      </c>
      <c r="C758" s="453">
        <v>4</v>
      </c>
      <c r="D758" s="487">
        <v>0</v>
      </c>
      <c r="E758" s="453">
        <v>5</v>
      </c>
      <c r="F758" s="487">
        <v>0</v>
      </c>
      <c r="G758" s="453">
        <v>3</v>
      </c>
      <c r="H758" s="487">
        <v>0</v>
      </c>
      <c r="I758" s="453">
        <v>2</v>
      </c>
      <c r="J758" s="487">
        <v>0</v>
      </c>
      <c r="K758" s="453">
        <v>6</v>
      </c>
      <c r="L758" s="487">
        <v>0</v>
      </c>
      <c r="M758" s="453">
        <v>6</v>
      </c>
      <c r="N758" s="487">
        <v>0</v>
      </c>
      <c r="O758" s="453">
        <v>2</v>
      </c>
      <c r="P758" s="487">
        <v>0</v>
      </c>
      <c r="Q758" s="453">
        <v>28</v>
      </c>
    </row>
    <row r="759" spans="1:17" x14ac:dyDescent="0.25">
      <c r="A759" s="453">
        <v>1063</v>
      </c>
      <c r="B759" s="487">
        <v>0</v>
      </c>
      <c r="C759" s="453">
        <v>0</v>
      </c>
      <c r="D759" s="487">
        <v>0</v>
      </c>
      <c r="E759" s="453">
        <v>3</v>
      </c>
      <c r="F759" s="487">
        <v>0</v>
      </c>
      <c r="G759" s="453">
        <v>1</v>
      </c>
      <c r="H759" s="487">
        <v>0</v>
      </c>
      <c r="I759" s="453">
        <v>0</v>
      </c>
      <c r="J759" s="487">
        <v>0</v>
      </c>
      <c r="K759" s="453">
        <v>1</v>
      </c>
      <c r="L759" s="487">
        <v>0</v>
      </c>
      <c r="M759" s="453">
        <v>2</v>
      </c>
      <c r="N759" s="487">
        <v>0</v>
      </c>
      <c r="O759" s="453">
        <v>3</v>
      </c>
      <c r="P759" s="487">
        <v>0</v>
      </c>
      <c r="Q759" s="453">
        <v>10</v>
      </c>
    </row>
    <row r="760" spans="1:17" x14ac:dyDescent="0.25">
      <c r="A760" s="453">
        <v>1053</v>
      </c>
      <c r="B760" s="487">
        <v>0</v>
      </c>
      <c r="C760" s="453">
        <v>3</v>
      </c>
      <c r="D760" s="487">
        <v>0</v>
      </c>
      <c r="E760" s="453">
        <v>0</v>
      </c>
      <c r="F760" s="487">
        <v>0</v>
      </c>
      <c r="G760" s="453">
        <v>1</v>
      </c>
      <c r="H760" s="487">
        <v>0</v>
      </c>
      <c r="I760" s="453">
        <v>0</v>
      </c>
      <c r="J760" s="487">
        <v>0</v>
      </c>
      <c r="K760" s="453">
        <v>0</v>
      </c>
      <c r="L760" s="487">
        <v>0</v>
      </c>
      <c r="M760" s="453">
        <v>7</v>
      </c>
      <c r="N760" s="487">
        <v>0</v>
      </c>
      <c r="O760" s="453">
        <v>2</v>
      </c>
      <c r="P760" s="487">
        <v>0</v>
      </c>
      <c r="Q760" s="453">
        <v>13</v>
      </c>
    </row>
    <row r="761" spans="1:17" x14ac:dyDescent="0.25">
      <c r="A761" s="453">
        <v>1067</v>
      </c>
      <c r="B761" s="487">
        <v>0</v>
      </c>
      <c r="C761" s="453">
        <v>4</v>
      </c>
      <c r="D761" s="487">
        <v>0</v>
      </c>
      <c r="E761" s="453">
        <v>5</v>
      </c>
      <c r="F761" s="487">
        <v>0</v>
      </c>
      <c r="G761" s="453">
        <v>3</v>
      </c>
      <c r="H761" s="487">
        <v>0</v>
      </c>
      <c r="I761" s="453">
        <v>2</v>
      </c>
      <c r="J761" s="487">
        <v>0</v>
      </c>
      <c r="K761" s="453">
        <v>6</v>
      </c>
      <c r="L761" s="487">
        <v>0</v>
      </c>
      <c r="M761" s="453">
        <v>6</v>
      </c>
      <c r="N761" s="487">
        <v>0</v>
      </c>
      <c r="O761" s="453">
        <v>2</v>
      </c>
      <c r="P761" s="487">
        <v>0</v>
      </c>
      <c r="Q761" s="453">
        <v>28</v>
      </c>
    </row>
    <row r="762" spans="1:17" x14ac:dyDescent="0.25">
      <c r="A762" s="453">
        <v>6533320</v>
      </c>
      <c r="B762" s="487">
        <v>13.25</v>
      </c>
      <c r="C762" s="453">
        <v>1</v>
      </c>
      <c r="D762" s="487">
        <v>13.25</v>
      </c>
      <c r="E762" s="453">
        <v>1</v>
      </c>
      <c r="F762" s="487">
        <v>0</v>
      </c>
      <c r="G762" s="453">
        <v>0</v>
      </c>
      <c r="H762" s="487">
        <v>13.25</v>
      </c>
      <c r="I762" s="453">
        <v>1</v>
      </c>
      <c r="J762" s="487">
        <v>0</v>
      </c>
      <c r="K762" s="453">
        <v>0</v>
      </c>
      <c r="L762" s="487">
        <v>26.5</v>
      </c>
      <c r="M762" s="453">
        <v>2</v>
      </c>
      <c r="N762" s="487">
        <v>0</v>
      </c>
      <c r="O762" s="453">
        <v>0</v>
      </c>
      <c r="P762" s="487">
        <v>66.25</v>
      </c>
      <c r="Q762" s="453">
        <v>5</v>
      </c>
    </row>
    <row r="763" spans="1:17" x14ac:dyDescent="0.25">
      <c r="A763" s="453">
        <v>6533684</v>
      </c>
      <c r="B763" s="487">
        <v>0</v>
      </c>
      <c r="C763" s="453">
        <v>0</v>
      </c>
      <c r="D763" s="487">
        <v>6.75</v>
      </c>
      <c r="E763" s="453">
        <v>1</v>
      </c>
      <c r="F763" s="487">
        <v>13.5</v>
      </c>
      <c r="G763" s="453">
        <v>2</v>
      </c>
      <c r="H763" s="487">
        <v>0</v>
      </c>
      <c r="I763" s="453">
        <v>0</v>
      </c>
      <c r="J763" s="487">
        <v>0</v>
      </c>
      <c r="K763" s="453">
        <v>0</v>
      </c>
      <c r="L763" s="487">
        <v>0</v>
      </c>
      <c r="M763" s="453">
        <v>0</v>
      </c>
      <c r="N763" s="487">
        <v>0</v>
      </c>
      <c r="O763" s="453">
        <v>0</v>
      </c>
      <c r="P763" s="487">
        <v>20.25</v>
      </c>
      <c r="Q763" s="453">
        <v>3</v>
      </c>
    </row>
    <row r="764" spans="1:17" x14ac:dyDescent="0.25">
      <c r="A764" s="453">
        <v>6533680</v>
      </c>
      <c r="B764" s="487">
        <v>0</v>
      </c>
      <c r="C764" s="453">
        <v>0</v>
      </c>
      <c r="D764" s="487">
        <v>13.5</v>
      </c>
      <c r="E764" s="453">
        <v>2</v>
      </c>
      <c r="F764" s="487">
        <v>0</v>
      </c>
      <c r="G764" s="453">
        <v>0</v>
      </c>
      <c r="H764" s="487">
        <v>0</v>
      </c>
      <c r="I764" s="453">
        <v>0</v>
      </c>
      <c r="J764" s="487">
        <v>6.75</v>
      </c>
      <c r="K764" s="453">
        <v>1</v>
      </c>
      <c r="L764" s="487">
        <v>0</v>
      </c>
      <c r="M764" s="453">
        <v>0</v>
      </c>
      <c r="N764" s="487">
        <v>0</v>
      </c>
      <c r="O764" s="453">
        <v>0</v>
      </c>
      <c r="P764" s="487">
        <v>20.25</v>
      </c>
      <c r="Q764" s="453">
        <v>3</v>
      </c>
    </row>
    <row r="765" spans="1:17" x14ac:dyDescent="0.25">
      <c r="A765" s="453">
        <v>6533699</v>
      </c>
      <c r="B765" s="487">
        <v>0</v>
      </c>
      <c r="C765" s="453">
        <v>0</v>
      </c>
      <c r="D765" s="487">
        <v>0</v>
      </c>
      <c r="E765" s="453">
        <v>0</v>
      </c>
      <c r="F765" s="487">
        <v>0</v>
      </c>
      <c r="G765" s="453">
        <v>0</v>
      </c>
      <c r="H765" s="487">
        <v>0</v>
      </c>
      <c r="I765" s="453">
        <v>0</v>
      </c>
      <c r="J765" s="487">
        <v>11.25</v>
      </c>
      <c r="K765" s="453">
        <v>1</v>
      </c>
      <c r="L765" s="487">
        <v>0</v>
      </c>
      <c r="M765" s="453">
        <v>0</v>
      </c>
      <c r="N765" s="487">
        <v>0</v>
      </c>
      <c r="O765" s="453">
        <v>0</v>
      </c>
      <c r="P765" s="487">
        <v>11.25</v>
      </c>
      <c r="Q765" s="453">
        <v>1</v>
      </c>
    </row>
    <row r="766" spans="1:17" x14ac:dyDescent="0.25">
      <c r="A766" s="453">
        <v>6533685</v>
      </c>
      <c r="B766" s="487">
        <v>0</v>
      </c>
      <c r="C766" s="453">
        <v>0</v>
      </c>
      <c r="D766" s="487">
        <v>29.25</v>
      </c>
      <c r="E766" s="453">
        <v>3</v>
      </c>
      <c r="F766" s="487">
        <v>19.5</v>
      </c>
      <c r="G766" s="453">
        <v>2</v>
      </c>
      <c r="H766" s="487">
        <v>0</v>
      </c>
      <c r="I766" s="453">
        <v>0</v>
      </c>
      <c r="J766" s="487">
        <v>19.5</v>
      </c>
      <c r="K766" s="453">
        <v>2</v>
      </c>
      <c r="L766" s="487">
        <v>9.75</v>
      </c>
      <c r="M766" s="453">
        <v>1</v>
      </c>
      <c r="N766" s="487">
        <v>0</v>
      </c>
      <c r="O766" s="453">
        <v>0</v>
      </c>
      <c r="P766" s="487">
        <v>78</v>
      </c>
      <c r="Q766" s="453">
        <v>8</v>
      </c>
    </row>
    <row r="767" spans="1:17" x14ac:dyDescent="0.25">
      <c r="A767" s="453">
        <v>6533681</v>
      </c>
      <c r="B767" s="487">
        <v>0</v>
      </c>
      <c r="C767" s="453">
        <v>0</v>
      </c>
      <c r="D767" s="487">
        <v>0</v>
      </c>
      <c r="E767" s="453">
        <v>0</v>
      </c>
      <c r="F767" s="487">
        <v>0</v>
      </c>
      <c r="G767" s="453">
        <v>0</v>
      </c>
      <c r="H767" s="487">
        <v>9.75</v>
      </c>
      <c r="I767" s="453">
        <v>1</v>
      </c>
      <c r="J767" s="487">
        <v>19.5</v>
      </c>
      <c r="K767" s="453">
        <v>2</v>
      </c>
      <c r="L767" s="487">
        <v>19.5</v>
      </c>
      <c r="M767" s="453">
        <v>2</v>
      </c>
      <c r="N767" s="487">
        <v>0</v>
      </c>
      <c r="O767" s="453">
        <v>0</v>
      </c>
      <c r="P767" s="487">
        <v>48.75</v>
      </c>
      <c r="Q767" s="453">
        <v>5</v>
      </c>
    </row>
    <row r="768" spans="1:17" x14ac:dyDescent="0.25">
      <c r="A768" s="453">
        <v>6533591</v>
      </c>
      <c r="B768" s="487">
        <v>0</v>
      </c>
      <c r="C768" s="453">
        <v>0</v>
      </c>
      <c r="D768" s="487">
        <v>0</v>
      </c>
      <c r="E768" s="453">
        <v>0</v>
      </c>
      <c r="F768" s="487">
        <v>0</v>
      </c>
      <c r="G768" s="453">
        <v>0</v>
      </c>
      <c r="H768" s="487">
        <v>10</v>
      </c>
      <c r="I768" s="453">
        <v>1</v>
      </c>
      <c r="J768" s="487">
        <v>0</v>
      </c>
      <c r="K768" s="453">
        <v>0</v>
      </c>
      <c r="L768" s="487">
        <v>0</v>
      </c>
      <c r="M768" s="453">
        <v>0</v>
      </c>
      <c r="N768" s="487">
        <v>0</v>
      </c>
      <c r="O768" s="453">
        <v>0</v>
      </c>
      <c r="P768" s="487">
        <v>10</v>
      </c>
      <c r="Q768" s="453">
        <v>1</v>
      </c>
    </row>
    <row r="769" spans="1:17" x14ac:dyDescent="0.25">
      <c r="A769" s="486">
        <v>6533030</v>
      </c>
      <c r="B769" s="485">
        <v>0</v>
      </c>
      <c r="C769" s="486">
        <v>0</v>
      </c>
      <c r="D769" s="485">
        <v>20.5</v>
      </c>
      <c r="E769" s="486">
        <v>2</v>
      </c>
      <c r="F769" s="485">
        <v>10.25</v>
      </c>
      <c r="G769" s="486">
        <v>1</v>
      </c>
      <c r="H769" s="485">
        <v>0</v>
      </c>
      <c r="I769" s="486">
        <v>0</v>
      </c>
      <c r="J769" s="485">
        <v>0</v>
      </c>
      <c r="K769" s="486">
        <v>0</v>
      </c>
      <c r="L769" s="485">
        <v>0</v>
      </c>
      <c r="M769" s="486">
        <v>0</v>
      </c>
      <c r="N769" s="485">
        <v>0</v>
      </c>
      <c r="O769" s="486">
        <v>0</v>
      </c>
      <c r="P769" s="485">
        <v>30.75</v>
      </c>
      <c r="Q769" s="486">
        <v>3</v>
      </c>
    </row>
    <row r="770" spans="1:17" x14ac:dyDescent="0.25">
      <c r="A770" s="453">
        <v>6533593</v>
      </c>
      <c r="B770" s="487">
        <v>0</v>
      </c>
      <c r="C770" s="453">
        <v>0</v>
      </c>
      <c r="D770" s="487">
        <v>0</v>
      </c>
      <c r="E770" s="453">
        <v>0</v>
      </c>
      <c r="F770" s="487">
        <v>0</v>
      </c>
      <c r="G770" s="453">
        <v>0</v>
      </c>
      <c r="H770" s="487">
        <v>28</v>
      </c>
      <c r="I770" s="453">
        <v>1</v>
      </c>
      <c r="J770" s="487">
        <v>0</v>
      </c>
      <c r="K770" s="453">
        <v>0</v>
      </c>
      <c r="L770" s="487">
        <v>0</v>
      </c>
      <c r="M770" s="453">
        <v>0</v>
      </c>
      <c r="N770" s="487">
        <v>0</v>
      </c>
      <c r="O770" s="453">
        <v>0</v>
      </c>
      <c r="P770" s="487">
        <v>28</v>
      </c>
      <c r="Q770" s="453">
        <v>1</v>
      </c>
    </row>
    <row r="771" spans="1:17" x14ac:dyDescent="0.25">
      <c r="A771" s="453"/>
      <c r="B771" s="487">
        <v>0</v>
      </c>
      <c r="C771" s="453">
        <v>0</v>
      </c>
      <c r="D771" s="487">
        <v>14</v>
      </c>
      <c r="E771" s="453">
        <v>2</v>
      </c>
      <c r="F771" s="487">
        <v>35</v>
      </c>
      <c r="G771" s="453">
        <v>5</v>
      </c>
      <c r="H771" s="487">
        <v>0</v>
      </c>
      <c r="I771" s="453">
        <v>0</v>
      </c>
      <c r="J771" s="487">
        <v>182.95</v>
      </c>
      <c r="K771" s="453">
        <v>19</v>
      </c>
      <c r="L771" s="487">
        <v>107.99</v>
      </c>
      <c r="M771" s="453">
        <v>14</v>
      </c>
      <c r="N771" s="487">
        <v>14</v>
      </c>
      <c r="O771" s="453">
        <v>2</v>
      </c>
      <c r="P771" s="487">
        <v>353.94</v>
      </c>
      <c r="Q771" s="453">
        <v>42</v>
      </c>
    </row>
    <row r="772" spans="1:17" x14ac:dyDescent="0.25">
      <c r="A772" s="453">
        <v>6550203</v>
      </c>
      <c r="B772" s="487">
        <v>0</v>
      </c>
      <c r="C772" s="453">
        <v>0</v>
      </c>
      <c r="D772" s="487">
        <v>0</v>
      </c>
      <c r="E772" s="453">
        <v>0</v>
      </c>
      <c r="F772" s="487">
        <v>14</v>
      </c>
      <c r="G772" s="453">
        <v>2</v>
      </c>
      <c r="H772" s="487">
        <v>0</v>
      </c>
      <c r="I772" s="453">
        <v>0</v>
      </c>
      <c r="J772" s="487">
        <v>49</v>
      </c>
      <c r="K772" s="453">
        <v>7</v>
      </c>
      <c r="L772" s="487">
        <v>14</v>
      </c>
      <c r="M772" s="453">
        <v>2</v>
      </c>
      <c r="N772" s="487">
        <v>0</v>
      </c>
      <c r="O772" s="453">
        <v>0</v>
      </c>
      <c r="P772" s="487">
        <v>77</v>
      </c>
      <c r="Q772" s="453">
        <v>11</v>
      </c>
    </row>
    <row r="773" spans="1:17" x14ac:dyDescent="0.25">
      <c r="A773" s="486">
        <v>6550131</v>
      </c>
      <c r="B773" s="485">
        <v>0</v>
      </c>
      <c r="C773" s="486">
        <v>0</v>
      </c>
      <c r="D773" s="485">
        <v>0</v>
      </c>
      <c r="E773" s="486">
        <v>0</v>
      </c>
      <c r="F773" s="485">
        <v>0</v>
      </c>
      <c r="G773" s="486">
        <v>0</v>
      </c>
      <c r="H773" s="485">
        <v>0</v>
      </c>
      <c r="I773" s="486">
        <v>0</v>
      </c>
      <c r="J773" s="485">
        <v>84.95</v>
      </c>
      <c r="K773" s="486">
        <v>5</v>
      </c>
      <c r="L773" s="485">
        <v>16.989999999999998</v>
      </c>
      <c r="M773" s="486">
        <v>1</v>
      </c>
      <c r="N773" s="485">
        <v>0</v>
      </c>
      <c r="O773" s="486">
        <v>0</v>
      </c>
      <c r="P773" s="485">
        <v>101.94</v>
      </c>
      <c r="Q773" s="486">
        <v>6</v>
      </c>
    </row>
    <row r="774" spans="1:17" x14ac:dyDescent="0.25">
      <c r="A774" s="486">
        <v>6550100</v>
      </c>
      <c r="B774" s="485">
        <v>0</v>
      </c>
      <c r="C774" s="486">
        <v>0</v>
      </c>
      <c r="D774" s="485">
        <v>14</v>
      </c>
      <c r="E774" s="486">
        <v>2</v>
      </c>
      <c r="F774" s="485">
        <v>21</v>
      </c>
      <c r="G774" s="486">
        <v>3</v>
      </c>
      <c r="H774" s="485">
        <v>0</v>
      </c>
      <c r="I774" s="486">
        <v>0</v>
      </c>
      <c r="J774" s="485">
        <v>49</v>
      </c>
      <c r="K774" s="486">
        <v>7</v>
      </c>
      <c r="L774" s="485">
        <v>77</v>
      </c>
      <c r="M774" s="486">
        <v>11</v>
      </c>
      <c r="N774" s="485">
        <v>14</v>
      </c>
      <c r="O774" s="486">
        <v>2</v>
      </c>
      <c r="P774" s="485">
        <v>175</v>
      </c>
      <c r="Q774" s="486">
        <v>25</v>
      </c>
    </row>
    <row r="775" spans="1:17" x14ac:dyDescent="0.25">
      <c r="A775" s="453"/>
      <c r="B775" s="487">
        <v>0</v>
      </c>
      <c r="C775" s="453">
        <v>11</v>
      </c>
      <c r="D775" s="487">
        <v>0</v>
      </c>
      <c r="E775" s="453">
        <v>8</v>
      </c>
      <c r="F775" s="487">
        <v>0</v>
      </c>
      <c r="G775" s="453">
        <v>8</v>
      </c>
      <c r="H775" s="487">
        <v>0</v>
      </c>
      <c r="I775" s="453">
        <v>9</v>
      </c>
      <c r="J775" s="487">
        <v>0</v>
      </c>
      <c r="K775" s="453">
        <v>14</v>
      </c>
      <c r="L775" s="487">
        <v>0</v>
      </c>
      <c r="M775" s="453">
        <v>17</v>
      </c>
      <c r="N775" s="487">
        <v>0</v>
      </c>
      <c r="O775" s="453">
        <v>7</v>
      </c>
      <c r="P775" s="487">
        <v>0</v>
      </c>
      <c r="Q775" s="453">
        <v>74</v>
      </c>
    </row>
    <row r="776" spans="1:17" x14ac:dyDescent="0.25">
      <c r="A776" s="453"/>
      <c r="B776" s="487">
        <v>0</v>
      </c>
      <c r="C776" s="453">
        <v>11</v>
      </c>
      <c r="D776" s="487">
        <v>0</v>
      </c>
      <c r="E776" s="453">
        <v>8</v>
      </c>
      <c r="F776" s="487">
        <v>0</v>
      </c>
      <c r="G776" s="453">
        <v>8</v>
      </c>
      <c r="H776" s="487">
        <v>0</v>
      </c>
      <c r="I776" s="453">
        <v>9</v>
      </c>
      <c r="J776" s="487">
        <v>0</v>
      </c>
      <c r="K776" s="453">
        <v>14</v>
      </c>
      <c r="L776" s="487">
        <v>0</v>
      </c>
      <c r="M776" s="453">
        <v>17</v>
      </c>
      <c r="N776" s="487">
        <v>0</v>
      </c>
      <c r="O776" s="453">
        <v>7</v>
      </c>
      <c r="P776" s="487">
        <v>0</v>
      </c>
      <c r="Q776" s="453">
        <v>74</v>
      </c>
    </row>
    <row r="777" spans="1:17" x14ac:dyDescent="0.25">
      <c r="A777" s="453">
        <v>1066</v>
      </c>
      <c r="B777" s="487">
        <v>0</v>
      </c>
      <c r="C777" s="453">
        <v>5</v>
      </c>
      <c r="D777" s="487">
        <v>0</v>
      </c>
      <c r="E777" s="453">
        <v>3</v>
      </c>
      <c r="F777" s="487">
        <v>0</v>
      </c>
      <c r="G777" s="453">
        <v>4</v>
      </c>
      <c r="H777" s="487">
        <v>0</v>
      </c>
      <c r="I777" s="453">
        <v>2</v>
      </c>
      <c r="J777" s="487">
        <v>0</v>
      </c>
      <c r="K777" s="453">
        <v>3</v>
      </c>
      <c r="L777" s="487">
        <v>0</v>
      </c>
      <c r="M777" s="453">
        <v>7</v>
      </c>
      <c r="N777" s="487">
        <v>0</v>
      </c>
      <c r="O777" s="453">
        <v>3</v>
      </c>
      <c r="P777" s="487">
        <v>0</v>
      </c>
      <c r="Q777" s="453">
        <v>27</v>
      </c>
    </row>
    <row r="778" spans="1:17" x14ac:dyDescent="0.25">
      <c r="A778" s="453">
        <v>1063</v>
      </c>
      <c r="B778" s="487">
        <v>0</v>
      </c>
      <c r="C778" s="453">
        <v>1</v>
      </c>
      <c r="D778" s="487">
        <v>0</v>
      </c>
      <c r="E778" s="453">
        <v>2</v>
      </c>
      <c r="F778" s="487">
        <v>0</v>
      </c>
      <c r="G778" s="453">
        <v>0</v>
      </c>
      <c r="H778" s="487">
        <v>0</v>
      </c>
      <c r="I778" s="453">
        <v>0</v>
      </c>
      <c r="J778" s="487">
        <v>0</v>
      </c>
      <c r="K778" s="453">
        <v>2</v>
      </c>
      <c r="L778" s="487">
        <v>0</v>
      </c>
      <c r="M778" s="453">
        <v>2</v>
      </c>
      <c r="N778" s="487">
        <v>0</v>
      </c>
      <c r="O778" s="453">
        <v>0</v>
      </c>
      <c r="P778" s="487">
        <v>0</v>
      </c>
      <c r="Q778" s="453">
        <v>7</v>
      </c>
    </row>
    <row r="779" spans="1:17" x14ac:dyDescent="0.25">
      <c r="A779" s="801">
        <v>1053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5</v>
      </c>
      <c r="J779">
        <v>0</v>
      </c>
      <c r="K779">
        <v>6</v>
      </c>
      <c r="L779">
        <v>0</v>
      </c>
      <c r="M779">
        <v>1</v>
      </c>
      <c r="N779">
        <v>0</v>
      </c>
      <c r="O779">
        <v>1</v>
      </c>
      <c r="P779">
        <v>0</v>
      </c>
      <c r="Q779">
        <v>13</v>
      </c>
    </row>
    <row r="780" spans="1:17" x14ac:dyDescent="0.25">
      <c r="A780" s="801">
        <v>1067</v>
      </c>
      <c r="B780">
        <v>0</v>
      </c>
      <c r="C780">
        <v>5</v>
      </c>
      <c r="D780">
        <v>0</v>
      </c>
      <c r="E780">
        <v>3</v>
      </c>
      <c r="F780">
        <v>0</v>
      </c>
      <c r="G780">
        <v>4</v>
      </c>
      <c r="H780">
        <v>0</v>
      </c>
      <c r="I780">
        <v>2</v>
      </c>
      <c r="J780">
        <v>0</v>
      </c>
      <c r="K780">
        <v>3</v>
      </c>
      <c r="L780">
        <v>0</v>
      </c>
      <c r="M780">
        <v>7</v>
      </c>
      <c r="N780">
        <v>0</v>
      </c>
      <c r="O780">
        <v>3</v>
      </c>
      <c r="P780">
        <v>0</v>
      </c>
      <c r="Q780">
        <v>27</v>
      </c>
    </row>
    <row r="781" spans="1:17" x14ac:dyDescent="0.25">
      <c r="A781" s="801">
        <v>6533700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14.25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14.25</v>
      </c>
      <c r="Q781">
        <v>1</v>
      </c>
    </row>
    <row r="782" spans="1:17" x14ac:dyDescent="0.25">
      <c r="A782" s="801">
        <v>6533686</v>
      </c>
      <c r="B782">
        <v>0</v>
      </c>
      <c r="C782">
        <v>0</v>
      </c>
      <c r="D782">
        <v>0</v>
      </c>
      <c r="E782">
        <v>0</v>
      </c>
      <c r="F782">
        <v>25.5</v>
      </c>
      <c r="G782">
        <v>2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25.5</v>
      </c>
      <c r="Q782">
        <v>2</v>
      </c>
    </row>
    <row r="783" spans="1:17" x14ac:dyDescent="0.25">
      <c r="A783" s="801">
        <v>6533682</v>
      </c>
      <c r="B783">
        <v>0</v>
      </c>
      <c r="C783">
        <v>0</v>
      </c>
      <c r="D783">
        <v>12.75</v>
      </c>
      <c r="E783">
        <v>1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38.25</v>
      </c>
      <c r="M783">
        <v>3</v>
      </c>
      <c r="N783">
        <v>12.75</v>
      </c>
      <c r="O783">
        <v>1</v>
      </c>
      <c r="P783">
        <v>63.75</v>
      </c>
      <c r="Q783">
        <v>5</v>
      </c>
    </row>
    <row r="784" spans="1:17" x14ac:dyDescent="0.25">
      <c r="A784" s="801">
        <v>6533698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8.25</v>
      </c>
      <c r="K784">
        <v>1</v>
      </c>
      <c r="L784">
        <v>0</v>
      </c>
      <c r="M784">
        <v>0</v>
      </c>
      <c r="N784">
        <v>0</v>
      </c>
      <c r="O784">
        <v>0</v>
      </c>
      <c r="P784">
        <v>8.25</v>
      </c>
      <c r="Q784">
        <v>1</v>
      </c>
    </row>
    <row r="785" spans="1:17" x14ac:dyDescent="0.25">
      <c r="A785" s="801">
        <v>6533680</v>
      </c>
      <c r="B785">
        <v>0</v>
      </c>
      <c r="C785">
        <v>0</v>
      </c>
      <c r="D785">
        <v>6.75</v>
      </c>
      <c r="E785">
        <v>1</v>
      </c>
      <c r="F785">
        <v>6.75</v>
      </c>
      <c r="G785">
        <v>1</v>
      </c>
      <c r="H785">
        <v>0</v>
      </c>
      <c r="I785">
        <v>0</v>
      </c>
      <c r="J785">
        <v>6.75</v>
      </c>
      <c r="K785">
        <v>1</v>
      </c>
      <c r="L785">
        <v>0</v>
      </c>
      <c r="M785">
        <v>0</v>
      </c>
      <c r="N785">
        <v>6.75</v>
      </c>
      <c r="O785">
        <v>1</v>
      </c>
      <c r="P785">
        <v>27</v>
      </c>
      <c r="Q785">
        <v>4</v>
      </c>
    </row>
    <row r="786" spans="1:17" x14ac:dyDescent="0.25">
      <c r="A786" s="801">
        <v>6533685</v>
      </c>
      <c r="B786">
        <v>0</v>
      </c>
      <c r="C786">
        <v>0</v>
      </c>
      <c r="D786">
        <v>0</v>
      </c>
      <c r="E786">
        <v>0</v>
      </c>
      <c r="F786">
        <v>9.75</v>
      </c>
      <c r="G786">
        <v>1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9.75</v>
      </c>
      <c r="Q786">
        <v>1</v>
      </c>
    </row>
    <row r="787" spans="1:17" x14ac:dyDescent="0.25">
      <c r="A787" s="801">
        <v>6533681</v>
      </c>
      <c r="B787">
        <v>0</v>
      </c>
      <c r="C787">
        <v>0</v>
      </c>
      <c r="D787">
        <v>0</v>
      </c>
      <c r="E787">
        <v>0</v>
      </c>
      <c r="F787">
        <v>9.75</v>
      </c>
      <c r="G787">
        <v>1</v>
      </c>
      <c r="H787">
        <v>0</v>
      </c>
      <c r="I787">
        <v>0</v>
      </c>
      <c r="J787">
        <v>9.75</v>
      </c>
      <c r="K787">
        <v>1</v>
      </c>
      <c r="L787">
        <v>19.5</v>
      </c>
      <c r="M787">
        <v>2</v>
      </c>
      <c r="N787">
        <v>0</v>
      </c>
      <c r="O787">
        <v>0</v>
      </c>
      <c r="P787">
        <v>39</v>
      </c>
      <c r="Q787">
        <v>4</v>
      </c>
    </row>
    <row r="788" spans="1:17" x14ac:dyDescent="0.25">
      <c r="A788" s="801">
        <v>6533683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26</v>
      </c>
      <c r="K788">
        <v>1</v>
      </c>
      <c r="L788">
        <v>0</v>
      </c>
      <c r="M788">
        <v>0</v>
      </c>
      <c r="N788">
        <v>0</v>
      </c>
      <c r="O788">
        <v>0</v>
      </c>
      <c r="P788">
        <v>26</v>
      </c>
      <c r="Q788">
        <v>1</v>
      </c>
    </row>
    <row r="789" spans="1:17" x14ac:dyDescent="0.25">
      <c r="A789" s="801"/>
      <c r="B789">
        <v>49</v>
      </c>
      <c r="C789">
        <v>7</v>
      </c>
      <c r="D789">
        <v>84</v>
      </c>
      <c r="E789">
        <v>12</v>
      </c>
      <c r="F789">
        <v>7</v>
      </c>
      <c r="G789">
        <v>1</v>
      </c>
      <c r="H789">
        <v>7</v>
      </c>
      <c r="I789">
        <v>1</v>
      </c>
      <c r="J789">
        <v>143.94</v>
      </c>
      <c r="K789">
        <v>12</v>
      </c>
      <c r="L789">
        <v>35</v>
      </c>
      <c r="M789">
        <v>5</v>
      </c>
      <c r="N789">
        <v>37.99</v>
      </c>
      <c r="O789">
        <v>4</v>
      </c>
      <c r="P789">
        <v>363.93</v>
      </c>
      <c r="Q789">
        <v>42</v>
      </c>
    </row>
    <row r="790" spans="1:17" x14ac:dyDescent="0.25">
      <c r="A790" s="801">
        <v>6550203</v>
      </c>
      <c r="B790">
        <v>21</v>
      </c>
      <c r="C790">
        <v>3</v>
      </c>
      <c r="D790">
        <v>42</v>
      </c>
      <c r="E790">
        <v>6</v>
      </c>
      <c r="F790">
        <v>7</v>
      </c>
      <c r="G790">
        <v>1</v>
      </c>
      <c r="H790">
        <v>0</v>
      </c>
      <c r="I790">
        <v>0</v>
      </c>
      <c r="J790">
        <v>14</v>
      </c>
      <c r="K790">
        <v>2</v>
      </c>
      <c r="L790">
        <v>14</v>
      </c>
      <c r="M790">
        <v>2</v>
      </c>
      <c r="N790">
        <v>0</v>
      </c>
      <c r="O790">
        <v>0</v>
      </c>
      <c r="P790">
        <v>98</v>
      </c>
      <c r="Q790">
        <v>14</v>
      </c>
    </row>
    <row r="791" spans="1:17" x14ac:dyDescent="0.25">
      <c r="A791" s="801">
        <v>6550131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101.94</v>
      </c>
      <c r="K791">
        <v>6</v>
      </c>
      <c r="L791">
        <v>0</v>
      </c>
      <c r="M791">
        <v>0</v>
      </c>
      <c r="N791">
        <v>16.989999999999998</v>
      </c>
      <c r="O791">
        <v>1</v>
      </c>
      <c r="P791">
        <v>118.93</v>
      </c>
      <c r="Q791">
        <v>7</v>
      </c>
    </row>
    <row r="792" spans="1:17" x14ac:dyDescent="0.25">
      <c r="A792" s="801">
        <v>6550100</v>
      </c>
      <c r="B792">
        <v>28</v>
      </c>
      <c r="C792">
        <v>4</v>
      </c>
      <c r="D792">
        <v>42</v>
      </c>
      <c r="E792">
        <v>6</v>
      </c>
      <c r="F792">
        <v>0</v>
      </c>
      <c r="G792">
        <v>0</v>
      </c>
      <c r="H792">
        <v>7</v>
      </c>
      <c r="I792">
        <v>1</v>
      </c>
      <c r="J792">
        <v>28</v>
      </c>
      <c r="K792">
        <v>4</v>
      </c>
      <c r="L792">
        <v>21</v>
      </c>
      <c r="M792">
        <v>3</v>
      </c>
      <c r="N792">
        <v>21</v>
      </c>
      <c r="O792">
        <v>3</v>
      </c>
      <c r="P792">
        <v>147</v>
      </c>
      <c r="Q792">
        <v>21</v>
      </c>
    </row>
    <row r="793" spans="1:17" x14ac:dyDescent="0.25">
      <c r="B793">
        <v>0</v>
      </c>
      <c r="C793">
        <v>12</v>
      </c>
      <c r="D793">
        <v>0</v>
      </c>
      <c r="E793">
        <v>1</v>
      </c>
      <c r="F793">
        <v>0</v>
      </c>
      <c r="G793">
        <v>13</v>
      </c>
      <c r="H793">
        <v>0</v>
      </c>
      <c r="I793">
        <v>11</v>
      </c>
      <c r="J793">
        <v>0</v>
      </c>
      <c r="K793">
        <v>13</v>
      </c>
      <c r="L793">
        <v>0</v>
      </c>
      <c r="M793">
        <v>9</v>
      </c>
      <c r="N793">
        <v>0</v>
      </c>
      <c r="O793">
        <v>11</v>
      </c>
      <c r="P793">
        <v>0</v>
      </c>
      <c r="Q793">
        <v>70</v>
      </c>
    </row>
    <row r="794" spans="1:17" x14ac:dyDescent="0.25">
      <c r="B794">
        <v>0</v>
      </c>
      <c r="C794">
        <v>12</v>
      </c>
      <c r="D794">
        <v>0</v>
      </c>
      <c r="E794">
        <v>1</v>
      </c>
      <c r="F794">
        <v>0</v>
      </c>
      <c r="G794">
        <v>13</v>
      </c>
      <c r="H794">
        <v>0</v>
      </c>
      <c r="I794">
        <v>11</v>
      </c>
      <c r="J794">
        <v>0</v>
      </c>
      <c r="K794">
        <v>13</v>
      </c>
      <c r="L794">
        <v>0</v>
      </c>
      <c r="M794">
        <v>9</v>
      </c>
      <c r="N794">
        <v>0</v>
      </c>
      <c r="O794">
        <v>11</v>
      </c>
      <c r="P794">
        <v>0</v>
      </c>
      <c r="Q794">
        <v>70</v>
      </c>
    </row>
    <row r="795" spans="1:17" x14ac:dyDescent="0.25">
      <c r="A795" s="801">
        <v>1066</v>
      </c>
      <c r="B795">
        <v>0</v>
      </c>
      <c r="C795">
        <v>4</v>
      </c>
      <c r="D795">
        <v>0</v>
      </c>
      <c r="E795">
        <v>0</v>
      </c>
      <c r="F795">
        <v>0</v>
      </c>
      <c r="G795">
        <v>5</v>
      </c>
      <c r="H795">
        <v>0</v>
      </c>
      <c r="I795">
        <v>4</v>
      </c>
      <c r="J795">
        <v>0</v>
      </c>
      <c r="K795">
        <v>6</v>
      </c>
      <c r="L795">
        <v>0</v>
      </c>
      <c r="M795">
        <v>4</v>
      </c>
      <c r="N795">
        <v>0</v>
      </c>
      <c r="O795">
        <v>5</v>
      </c>
      <c r="P795">
        <v>0</v>
      </c>
      <c r="Q795">
        <v>28</v>
      </c>
    </row>
    <row r="796" spans="1:17" x14ac:dyDescent="0.25">
      <c r="A796" s="801">
        <v>1063</v>
      </c>
      <c r="B796">
        <v>0</v>
      </c>
      <c r="C796">
        <v>1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1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4</v>
      </c>
    </row>
    <row r="797" spans="1:17" x14ac:dyDescent="0.25">
      <c r="A797" s="801">
        <v>1053</v>
      </c>
      <c r="B797">
        <v>0</v>
      </c>
      <c r="C797">
        <v>3</v>
      </c>
      <c r="D797">
        <v>0</v>
      </c>
      <c r="E797">
        <v>0</v>
      </c>
      <c r="F797">
        <v>0</v>
      </c>
      <c r="G797">
        <v>3</v>
      </c>
      <c r="H797">
        <v>0</v>
      </c>
      <c r="I797">
        <v>3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0</v>
      </c>
      <c r="Q797">
        <v>10</v>
      </c>
    </row>
    <row r="798" spans="1:17" x14ac:dyDescent="0.25">
      <c r="A798" s="801">
        <v>1067</v>
      </c>
      <c r="B798">
        <v>0</v>
      </c>
      <c r="C798">
        <v>4</v>
      </c>
      <c r="D798">
        <v>0</v>
      </c>
      <c r="E798">
        <v>0</v>
      </c>
      <c r="F798">
        <v>0</v>
      </c>
      <c r="G798">
        <v>5</v>
      </c>
      <c r="H798">
        <v>0</v>
      </c>
      <c r="I798">
        <v>4</v>
      </c>
      <c r="J798">
        <v>0</v>
      </c>
      <c r="K798">
        <v>6</v>
      </c>
      <c r="L798">
        <v>0</v>
      </c>
      <c r="M798">
        <v>4</v>
      </c>
      <c r="N798">
        <v>0</v>
      </c>
      <c r="O798">
        <v>5</v>
      </c>
      <c r="P798">
        <v>0</v>
      </c>
      <c r="Q798">
        <v>28</v>
      </c>
    </row>
  </sheetData>
  <pageMargins left="0.5" right="0.46" top="1" bottom="0.78" header="0.5" footer="0.5"/>
  <pageSetup scale="49" fitToHeight="8" orientation="portrait" verticalDpi="300" r:id="rId1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D4582-843D-4EEA-9E0A-4F6D5D19F9FA}">
  <sheetPr codeName="Sheet13">
    <pageSetUpPr fitToPage="1"/>
  </sheetPr>
  <dimension ref="B1:N138"/>
  <sheetViews>
    <sheetView showGridLines="0" view="pageBreakPreview" zoomScaleNormal="100" zoomScaleSheetLayoutView="100" workbookViewId="0">
      <pane ySplit="2" topLeftCell="A87" activePane="bottomLeft" state="frozen"/>
      <selection activeCell="E52" sqref="E52"/>
      <selection pane="bottomLeft" activeCell="J83" sqref="J83"/>
    </sheetView>
  </sheetViews>
  <sheetFormatPr defaultColWidth="7.140625" defaultRowHeight="12.75" customHeight="1" x14ac:dyDescent="0.2"/>
  <cols>
    <col min="1" max="1" width="34.5703125" style="490" customWidth="1"/>
    <col min="2" max="2" width="22.85546875" style="490" customWidth="1"/>
    <col min="3" max="3" width="5.5703125" style="569" customWidth="1"/>
    <col min="4" max="4" width="11.5703125" style="490" customWidth="1"/>
    <col min="5" max="6" width="8.5703125" style="570" customWidth="1"/>
    <col min="7" max="7" width="8.42578125" style="569" customWidth="1"/>
    <col min="8" max="8" width="8" style="490" customWidth="1"/>
    <col min="9" max="9" width="9" style="490" customWidth="1"/>
    <col min="10" max="10" width="10.140625" style="535" customWidth="1"/>
    <col min="11" max="11" width="10.42578125" style="535" customWidth="1"/>
    <col min="12" max="12" width="10.5703125" style="490" customWidth="1"/>
    <col min="13" max="13" width="8.7109375" style="490" customWidth="1"/>
    <col min="14" max="14" width="9.7109375" style="490" customWidth="1"/>
    <col min="15" max="16" width="5.42578125" style="490" customWidth="1"/>
    <col min="17" max="24" width="7.28515625" style="490" customWidth="1"/>
    <col min="25" max="16384" width="7.140625" style="490"/>
  </cols>
  <sheetData>
    <row r="1" spans="2:14" ht="12.75" customHeight="1" x14ac:dyDescent="0.25">
      <c r="B1" s="915" t="s">
        <v>131</v>
      </c>
      <c r="C1" s="917" t="s">
        <v>132</v>
      </c>
      <c r="D1" s="488" t="s">
        <v>124</v>
      </c>
      <c r="E1" s="919" t="s">
        <v>125</v>
      </c>
      <c r="F1" s="919" t="s">
        <v>130</v>
      </c>
      <c r="G1" s="488" t="s">
        <v>126</v>
      </c>
      <c r="H1" s="488" t="s">
        <v>127</v>
      </c>
      <c r="I1" s="488" t="s">
        <v>128</v>
      </c>
      <c r="J1" s="921" t="s">
        <v>115</v>
      </c>
      <c r="K1" s="923" t="s">
        <v>130</v>
      </c>
      <c r="L1" s="489" t="s">
        <v>127</v>
      </c>
    </row>
    <row r="2" spans="2:14" ht="15.75" thickBot="1" x14ac:dyDescent="0.3">
      <c r="B2" s="916"/>
      <c r="C2" s="918"/>
      <c r="D2" s="491" t="s">
        <v>133</v>
      </c>
      <c r="E2" s="920"/>
      <c r="F2" s="920"/>
      <c r="G2" s="491" t="s">
        <v>134</v>
      </c>
      <c r="H2" s="491" t="s">
        <v>135</v>
      </c>
      <c r="I2" s="491" t="s">
        <v>129</v>
      </c>
      <c r="J2" s="922"/>
      <c r="K2" s="924"/>
      <c r="L2" s="492" t="s">
        <v>429</v>
      </c>
    </row>
    <row r="3" spans="2:14" ht="21.75" thickBot="1" x14ac:dyDescent="0.3">
      <c r="B3" s="493" t="s">
        <v>272</v>
      </c>
      <c r="C3" s="494"/>
      <c r="D3" s="495"/>
      <c r="E3" s="496"/>
      <c r="F3" s="496"/>
      <c r="G3" s="488"/>
      <c r="H3" s="488"/>
      <c r="I3" s="488"/>
      <c r="J3" s="497"/>
      <c r="K3" s="497"/>
      <c r="L3" s="489"/>
    </row>
    <row r="4" spans="2:14" ht="15.75" customHeight="1" thickBot="1" x14ac:dyDescent="0.25">
      <c r="B4" s="498" t="s">
        <v>298</v>
      </c>
      <c r="C4" s="499" t="s">
        <v>141</v>
      </c>
      <c r="D4" s="503">
        <v>14.3</v>
      </c>
      <c r="E4" s="501"/>
      <c r="F4" s="501"/>
      <c r="G4" s="502">
        <f t="shared" ref="G4:G32" si="0">SUM(D4:E4)</f>
        <v>14.3</v>
      </c>
      <c r="H4" s="503">
        <f>'INVENTORY INPUT'!G225</f>
        <v>10.799999999999999</v>
      </c>
      <c r="I4" s="504">
        <f t="shared" ref="I4:I32" si="1">(G4-H4)</f>
        <v>3.5000000000000018</v>
      </c>
      <c r="J4" s="505">
        <v>2.91</v>
      </c>
      <c r="K4" s="506">
        <f t="shared" ref="K4:K32" si="2">SUM(E4:F4)*J4</f>
        <v>0</v>
      </c>
      <c r="L4" s="507">
        <f t="shared" ref="L4:L32" si="3">J4*H4</f>
        <v>31.427999999999997</v>
      </c>
    </row>
    <row r="5" spans="2:14" ht="15.75" customHeight="1" thickBot="1" x14ac:dyDescent="0.25">
      <c r="B5" s="508" t="s">
        <v>299</v>
      </c>
      <c r="C5" s="509" t="s">
        <v>141</v>
      </c>
      <c r="D5" s="503">
        <v>10.5</v>
      </c>
      <c r="E5" s="501">
        <v>8</v>
      </c>
      <c r="F5" s="501"/>
      <c r="G5" s="502">
        <f t="shared" si="0"/>
        <v>18.5</v>
      </c>
      <c r="H5" s="503">
        <f>'INVENTORY INPUT'!G226</f>
        <v>12.6</v>
      </c>
      <c r="I5" s="504">
        <f t="shared" si="1"/>
        <v>5.9</v>
      </c>
      <c r="J5" s="510">
        <f>27.72/8</f>
        <v>3.4649999999999999</v>
      </c>
      <c r="K5" s="506">
        <f t="shared" si="2"/>
        <v>27.72</v>
      </c>
      <c r="L5" s="507">
        <f t="shared" si="3"/>
        <v>43.658999999999999</v>
      </c>
    </row>
    <row r="6" spans="2:14" ht="15.75" customHeight="1" thickBot="1" x14ac:dyDescent="0.25">
      <c r="B6" s="508" t="s">
        <v>300</v>
      </c>
      <c r="C6" s="511" t="s">
        <v>141</v>
      </c>
      <c r="D6" s="503">
        <v>6</v>
      </c>
      <c r="E6" s="501"/>
      <c r="F6" s="501"/>
      <c r="G6" s="502">
        <f t="shared" si="0"/>
        <v>6</v>
      </c>
      <c r="H6" s="503">
        <f>'INVENTORY INPUT'!G227</f>
        <v>4.5999999999999996</v>
      </c>
      <c r="I6" s="504">
        <f t="shared" si="1"/>
        <v>1.4000000000000004</v>
      </c>
      <c r="J6" s="510">
        <f>35.85/10</f>
        <v>3.585</v>
      </c>
      <c r="K6" s="506">
        <f t="shared" si="2"/>
        <v>0</v>
      </c>
      <c r="L6" s="507">
        <f t="shared" si="3"/>
        <v>16.491</v>
      </c>
    </row>
    <row r="7" spans="2:14" ht="15.75" customHeight="1" thickBot="1" x14ac:dyDescent="0.25">
      <c r="B7" s="508" t="s">
        <v>304</v>
      </c>
      <c r="C7" s="509" t="s">
        <v>141</v>
      </c>
      <c r="D7" s="503">
        <v>5</v>
      </c>
      <c r="E7" s="501"/>
      <c r="F7" s="501"/>
      <c r="G7" s="502">
        <f t="shared" si="0"/>
        <v>5</v>
      </c>
      <c r="H7" s="503">
        <f>'INVENTORY INPUT'!G228</f>
        <v>3.7</v>
      </c>
      <c r="I7" s="504">
        <f t="shared" si="1"/>
        <v>1.2999999999999998</v>
      </c>
      <c r="J7" s="510">
        <v>5.0999999999999996</v>
      </c>
      <c r="K7" s="506">
        <f t="shared" si="2"/>
        <v>0</v>
      </c>
      <c r="L7" s="507">
        <f t="shared" si="3"/>
        <v>18.87</v>
      </c>
      <c r="N7" s="506"/>
    </row>
    <row r="8" spans="2:14" ht="15.75" customHeight="1" thickBot="1" x14ac:dyDescent="0.25">
      <c r="B8" s="508" t="s">
        <v>8</v>
      </c>
      <c r="C8" s="509" t="s">
        <v>408</v>
      </c>
      <c r="D8" s="503">
        <v>7</v>
      </c>
      <c r="E8" s="501">
        <v>12</v>
      </c>
      <c r="F8" s="501">
        <v>12</v>
      </c>
      <c r="G8" s="502">
        <f t="shared" si="0"/>
        <v>19</v>
      </c>
      <c r="H8" s="503">
        <f>'INVENTORY INPUT'!G229</f>
        <v>24</v>
      </c>
      <c r="I8" s="504">
        <f t="shared" si="1"/>
        <v>-5</v>
      </c>
      <c r="J8" s="510">
        <v>2.83</v>
      </c>
      <c r="K8" s="506">
        <f t="shared" si="2"/>
        <v>67.92</v>
      </c>
      <c r="L8" s="507">
        <f t="shared" si="3"/>
        <v>67.92</v>
      </c>
      <c r="N8" s="512"/>
    </row>
    <row r="9" spans="2:14" ht="15.75" customHeight="1" thickBot="1" x14ac:dyDescent="0.25">
      <c r="B9" s="508" t="s">
        <v>400</v>
      </c>
      <c r="C9" s="509" t="s">
        <v>190</v>
      </c>
      <c r="D9" s="503">
        <v>18</v>
      </c>
      <c r="E9" s="501"/>
      <c r="F9" s="501"/>
      <c r="G9" s="502">
        <f t="shared" si="0"/>
        <v>18</v>
      </c>
      <c r="H9" s="503">
        <f>'INVENTORY INPUT'!G230</f>
        <v>17.399999999999999</v>
      </c>
      <c r="I9" s="504">
        <f t="shared" si="1"/>
        <v>0.60000000000000142</v>
      </c>
      <c r="J9" s="510">
        <v>8.24</v>
      </c>
      <c r="K9" s="506">
        <f t="shared" si="2"/>
        <v>0</v>
      </c>
      <c r="L9" s="507">
        <f t="shared" si="3"/>
        <v>143.376</v>
      </c>
      <c r="N9" s="512"/>
    </row>
    <row r="10" spans="2:14" ht="15.75" customHeight="1" thickBot="1" x14ac:dyDescent="0.25">
      <c r="B10" s="513" t="s">
        <v>401</v>
      </c>
      <c r="C10" s="509" t="s">
        <v>190</v>
      </c>
      <c r="D10" s="503">
        <v>5</v>
      </c>
      <c r="E10" s="501"/>
      <c r="F10" s="501"/>
      <c r="G10" s="502">
        <f t="shared" si="0"/>
        <v>5</v>
      </c>
      <c r="H10" s="503">
        <f>'INVENTORY INPUT'!G231</f>
        <v>8.5</v>
      </c>
      <c r="I10" s="504">
        <f t="shared" si="1"/>
        <v>-3.5</v>
      </c>
      <c r="J10" s="510">
        <v>9.5500000000000007</v>
      </c>
      <c r="K10" s="506">
        <f t="shared" si="2"/>
        <v>0</v>
      </c>
      <c r="L10" s="507">
        <f t="shared" si="3"/>
        <v>81.175000000000011</v>
      </c>
      <c r="N10" s="512"/>
    </row>
    <row r="11" spans="2:14" ht="15.75" customHeight="1" thickBot="1" x14ac:dyDescent="0.25">
      <c r="B11" s="508" t="s">
        <v>532</v>
      </c>
      <c r="C11" s="509" t="s">
        <v>190</v>
      </c>
      <c r="D11" s="503">
        <v>7</v>
      </c>
      <c r="E11" s="501"/>
      <c r="F11" s="501"/>
      <c r="G11" s="502">
        <f t="shared" si="0"/>
        <v>7</v>
      </c>
      <c r="H11" s="503">
        <f>'INVENTORY INPUT'!G232</f>
        <v>5.8</v>
      </c>
      <c r="I11" s="504">
        <f t="shared" si="1"/>
        <v>1.2000000000000002</v>
      </c>
      <c r="J11" s="510">
        <v>7.1139999999999999</v>
      </c>
      <c r="K11" s="506">
        <f t="shared" si="2"/>
        <v>0</v>
      </c>
      <c r="L11" s="507">
        <f t="shared" si="3"/>
        <v>41.261199999999995</v>
      </c>
      <c r="N11" s="512"/>
    </row>
    <row r="12" spans="2:14" ht="15.75" customHeight="1" thickBot="1" x14ac:dyDescent="0.25">
      <c r="B12" s="508" t="s">
        <v>402</v>
      </c>
      <c r="C12" s="509" t="s">
        <v>175</v>
      </c>
      <c r="D12" s="503">
        <v>14</v>
      </c>
      <c r="E12" s="501"/>
      <c r="F12" s="501"/>
      <c r="G12" s="502">
        <f t="shared" si="0"/>
        <v>14</v>
      </c>
      <c r="H12" s="503">
        <f>'INVENTORY INPUT'!G233</f>
        <v>13.8</v>
      </c>
      <c r="I12" s="504">
        <f t="shared" si="1"/>
        <v>0.19999999999999929</v>
      </c>
      <c r="J12" s="510">
        <v>2.92</v>
      </c>
      <c r="K12" s="506">
        <f t="shared" si="2"/>
        <v>0</v>
      </c>
      <c r="L12" s="507">
        <f t="shared" si="3"/>
        <v>40.295999999999999</v>
      </c>
      <c r="N12" s="512"/>
    </row>
    <row r="13" spans="2:14" ht="15.75" customHeight="1" thickBot="1" x14ac:dyDescent="0.25">
      <c r="B13" s="513" t="s">
        <v>301</v>
      </c>
      <c r="C13" s="509" t="s">
        <v>190</v>
      </c>
      <c r="D13" s="503">
        <v>2.8</v>
      </c>
      <c r="E13" s="501"/>
      <c r="F13" s="501"/>
      <c r="G13" s="502">
        <f t="shared" si="0"/>
        <v>2.8</v>
      </c>
      <c r="H13" s="503">
        <f>'INVENTORY INPUT'!G234</f>
        <v>2.6</v>
      </c>
      <c r="I13" s="504">
        <f t="shared" si="1"/>
        <v>0.19999999999999973</v>
      </c>
      <c r="J13" s="510">
        <f>110.85/6</f>
        <v>18.474999999999998</v>
      </c>
      <c r="K13" s="506">
        <f t="shared" si="2"/>
        <v>0</v>
      </c>
      <c r="L13" s="507">
        <f t="shared" si="3"/>
        <v>48.034999999999997</v>
      </c>
    </row>
    <row r="14" spans="2:14" ht="15.75" customHeight="1" thickBot="1" x14ac:dyDescent="0.25">
      <c r="B14" s="514" t="s">
        <v>302</v>
      </c>
      <c r="C14" s="509" t="s">
        <v>190</v>
      </c>
      <c r="D14" s="503">
        <v>1.6</v>
      </c>
      <c r="E14" s="501"/>
      <c r="F14" s="501"/>
      <c r="G14" s="502">
        <f t="shared" si="0"/>
        <v>1.6</v>
      </c>
      <c r="H14" s="503">
        <f>'INVENTORY INPUT'!G235</f>
        <v>1.5</v>
      </c>
      <c r="I14" s="504">
        <f t="shared" si="1"/>
        <v>0.10000000000000009</v>
      </c>
      <c r="J14" s="510">
        <v>22.18</v>
      </c>
      <c r="K14" s="506">
        <f t="shared" si="2"/>
        <v>0</v>
      </c>
      <c r="L14" s="507">
        <f t="shared" si="3"/>
        <v>33.269999999999996</v>
      </c>
    </row>
    <row r="15" spans="2:14" ht="15.75" customHeight="1" thickBot="1" x14ac:dyDescent="0.25">
      <c r="B15" s="513" t="s">
        <v>15</v>
      </c>
      <c r="C15" s="509" t="s">
        <v>408</v>
      </c>
      <c r="D15" s="503">
        <v>35</v>
      </c>
      <c r="E15" s="501"/>
      <c r="F15" s="501"/>
      <c r="G15" s="502">
        <f t="shared" si="0"/>
        <v>35</v>
      </c>
      <c r="H15" s="503">
        <f>'INVENTORY INPUT'!G236</f>
        <v>34</v>
      </c>
      <c r="I15" s="504">
        <f t="shared" si="1"/>
        <v>1</v>
      </c>
      <c r="J15" s="510">
        <v>1.63</v>
      </c>
      <c r="K15" s="506">
        <f t="shared" si="2"/>
        <v>0</v>
      </c>
      <c r="L15" s="507">
        <f t="shared" si="3"/>
        <v>55.419999999999995</v>
      </c>
      <c r="N15" s="512"/>
    </row>
    <row r="16" spans="2:14" ht="15.75" customHeight="1" thickBot="1" x14ac:dyDescent="0.25">
      <c r="B16" s="513" t="s">
        <v>509</v>
      </c>
      <c r="C16" s="509" t="s">
        <v>190</v>
      </c>
      <c r="D16" s="503">
        <v>0.6</v>
      </c>
      <c r="E16" s="501"/>
      <c r="F16" s="501"/>
      <c r="G16" s="502">
        <f t="shared" si="0"/>
        <v>0.6</v>
      </c>
      <c r="H16" s="503">
        <f>'INVENTORY INPUT'!G237</f>
        <v>0.4</v>
      </c>
      <c r="I16" s="504">
        <f t="shared" si="1"/>
        <v>0.19999999999999996</v>
      </c>
      <c r="J16" s="510">
        <v>23.8</v>
      </c>
      <c r="K16" s="506">
        <f t="shared" si="2"/>
        <v>0</v>
      </c>
      <c r="L16" s="507">
        <f t="shared" si="3"/>
        <v>9.5200000000000014</v>
      </c>
    </row>
    <row r="17" spans="2:14" ht="15.75" customHeight="1" thickBot="1" x14ac:dyDescent="0.25">
      <c r="B17" s="515" t="s">
        <v>403</v>
      </c>
      <c r="C17" s="516" t="s">
        <v>190</v>
      </c>
      <c r="D17" s="503">
        <v>0.8</v>
      </c>
      <c r="E17" s="501"/>
      <c r="F17" s="501">
        <v>1</v>
      </c>
      <c r="G17" s="502">
        <f t="shared" si="0"/>
        <v>0.8</v>
      </c>
      <c r="H17" s="503">
        <f>'INVENTORY INPUT'!G238</f>
        <v>0.75</v>
      </c>
      <c r="I17" s="504">
        <f t="shared" si="1"/>
        <v>5.0000000000000044E-2</v>
      </c>
      <c r="J17" s="517">
        <v>23.41</v>
      </c>
      <c r="K17" s="506">
        <f t="shared" si="2"/>
        <v>23.41</v>
      </c>
      <c r="L17" s="507">
        <f t="shared" si="3"/>
        <v>17.557500000000001</v>
      </c>
      <c r="N17" s="512"/>
    </row>
    <row r="18" spans="2:14" ht="15.75" customHeight="1" thickBot="1" x14ac:dyDescent="0.25">
      <c r="B18" s="515" t="s">
        <v>303</v>
      </c>
      <c r="C18" s="516" t="s">
        <v>190</v>
      </c>
      <c r="D18" s="503">
        <v>3</v>
      </c>
      <c r="E18" s="501"/>
      <c r="F18" s="501"/>
      <c r="G18" s="502">
        <f t="shared" si="0"/>
        <v>3</v>
      </c>
      <c r="H18" s="503">
        <f>'INVENTORY INPUT'!G239</f>
        <v>3.6</v>
      </c>
      <c r="I18" s="504">
        <f t="shared" si="1"/>
        <v>-0.60000000000000009</v>
      </c>
      <c r="J18" s="517">
        <v>19.13</v>
      </c>
      <c r="K18" s="506">
        <f t="shared" si="2"/>
        <v>0</v>
      </c>
      <c r="L18" s="507">
        <f t="shared" si="3"/>
        <v>68.867999999999995</v>
      </c>
    </row>
    <row r="19" spans="2:14" ht="15.75" customHeight="1" thickBot="1" x14ac:dyDescent="0.25">
      <c r="B19" s="513" t="s">
        <v>404</v>
      </c>
      <c r="C19" s="509" t="s">
        <v>190</v>
      </c>
      <c r="D19" s="503">
        <v>0.7</v>
      </c>
      <c r="E19" s="501"/>
      <c r="F19" s="501"/>
      <c r="G19" s="502">
        <f t="shared" si="0"/>
        <v>0.7</v>
      </c>
      <c r="H19" s="503">
        <f>'INVENTORY INPUT'!G240</f>
        <v>1.9</v>
      </c>
      <c r="I19" s="504">
        <f t="shared" si="1"/>
        <v>-1.2</v>
      </c>
      <c r="J19" s="510">
        <v>20.329999999999998</v>
      </c>
      <c r="K19" s="506">
        <f t="shared" si="2"/>
        <v>0</v>
      </c>
      <c r="L19" s="507">
        <f t="shared" si="3"/>
        <v>38.626999999999995</v>
      </c>
      <c r="N19" s="512"/>
    </row>
    <row r="20" spans="2:14" ht="15.75" customHeight="1" thickBot="1" x14ac:dyDescent="0.25">
      <c r="B20" s="513" t="s">
        <v>405</v>
      </c>
      <c r="C20" s="509" t="s">
        <v>175</v>
      </c>
      <c r="D20" s="503">
        <v>0.8</v>
      </c>
      <c r="E20" s="501"/>
      <c r="F20" s="501"/>
      <c r="G20" s="502">
        <f t="shared" si="0"/>
        <v>0.8</v>
      </c>
      <c r="H20" s="503">
        <f>'INVENTORY INPUT'!G241</f>
        <v>0.5</v>
      </c>
      <c r="I20" s="504">
        <f t="shared" si="1"/>
        <v>0.30000000000000004</v>
      </c>
      <c r="J20" s="510">
        <v>50.73</v>
      </c>
      <c r="K20" s="506">
        <f t="shared" si="2"/>
        <v>0</v>
      </c>
      <c r="L20" s="507">
        <f t="shared" si="3"/>
        <v>25.364999999999998</v>
      </c>
      <c r="N20" s="512"/>
    </row>
    <row r="21" spans="2:14" ht="15.75" customHeight="1" thickBot="1" x14ac:dyDescent="0.25">
      <c r="B21" s="513" t="s">
        <v>406</v>
      </c>
      <c r="C21" s="509" t="s">
        <v>409</v>
      </c>
      <c r="D21" s="503">
        <v>13.5</v>
      </c>
      <c r="E21" s="501"/>
      <c r="F21" s="501"/>
      <c r="G21" s="502">
        <f t="shared" si="0"/>
        <v>13.5</v>
      </c>
      <c r="H21" s="503">
        <f>'INVENTORY INPUT'!G242</f>
        <v>8.9</v>
      </c>
      <c r="I21" s="504">
        <f t="shared" si="1"/>
        <v>4.5999999999999996</v>
      </c>
      <c r="J21" s="510">
        <v>6.19</v>
      </c>
      <c r="K21" s="506">
        <f t="shared" si="2"/>
        <v>0</v>
      </c>
      <c r="L21" s="507">
        <f t="shared" si="3"/>
        <v>55.091000000000008</v>
      </c>
    </row>
    <row r="22" spans="2:14" ht="15.75" customHeight="1" thickBot="1" x14ac:dyDescent="0.25">
      <c r="B22" s="515" t="s">
        <v>407</v>
      </c>
      <c r="C22" s="516" t="s">
        <v>175</v>
      </c>
      <c r="D22" s="503">
        <v>1.1000000000000001</v>
      </c>
      <c r="E22" s="501"/>
      <c r="F22" s="501"/>
      <c r="G22" s="502">
        <f t="shared" si="0"/>
        <v>1.1000000000000001</v>
      </c>
      <c r="H22" s="503">
        <f>'INVENTORY INPUT'!G243</f>
        <v>1</v>
      </c>
      <c r="I22" s="504">
        <f t="shared" si="1"/>
        <v>0.10000000000000009</v>
      </c>
      <c r="J22" s="517">
        <v>128.80000000000001</v>
      </c>
      <c r="K22" s="506">
        <f t="shared" si="2"/>
        <v>0</v>
      </c>
      <c r="L22" s="507">
        <f t="shared" si="3"/>
        <v>128.80000000000001</v>
      </c>
      <c r="N22" s="512"/>
    </row>
    <row r="23" spans="2:14" ht="15.75" customHeight="1" thickBot="1" x14ac:dyDescent="0.25">
      <c r="B23" s="508" t="s">
        <v>432</v>
      </c>
      <c r="C23" s="509" t="s">
        <v>147</v>
      </c>
      <c r="D23" s="503">
        <v>64</v>
      </c>
      <c r="E23" s="501"/>
      <c r="F23" s="501"/>
      <c r="G23" s="502">
        <f t="shared" si="0"/>
        <v>64</v>
      </c>
      <c r="H23" s="503">
        <f>'INVENTORY INPUT'!G244</f>
        <v>63.5</v>
      </c>
      <c r="I23" s="504">
        <f t="shared" si="1"/>
        <v>0.5</v>
      </c>
      <c r="J23" s="510">
        <v>1.4</v>
      </c>
      <c r="K23" s="506">
        <f t="shared" si="2"/>
        <v>0</v>
      </c>
      <c r="L23" s="507">
        <f t="shared" si="3"/>
        <v>88.899999999999991</v>
      </c>
      <c r="N23" s="512"/>
    </row>
    <row r="24" spans="2:14" ht="15.75" customHeight="1" thickBot="1" x14ac:dyDescent="0.25">
      <c r="B24" s="508" t="s">
        <v>331</v>
      </c>
      <c r="C24" s="509" t="s">
        <v>175</v>
      </c>
      <c r="D24" s="503">
        <v>1.25</v>
      </c>
      <c r="E24" s="501"/>
      <c r="F24" s="501"/>
      <c r="G24" s="502">
        <f t="shared" si="0"/>
        <v>1.25</v>
      </c>
      <c r="H24" s="503">
        <f>'INVENTORY INPUT'!G245</f>
        <v>1.4300000000000002</v>
      </c>
      <c r="I24" s="504">
        <f t="shared" si="1"/>
        <v>-0.18000000000000016</v>
      </c>
      <c r="J24" s="510">
        <v>12.01</v>
      </c>
      <c r="K24" s="506">
        <f t="shared" si="2"/>
        <v>0</v>
      </c>
      <c r="L24" s="507">
        <f t="shared" si="3"/>
        <v>17.174300000000002</v>
      </c>
      <c r="N24" s="512"/>
    </row>
    <row r="25" spans="2:14" ht="15.75" customHeight="1" thickBot="1" x14ac:dyDescent="0.25">
      <c r="B25" s="508" t="s">
        <v>428</v>
      </c>
      <c r="C25" s="509" t="s">
        <v>175</v>
      </c>
      <c r="D25" s="503">
        <v>1.3</v>
      </c>
      <c r="E25" s="501"/>
      <c r="F25" s="501"/>
      <c r="G25" s="502">
        <f t="shared" si="0"/>
        <v>1.3</v>
      </c>
      <c r="H25" s="503">
        <f>'INVENTORY INPUT'!G246</f>
        <v>0.9</v>
      </c>
      <c r="I25" s="504">
        <f t="shared" si="1"/>
        <v>0.4</v>
      </c>
      <c r="J25" s="510">
        <v>20.77</v>
      </c>
      <c r="K25" s="506">
        <f t="shared" si="2"/>
        <v>0</v>
      </c>
      <c r="L25" s="507">
        <f t="shared" si="3"/>
        <v>18.693000000000001</v>
      </c>
      <c r="N25" s="512"/>
    </row>
    <row r="26" spans="2:14" ht="15.75" customHeight="1" thickBot="1" x14ac:dyDescent="0.25">
      <c r="B26" s="515" t="s">
        <v>430</v>
      </c>
      <c r="C26" s="516" t="s">
        <v>157</v>
      </c>
      <c r="D26" s="503">
        <v>28</v>
      </c>
      <c r="E26" s="501"/>
      <c r="F26" s="501"/>
      <c r="G26" s="502">
        <f t="shared" si="0"/>
        <v>28</v>
      </c>
      <c r="H26" s="503">
        <f>'INVENTORY INPUT'!G247</f>
        <v>24.6</v>
      </c>
      <c r="I26" s="504">
        <f t="shared" si="1"/>
        <v>3.3999999999999986</v>
      </c>
      <c r="J26" s="517">
        <v>0.6</v>
      </c>
      <c r="K26" s="506">
        <f t="shared" si="2"/>
        <v>0</v>
      </c>
      <c r="L26" s="507">
        <f t="shared" si="3"/>
        <v>14.76</v>
      </c>
    </row>
    <row r="27" spans="2:14" ht="15.75" customHeight="1" thickBot="1" x14ac:dyDescent="0.25">
      <c r="B27" s="518" t="s">
        <v>867</v>
      </c>
      <c r="C27" s="519" t="s">
        <v>46</v>
      </c>
      <c r="D27" s="503">
        <v>0.75</v>
      </c>
      <c r="E27" s="501"/>
      <c r="F27" s="501"/>
      <c r="G27" s="502">
        <f t="shared" si="0"/>
        <v>0.75</v>
      </c>
      <c r="H27" s="503">
        <f>'INVENTORY INPUT'!G248</f>
        <v>0.8</v>
      </c>
      <c r="I27" s="504">
        <f t="shared" si="1"/>
        <v>-5.0000000000000044E-2</v>
      </c>
      <c r="J27" s="517">
        <v>124.5</v>
      </c>
      <c r="K27" s="506">
        <f t="shared" si="2"/>
        <v>0</v>
      </c>
      <c r="L27" s="507">
        <f t="shared" si="3"/>
        <v>99.600000000000009</v>
      </c>
    </row>
    <row r="28" spans="2:14" ht="15.75" customHeight="1" thickBot="1" x14ac:dyDescent="0.25">
      <c r="B28" s="518" t="s">
        <v>868</v>
      </c>
      <c r="C28" s="519" t="s">
        <v>46</v>
      </c>
      <c r="D28" s="503">
        <v>2.7</v>
      </c>
      <c r="E28" s="520"/>
      <c r="F28" s="521"/>
      <c r="G28" s="502">
        <f t="shared" si="0"/>
        <v>2.7</v>
      </c>
      <c r="H28" s="503">
        <f>'INVENTORY INPUT'!G249</f>
        <v>2.7</v>
      </c>
      <c r="I28" s="504">
        <f t="shared" si="1"/>
        <v>0</v>
      </c>
      <c r="J28" s="517">
        <v>10.68</v>
      </c>
      <c r="K28" s="506">
        <f t="shared" si="2"/>
        <v>0</v>
      </c>
      <c r="L28" s="507">
        <f t="shared" si="3"/>
        <v>28.836000000000002</v>
      </c>
    </row>
    <row r="29" spans="2:14" ht="15.75" customHeight="1" thickBot="1" x14ac:dyDescent="0.25">
      <c r="B29" s="515" t="s">
        <v>441</v>
      </c>
      <c r="C29" s="516" t="s">
        <v>141</v>
      </c>
      <c r="D29" s="503">
        <v>46</v>
      </c>
      <c r="E29" s="501"/>
      <c r="F29" s="501"/>
      <c r="G29" s="502">
        <f t="shared" si="0"/>
        <v>46</v>
      </c>
      <c r="H29" s="503">
        <f>'INVENTORY INPUT'!G250</f>
        <v>45</v>
      </c>
      <c r="I29" s="504">
        <f t="shared" si="1"/>
        <v>1</v>
      </c>
      <c r="J29" s="517">
        <v>1</v>
      </c>
      <c r="K29" s="506">
        <f t="shared" si="2"/>
        <v>0</v>
      </c>
      <c r="L29" s="507">
        <f t="shared" si="3"/>
        <v>45</v>
      </c>
      <c r="N29" s="512"/>
    </row>
    <row r="30" spans="2:14" ht="15.75" customHeight="1" thickBot="1" x14ac:dyDescent="0.25">
      <c r="B30" s="515" t="s">
        <v>306</v>
      </c>
      <c r="C30" s="516" t="s">
        <v>168</v>
      </c>
      <c r="D30" s="503">
        <v>10</v>
      </c>
      <c r="E30" s="501"/>
      <c r="F30" s="501"/>
      <c r="G30" s="502">
        <f t="shared" si="0"/>
        <v>10</v>
      </c>
      <c r="H30" s="503">
        <f>'INVENTORY INPUT'!G251</f>
        <v>10</v>
      </c>
      <c r="I30" s="504">
        <f t="shared" si="1"/>
        <v>0</v>
      </c>
      <c r="J30" s="517">
        <v>7.44</v>
      </c>
      <c r="K30" s="506">
        <f t="shared" si="2"/>
        <v>0</v>
      </c>
      <c r="L30" s="507">
        <f t="shared" si="3"/>
        <v>74.400000000000006</v>
      </c>
      <c r="N30" s="512"/>
    </row>
    <row r="31" spans="2:14" ht="15.75" customHeight="1" thickBot="1" x14ac:dyDescent="0.25">
      <c r="B31" s="522" t="s">
        <v>309</v>
      </c>
      <c r="C31" s="523" t="s">
        <v>12</v>
      </c>
      <c r="D31" s="503">
        <v>0.75</v>
      </c>
      <c r="E31" s="501"/>
      <c r="F31" s="501"/>
      <c r="G31" s="502">
        <f t="shared" si="0"/>
        <v>0.75</v>
      </c>
      <c r="H31" s="503">
        <f>'INVENTORY INPUT'!G252</f>
        <v>1</v>
      </c>
      <c r="I31" s="504">
        <f t="shared" si="1"/>
        <v>-0.25</v>
      </c>
      <c r="J31" s="524">
        <v>16.79</v>
      </c>
      <c r="K31" s="506">
        <f t="shared" si="2"/>
        <v>0</v>
      </c>
      <c r="L31" s="507">
        <f t="shared" si="3"/>
        <v>16.79</v>
      </c>
    </row>
    <row r="32" spans="2:14" ht="15.75" customHeight="1" thickBot="1" x14ac:dyDescent="0.25">
      <c r="B32" s="525" t="s">
        <v>13</v>
      </c>
      <c r="C32" s="526" t="s">
        <v>190</v>
      </c>
      <c r="D32" s="503">
        <v>0.7</v>
      </c>
      <c r="E32" s="501"/>
      <c r="F32" s="501"/>
      <c r="G32" s="502">
        <f t="shared" si="0"/>
        <v>0.7</v>
      </c>
      <c r="H32" s="503">
        <f>'INVENTORY INPUT'!G253</f>
        <v>0.5</v>
      </c>
      <c r="I32" s="527">
        <f t="shared" si="1"/>
        <v>0.19999999999999996</v>
      </c>
      <c r="J32" s="528">
        <v>11.53</v>
      </c>
      <c r="K32" s="506">
        <f t="shared" si="2"/>
        <v>0</v>
      </c>
      <c r="L32" s="507">
        <f t="shared" si="3"/>
        <v>5.7649999999999997</v>
      </c>
    </row>
    <row r="33" spans="2:14" ht="15.75" customHeight="1" thickBot="1" x14ac:dyDescent="0.25">
      <c r="B33" s="529" t="s">
        <v>398</v>
      </c>
      <c r="C33" s="530"/>
      <c r="D33" s="531">
        <f>SUM(L4:L32)</f>
        <v>1374.9480000000001</v>
      </c>
      <c r="E33" s="532"/>
      <c r="F33" s="532"/>
      <c r="G33" s="533"/>
      <c r="H33" s="533"/>
      <c r="I33" s="534"/>
      <c r="K33" s="536">
        <f>SUM(K4:K32)</f>
        <v>119.05</v>
      </c>
      <c r="N33" s="537"/>
    </row>
    <row r="34" spans="2:14" ht="15.75" customHeight="1" x14ac:dyDescent="0.2">
      <c r="B34" s="538"/>
      <c r="C34" s="538"/>
      <c r="D34" s="539"/>
      <c r="E34" s="532"/>
      <c r="F34" s="532"/>
      <c r="G34" s="533"/>
      <c r="H34" s="533"/>
      <c r="I34" s="534"/>
    </row>
    <row r="35" spans="2:14" ht="15.75" customHeight="1" thickBot="1" x14ac:dyDescent="0.3">
      <c r="B35" s="540" t="s">
        <v>273</v>
      </c>
      <c r="C35" s="541"/>
      <c r="D35" s="542"/>
      <c r="E35" s="543"/>
      <c r="F35" s="543"/>
      <c r="G35" s="544"/>
      <c r="H35" s="544"/>
      <c r="I35" s="544"/>
      <c r="J35" s="545"/>
      <c r="K35" s="545"/>
      <c r="L35" s="546"/>
    </row>
    <row r="36" spans="2:14" ht="15.75" customHeight="1" thickBot="1" x14ac:dyDescent="0.25">
      <c r="B36" s="547" t="s">
        <v>410</v>
      </c>
      <c r="C36" s="548" t="s">
        <v>168</v>
      </c>
      <c r="D36" s="500">
        <v>0.9</v>
      </c>
      <c r="E36" s="501"/>
      <c r="F36" s="501"/>
      <c r="G36" s="502">
        <f t="shared" ref="G36:G57" si="4">SUM(D36:F36)</f>
        <v>0.9</v>
      </c>
      <c r="H36" s="503">
        <f>'INVENTORY INPUT'!G255</f>
        <v>1.2</v>
      </c>
      <c r="I36" s="527">
        <f t="shared" ref="I36:I57" si="5">(G36-H36)</f>
        <v>-0.29999999999999993</v>
      </c>
      <c r="J36" s="549">
        <v>59.7</v>
      </c>
      <c r="K36" s="506">
        <f t="shared" ref="K36:K57" si="6">SUM(E36:F36)*J36</f>
        <v>0</v>
      </c>
      <c r="L36" s="507">
        <f t="shared" ref="L36:L57" si="7">J36*H36</f>
        <v>71.64</v>
      </c>
      <c r="M36" s="550"/>
    </row>
    <row r="37" spans="2:14" ht="15.75" customHeight="1" thickBot="1" x14ac:dyDescent="0.25">
      <c r="B37" s="547" t="s">
        <v>411</v>
      </c>
      <c r="C37" s="548" t="s">
        <v>168</v>
      </c>
      <c r="D37" s="500">
        <v>0.5</v>
      </c>
      <c r="E37" s="501"/>
      <c r="F37" s="501"/>
      <c r="G37" s="502">
        <f t="shared" si="4"/>
        <v>0.5</v>
      </c>
      <c r="H37" s="503">
        <f>'INVENTORY INPUT'!G256</f>
        <v>0.7</v>
      </c>
      <c r="I37" s="527">
        <f t="shared" si="5"/>
        <v>-0.19999999999999996</v>
      </c>
      <c r="J37" s="549">
        <v>46.38</v>
      </c>
      <c r="K37" s="506">
        <f t="shared" si="6"/>
        <v>0</v>
      </c>
      <c r="L37" s="507">
        <f t="shared" si="7"/>
        <v>32.466000000000001</v>
      </c>
      <c r="M37" s="550"/>
      <c r="N37" s="512"/>
    </row>
    <row r="38" spans="2:14" ht="15.75" customHeight="1" thickBot="1" x14ac:dyDescent="0.25">
      <c r="B38" s="547" t="s">
        <v>527</v>
      </c>
      <c r="C38" s="548" t="s">
        <v>168</v>
      </c>
      <c r="D38" s="500">
        <v>2.12</v>
      </c>
      <c r="E38" s="501">
        <v>1</v>
      </c>
      <c r="F38" s="501"/>
      <c r="G38" s="502">
        <f t="shared" si="4"/>
        <v>3.12</v>
      </c>
      <c r="H38" s="503">
        <f>'INVENTORY INPUT'!G257</f>
        <v>0.85</v>
      </c>
      <c r="I38" s="527">
        <f t="shared" si="5"/>
        <v>2.27</v>
      </c>
      <c r="J38" s="549">
        <v>71.47</v>
      </c>
      <c r="K38" s="506">
        <f t="shared" si="6"/>
        <v>71.47</v>
      </c>
      <c r="L38" s="507">
        <f t="shared" si="7"/>
        <v>60.749499999999998</v>
      </c>
      <c r="M38" s="550"/>
    </row>
    <row r="39" spans="2:14" ht="15.75" customHeight="1" thickBot="1" x14ac:dyDescent="0.25">
      <c r="B39" s="547" t="s">
        <v>869</v>
      </c>
      <c r="C39" s="548" t="s">
        <v>168</v>
      </c>
      <c r="D39" s="500">
        <v>1.33</v>
      </c>
      <c r="E39" s="501"/>
      <c r="F39" s="501"/>
      <c r="G39" s="502">
        <f t="shared" si="4"/>
        <v>1.33</v>
      </c>
      <c r="H39" s="503">
        <f>'INVENTORY INPUT'!G258</f>
        <v>0.5</v>
      </c>
      <c r="I39" s="527">
        <f t="shared" si="5"/>
        <v>0.83000000000000007</v>
      </c>
      <c r="J39" s="549">
        <v>44.88</v>
      </c>
      <c r="K39" s="506">
        <f t="shared" si="6"/>
        <v>0</v>
      </c>
      <c r="L39" s="507">
        <f t="shared" si="7"/>
        <v>22.44</v>
      </c>
      <c r="M39" s="550"/>
      <c r="N39" s="512"/>
    </row>
    <row r="40" spans="2:14" ht="15.75" customHeight="1" thickBot="1" x14ac:dyDescent="0.25">
      <c r="B40" s="547" t="s">
        <v>870</v>
      </c>
      <c r="C40" s="548" t="s">
        <v>168</v>
      </c>
      <c r="D40" s="500">
        <v>0.17</v>
      </c>
      <c r="E40" s="501">
        <v>1</v>
      </c>
      <c r="F40" s="501"/>
      <c r="G40" s="502">
        <f t="shared" si="4"/>
        <v>1.17</v>
      </c>
      <c r="H40" s="503">
        <f>'INVENTORY INPUT'!G259</f>
        <v>0.5</v>
      </c>
      <c r="I40" s="527">
        <f t="shared" si="5"/>
        <v>0.66999999999999993</v>
      </c>
      <c r="J40" s="549">
        <v>54.29</v>
      </c>
      <c r="K40" s="506">
        <f t="shared" si="6"/>
        <v>54.29</v>
      </c>
      <c r="L40" s="507">
        <f t="shared" si="7"/>
        <v>27.145</v>
      </c>
      <c r="M40" s="550"/>
      <c r="N40" s="512"/>
    </row>
    <row r="41" spans="2:14" ht="15.75" customHeight="1" thickBot="1" x14ac:dyDescent="0.25">
      <c r="B41" s="547" t="s">
        <v>245</v>
      </c>
      <c r="C41" s="548" t="s">
        <v>168</v>
      </c>
      <c r="D41" s="500">
        <v>1.2</v>
      </c>
      <c r="E41" s="501"/>
      <c r="F41" s="501"/>
      <c r="G41" s="502">
        <f t="shared" si="4"/>
        <v>1.2</v>
      </c>
      <c r="H41" s="503">
        <f>'INVENTORY INPUT'!G260</f>
        <v>1</v>
      </c>
      <c r="I41" s="527">
        <f t="shared" si="5"/>
        <v>0.19999999999999996</v>
      </c>
      <c r="J41" s="549">
        <v>60.36</v>
      </c>
      <c r="K41" s="506">
        <f t="shared" si="6"/>
        <v>0</v>
      </c>
      <c r="L41" s="507">
        <f t="shared" si="7"/>
        <v>60.36</v>
      </c>
      <c r="M41" s="550"/>
      <c r="N41" s="512"/>
    </row>
    <row r="42" spans="2:14" ht="15.75" customHeight="1" thickBot="1" x14ac:dyDescent="0.25">
      <c r="B42" s="547" t="s">
        <v>246</v>
      </c>
      <c r="C42" s="548" t="s">
        <v>168</v>
      </c>
      <c r="D42" s="500">
        <v>1.2</v>
      </c>
      <c r="E42" s="501"/>
      <c r="F42" s="501"/>
      <c r="G42" s="502">
        <f t="shared" si="4"/>
        <v>1.2</v>
      </c>
      <c r="H42" s="503">
        <f>'INVENTORY INPUT'!G261</f>
        <v>1</v>
      </c>
      <c r="I42" s="527">
        <f t="shared" si="5"/>
        <v>0.19999999999999996</v>
      </c>
      <c r="J42" s="549">
        <v>46.99</v>
      </c>
      <c r="K42" s="506">
        <f t="shared" si="6"/>
        <v>0</v>
      </c>
      <c r="L42" s="507">
        <f t="shared" si="7"/>
        <v>46.99</v>
      </c>
      <c r="M42" s="550"/>
      <c r="N42" s="512"/>
    </row>
    <row r="43" spans="2:14" ht="15.75" customHeight="1" thickBot="1" x14ac:dyDescent="0.25">
      <c r="B43" s="552" t="s">
        <v>310</v>
      </c>
      <c r="C43" s="548" t="s">
        <v>168</v>
      </c>
      <c r="D43" s="500">
        <v>0.85</v>
      </c>
      <c r="E43" s="501"/>
      <c r="F43" s="501"/>
      <c r="G43" s="502">
        <f t="shared" si="4"/>
        <v>0.85</v>
      </c>
      <c r="H43" s="503">
        <f>'INVENTORY INPUT'!G262</f>
        <v>0.8</v>
      </c>
      <c r="I43" s="527">
        <f t="shared" si="5"/>
        <v>4.9999999999999933E-2</v>
      </c>
      <c r="J43" s="549">
        <v>45.98</v>
      </c>
      <c r="K43" s="506">
        <f t="shared" si="6"/>
        <v>0</v>
      </c>
      <c r="L43" s="507">
        <f t="shared" si="7"/>
        <v>36.783999999999999</v>
      </c>
      <c r="M43" s="550"/>
      <c r="N43" s="512"/>
    </row>
    <row r="44" spans="2:14" ht="15.75" customHeight="1" thickBot="1" x14ac:dyDescent="0.25">
      <c r="B44" s="551" t="s">
        <v>508</v>
      </c>
      <c r="C44" s="548" t="s">
        <v>168</v>
      </c>
      <c r="D44" s="500">
        <v>0.9</v>
      </c>
      <c r="E44" s="501"/>
      <c r="F44" s="501"/>
      <c r="G44" s="502">
        <f t="shared" si="4"/>
        <v>0.9</v>
      </c>
      <c r="H44" s="503">
        <f>'INVENTORY INPUT'!G263</f>
        <v>0.9</v>
      </c>
      <c r="I44" s="527">
        <f t="shared" si="5"/>
        <v>0</v>
      </c>
      <c r="J44" s="549">
        <v>49.01</v>
      </c>
      <c r="K44" s="506">
        <f t="shared" si="6"/>
        <v>0</v>
      </c>
      <c r="L44" s="507">
        <f t="shared" si="7"/>
        <v>44.109000000000002</v>
      </c>
      <c r="M44" s="550"/>
      <c r="N44" s="512"/>
    </row>
    <row r="45" spans="2:14" ht="15.75" customHeight="1" thickBot="1" x14ac:dyDescent="0.25">
      <c r="B45" s="551" t="s">
        <v>486</v>
      </c>
      <c r="C45" s="548" t="s">
        <v>214</v>
      </c>
      <c r="D45" s="500">
        <v>0.7</v>
      </c>
      <c r="E45" s="501"/>
      <c r="F45" s="501"/>
      <c r="G45" s="502">
        <f t="shared" si="4"/>
        <v>0.7</v>
      </c>
      <c r="H45" s="503">
        <f>'INVENTORY INPUT'!G264</f>
        <v>0.8</v>
      </c>
      <c r="I45" s="527">
        <f t="shared" si="5"/>
        <v>-0.10000000000000009</v>
      </c>
      <c r="J45" s="549">
        <v>26.42</v>
      </c>
      <c r="K45" s="506">
        <f t="shared" si="6"/>
        <v>0</v>
      </c>
      <c r="L45" s="507">
        <f t="shared" si="7"/>
        <v>21.136000000000003</v>
      </c>
      <c r="M45" s="550"/>
    </row>
    <row r="46" spans="2:14" ht="15.75" customHeight="1" thickBot="1" x14ac:dyDescent="0.25">
      <c r="B46" s="551" t="s">
        <v>484</v>
      </c>
      <c r="C46" s="548" t="s">
        <v>214</v>
      </c>
      <c r="D46" s="500">
        <v>0.6</v>
      </c>
      <c r="E46" s="501">
        <v>1</v>
      </c>
      <c r="F46" s="501"/>
      <c r="G46" s="502">
        <f t="shared" si="4"/>
        <v>1.6</v>
      </c>
      <c r="H46" s="503">
        <f>'INVENTORY INPUT'!G265</f>
        <v>0.1</v>
      </c>
      <c r="I46" s="527">
        <f t="shared" si="5"/>
        <v>1.5</v>
      </c>
      <c r="J46" s="549">
        <v>52.94</v>
      </c>
      <c r="K46" s="506">
        <f t="shared" si="6"/>
        <v>52.94</v>
      </c>
      <c r="L46" s="507">
        <f t="shared" si="7"/>
        <v>5.2940000000000005</v>
      </c>
      <c r="M46" s="550"/>
    </row>
    <row r="47" spans="2:14" ht="15.75" customHeight="1" thickBot="1" x14ac:dyDescent="0.25">
      <c r="B47" s="551" t="s">
        <v>485</v>
      </c>
      <c r="C47" s="548" t="s">
        <v>214</v>
      </c>
      <c r="D47" s="500">
        <v>0.65</v>
      </c>
      <c r="E47" s="501"/>
      <c r="F47" s="501"/>
      <c r="G47" s="502">
        <f t="shared" si="4"/>
        <v>0.65</v>
      </c>
      <c r="H47" s="503">
        <f>'INVENTORY INPUT'!G266</f>
        <v>1.2</v>
      </c>
      <c r="I47" s="527">
        <f t="shared" si="5"/>
        <v>-0.54999999999999993</v>
      </c>
      <c r="J47" s="549">
        <v>39.25</v>
      </c>
      <c r="K47" s="506">
        <f t="shared" si="6"/>
        <v>0</v>
      </c>
      <c r="L47" s="507">
        <f t="shared" si="7"/>
        <v>47.1</v>
      </c>
      <c r="M47" s="550"/>
    </row>
    <row r="48" spans="2:14" ht="15.75" customHeight="1" thickBot="1" x14ac:dyDescent="0.25">
      <c r="B48" s="525" t="s">
        <v>311</v>
      </c>
      <c r="C48" s="526" t="s">
        <v>408</v>
      </c>
      <c r="D48" s="500">
        <v>20</v>
      </c>
      <c r="E48" s="501"/>
      <c r="F48" s="501"/>
      <c r="G48" s="502">
        <f t="shared" si="4"/>
        <v>20</v>
      </c>
      <c r="H48" s="503">
        <f>'INVENTORY INPUT'!G267</f>
        <v>6.2</v>
      </c>
      <c r="I48" s="527">
        <f t="shared" si="5"/>
        <v>13.8</v>
      </c>
      <c r="J48" s="528">
        <v>1.7044999999999999</v>
      </c>
      <c r="K48" s="506">
        <f t="shared" si="6"/>
        <v>0</v>
      </c>
      <c r="L48" s="507">
        <f t="shared" si="7"/>
        <v>10.5679</v>
      </c>
      <c r="M48" s="550"/>
      <c r="N48" s="512"/>
    </row>
    <row r="49" spans="2:14" ht="15.75" customHeight="1" thickBot="1" x14ac:dyDescent="0.25">
      <c r="B49" s="525" t="s">
        <v>413</v>
      </c>
      <c r="C49" s="526" t="s">
        <v>408</v>
      </c>
      <c r="D49" s="500">
        <v>1</v>
      </c>
      <c r="E49" s="501"/>
      <c r="F49" s="501"/>
      <c r="G49" s="502">
        <f t="shared" si="4"/>
        <v>1</v>
      </c>
      <c r="H49" s="503">
        <f>'INVENTORY INPUT'!G268</f>
        <v>2.5</v>
      </c>
      <c r="I49" s="527">
        <f t="shared" si="5"/>
        <v>-1.5</v>
      </c>
      <c r="J49" s="528">
        <v>1.83</v>
      </c>
      <c r="K49" s="506">
        <f t="shared" si="6"/>
        <v>0</v>
      </c>
      <c r="L49" s="507">
        <f t="shared" si="7"/>
        <v>4.5750000000000002</v>
      </c>
      <c r="M49" s="550"/>
      <c r="N49" s="512"/>
    </row>
    <row r="50" spans="2:14" ht="15.75" customHeight="1" thickBot="1" x14ac:dyDescent="0.25">
      <c r="B50" s="525" t="s">
        <v>871</v>
      </c>
      <c r="C50" s="526" t="s">
        <v>214</v>
      </c>
      <c r="D50" s="500">
        <v>0</v>
      </c>
      <c r="E50" s="553"/>
      <c r="F50" s="554"/>
      <c r="G50" s="502">
        <f t="shared" si="4"/>
        <v>0</v>
      </c>
      <c r="H50" s="503">
        <f>'INVENTORY INPUT'!G269</f>
        <v>0.8</v>
      </c>
      <c r="I50" s="527">
        <f t="shared" si="5"/>
        <v>-0.8</v>
      </c>
      <c r="J50" s="528">
        <v>14.99</v>
      </c>
      <c r="K50" s="506">
        <f t="shared" si="6"/>
        <v>0</v>
      </c>
      <c r="L50" s="507">
        <f t="shared" si="7"/>
        <v>11.992000000000001</v>
      </c>
      <c r="M50" s="550"/>
    </row>
    <row r="51" spans="2:14" ht="15.75" customHeight="1" thickBot="1" x14ac:dyDescent="0.25">
      <c r="B51" s="525" t="s">
        <v>528</v>
      </c>
      <c r="C51" s="526" t="s">
        <v>168</v>
      </c>
      <c r="D51" s="500">
        <v>0.8</v>
      </c>
      <c r="E51" s="501"/>
      <c r="F51" s="501"/>
      <c r="G51" s="502">
        <f t="shared" si="4"/>
        <v>0.8</v>
      </c>
      <c r="H51" s="503">
        <f>'INVENTORY INPUT'!G270</f>
        <v>0.1</v>
      </c>
      <c r="I51" s="527">
        <f t="shared" si="5"/>
        <v>0.70000000000000007</v>
      </c>
      <c r="J51" s="528">
        <v>58.1</v>
      </c>
      <c r="K51" s="506">
        <f t="shared" si="6"/>
        <v>0</v>
      </c>
      <c r="L51" s="507">
        <f t="shared" si="7"/>
        <v>5.8100000000000005</v>
      </c>
      <c r="M51" s="550"/>
    </row>
    <row r="52" spans="2:14" ht="15.75" customHeight="1" thickBot="1" x14ac:dyDescent="0.25">
      <c r="B52" s="525" t="s">
        <v>529</v>
      </c>
      <c r="C52" s="526" t="s">
        <v>168</v>
      </c>
      <c r="D52" s="500">
        <v>0.33</v>
      </c>
      <c r="E52" s="501"/>
      <c r="F52" s="501">
        <v>1</v>
      </c>
      <c r="G52" s="502">
        <f t="shared" si="4"/>
        <v>1.33</v>
      </c>
      <c r="H52" s="503">
        <f>'INVENTORY INPUT'!G271</f>
        <v>0.35</v>
      </c>
      <c r="I52" s="527">
        <f t="shared" si="5"/>
        <v>0.98000000000000009</v>
      </c>
      <c r="J52" s="528">
        <v>60.12</v>
      </c>
      <c r="K52" s="506">
        <f t="shared" si="6"/>
        <v>60.12</v>
      </c>
      <c r="L52" s="507">
        <f t="shared" si="7"/>
        <v>21.041999999999998</v>
      </c>
      <c r="M52" s="550"/>
    </row>
    <row r="53" spans="2:14" ht="15.75" customHeight="1" thickBot="1" x14ac:dyDescent="0.25">
      <c r="B53" s="525" t="s">
        <v>872</v>
      </c>
      <c r="C53" s="526" t="s">
        <v>168</v>
      </c>
      <c r="D53" s="500">
        <v>17</v>
      </c>
      <c r="E53" s="501"/>
      <c r="F53" s="501"/>
      <c r="G53" s="502">
        <f t="shared" si="4"/>
        <v>17</v>
      </c>
      <c r="H53" s="503">
        <f>'INVENTORY INPUT'!G272</f>
        <v>16.100000000000001</v>
      </c>
      <c r="I53" s="527">
        <f t="shared" si="5"/>
        <v>0.89999999999999858</v>
      </c>
      <c r="J53" s="528">
        <v>2.11</v>
      </c>
      <c r="K53" s="506">
        <f t="shared" si="6"/>
        <v>0</v>
      </c>
      <c r="L53" s="507">
        <f t="shared" si="7"/>
        <v>33.971000000000004</v>
      </c>
      <c r="M53" s="550"/>
      <c r="N53" s="512"/>
    </row>
    <row r="54" spans="2:14" ht="15.75" customHeight="1" thickBot="1" x14ac:dyDescent="0.25">
      <c r="B54" s="525" t="s">
        <v>873</v>
      </c>
      <c r="C54" s="526" t="s">
        <v>168</v>
      </c>
      <c r="D54" s="500">
        <v>9</v>
      </c>
      <c r="E54" s="501"/>
      <c r="F54" s="501"/>
      <c r="G54" s="502">
        <f t="shared" si="4"/>
        <v>9</v>
      </c>
      <c r="H54" s="503">
        <f>'INVENTORY INPUT'!G273</f>
        <v>8.5</v>
      </c>
      <c r="I54" s="527">
        <f t="shared" si="5"/>
        <v>0.5</v>
      </c>
      <c r="J54" s="528">
        <v>2.68</v>
      </c>
      <c r="K54" s="506">
        <f t="shared" si="6"/>
        <v>0</v>
      </c>
      <c r="L54" s="507">
        <f t="shared" si="7"/>
        <v>22.78</v>
      </c>
      <c r="M54" s="550"/>
      <c r="N54" s="512"/>
    </row>
    <row r="55" spans="2:14" ht="15.75" customHeight="1" thickBot="1" x14ac:dyDescent="0.25">
      <c r="B55" s="525" t="s">
        <v>487</v>
      </c>
      <c r="C55" s="526" t="s">
        <v>175</v>
      </c>
      <c r="D55" s="500">
        <v>1.25</v>
      </c>
      <c r="E55" s="501"/>
      <c r="F55" s="501"/>
      <c r="G55" s="502">
        <f t="shared" si="4"/>
        <v>1.25</v>
      </c>
      <c r="H55" s="503">
        <f>'INVENTORY INPUT'!G274</f>
        <v>0.98</v>
      </c>
      <c r="I55" s="527">
        <f t="shared" si="5"/>
        <v>0.27</v>
      </c>
      <c r="J55" s="528">
        <v>24.6</v>
      </c>
      <c r="K55" s="506">
        <f t="shared" si="6"/>
        <v>0</v>
      </c>
      <c r="L55" s="507">
        <f t="shared" si="7"/>
        <v>24.108000000000001</v>
      </c>
      <c r="M55" s="550"/>
    </row>
    <row r="56" spans="2:14" ht="15.75" customHeight="1" thickBot="1" x14ac:dyDescent="0.25">
      <c r="B56" s="525" t="s">
        <v>530</v>
      </c>
      <c r="C56" s="526" t="s">
        <v>175</v>
      </c>
      <c r="D56" s="500">
        <v>1</v>
      </c>
      <c r="E56" s="501"/>
      <c r="F56" s="501">
        <v>1</v>
      </c>
      <c r="G56" s="502">
        <f t="shared" si="4"/>
        <v>2</v>
      </c>
      <c r="H56" s="503">
        <f>'INVENTORY INPUT'!G275</f>
        <v>1.1000000000000001</v>
      </c>
      <c r="I56" s="527">
        <f t="shared" si="5"/>
        <v>0.89999999999999991</v>
      </c>
      <c r="J56" s="528">
        <v>80.650000000000006</v>
      </c>
      <c r="K56" s="506">
        <f t="shared" si="6"/>
        <v>80.650000000000006</v>
      </c>
      <c r="L56" s="507">
        <f t="shared" si="7"/>
        <v>88.715000000000018</v>
      </c>
      <c r="M56" s="550"/>
    </row>
    <row r="57" spans="2:14" ht="15.75" customHeight="1" x14ac:dyDescent="0.2">
      <c r="B57" s="525" t="s">
        <v>526</v>
      </c>
      <c r="C57" s="526" t="s">
        <v>175</v>
      </c>
      <c r="D57" s="500">
        <v>0.7</v>
      </c>
      <c r="E57" s="553"/>
      <c r="F57" s="554"/>
      <c r="G57" s="502">
        <f t="shared" si="4"/>
        <v>0.7</v>
      </c>
      <c r="H57" s="503">
        <f>'INVENTORY INPUT'!G276</f>
        <v>0.9</v>
      </c>
      <c r="I57" s="527">
        <f t="shared" si="5"/>
        <v>-0.20000000000000007</v>
      </c>
      <c r="J57" s="528">
        <v>76.67</v>
      </c>
      <c r="K57" s="506">
        <f t="shared" si="6"/>
        <v>0</v>
      </c>
      <c r="L57" s="507">
        <f t="shared" si="7"/>
        <v>69.003</v>
      </c>
      <c r="M57" s="550"/>
    </row>
    <row r="58" spans="2:14" ht="15.75" customHeight="1" x14ac:dyDescent="0.2">
      <c r="B58" s="555" t="s">
        <v>398</v>
      </c>
      <c r="C58" s="555"/>
      <c r="D58" s="556">
        <f>SUM(L36:L57)</f>
        <v>768.77740000000006</v>
      </c>
      <c r="E58" s="532"/>
      <c r="F58" s="532"/>
      <c r="G58" s="533"/>
      <c r="H58" s="533"/>
      <c r="I58" s="534"/>
      <c r="K58" s="536">
        <f>SUM(K36:K57)</f>
        <v>319.47000000000003</v>
      </c>
      <c r="M58" s="550"/>
    </row>
    <row r="59" spans="2:14" ht="15.75" customHeight="1" x14ac:dyDescent="0.2">
      <c r="B59" s="538"/>
      <c r="C59" s="538"/>
      <c r="D59" s="539"/>
      <c r="E59" s="532"/>
      <c r="F59" s="532"/>
      <c r="G59" s="533"/>
      <c r="H59" s="533"/>
      <c r="I59" s="534"/>
    </row>
    <row r="60" spans="2:14" ht="15.75" customHeight="1" thickBot="1" x14ac:dyDescent="0.3">
      <c r="B60" s="540" t="s">
        <v>274</v>
      </c>
      <c r="C60" s="541"/>
      <c r="D60" s="542"/>
      <c r="E60" s="543"/>
      <c r="F60" s="543"/>
      <c r="G60" s="544"/>
      <c r="H60" s="544"/>
      <c r="I60" s="544"/>
      <c r="J60" s="545"/>
      <c r="K60" s="545"/>
      <c r="L60" s="546"/>
    </row>
    <row r="61" spans="2:14" ht="15.75" customHeight="1" thickBot="1" x14ac:dyDescent="0.25">
      <c r="B61" s="551" t="s">
        <v>417</v>
      </c>
      <c r="C61" s="548" t="s">
        <v>168</v>
      </c>
      <c r="D61" s="500">
        <v>0</v>
      </c>
      <c r="E61" s="501">
        <v>1</v>
      </c>
      <c r="F61" s="501"/>
      <c r="G61" s="502">
        <f t="shared" ref="G61:G69" si="8">SUM(D61:F61)</f>
        <v>1</v>
      </c>
      <c r="H61" s="503">
        <f>'INVENTORY INPUT'!G278</f>
        <v>1</v>
      </c>
      <c r="I61" s="527">
        <f t="shared" ref="I61:I87" si="9">(G61-H61)</f>
        <v>0</v>
      </c>
      <c r="J61" s="549">
        <v>41.37</v>
      </c>
      <c r="K61" s="506">
        <f t="shared" ref="K61:K87" si="10">SUM(E61:F61)*J61</f>
        <v>41.37</v>
      </c>
      <c r="L61" s="507">
        <f t="shared" ref="L61:L87" si="11">J61*H61</f>
        <v>41.37</v>
      </c>
      <c r="M61" s="550"/>
    </row>
    <row r="62" spans="2:14" ht="15.75" customHeight="1" thickBot="1" x14ac:dyDescent="0.25">
      <c r="B62" s="547" t="s">
        <v>418</v>
      </c>
      <c r="C62" s="548" t="s">
        <v>168</v>
      </c>
      <c r="D62" s="500">
        <v>0</v>
      </c>
      <c r="E62" s="501"/>
      <c r="F62" s="501"/>
      <c r="G62" s="502">
        <f t="shared" si="8"/>
        <v>0</v>
      </c>
      <c r="H62" s="503">
        <f>'INVENTORY INPUT'!G279</f>
        <v>0</v>
      </c>
      <c r="I62" s="527">
        <f t="shared" si="9"/>
        <v>0</v>
      </c>
      <c r="J62" s="549">
        <v>19.87</v>
      </c>
      <c r="K62" s="506">
        <f t="shared" si="10"/>
        <v>0</v>
      </c>
      <c r="L62" s="507">
        <f t="shared" si="11"/>
        <v>0</v>
      </c>
      <c r="M62" s="550"/>
    </row>
    <row r="63" spans="2:14" ht="15.75" customHeight="1" thickBot="1" x14ac:dyDescent="0.25">
      <c r="B63" s="551" t="s">
        <v>314</v>
      </c>
      <c r="C63" s="548" t="s">
        <v>168</v>
      </c>
      <c r="D63" s="500">
        <v>0.6</v>
      </c>
      <c r="E63" s="501"/>
      <c r="F63" s="501"/>
      <c r="G63" s="502">
        <f t="shared" si="8"/>
        <v>0.6</v>
      </c>
      <c r="H63" s="503">
        <f>'INVENTORY INPUT'!G280</f>
        <v>0</v>
      </c>
      <c r="I63" s="527">
        <f t="shared" si="9"/>
        <v>0.6</v>
      </c>
      <c r="J63" s="549">
        <v>30.92</v>
      </c>
      <c r="K63" s="506">
        <f t="shared" si="10"/>
        <v>0</v>
      </c>
      <c r="L63" s="507">
        <f t="shared" si="11"/>
        <v>0</v>
      </c>
      <c r="M63" s="550"/>
    </row>
    <row r="64" spans="2:14" ht="15.75" customHeight="1" thickBot="1" x14ac:dyDescent="0.25">
      <c r="B64" s="547" t="s">
        <v>503</v>
      </c>
      <c r="C64" s="548" t="s">
        <v>141</v>
      </c>
      <c r="D64" s="500">
        <v>0.33</v>
      </c>
      <c r="E64" s="501"/>
      <c r="F64" s="501"/>
      <c r="G64" s="502">
        <f t="shared" si="8"/>
        <v>0.33</v>
      </c>
      <c r="H64" s="503">
        <f>'INVENTORY INPUT'!G281</f>
        <v>0.8</v>
      </c>
      <c r="I64" s="527">
        <f t="shared" si="9"/>
        <v>-0.47000000000000003</v>
      </c>
      <c r="J64" s="549">
        <v>6.15</v>
      </c>
      <c r="K64" s="506">
        <f t="shared" si="10"/>
        <v>0</v>
      </c>
      <c r="L64" s="507">
        <f t="shared" si="11"/>
        <v>4.9200000000000008</v>
      </c>
      <c r="M64" s="550"/>
    </row>
    <row r="65" spans="2:14" ht="15.75" customHeight="1" thickBot="1" x14ac:dyDescent="0.25">
      <c r="B65" s="547" t="s">
        <v>312</v>
      </c>
      <c r="C65" s="548" t="s">
        <v>141</v>
      </c>
      <c r="D65" s="500">
        <v>0</v>
      </c>
      <c r="E65" s="501"/>
      <c r="F65" s="501">
        <v>20</v>
      </c>
      <c r="G65" s="502">
        <f t="shared" si="8"/>
        <v>20</v>
      </c>
      <c r="H65" s="503">
        <f>'INVENTORY INPUT'!G282</f>
        <v>18</v>
      </c>
      <c r="I65" s="527">
        <f t="shared" si="9"/>
        <v>2</v>
      </c>
      <c r="J65" s="549">
        <f>11.24/20</f>
        <v>0.56200000000000006</v>
      </c>
      <c r="K65" s="506">
        <f t="shared" si="10"/>
        <v>11.240000000000002</v>
      </c>
      <c r="L65" s="507">
        <f t="shared" si="11"/>
        <v>10.116000000000001</v>
      </c>
      <c r="M65" s="550"/>
    </row>
    <row r="66" spans="2:14" ht="15.75" customHeight="1" thickBot="1" x14ac:dyDescent="0.25">
      <c r="B66" s="547" t="s">
        <v>313</v>
      </c>
      <c r="C66" s="548" t="s">
        <v>179</v>
      </c>
      <c r="D66" s="500">
        <v>0.6</v>
      </c>
      <c r="E66" s="501"/>
      <c r="F66" s="501"/>
      <c r="G66" s="502">
        <f t="shared" si="8"/>
        <v>0.6</v>
      </c>
      <c r="H66" s="503">
        <f>'INVENTORY INPUT'!G283</f>
        <v>0</v>
      </c>
      <c r="I66" s="527">
        <f t="shared" si="9"/>
        <v>0.6</v>
      </c>
      <c r="J66" s="549">
        <v>3.99</v>
      </c>
      <c r="K66" s="506">
        <f t="shared" si="10"/>
        <v>0</v>
      </c>
      <c r="L66" s="507">
        <f t="shared" si="11"/>
        <v>0</v>
      </c>
      <c r="M66" s="550"/>
    </row>
    <row r="67" spans="2:14" ht="15.75" customHeight="1" thickBot="1" x14ac:dyDescent="0.25">
      <c r="B67" s="547" t="s">
        <v>316</v>
      </c>
      <c r="C67" s="548" t="s">
        <v>179</v>
      </c>
      <c r="D67" s="500">
        <v>0</v>
      </c>
      <c r="E67" s="553"/>
      <c r="F67" s="554"/>
      <c r="G67" s="502">
        <f t="shared" si="8"/>
        <v>0</v>
      </c>
      <c r="H67" s="503">
        <f>'INVENTORY INPUT'!G284</f>
        <v>0</v>
      </c>
      <c r="I67" s="527">
        <f t="shared" si="9"/>
        <v>0</v>
      </c>
      <c r="J67" s="549">
        <v>10.99</v>
      </c>
      <c r="K67" s="506">
        <f t="shared" si="10"/>
        <v>0</v>
      </c>
      <c r="L67" s="507">
        <f t="shared" si="11"/>
        <v>0</v>
      </c>
      <c r="M67" s="550"/>
    </row>
    <row r="68" spans="2:14" ht="15.75" customHeight="1" thickBot="1" x14ac:dyDescent="0.25">
      <c r="B68" s="547" t="s">
        <v>317</v>
      </c>
      <c r="C68" s="548" t="s">
        <v>179</v>
      </c>
      <c r="D68" s="500">
        <v>0.7</v>
      </c>
      <c r="E68" s="501"/>
      <c r="F68" s="501"/>
      <c r="G68" s="502">
        <f t="shared" si="8"/>
        <v>0.7</v>
      </c>
      <c r="H68" s="503">
        <f>'INVENTORY INPUT'!G285</f>
        <v>1.5</v>
      </c>
      <c r="I68" s="527">
        <f t="shared" si="9"/>
        <v>-0.8</v>
      </c>
      <c r="J68" s="549">
        <v>69.849999999999994</v>
      </c>
      <c r="K68" s="506">
        <f t="shared" si="10"/>
        <v>0</v>
      </c>
      <c r="L68" s="507">
        <f t="shared" si="11"/>
        <v>104.77499999999999</v>
      </c>
      <c r="M68" s="550"/>
      <c r="N68" s="512"/>
    </row>
    <row r="69" spans="2:14" ht="15.75" customHeight="1" thickBot="1" x14ac:dyDescent="0.25">
      <c r="B69" s="547" t="s">
        <v>419</v>
      </c>
      <c r="C69" s="548" t="s">
        <v>179</v>
      </c>
      <c r="D69" s="500">
        <v>2</v>
      </c>
      <c r="E69" s="501"/>
      <c r="F69" s="501"/>
      <c r="G69" s="502">
        <f t="shared" si="8"/>
        <v>2</v>
      </c>
      <c r="H69" s="503">
        <f>'INVENTORY INPUT'!G286</f>
        <v>3.5</v>
      </c>
      <c r="I69" s="527">
        <f t="shared" si="9"/>
        <v>-1.5</v>
      </c>
      <c r="J69" s="549">
        <v>28.08</v>
      </c>
      <c r="K69" s="506">
        <f t="shared" si="10"/>
        <v>0</v>
      </c>
      <c r="L69" s="507">
        <f t="shared" si="11"/>
        <v>98.28</v>
      </c>
      <c r="M69" s="550"/>
      <c r="N69" s="512"/>
    </row>
    <row r="70" spans="2:14" ht="15.75" customHeight="1" thickBot="1" x14ac:dyDescent="0.25">
      <c r="B70" s="547" t="s">
        <v>874</v>
      </c>
      <c r="C70" s="548" t="s">
        <v>12</v>
      </c>
      <c r="D70" s="500">
        <v>0</v>
      </c>
      <c r="E70" s="501">
        <v>5</v>
      </c>
      <c r="F70" s="501"/>
      <c r="G70" s="502">
        <v>1.5</v>
      </c>
      <c r="H70" s="503">
        <f>'INVENTORY INPUT'!G287</f>
        <v>3.2</v>
      </c>
      <c r="I70" s="527">
        <f t="shared" si="9"/>
        <v>-1.7000000000000002</v>
      </c>
      <c r="J70" s="549">
        <v>10.4</v>
      </c>
      <c r="K70" s="506">
        <f t="shared" si="10"/>
        <v>52</v>
      </c>
      <c r="L70" s="507">
        <f t="shared" si="11"/>
        <v>33.28</v>
      </c>
      <c r="M70" s="550"/>
      <c r="N70" s="512"/>
    </row>
    <row r="71" spans="2:14" ht="15.75" customHeight="1" thickBot="1" x14ac:dyDescent="0.25">
      <c r="B71" s="551" t="s">
        <v>875</v>
      </c>
      <c r="C71" s="548" t="s">
        <v>37</v>
      </c>
      <c r="D71" s="500">
        <v>0</v>
      </c>
      <c r="E71" s="501"/>
      <c r="F71" s="501"/>
      <c r="G71" s="502">
        <v>0</v>
      </c>
      <c r="H71" s="503">
        <f>'INVENTORY INPUT'!G288</f>
        <v>1.2</v>
      </c>
      <c r="I71" s="527">
        <f t="shared" si="9"/>
        <v>-1.2</v>
      </c>
      <c r="J71" s="549">
        <f>78.93/2</f>
        <v>39.465000000000003</v>
      </c>
      <c r="K71" s="506">
        <f t="shared" si="10"/>
        <v>0</v>
      </c>
      <c r="L71" s="507">
        <f t="shared" si="11"/>
        <v>47.358000000000004</v>
      </c>
      <c r="M71" s="550"/>
      <c r="N71" s="512"/>
    </row>
    <row r="72" spans="2:14" ht="15.75" customHeight="1" thickBot="1" x14ac:dyDescent="0.25">
      <c r="B72" s="551" t="s">
        <v>320</v>
      </c>
      <c r="C72" s="548" t="s">
        <v>179</v>
      </c>
      <c r="D72" s="500">
        <v>1.1000000000000001</v>
      </c>
      <c r="E72" s="501"/>
      <c r="F72" s="501"/>
      <c r="G72" s="502">
        <f t="shared" ref="G72:G87" si="12">SUM(D72:F72)</f>
        <v>1.1000000000000001</v>
      </c>
      <c r="H72" s="503">
        <f>'INVENTORY INPUT'!G289</f>
        <v>0.2</v>
      </c>
      <c r="I72" s="527">
        <f t="shared" si="9"/>
        <v>0.90000000000000013</v>
      </c>
      <c r="J72" s="549">
        <v>223.83</v>
      </c>
      <c r="K72" s="506">
        <f t="shared" si="10"/>
        <v>0</v>
      </c>
      <c r="L72" s="507">
        <f t="shared" si="11"/>
        <v>44.766000000000005</v>
      </c>
      <c r="M72" s="550"/>
      <c r="N72" s="512"/>
    </row>
    <row r="73" spans="2:14" ht="15.75" customHeight="1" thickBot="1" x14ac:dyDescent="0.25">
      <c r="B73" s="551" t="s">
        <v>117</v>
      </c>
      <c r="C73" s="548" t="s">
        <v>179</v>
      </c>
      <c r="D73" s="500">
        <v>1.25</v>
      </c>
      <c r="E73" s="501"/>
      <c r="F73" s="501"/>
      <c r="G73" s="502">
        <f t="shared" si="12"/>
        <v>1.25</v>
      </c>
      <c r="H73" s="503">
        <f>'INVENTORY INPUT'!G290</f>
        <v>1</v>
      </c>
      <c r="I73" s="527">
        <f t="shared" si="9"/>
        <v>0.25</v>
      </c>
      <c r="J73" s="549">
        <v>36.54</v>
      </c>
      <c r="K73" s="506">
        <f t="shared" si="10"/>
        <v>0</v>
      </c>
      <c r="L73" s="507">
        <f t="shared" si="11"/>
        <v>36.54</v>
      </c>
      <c r="M73" s="550"/>
      <c r="N73" s="512"/>
    </row>
    <row r="74" spans="2:14" ht="15.75" customHeight="1" thickBot="1" x14ac:dyDescent="0.25">
      <c r="B74" s="551" t="s">
        <v>420</v>
      </c>
      <c r="C74" s="548" t="s">
        <v>179</v>
      </c>
      <c r="D74" s="500">
        <v>2</v>
      </c>
      <c r="E74" s="501"/>
      <c r="F74" s="501"/>
      <c r="G74" s="502">
        <f t="shared" si="12"/>
        <v>2</v>
      </c>
      <c r="H74" s="503">
        <f>'INVENTORY INPUT'!G291</f>
        <v>5</v>
      </c>
      <c r="I74" s="527">
        <f t="shared" si="9"/>
        <v>-3</v>
      </c>
      <c r="J74" s="549">
        <v>7.49</v>
      </c>
      <c r="K74" s="506">
        <f t="shared" si="10"/>
        <v>0</v>
      </c>
      <c r="L74" s="507">
        <f t="shared" si="11"/>
        <v>37.450000000000003</v>
      </c>
      <c r="M74" s="550"/>
      <c r="N74" s="512"/>
    </row>
    <row r="75" spans="2:14" ht="15.75" customHeight="1" thickBot="1" x14ac:dyDescent="0.25">
      <c r="B75" s="551" t="s">
        <v>45</v>
      </c>
      <c r="C75" s="548" t="s">
        <v>179</v>
      </c>
      <c r="D75" s="500">
        <v>2</v>
      </c>
      <c r="E75" s="501"/>
      <c r="F75" s="501"/>
      <c r="G75" s="502">
        <f t="shared" si="12"/>
        <v>2</v>
      </c>
      <c r="H75" s="503">
        <f>'INVENTORY INPUT'!G292</f>
        <v>1</v>
      </c>
      <c r="I75" s="527">
        <f t="shared" si="9"/>
        <v>1</v>
      </c>
      <c r="J75" s="549">
        <v>3.32</v>
      </c>
      <c r="K75" s="506">
        <f t="shared" si="10"/>
        <v>0</v>
      </c>
      <c r="L75" s="507">
        <f t="shared" si="11"/>
        <v>3.32</v>
      </c>
      <c r="M75" s="550"/>
      <c r="N75" s="512"/>
    </row>
    <row r="76" spans="2:14" ht="15.75" customHeight="1" thickBot="1" x14ac:dyDescent="0.25">
      <c r="B76" s="551" t="s">
        <v>321</v>
      </c>
      <c r="C76" s="548" t="s">
        <v>179</v>
      </c>
      <c r="D76" s="500">
        <v>2</v>
      </c>
      <c r="E76" s="501"/>
      <c r="F76" s="501"/>
      <c r="G76" s="502">
        <f t="shared" si="12"/>
        <v>2</v>
      </c>
      <c r="H76" s="503">
        <f>'INVENTORY INPUT'!G293</f>
        <v>2.2000000000000002</v>
      </c>
      <c r="I76" s="527">
        <f t="shared" si="9"/>
        <v>-0.20000000000000018</v>
      </c>
      <c r="J76" s="549">
        <v>18.2</v>
      </c>
      <c r="K76" s="506">
        <f t="shared" si="10"/>
        <v>0</v>
      </c>
      <c r="L76" s="507">
        <f t="shared" si="11"/>
        <v>40.04</v>
      </c>
      <c r="M76" s="550"/>
      <c r="N76" s="512"/>
    </row>
    <row r="77" spans="2:14" ht="15.75" customHeight="1" thickBot="1" x14ac:dyDescent="0.25">
      <c r="B77" s="525" t="s">
        <v>315</v>
      </c>
      <c r="C77" s="526" t="s">
        <v>141</v>
      </c>
      <c r="D77" s="500">
        <v>3</v>
      </c>
      <c r="E77" s="501"/>
      <c r="F77" s="501"/>
      <c r="G77" s="502">
        <f t="shared" si="12"/>
        <v>3</v>
      </c>
      <c r="H77" s="503">
        <f>'INVENTORY INPUT'!G294</f>
        <v>6</v>
      </c>
      <c r="I77" s="527">
        <f t="shared" si="9"/>
        <v>-3</v>
      </c>
      <c r="J77" s="528">
        <v>7.52</v>
      </c>
      <c r="K77" s="506">
        <f t="shared" si="10"/>
        <v>0</v>
      </c>
      <c r="L77" s="507">
        <f t="shared" si="11"/>
        <v>45.12</v>
      </c>
      <c r="M77" s="550"/>
    </row>
    <row r="78" spans="2:14" ht="15.75" customHeight="1" thickBot="1" x14ac:dyDescent="0.25">
      <c r="B78" s="525" t="s">
        <v>421</v>
      </c>
      <c r="C78" s="526" t="s">
        <v>141</v>
      </c>
      <c r="D78" s="500">
        <v>1</v>
      </c>
      <c r="E78" s="501"/>
      <c r="F78" s="501"/>
      <c r="G78" s="502">
        <f t="shared" si="12"/>
        <v>1</v>
      </c>
      <c r="H78" s="503">
        <f>'INVENTORY INPUT'!G295</f>
        <v>2</v>
      </c>
      <c r="I78" s="527">
        <f t="shared" si="9"/>
        <v>-1</v>
      </c>
      <c r="J78" s="528">
        <v>8.73</v>
      </c>
      <c r="K78" s="506">
        <f t="shared" si="10"/>
        <v>0</v>
      </c>
      <c r="L78" s="507">
        <f t="shared" si="11"/>
        <v>17.46</v>
      </c>
      <c r="M78" s="550"/>
      <c r="N78" s="512"/>
    </row>
    <row r="79" spans="2:14" ht="15.75" customHeight="1" thickBot="1" x14ac:dyDescent="0.25">
      <c r="B79" s="525" t="s">
        <v>422</v>
      </c>
      <c r="C79" s="526" t="s">
        <v>141</v>
      </c>
      <c r="D79" s="500">
        <v>7</v>
      </c>
      <c r="E79" s="501"/>
      <c r="F79" s="501"/>
      <c r="G79" s="502">
        <f t="shared" si="12"/>
        <v>7</v>
      </c>
      <c r="H79" s="503">
        <f>'INVENTORY INPUT'!G296</f>
        <v>4</v>
      </c>
      <c r="I79" s="527">
        <f t="shared" si="9"/>
        <v>3</v>
      </c>
      <c r="J79" s="528">
        <f>80.16/8</f>
        <v>10.02</v>
      </c>
      <c r="K79" s="506">
        <f t="shared" si="10"/>
        <v>0</v>
      </c>
      <c r="L79" s="507">
        <f t="shared" si="11"/>
        <v>40.08</v>
      </c>
      <c r="M79" s="550"/>
    </row>
    <row r="80" spans="2:14" ht="15.75" customHeight="1" thickBot="1" x14ac:dyDescent="0.25">
      <c r="B80" s="551" t="s">
        <v>423</v>
      </c>
      <c r="C80" s="548" t="s">
        <v>142</v>
      </c>
      <c r="D80" s="500">
        <v>1</v>
      </c>
      <c r="E80" s="501"/>
      <c r="F80" s="501">
        <v>40</v>
      </c>
      <c r="G80" s="502">
        <f t="shared" si="12"/>
        <v>41</v>
      </c>
      <c r="H80" s="503">
        <f>'INVENTORY INPUT'!G297</f>
        <v>36</v>
      </c>
      <c r="I80" s="527">
        <f t="shared" si="9"/>
        <v>5</v>
      </c>
      <c r="J80" s="549">
        <v>1.07</v>
      </c>
      <c r="K80" s="506">
        <f t="shared" si="10"/>
        <v>42.800000000000004</v>
      </c>
      <c r="L80" s="507">
        <f t="shared" si="11"/>
        <v>38.520000000000003</v>
      </c>
      <c r="M80" s="550"/>
    </row>
    <row r="81" spans="2:14" ht="15.75" customHeight="1" thickBot="1" x14ac:dyDescent="0.25">
      <c r="B81" s="551" t="s">
        <v>425</v>
      </c>
      <c r="C81" s="548" t="s">
        <v>190</v>
      </c>
      <c r="D81" s="500">
        <v>5</v>
      </c>
      <c r="E81" s="501"/>
      <c r="F81" s="501"/>
      <c r="G81" s="502">
        <f t="shared" si="12"/>
        <v>5</v>
      </c>
      <c r="H81" s="503">
        <f>'INVENTORY INPUT'!G298</f>
        <v>1.2</v>
      </c>
      <c r="I81" s="527">
        <f t="shared" si="9"/>
        <v>3.8</v>
      </c>
      <c r="J81" s="549">
        <f>31.36/10</f>
        <v>3.1360000000000001</v>
      </c>
      <c r="K81" s="506">
        <f t="shared" si="10"/>
        <v>0</v>
      </c>
      <c r="L81" s="507">
        <f t="shared" si="11"/>
        <v>3.7631999999999999</v>
      </c>
      <c r="M81" s="550"/>
    </row>
    <row r="82" spans="2:14" ht="15.75" customHeight="1" thickBot="1" x14ac:dyDescent="0.25">
      <c r="B82" s="551" t="s">
        <v>435</v>
      </c>
      <c r="C82" s="548" t="s">
        <v>190</v>
      </c>
      <c r="D82" s="500">
        <v>9</v>
      </c>
      <c r="E82" s="501"/>
      <c r="F82" s="501"/>
      <c r="G82" s="502">
        <f t="shared" si="12"/>
        <v>9</v>
      </c>
      <c r="H82" s="503">
        <f>'INVENTORY INPUT'!G299</f>
        <v>13.1</v>
      </c>
      <c r="I82" s="527">
        <f t="shared" si="9"/>
        <v>-4.0999999999999996</v>
      </c>
      <c r="J82" s="549">
        <v>11.5</v>
      </c>
      <c r="K82" s="506">
        <f t="shared" si="10"/>
        <v>0</v>
      </c>
      <c r="L82" s="507">
        <f t="shared" si="11"/>
        <v>150.65</v>
      </c>
      <c r="M82" s="550"/>
    </row>
    <row r="83" spans="2:14" ht="15.75" customHeight="1" thickBot="1" x14ac:dyDescent="0.25">
      <c r="B83" s="551" t="s">
        <v>504</v>
      </c>
      <c r="C83" s="548" t="s">
        <v>178</v>
      </c>
      <c r="D83" s="500">
        <v>5</v>
      </c>
      <c r="E83" s="501"/>
      <c r="F83" s="501"/>
      <c r="G83" s="502">
        <f t="shared" si="12"/>
        <v>5</v>
      </c>
      <c r="H83" s="503">
        <f>'INVENTORY INPUT'!G300</f>
        <v>7.5</v>
      </c>
      <c r="I83" s="527">
        <f t="shared" si="9"/>
        <v>-2.5</v>
      </c>
      <c r="J83" s="549">
        <v>6.45</v>
      </c>
      <c r="K83" s="506">
        <f t="shared" si="10"/>
        <v>0</v>
      </c>
      <c r="L83" s="507">
        <f t="shared" si="11"/>
        <v>48.375</v>
      </c>
      <c r="M83" s="550"/>
    </row>
    <row r="84" spans="2:14" ht="15.75" customHeight="1" thickBot="1" x14ac:dyDescent="0.25">
      <c r="B84" s="551" t="s">
        <v>502</v>
      </c>
      <c r="C84" s="548" t="s">
        <v>178</v>
      </c>
      <c r="D84" s="500">
        <v>7.6</v>
      </c>
      <c r="E84" s="501"/>
      <c r="F84" s="501"/>
      <c r="G84" s="502">
        <f t="shared" si="12"/>
        <v>7.6</v>
      </c>
      <c r="H84" s="503">
        <f>'INVENTORY INPUT'!G301</f>
        <v>6</v>
      </c>
      <c r="I84" s="527">
        <f t="shared" si="9"/>
        <v>1.5999999999999996</v>
      </c>
      <c r="J84" s="549">
        <v>12.93</v>
      </c>
      <c r="K84" s="506">
        <f t="shared" si="10"/>
        <v>0</v>
      </c>
      <c r="L84" s="507">
        <f t="shared" si="11"/>
        <v>77.58</v>
      </c>
      <c r="M84" s="550"/>
    </row>
    <row r="85" spans="2:14" ht="15.75" customHeight="1" thickBot="1" x14ac:dyDescent="0.25">
      <c r="B85" s="551" t="s">
        <v>488</v>
      </c>
      <c r="C85" s="548" t="s">
        <v>190</v>
      </c>
      <c r="D85" s="500">
        <v>0</v>
      </c>
      <c r="E85" s="501"/>
      <c r="F85" s="501"/>
      <c r="G85" s="502">
        <f t="shared" si="12"/>
        <v>0</v>
      </c>
      <c r="H85" s="503">
        <f>'INVENTORY INPUT'!G302</f>
        <v>0</v>
      </c>
      <c r="I85" s="527">
        <f t="shared" si="9"/>
        <v>0</v>
      </c>
      <c r="J85" s="549">
        <v>1.99</v>
      </c>
      <c r="K85" s="506">
        <f t="shared" si="10"/>
        <v>0</v>
      </c>
      <c r="L85" s="507">
        <f t="shared" si="11"/>
        <v>0</v>
      </c>
      <c r="M85" s="550"/>
    </row>
    <row r="86" spans="2:14" ht="15.75" customHeight="1" thickBot="1" x14ac:dyDescent="0.25">
      <c r="B86" s="525" t="s">
        <v>489</v>
      </c>
      <c r="C86" s="526" t="s">
        <v>190</v>
      </c>
      <c r="D86" s="500">
        <v>0</v>
      </c>
      <c r="E86" s="501"/>
      <c r="F86" s="501"/>
      <c r="G86" s="502">
        <f t="shared" si="12"/>
        <v>0</v>
      </c>
      <c r="H86" s="503">
        <f>'INVENTORY INPUT'!G303</f>
        <v>0</v>
      </c>
      <c r="I86" s="527">
        <f t="shared" si="9"/>
        <v>0</v>
      </c>
      <c r="J86" s="528">
        <v>0.24</v>
      </c>
      <c r="K86" s="506">
        <f t="shared" si="10"/>
        <v>0</v>
      </c>
      <c r="L86" s="507">
        <f t="shared" si="11"/>
        <v>0</v>
      </c>
      <c r="M86" s="550"/>
    </row>
    <row r="87" spans="2:14" ht="15.75" customHeight="1" x14ac:dyDescent="0.2">
      <c r="B87" s="525" t="s">
        <v>490</v>
      </c>
      <c r="C87" s="526" t="s">
        <v>141</v>
      </c>
      <c r="D87" s="500">
        <v>6</v>
      </c>
      <c r="E87" s="501"/>
      <c r="F87" s="501"/>
      <c r="G87" s="502">
        <f t="shared" si="12"/>
        <v>6</v>
      </c>
      <c r="H87" s="503">
        <f>'INVENTORY INPUT'!G304</f>
        <v>6</v>
      </c>
      <c r="I87" s="527">
        <f t="shared" si="9"/>
        <v>0</v>
      </c>
      <c r="J87" s="528">
        <v>0</v>
      </c>
      <c r="K87" s="506">
        <f t="shared" si="10"/>
        <v>0</v>
      </c>
      <c r="L87" s="507">
        <f t="shared" si="11"/>
        <v>0</v>
      </c>
      <c r="M87" s="550"/>
    </row>
    <row r="88" spans="2:14" ht="15.75" customHeight="1" x14ac:dyDescent="0.2">
      <c r="B88" s="555" t="s">
        <v>398</v>
      </c>
      <c r="C88" s="555"/>
      <c r="D88" s="556">
        <f>SUM(L61:L87)</f>
        <v>923.7632000000001</v>
      </c>
      <c r="E88" s="532"/>
      <c r="F88" s="532"/>
      <c r="G88" s="533"/>
      <c r="H88" s="533"/>
      <c r="I88" s="534"/>
      <c r="K88" s="536">
        <f>SUM(K61:K87)</f>
        <v>147.41</v>
      </c>
      <c r="M88" s="550"/>
    </row>
    <row r="89" spans="2:14" ht="15.75" customHeight="1" x14ac:dyDescent="0.2">
      <c r="B89" s="538"/>
      <c r="C89" s="538"/>
      <c r="D89" s="539"/>
      <c r="E89" s="532"/>
      <c r="F89" s="532"/>
      <c r="G89" s="533"/>
      <c r="H89" s="533"/>
      <c r="I89" s="534"/>
    </row>
    <row r="90" spans="2:14" ht="15.75" customHeight="1" thickBot="1" x14ac:dyDescent="0.3">
      <c r="B90" s="540" t="s">
        <v>275</v>
      </c>
      <c r="C90" s="541"/>
      <c r="D90" s="542"/>
      <c r="E90" s="543"/>
      <c r="F90" s="543"/>
      <c r="G90" s="544"/>
      <c r="H90" s="544"/>
      <c r="I90" s="544"/>
      <c r="J90" s="545"/>
      <c r="K90" s="545"/>
      <c r="L90" s="546"/>
    </row>
    <row r="91" spans="2:14" ht="15.75" customHeight="1" thickBot="1" x14ac:dyDescent="0.25">
      <c r="B91" s="547" t="s">
        <v>322</v>
      </c>
      <c r="C91" s="548" t="s">
        <v>168</v>
      </c>
      <c r="D91" s="500">
        <v>0</v>
      </c>
      <c r="E91" s="553"/>
      <c r="F91" s="554"/>
      <c r="G91" s="502">
        <f t="shared" ref="G91:G97" si="13">SUM(D91:F91)</f>
        <v>0</v>
      </c>
      <c r="H91" s="503">
        <f>'INVENTORY INPUT'!G306</f>
        <v>0.2</v>
      </c>
      <c r="I91" s="527">
        <f t="shared" ref="I91:I97" si="14">(G91-H91)</f>
        <v>-0.2</v>
      </c>
      <c r="J91" s="557">
        <v>15.24</v>
      </c>
      <c r="K91" s="506">
        <f t="shared" ref="K91:K97" si="15">SUM(E91:F91)*J91</f>
        <v>0</v>
      </c>
      <c r="L91" s="507">
        <f t="shared" ref="L91:L97" si="16">J91*H91</f>
        <v>3.048</v>
      </c>
      <c r="M91" s="558"/>
    </row>
    <row r="92" spans="2:14" ht="15.75" customHeight="1" thickBot="1" x14ac:dyDescent="0.25">
      <c r="B92" s="551" t="s">
        <v>426</v>
      </c>
      <c r="C92" s="548" t="s">
        <v>168</v>
      </c>
      <c r="D92" s="500">
        <v>0</v>
      </c>
      <c r="E92" s="553"/>
      <c r="F92" s="554"/>
      <c r="G92" s="502">
        <f t="shared" si="13"/>
        <v>0</v>
      </c>
      <c r="H92" s="503">
        <f>'INVENTORY INPUT'!G307</f>
        <v>0</v>
      </c>
      <c r="I92" s="527">
        <f t="shared" si="14"/>
        <v>0</v>
      </c>
      <c r="J92" s="557">
        <v>269</v>
      </c>
      <c r="K92" s="506">
        <f t="shared" si="15"/>
        <v>0</v>
      </c>
      <c r="L92" s="507">
        <f t="shared" si="16"/>
        <v>0</v>
      </c>
      <c r="M92" s="558"/>
    </row>
    <row r="93" spans="2:14" ht="15.75" customHeight="1" thickBot="1" x14ac:dyDescent="0.25">
      <c r="B93" s="547" t="s">
        <v>876</v>
      </c>
      <c r="C93" s="548" t="s">
        <v>168</v>
      </c>
      <c r="D93" s="500">
        <v>0.9</v>
      </c>
      <c r="E93" s="501"/>
      <c r="F93" s="501"/>
      <c r="G93" s="502">
        <f t="shared" si="13"/>
        <v>0.9</v>
      </c>
      <c r="H93" s="503">
        <f>'INVENTORY INPUT'!G308</f>
        <v>0</v>
      </c>
      <c r="I93" s="527">
        <f t="shared" si="14"/>
        <v>0.9</v>
      </c>
      <c r="J93" s="557">
        <v>60.6</v>
      </c>
      <c r="K93" s="506">
        <f t="shared" si="15"/>
        <v>0</v>
      </c>
      <c r="L93" s="507">
        <f t="shared" si="16"/>
        <v>0</v>
      </c>
      <c r="M93" s="558"/>
    </row>
    <row r="94" spans="2:14" ht="15.75" customHeight="1" thickBot="1" x14ac:dyDescent="0.25">
      <c r="B94" s="547" t="s">
        <v>877</v>
      </c>
      <c r="C94" s="548" t="s">
        <v>168</v>
      </c>
      <c r="D94" s="500">
        <v>0.7</v>
      </c>
      <c r="E94" s="501"/>
      <c r="F94" s="501"/>
      <c r="G94" s="502">
        <f t="shared" si="13"/>
        <v>0.7</v>
      </c>
      <c r="H94" s="503">
        <f>'INVENTORY INPUT'!G309</f>
        <v>0.9</v>
      </c>
      <c r="I94" s="527">
        <f t="shared" si="14"/>
        <v>-0.20000000000000007</v>
      </c>
      <c r="J94" s="557">
        <v>64.87</v>
      </c>
      <c r="K94" s="506">
        <f t="shared" si="15"/>
        <v>0</v>
      </c>
      <c r="L94" s="507">
        <f t="shared" si="16"/>
        <v>58.383000000000003</v>
      </c>
      <c r="M94" s="558"/>
      <c r="N94" s="558"/>
    </row>
    <row r="95" spans="2:14" ht="15.75" customHeight="1" thickBot="1" x14ac:dyDescent="0.25">
      <c r="B95" s="551" t="s">
        <v>427</v>
      </c>
      <c r="C95" s="548" t="s">
        <v>168</v>
      </c>
      <c r="D95" s="500">
        <v>0.3</v>
      </c>
      <c r="E95" s="501"/>
      <c r="F95" s="501"/>
      <c r="G95" s="502">
        <f t="shared" si="13"/>
        <v>0.3</v>
      </c>
      <c r="H95" s="503">
        <f>'INVENTORY INPUT'!G310</f>
        <v>0</v>
      </c>
      <c r="I95" s="527">
        <f t="shared" si="14"/>
        <v>0.3</v>
      </c>
      <c r="J95" s="559">
        <v>67.53</v>
      </c>
      <c r="K95" s="506">
        <f t="shared" si="15"/>
        <v>0</v>
      </c>
      <c r="L95" s="507">
        <f t="shared" si="16"/>
        <v>0</v>
      </c>
      <c r="M95" s="558"/>
    </row>
    <row r="96" spans="2:14" ht="15.75" customHeight="1" thickBot="1" x14ac:dyDescent="0.25">
      <c r="B96" s="525" t="s">
        <v>491</v>
      </c>
      <c r="C96" s="526" t="s">
        <v>168</v>
      </c>
      <c r="D96" s="500">
        <v>1.3</v>
      </c>
      <c r="E96" s="501"/>
      <c r="F96" s="501"/>
      <c r="G96" s="502">
        <f t="shared" si="13"/>
        <v>1.3</v>
      </c>
      <c r="H96" s="503">
        <f>'INVENTORY INPUT'!G311</f>
        <v>0</v>
      </c>
      <c r="I96" s="527">
        <f t="shared" si="14"/>
        <v>1.3</v>
      </c>
      <c r="J96" s="559">
        <v>29.28</v>
      </c>
      <c r="K96" s="506">
        <f t="shared" si="15"/>
        <v>0</v>
      </c>
      <c r="L96" s="507">
        <f t="shared" si="16"/>
        <v>0</v>
      </c>
      <c r="M96" s="558"/>
    </row>
    <row r="97" spans="2:14" ht="15.75" customHeight="1" x14ac:dyDescent="0.2">
      <c r="B97" s="525"/>
      <c r="C97" s="526"/>
      <c r="D97" s="500"/>
      <c r="E97" s="560"/>
      <c r="F97" s="561"/>
      <c r="G97" s="502">
        <f t="shared" si="13"/>
        <v>0</v>
      </c>
      <c r="H97" s="503">
        <f>'INVENTORY INPUT'!G312</f>
        <v>0</v>
      </c>
      <c r="I97" s="527">
        <f t="shared" si="14"/>
        <v>0</v>
      </c>
      <c r="J97" s="559">
        <v>0</v>
      </c>
      <c r="K97" s="506">
        <f t="shared" si="15"/>
        <v>0</v>
      </c>
      <c r="L97" s="507">
        <f t="shared" si="16"/>
        <v>0</v>
      </c>
      <c r="M97" s="558"/>
    </row>
    <row r="98" spans="2:14" ht="15.75" customHeight="1" x14ac:dyDescent="0.2">
      <c r="B98" s="555" t="s">
        <v>398</v>
      </c>
      <c r="C98" s="555"/>
      <c r="D98" s="556">
        <f>SUM(L91:L97)</f>
        <v>61.431000000000004</v>
      </c>
      <c r="E98" s="532"/>
      <c r="F98" s="532"/>
      <c r="G98" s="533"/>
      <c r="H98" s="533"/>
      <c r="I98" s="534"/>
      <c r="K98" s="562">
        <f>SUM(K91:K97)</f>
        <v>0</v>
      </c>
      <c r="M98" s="558"/>
    </row>
    <row r="99" spans="2:14" ht="15.75" customHeight="1" x14ac:dyDescent="0.2">
      <c r="B99" s="538"/>
      <c r="C99" s="538"/>
      <c r="D99" s="539"/>
      <c r="E99" s="532"/>
      <c r="F99" s="532"/>
      <c r="G99" s="533"/>
      <c r="H99" s="533"/>
      <c r="I99" s="534"/>
    </row>
    <row r="100" spans="2:14" ht="15.75" customHeight="1" thickBot="1" x14ac:dyDescent="0.3">
      <c r="B100" s="540" t="s">
        <v>415</v>
      </c>
      <c r="C100" s="541"/>
      <c r="D100" s="542"/>
      <c r="E100" s="543"/>
      <c r="F100" s="543"/>
      <c r="G100" s="544"/>
      <c r="H100" s="544"/>
      <c r="I100" s="544"/>
      <c r="J100" s="545"/>
      <c r="K100" s="545"/>
      <c r="L100" s="546"/>
    </row>
    <row r="101" spans="2:14" ht="15.75" customHeight="1" thickBot="1" x14ac:dyDescent="0.25">
      <c r="B101" s="547" t="s">
        <v>324</v>
      </c>
      <c r="C101" s="548" t="s">
        <v>399</v>
      </c>
      <c r="D101" s="500">
        <v>1.8</v>
      </c>
      <c r="E101" s="501"/>
      <c r="F101" s="501"/>
      <c r="G101" s="502">
        <f t="shared" ref="G101:G106" si="17">SUM(D101:F101)</f>
        <v>1.8</v>
      </c>
      <c r="H101" s="503">
        <f>'INVENTORY INPUT'!G314</f>
        <v>2.7</v>
      </c>
      <c r="I101" s="527">
        <f t="shared" ref="I101:I106" si="18">(G101-H101)</f>
        <v>-0.90000000000000013</v>
      </c>
      <c r="J101" s="563">
        <v>116.31</v>
      </c>
      <c r="K101" s="506">
        <f t="shared" ref="K101:K106" si="19">SUM(E101:F101)*J101</f>
        <v>0</v>
      </c>
      <c r="L101" s="507">
        <f t="shared" ref="L101:L106" si="20">J101*H101</f>
        <v>314.03700000000003</v>
      </c>
      <c r="N101" s="558"/>
    </row>
    <row r="102" spans="2:14" ht="15.75" customHeight="1" thickBot="1" x14ac:dyDescent="0.25">
      <c r="B102" s="547" t="s">
        <v>325</v>
      </c>
      <c r="C102" s="548" t="s">
        <v>399</v>
      </c>
      <c r="D102" s="500">
        <v>1.87</v>
      </c>
      <c r="E102" s="501">
        <v>1</v>
      </c>
      <c r="F102" s="501"/>
      <c r="G102" s="502">
        <f t="shared" si="17"/>
        <v>2.87</v>
      </c>
      <c r="H102" s="503">
        <f>'INVENTORY INPUT'!G315</f>
        <v>2.1</v>
      </c>
      <c r="I102" s="527">
        <f t="shared" si="18"/>
        <v>0.77</v>
      </c>
      <c r="J102" s="563">
        <v>77.540000000000006</v>
      </c>
      <c r="K102" s="506">
        <f t="shared" si="19"/>
        <v>77.540000000000006</v>
      </c>
      <c r="L102" s="507">
        <f t="shared" si="20"/>
        <v>162.83400000000003</v>
      </c>
      <c r="N102" s="558"/>
    </row>
    <row r="103" spans="2:14" ht="15.75" customHeight="1" thickBot="1" x14ac:dyDescent="0.25">
      <c r="B103" s="551" t="s">
        <v>326</v>
      </c>
      <c r="C103" s="548" t="s">
        <v>399</v>
      </c>
      <c r="D103" s="500">
        <v>0.67</v>
      </c>
      <c r="E103" s="501">
        <v>4</v>
      </c>
      <c r="F103" s="501"/>
      <c r="G103" s="502">
        <f t="shared" si="17"/>
        <v>4.67</v>
      </c>
      <c r="H103" s="503">
        <f>'INVENTORY INPUT'!G316</f>
        <v>1.4</v>
      </c>
      <c r="I103" s="527">
        <f t="shared" si="18"/>
        <v>3.27</v>
      </c>
      <c r="J103" s="563">
        <v>9.48</v>
      </c>
      <c r="K103" s="506">
        <f t="shared" si="19"/>
        <v>37.92</v>
      </c>
      <c r="L103" s="507">
        <f t="shared" si="20"/>
        <v>13.272</v>
      </c>
      <c r="N103" s="558"/>
    </row>
    <row r="104" spans="2:14" ht="15.75" customHeight="1" thickBot="1" x14ac:dyDescent="0.25">
      <c r="B104" s="547" t="s">
        <v>14</v>
      </c>
      <c r="C104" s="548" t="s">
        <v>399</v>
      </c>
      <c r="D104" s="500"/>
      <c r="E104" s="564"/>
      <c r="F104" s="564"/>
      <c r="G104" s="502">
        <f t="shared" si="17"/>
        <v>0</v>
      </c>
      <c r="H104" s="503">
        <f>'INVENTORY INPUT'!G317</f>
        <v>0</v>
      </c>
      <c r="I104" s="527">
        <f t="shared" si="18"/>
        <v>0</v>
      </c>
      <c r="J104" s="563">
        <v>80.3</v>
      </c>
      <c r="K104" s="506">
        <f t="shared" si="19"/>
        <v>0</v>
      </c>
      <c r="L104" s="507">
        <f t="shared" si="20"/>
        <v>0</v>
      </c>
      <c r="N104" s="558"/>
    </row>
    <row r="105" spans="2:14" ht="15.75" customHeight="1" thickBot="1" x14ac:dyDescent="0.25">
      <c r="B105" s="547"/>
      <c r="C105" s="548"/>
      <c r="D105" s="500"/>
      <c r="E105" s="564"/>
      <c r="F105" s="564"/>
      <c r="G105" s="502">
        <f t="shared" si="17"/>
        <v>0</v>
      </c>
      <c r="H105" s="503">
        <f>'INVENTORY INPUT'!G318</f>
        <v>0</v>
      </c>
      <c r="I105" s="527">
        <f t="shared" si="18"/>
        <v>0</v>
      </c>
      <c r="J105" s="563">
        <v>0</v>
      </c>
      <c r="K105" s="506">
        <f t="shared" si="19"/>
        <v>0</v>
      </c>
      <c r="L105" s="507">
        <f t="shared" si="20"/>
        <v>0</v>
      </c>
      <c r="N105" s="558"/>
    </row>
    <row r="106" spans="2:14" ht="15.75" customHeight="1" x14ac:dyDescent="0.2">
      <c r="B106" s="565"/>
      <c r="C106" s="566"/>
      <c r="D106" s="500"/>
      <c r="E106" s="567"/>
      <c r="F106" s="567"/>
      <c r="G106" s="502">
        <f t="shared" si="17"/>
        <v>0</v>
      </c>
      <c r="H106" s="503">
        <f>'INVENTORY INPUT'!G319</f>
        <v>0</v>
      </c>
      <c r="I106" s="527">
        <f t="shared" si="18"/>
        <v>0</v>
      </c>
      <c r="J106" s="563">
        <v>0</v>
      </c>
      <c r="K106" s="506">
        <f t="shared" si="19"/>
        <v>0</v>
      </c>
      <c r="L106" s="507">
        <f t="shared" si="20"/>
        <v>0</v>
      </c>
      <c r="N106" s="558"/>
    </row>
    <row r="107" spans="2:14" ht="15.75" customHeight="1" x14ac:dyDescent="0.2">
      <c r="B107" s="555" t="s">
        <v>398</v>
      </c>
      <c r="C107" s="555"/>
      <c r="D107" s="556">
        <f>SUM(L101:L106)</f>
        <v>490.14300000000009</v>
      </c>
      <c r="E107" s="532"/>
      <c r="F107" s="532"/>
      <c r="G107" s="533"/>
      <c r="H107" s="533"/>
      <c r="I107" s="534"/>
      <c r="K107" s="536">
        <f>SUM(K101:K106)</f>
        <v>115.46000000000001</v>
      </c>
      <c r="N107" s="558"/>
    </row>
    <row r="108" spans="2:14" ht="15.75" customHeight="1" x14ac:dyDescent="0.2"/>
    <row r="109" spans="2:14" ht="15.75" customHeight="1" x14ac:dyDescent="0.2"/>
    <row r="110" spans="2:14" ht="15.75" customHeight="1" x14ac:dyDescent="0.2">
      <c r="N110" s="558"/>
    </row>
    <row r="111" spans="2:14" ht="15.75" customHeight="1" x14ac:dyDescent="0.2">
      <c r="K111" s="568"/>
    </row>
    <row r="112" spans="2:1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</sheetData>
  <protectedRanges>
    <protectedRange sqref="E104:F105" name="Range5_2_1_1"/>
    <protectedRange sqref="E101:F103 E61:F66 E93:F96 E68:F87 E29:F32 E51:F56 E4:F27 E36:F49" name="Range1_1_3_1"/>
  </protectedRanges>
  <mergeCells count="6">
    <mergeCell ref="B1:B2"/>
    <mergeCell ref="C1:C2"/>
    <mergeCell ref="E1:E2"/>
    <mergeCell ref="F1:F2"/>
    <mergeCell ref="J1:J2"/>
    <mergeCell ref="K1:K2"/>
  </mergeCells>
  <printOptions verticalCentered="1"/>
  <pageMargins left="0.74803149606299213" right="0.74803149606299213" top="0.23622047244094491" bottom="0.23622047244094491" header="0.51181102362204722" footer="0.51181102362204722"/>
  <pageSetup scale="78" fitToHeight="0" orientation="portrait" verticalDpi="1200" r:id="rId1"/>
  <headerFooter alignWithMargins="0"/>
  <rowBreaks count="1" manualBreakCount="1">
    <brk id="33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CC5E8-8394-418A-B5F9-67BDAAD977BF}">
  <sheetPr codeName="Sheet17"/>
  <dimension ref="A1:O242"/>
  <sheetViews>
    <sheetView view="pageBreakPreview" zoomScaleNormal="100" zoomScaleSheetLayoutView="100" workbookViewId="0">
      <pane ySplit="1" topLeftCell="A2" activePane="bottomLeft" state="frozen"/>
      <selection pane="bottomLeft" activeCell="E220" sqref="E220"/>
    </sheetView>
  </sheetViews>
  <sheetFormatPr defaultRowHeight="15.75" customHeight="1" x14ac:dyDescent="0.25"/>
  <cols>
    <col min="1" max="1" width="30" style="744" customWidth="1"/>
    <col min="2" max="2" width="10.42578125" style="743" customWidth="1"/>
    <col min="3" max="3" width="8.85546875" style="742" customWidth="1"/>
    <col min="4" max="7" width="10.140625" style="740" customWidth="1"/>
    <col min="8" max="15" width="8.85546875" style="741" customWidth="1"/>
    <col min="16" max="16384" width="9.140625" style="740"/>
  </cols>
  <sheetData>
    <row r="1" spans="1:7" x14ac:dyDescent="0.25">
      <c r="A1" s="758" t="s">
        <v>329</v>
      </c>
      <c r="B1" s="782" t="s">
        <v>28</v>
      </c>
      <c r="C1" s="781" t="s">
        <v>32</v>
      </c>
      <c r="D1" s="780" t="s">
        <v>437</v>
      </c>
      <c r="E1" s="780" t="s">
        <v>328</v>
      </c>
      <c r="F1" s="780" t="s">
        <v>29</v>
      </c>
      <c r="G1" s="780" t="s">
        <v>30</v>
      </c>
    </row>
    <row r="2" spans="1:7" ht="15" x14ac:dyDescent="0.25">
      <c r="A2" s="759" t="str">
        <f>'Inventory Worksheet'!B5</f>
        <v>Burgers - 6 oz</v>
      </c>
      <c r="B2" s="749">
        <v>48</v>
      </c>
      <c r="C2" s="747" t="str">
        <f>'Inventory Worksheet'!C5</f>
        <v>EACH</v>
      </c>
      <c r="D2" s="746"/>
      <c r="E2" s="745"/>
      <c r="F2" s="746"/>
      <c r="G2" s="745"/>
    </row>
    <row r="3" spans="1:7" ht="15" x14ac:dyDescent="0.25">
      <c r="A3" s="759" t="str">
        <f>'Inventory Worksheet'!B6</f>
        <v>Veal cutlet</v>
      </c>
      <c r="B3" s="749">
        <v>80</v>
      </c>
      <c r="C3" s="747" t="str">
        <f>'Inventory Worksheet'!C6</f>
        <v>EACH</v>
      </c>
      <c r="D3" s="746">
        <f>IFERROR(VLOOKUP("Veal Cutlet : ESM",USAGES!A$1:Y$1497,11,FALSE),0)</f>
        <v>40</v>
      </c>
      <c r="E3" s="745">
        <f>IFERROR(VLOOKUP("Veal Cutlet : ESM",USAGES!A$1:Y$1497,12,FALSE),0)</f>
        <v>86</v>
      </c>
      <c r="F3" s="746"/>
      <c r="G3" s="745"/>
    </row>
    <row r="4" spans="1:7" ht="15" x14ac:dyDescent="0.25">
      <c r="A4" s="759" t="str">
        <f>'Inventory Worksheet'!B7</f>
        <v>Bacon bits</v>
      </c>
      <c r="B4" s="749">
        <v>10</v>
      </c>
      <c r="C4" s="747" t="s">
        <v>140</v>
      </c>
      <c r="D4" s="746">
        <f>IFERROR(VLOOKUP("Pork : Bacon Chipped : ESM",USAGES!A$1:Y$1497,11,FALSE),0)</f>
        <v>30</v>
      </c>
      <c r="E4" s="745">
        <f>IFERROR(VLOOKUP("Pork : Bacon Chipped : ESM",USAGES!A$1:Y$1497,12,FALSE),0)</f>
        <v>13.7</v>
      </c>
      <c r="F4" s="746"/>
      <c r="G4" s="745"/>
    </row>
    <row r="5" spans="1:7" ht="15" x14ac:dyDescent="0.25">
      <c r="A5" s="759" t="str">
        <f>'Inventory Worksheet'!B8</f>
        <v>1 oz Meatballs</v>
      </c>
      <c r="B5" s="749">
        <v>10</v>
      </c>
      <c r="C5" s="747" t="s">
        <v>157</v>
      </c>
      <c r="D5" s="746">
        <f>IFERROR(VLOOKUP("Beef : Meatballs : ESM",USAGES!A$1:Y$1497,11,FALSE),0)</f>
        <v>9</v>
      </c>
      <c r="E5" s="745">
        <f>IFERROR(VLOOKUP("Beef : Meatballs : ESM",USAGES!A$1:Y$1497,12,FALSE),0)</f>
        <v>3.25</v>
      </c>
      <c r="F5" s="746"/>
      <c r="G5" s="745"/>
    </row>
    <row r="6" spans="1:7" ht="15" x14ac:dyDescent="0.25">
      <c r="A6" s="779" t="str">
        <f>'Inventory Worksheet'!B9</f>
        <v>Pre-cooked Bacon Strips</v>
      </c>
      <c r="B6" s="765">
        <v>10</v>
      </c>
      <c r="C6" s="747" t="str">
        <f>'Inventory Worksheet'!C9</f>
        <v>PKG</v>
      </c>
      <c r="D6" s="746">
        <f>IFERROR(VLOOKUP("Pork : Bacon : ESM",USAGES!A$1:Y$1497,11,FALSE),0)</f>
        <v>11.32</v>
      </c>
      <c r="E6" s="745">
        <f>IFERROR(VLOOKUP("Pork : Bacon : ESM",USAGES!A$1:Y$1497,12,FALSE),0)</f>
        <v>9.68</v>
      </c>
      <c r="F6" s="746"/>
      <c r="G6" s="745"/>
    </row>
    <row r="7" spans="1:7" ht="15" x14ac:dyDescent="0.25">
      <c r="A7" s="779" t="str">
        <f>'Inventory Worksheet'!B10</f>
        <v>Sausage</v>
      </c>
      <c r="B7" s="765"/>
      <c r="C7" s="747" t="s">
        <v>506</v>
      </c>
      <c r="D7" s="746">
        <f>IFERROR(VLOOKUP("Sausage : Hot Italian (Coins) : ESM",USAGES!A$1:Y$1497,11,FALSE),0)</f>
        <v>14</v>
      </c>
      <c r="E7" s="745">
        <f>IFERROR(VLOOKUP("Sausage : Hot Italian (Coins) : ESM",USAGES!A$1:Y$1497,12,FALSE),0)</f>
        <v>38.1</v>
      </c>
      <c r="F7" s="746"/>
      <c r="G7" s="745"/>
    </row>
    <row r="8" spans="1:7" ht="15" x14ac:dyDescent="0.25">
      <c r="A8" s="759" t="str">
        <f>'Inventory Worksheet'!B11</f>
        <v>Pepperoni</v>
      </c>
      <c r="B8" s="749">
        <v>12</v>
      </c>
      <c r="C8" s="747" t="s">
        <v>140</v>
      </c>
      <c r="D8" s="746">
        <f>IFERROR(VLOOKUP("Pepperoni : ESM",USAGES!A$1:Y$1497,11,FALSE),0)</f>
        <v>7</v>
      </c>
      <c r="E8" s="745">
        <f>IFERROR(VLOOKUP("Pepperoni : ESM",USAGES!A$1:Y$1497,12,FALSE),0)</f>
        <v>11.5</v>
      </c>
      <c r="F8" s="746"/>
      <c r="G8" s="745"/>
    </row>
    <row r="9" spans="1:7" ht="15" x14ac:dyDescent="0.25">
      <c r="A9" s="759" t="str">
        <f>'Inventory Worksheet'!B12</f>
        <v>Diced Ham</v>
      </c>
      <c r="B9" s="749">
        <v>15</v>
      </c>
      <c r="C9" s="747" t="s">
        <v>168</v>
      </c>
      <c r="D9" s="746">
        <f>IFERROR(VLOOKUP("Pork : Ham Diced : ESM",USAGES!A$1:Y$1497,11,FALSE),0)</f>
        <v>1.08</v>
      </c>
      <c r="E9" s="745">
        <f>IFERROR(VLOOKUP("Pork : Ham Diced : ESM",USAGES!A$1:Y$1497,12,FALSE),0)</f>
        <v>-0.16</v>
      </c>
      <c r="F9" s="746"/>
      <c r="G9" s="745"/>
    </row>
    <row r="10" spans="1:7" ht="15" x14ac:dyDescent="0.25">
      <c r="A10" s="759" t="str">
        <f>'Inventory Worksheet'!B13</f>
        <v>Burger Sliders</v>
      </c>
      <c r="B10" s="749"/>
      <c r="C10" s="747" t="s">
        <v>141</v>
      </c>
      <c r="D10" s="746">
        <f>IFERROR(VLOOKUP("Beef : Burger 1.5oz : ESM",USAGES!A$1:Y$1497,11,FALSE),0)</f>
        <v>0</v>
      </c>
      <c r="E10" s="745">
        <f>IFERROR(VLOOKUP("Beef : Burger 1.5oz : ESM",USAGES!A$1:Y$1497,12,FALSE),0)</f>
        <v>0</v>
      </c>
      <c r="F10" s="746"/>
      <c r="G10" s="745"/>
    </row>
    <row r="11" spans="1:7" ht="15" x14ac:dyDescent="0.25">
      <c r="A11" s="759">
        <f>'Inventory Worksheet'!B14</f>
        <v>0</v>
      </c>
      <c r="B11" s="749">
        <v>10</v>
      </c>
      <c r="C11" s="747" t="s">
        <v>140</v>
      </c>
      <c r="D11" s="746">
        <f>IFERROR(VLOOKUP("Pork : Ham Diced : ESM",USAGES!A$1:Y$1497,11,FALSE),0)</f>
        <v>1.08</v>
      </c>
      <c r="E11" s="745">
        <f>IFERROR(VLOOKUP("Pork : Ham Diced : ESM",USAGES!A$1:Y$1497,12,FALSE),0)</f>
        <v>-0.16</v>
      </c>
      <c r="F11" s="746"/>
      <c r="G11" s="745"/>
    </row>
    <row r="12" spans="1:7" ht="15" x14ac:dyDescent="0.25">
      <c r="A12" s="759">
        <f>'Inventory Worksheet'!B15</f>
        <v>0</v>
      </c>
      <c r="B12" s="749">
        <v>12</v>
      </c>
      <c r="C12" s="747">
        <f>'Inventory Worksheet'!C15</f>
        <v>0</v>
      </c>
      <c r="D12" s="746">
        <f>IFERROR(VLOOKUP("Beef : Burger 1.5oz : ESM",USAGES!A$1:Y$1497,11,FALSE),0)</f>
        <v>0</v>
      </c>
      <c r="E12" s="745">
        <f>IFERROR(VLOOKUP("Beef : Burger 1.5oz : ESM",USAGES!A$1:Y$1497,12,FALSE),0)</f>
        <v>0</v>
      </c>
      <c r="F12" s="746"/>
      <c r="G12" s="745"/>
    </row>
    <row r="13" spans="1:7" ht="15" x14ac:dyDescent="0.25">
      <c r="A13" s="761" t="s">
        <v>534</v>
      </c>
      <c r="B13" s="760"/>
      <c r="C13" s="776" t="s">
        <v>143</v>
      </c>
      <c r="D13" s="746">
        <f>IFERROR(VLOOKUP("Beef : Pulled : ESM",USAGES!A$1:Y$1497,11,FALSE),0)</f>
        <v>0</v>
      </c>
      <c r="E13" s="745">
        <f>IFERROR(VLOOKUP("Beef : Pulled : ESM",USAGES!A$1:Y$1497,12,FALSE),0)</f>
        <v>0</v>
      </c>
      <c r="F13" s="746"/>
      <c r="G13" s="745"/>
    </row>
    <row r="14" spans="1:7" ht="15" x14ac:dyDescent="0.25">
      <c r="A14" s="768"/>
      <c r="B14" s="763"/>
      <c r="C14" s="764"/>
      <c r="D14" s="754"/>
      <c r="E14" s="754"/>
      <c r="F14" s="754"/>
      <c r="G14" s="754"/>
    </row>
    <row r="15" spans="1:7" ht="15" x14ac:dyDescent="0.25">
      <c r="A15" s="770"/>
      <c r="B15" s="753"/>
      <c r="C15" s="774"/>
      <c r="D15" s="746"/>
      <c r="E15" s="746"/>
      <c r="F15" s="746"/>
      <c r="G15" s="746"/>
    </row>
    <row r="16" spans="1:7" ht="15" x14ac:dyDescent="0.25">
      <c r="A16" s="773" t="s">
        <v>330</v>
      </c>
      <c r="B16" s="772"/>
      <c r="C16" s="771"/>
      <c r="D16" s="754"/>
      <c r="E16" s="754"/>
      <c r="F16" s="754"/>
      <c r="G16" s="754"/>
    </row>
    <row r="17" spans="1:7" ht="15" x14ac:dyDescent="0.25">
      <c r="A17" s="751" t="str">
        <f>'Inventory Worksheet'!B19</f>
        <v>Chicken Breast - 7 oz</v>
      </c>
      <c r="B17" s="765">
        <v>8</v>
      </c>
      <c r="C17" s="747" t="str">
        <f>'Inventory Worksheet'!C19</f>
        <v>KG</v>
      </c>
      <c r="D17" s="746">
        <f>IFERROR(VLOOKUP("Chicken : Breast 7oz : ESM",USAGES!A$1:Y$1497,11,FALSE),0)</f>
        <v>3</v>
      </c>
      <c r="E17" s="745">
        <f>IFERROR(VLOOKUP("Chicken : Breast 7oz : ESM",USAGES!A$1:Y$1497,12,FALSE),0)</f>
        <v>27</v>
      </c>
      <c r="F17" s="746"/>
      <c r="G17" s="745"/>
    </row>
    <row r="18" spans="1:7" ht="15" x14ac:dyDescent="0.25">
      <c r="A18" s="750" t="str">
        <f>'Inventory Worksheet'!B20</f>
        <v>Julienned Chicken</v>
      </c>
      <c r="B18" s="749">
        <v>8</v>
      </c>
      <c r="C18" s="747" t="str">
        <f>'Inventory Worksheet'!C20</f>
        <v>KG</v>
      </c>
      <c r="D18" s="746">
        <f>IFERROR(VLOOKUP("Chicken : Julienne : ESM",USAGES!A$1:Y$1497,11,FALSE),0)</f>
        <v>13</v>
      </c>
      <c r="E18" s="745">
        <f>IFERROR(VLOOKUP("Chicken : Julienne : ESM",USAGES!A$1:Y$1497,12,FALSE),0)</f>
        <v>34.5</v>
      </c>
      <c r="F18" s="746"/>
      <c r="G18" s="745"/>
    </row>
    <row r="19" spans="1:7" ht="15" x14ac:dyDescent="0.25">
      <c r="A19" s="750" t="str">
        <f>'Inventory Worksheet'!B21</f>
        <v>Chicken wings</v>
      </c>
      <c r="B19" s="749">
        <v>22</v>
      </c>
      <c r="C19" s="747" t="s">
        <v>140</v>
      </c>
      <c r="D19" s="746">
        <f>IFERROR(VLOOKUP("Chicken : Wings : ESM",USAGES!A$1:Y$1497,11,FALSE),0)</f>
        <v>0</v>
      </c>
      <c r="E19" s="745">
        <f>IFERROR(VLOOKUP("Chicken : Wings : ESM",USAGES!A$1:Y$1497,12,FALSE),0)</f>
        <v>26.7</v>
      </c>
      <c r="F19" s="746"/>
      <c r="G19" s="745"/>
    </row>
    <row r="20" spans="1:7" ht="15" x14ac:dyDescent="0.25">
      <c r="A20" s="750" t="str">
        <f>'Inventory Worksheet'!B22</f>
        <v>Chicken Breast - 3.5 oz</v>
      </c>
      <c r="B20" s="749">
        <v>4</v>
      </c>
      <c r="C20" s="747" t="str">
        <f>'Inventory Worksheet'!C22</f>
        <v>KG</v>
      </c>
      <c r="D20" s="746">
        <f>IFERROR(VLOOKUP("Chicken : Breast 3.5oz : ESM",USAGES!A$1:Y$1497,11,FALSE),0)</f>
        <v>9.5</v>
      </c>
      <c r="E20" s="745">
        <f>IFERROR(VLOOKUP("Chicken : Breast 3.5oz : ESM",USAGES!A$1:Y$1497,12,FALSE),0)</f>
        <v>8.7899999999999991</v>
      </c>
      <c r="F20" s="746"/>
      <c r="G20" s="745"/>
    </row>
    <row r="21" spans="1:7" ht="15" x14ac:dyDescent="0.25">
      <c r="A21" s="766" t="str">
        <f>'Inventory Worksheet'!B23</f>
        <v>Chicken Tenders</v>
      </c>
      <c r="B21" s="760"/>
      <c r="C21" s="747" t="str">
        <f>'Inventory Worksheet'!C23</f>
        <v>KG</v>
      </c>
      <c r="D21" s="746">
        <f>IFERROR(VLOOKUP("Chicken : Fingers : ESM",USAGES!A$1:Y$1497,11,FALSE),0)</f>
        <v>8.6</v>
      </c>
      <c r="E21" s="745">
        <f>IFERROR(VLOOKUP("Chicken : Fingers : ESM",USAGES!A$1:Y$1497,12,FALSE),0)</f>
        <v>10.65</v>
      </c>
      <c r="F21" s="746"/>
      <c r="G21" s="745"/>
    </row>
    <row r="22" spans="1:7" ht="15" x14ac:dyDescent="0.25">
      <c r="A22" s="768"/>
      <c r="B22" s="763"/>
      <c r="C22" s="764"/>
      <c r="D22" s="754"/>
      <c r="E22" s="754"/>
      <c r="F22" s="754"/>
      <c r="G22" s="754"/>
    </row>
    <row r="23" spans="1:7" ht="15" x14ac:dyDescent="0.25">
      <c r="A23" s="770"/>
      <c r="B23" s="753"/>
      <c r="C23" s="774"/>
      <c r="D23" s="746"/>
      <c r="E23" s="746"/>
      <c r="F23" s="746"/>
      <c r="G23" s="746"/>
    </row>
    <row r="24" spans="1:7" ht="15" x14ac:dyDescent="0.25">
      <c r="A24" s="773" t="s">
        <v>17</v>
      </c>
      <c r="B24" s="772"/>
      <c r="C24" s="771"/>
      <c r="D24" s="754"/>
      <c r="E24" s="754"/>
      <c r="F24" s="754"/>
      <c r="G24" s="754"/>
    </row>
    <row r="25" spans="1:7" ht="15" x14ac:dyDescent="0.25">
      <c r="A25" s="750" t="str">
        <f>'Inventory Worksheet'!B27</f>
        <v>Mussels</v>
      </c>
      <c r="B25" s="749">
        <v>10</v>
      </c>
      <c r="C25" s="747" t="str">
        <f>'Inventory Worksheet'!C27</f>
        <v>LB</v>
      </c>
      <c r="D25" s="746">
        <f>IFERROR(VLOOKUP("Mussels : ESM",USAGES!A$1:Y$1497,11,FALSE),0)</f>
        <v>7.5</v>
      </c>
      <c r="E25" s="745">
        <f>IFERROR(VLOOKUP("Mussels : ESM",USAGES!A$1:Y$1497,12,FALSE),0)</f>
        <v>17.73</v>
      </c>
      <c r="F25" s="746"/>
      <c r="G25" s="745"/>
    </row>
    <row r="26" spans="1:7" ht="15" x14ac:dyDescent="0.25">
      <c r="A26" s="750" t="str">
        <f>'Inventory Worksheet'!B30</f>
        <v>Salmon  6 oz</v>
      </c>
      <c r="B26" s="749">
        <v>10</v>
      </c>
      <c r="C26" s="747" t="s">
        <v>141</v>
      </c>
      <c r="D26" s="746">
        <f>IFERROR(VLOOKUP("Salmon Filet 6oz : ESM",USAGES!A$1:Y$1497,11,FALSE),0)*16/6</f>
        <v>12.986666666666666</v>
      </c>
      <c r="E26" s="745">
        <f>IFERROR(VLOOKUP("Salmon Filet 6oz : ESM",USAGES!A$1:Y$1497,12,FALSE),0)*16/6</f>
        <v>35.626666666666665</v>
      </c>
      <c r="F26" s="746"/>
      <c r="G26" s="745"/>
    </row>
    <row r="27" spans="1:7" ht="15" x14ac:dyDescent="0.25">
      <c r="A27" s="759" t="str">
        <f>'Inventory Worksheet'!B31</f>
        <v>Pre-Cut Calamari</v>
      </c>
      <c r="B27" s="749">
        <v>26</v>
      </c>
      <c r="C27" s="749" t="str">
        <f>'Inventory Worksheet'!C31</f>
        <v>LB</v>
      </c>
      <c r="D27" s="746">
        <f>IFERROR(VLOOKUP("Squid Rings : ESM",USAGES!A$1:Y$1497,11,FALSE),0)</f>
        <v>15</v>
      </c>
      <c r="E27" s="745">
        <f>IFERROR(VLOOKUP("Squid Rings : ESM",USAGES!A$1:Y$1497,12,FALSE),0)</f>
        <v>32.479999999999997</v>
      </c>
      <c r="F27" s="746"/>
      <c r="G27" s="745"/>
    </row>
    <row r="28" spans="1:7" ht="15" x14ac:dyDescent="0.25">
      <c r="A28" s="761" t="s">
        <v>63</v>
      </c>
      <c r="B28" s="760">
        <v>20</v>
      </c>
      <c r="C28" s="747" t="s">
        <v>140</v>
      </c>
      <c r="D28" s="746">
        <f>IFERROR(VLOOKUP("Scallops : ESM",USAGES!A$1:Y$1497,11,FALSE),0)</f>
        <v>2.72</v>
      </c>
      <c r="E28" s="745">
        <f>IFERROR(VLOOKUP("Scallops : ESM",USAGES!A$1:Y$1497,12,FALSE),0)</f>
        <v>4.76</v>
      </c>
      <c r="F28" s="746"/>
      <c r="G28" s="745"/>
    </row>
    <row r="29" spans="1:7" ht="15" x14ac:dyDescent="0.25">
      <c r="A29" s="761" t="s">
        <v>463</v>
      </c>
      <c r="B29" s="760"/>
      <c r="C29" s="747" t="s">
        <v>143</v>
      </c>
      <c r="D29" s="746">
        <f>IFERROR(VLOOKUP("Shrimp 26/30 : ESM",USAGES!A$1:Y$1497,11,FALSE),0)</f>
        <v>7</v>
      </c>
      <c r="E29" s="745">
        <f>IFERROR(VLOOKUP("Shrimp 26/30 : ESM",USAGES!A$1:Y$1497,12,FALSE),0)</f>
        <v>4.49</v>
      </c>
      <c r="F29" s="746"/>
      <c r="G29" s="745"/>
    </row>
    <row r="30" spans="1:7" ht="15" x14ac:dyDescent="0.25">
      <c r="A30" s="761" t="s">
        <v>397</v>
      </c>
      <c r="B30" s="760"/>
      <c r="C30" s="776" t="s">
        <v>143</v>
      </c>
      <c r="D30" s="746">
        <f>IFERROR(VLOOKUP("Shrimp 51/60 : ESM",USAGES!A$1:Y$1497,11,FALSE),0)</f>
        <v>22</v>
      </c>
      <c r="E30" s="745">
        <f>IFERROR(VLOOKUP("Shrimp 51/60 : ESM",USAGES!A$1:Y$1497,12,FALSE),0)</f>
        <v>12.98</v>
      </c>
      <c r="F30" s="746"/>
      <c r="G30" s="745"/>
    </row>
    <row r="31" spans="1:7" ht="15" x14ac:dyDescent="0.25">
      <c r="A31" s="768"/>
      <c r="B31" s="763"/>
      <c r="C31" s="764"/>
      <c r="D31" s="754"/>
      <c r="E31" s="754"/>
      <c r="F31" s="754"/>
      <c r="G31" s="754"/>
    </row>
    <row r="32" spans="1:7" ht="15" x14ac:dyDescent="0.25">
      <c r="A32" s="778"/>
      <c r="B32" s="753"/>
      <c r="C32" s="774"/>
      <c r="D32" s="746"/>
      <c r="E32" s="746"/>
      <c r="F32" s="746"/>
      <c r="G32" s="746"/>
    </row>
    <row r="33" spans="1:7" ht="15" x14ac:dyDescent="0.25">
      <c r="A33" s="773" t="s">
        <v>18</v>
      </c>
      <c r="B33" s="772"/>
      <c r="C33" s="777"/>
      <c r="D33" s="754"/>
      <c r="E33" s="754"/>
      <c r="F33" s="754"/>
      <c r="G33" s="754"/>
    </row>
    <row r="34" spans="1:7" ht="15" x14ac:dyDescent="0.25">
      <c r="A34" s="750" t="str">
        <f>'Inventory Worksheet'!B37</f>
        <v>Margarine</v>
      </c>
      <c r="B34" s="749">
        <v>1</v>
      </c>
      <c r="C34" s="747" t="s">
        <v>153</v>
      </c>
      <c r="D34" s="746">
        <f>IFERROR(VLOOKUP("Margarine : ESM",USAGES!A$1:Y$1497,11,FALSE),0)/10</f>
        <v>0.21000000000000002</v>
      </c>
      <c r="E34" s="745">
        <f>IFERROR(VLOOKUP("Margarine : ESM",USAGES!A$1:Y$1497,12,FALSE),0)/10</f>
        <v>2.94</v>
      </c>
      <c r="F34" s="746"/>
      <c r="G34" s="745"/>
    </row>
    <row r="35" spans="1:7" ht="15" x14ac:dyDescent="0.25">
      <c r="A35" s="750" t="s">
        <v>466</v>
      </c>
      <c r="B35" s="749"/>
      <c r="C35" s="747" t="s">
        <v>143</v>
      </c>
      <c r="D35" s="746">
        <f>IFERROR(VLOOKUP("Butter : Salted : ESM",USAGES!A$1:Y$1497,11,FALSE),0)</f>
        <v>16</v>
      </c>
      <c r="E35" s="745">
        <f>IFERROR(VLOOKUP("Butter : Salted : ESM",USAGES!A$1:Y$1497,12,FALSE),0)</f>
        <v>-2.5</v>
      </c>
      <c r="F35" s="746"/>
      <c r="G35" s="745"/>
    </row>
    <row r="36" spans="1:7" ht="15" x14ac:dyDescent="0.25">
      <c r="A36" s="750" t="str">
        <f>'Inventory Worksheet'!B39</f>
        <v>Ricotta Cheese</v>
      </c>
      <c r="B36" s="749">
        <v>1</v>
      </c>
      <c r="C36" s="747" t="s">
        <v>153</v>
      </c>
      <c r="D36" s="746">
        <f>IFERROR(VLOOKUP("Cheese : Ricotta : ESM",USAGES!A$1:Y$1497,11,FALSE),0)/4</f>
        <v>0.25</v>
      </c>
      <c r="E36" s="745">
        <f>IFERROR(VLOOKUP("Cheese : Ricotta : ESM",USAGES!A$1:Y$1497,12,FALSE),0)/4</f>
        <v>0.125</v>
      </c>
      <c r="F36" s="746"/>
      <c r="G36" s="745"/>
    </row>
    <row r="37" spans="1:7" ht="15" x14ac:dyDescent="0.25">
      <c r="A37" s="750" t="str">
        <f>'Inventory Worksheet'!B40</f>
        <v>Real Whipped Cr.</v>
      </c>
      <c r="B37" s="749">
        <v>12</v>
      </c>
      <c r="C37" s="747" t="s">
        <v>157</v>
      </c>
      <c r="D37" s="746">
        <f>IFERROR(VLOOKUP("Topping : Cream Vanilla on Top : ESM",USAGES!A$1:Y$1497,11,FALSE),0)</f>
        <v>9.1999999999999993</v>
      </c>
      <c r="E37" s="745">
        <f>IFERROR(VLOOKUP("Topping : Cream Vanilla on Top : ESM",USAGES!A$1:Y$1497,12,FALSE),0)</f>
        <v>2.8</v>
      </c>
      <c r="F37" s="746"/>
      <c r="G37" s="745"/>
    </row>
    <row r="38" spans="1:7" ht="15" x14ac:dyDescent="0.25">
      <c r="A38" s="750" t="str">
        <f>'Inventory Worksheet'!B41</f>
        <v>Chocolate Milk 2L</v>
      </c>
      <c r="B38" s="749">
        <v>12</v>
      </c>
      <c r="C38" s="747" t="str">
        <f>'Inventory Worksheet'!C41</f>
        <v>EACH</v>
      </c>
      <c r="D38" s="746">
        <f>IFERROR(VLOOKUP("Milk : Chocolate : ESM",USAGES!A$1:Y$1497,11,FALSE),0)</f>
        <v>6.9</v>
      </c>
      <c r="E38" s="745">
        <f>IFERROR(VLOOKUP("Milk : Chocolate : ESM",USAGES!A$1:Y$1497,12,FALSE),0)</f>
        <v>17.2</v>
      </c>
      <c r="F38" s="746"/>
      <c r="G38" s="745"/>
    </row>
    <row r="39" spans="1:7" ht="15" x14ac:dyDescent="0.25">
      <c r="A39" s="750" t="str">
        <f>'Inventory Worksheet'!B42</f>
        <v>Creamers 18 %</v>
      </c>
      <c r="B39" s="749">
        <v>1</v>
      </c>
      <c r="C39" s="747" t="str">
        <f>'Inventory Worksheet'!C42</f>
        <v>BAG</v>
      </c>
      <c r="D39" s="746">
        <f>IFERROR(VLOOKUP("Creamers : ESM",USAGES!A$1:Y$1497,11,FALSE),0)</f>
        <v>1.1000000000000001</v>
      </c>
      <c r="E39" s="745">
        <f>IFERROR(VLOOKUP("Creamers : ESM",USAGES!A$1:Y$1497,12,FALSE),0)</f>
        <v>2.4</v>
      </c>
      <c r="F39" s="746"/>
      <c r="G39" s="745"/>
    </row>
    <row r="40" spans="1:7" ht="15" x14ac:dyDescent="0.25">
      <c r="A40" s="750" t="str">
        <f>'Inventory Worksheet'!B43</f>
        <v>Butter Milk</v>
      </c>
      <c r="B40" s="749">
        <v>12</v>
      </c>
      <c r="C40" s="747" t="str">
        <f>'Inventory Worksheet'!C43</f>
        <v>EACH</v>
      </c>
      <c r="D40" s="746">
        <f>IFERROR(VLOOKUP("Milk : Buttermilk : ESM",USAGES!A$1:Y$1497,11,FALSE),0)</f>
        <v>7.5</v>
      </c>
      <c r="E40" s="745">
        <f>IFERROR(VLOOKUP("Milk : Buttermilk : ESM",USAGES!A$1:Y$1497,12,FALSE),0)</f>
        <v>6.5</v>
      </c>
      <c r="F40" s="746"/>
      <c r="G40" s="745"/>
    </row>
    <row r="41" spans="1:7" ht="15" x14ac:dyDescent="0.25">
      <c r="A41" s="750" t="str">
        <f>'Inventory Worksheet'!B44</f>
        <v>Milk 2 % 2L</v>
      </c>
      <c r="B41" s="749">
        <v>12</v>
      </c>
      <c r="C41" s="747" t="str">
        <f>'Inventory Worksheet'!C44</f>
        <v>EACH</v>
      </c>
      <c r="D41" s="746">
        <f>IFERROR(VLOOKUP("Milk : 2% : ESM",USAGES!A$1:Y$1497,11,FALSE),0)</f>
        <v>10.199999999999999</v>
      </c>
      <c r="E41" s="745">
        <f>IFERROR(VLOOKUP("Milk : 2% : ESM",USAGES!A$1:Y$1497,12,FALSE),0)</f>
        <v>1.9</v>
      </c>
      <c r="F41" s="746"/>
      <c r="G41" s="745"/>
    </row>
    <row r="42" spans="1:7" ht="15" x14ac:dyDescent="0.25">
      <c r="A42" s="750" t="str">
        <f>'Inventory Worksheet'!B45</f>
        <v>Milkettes</v>
      </c>
      <c r="B42" s="749">
        <v>1</v>
      </c>
      <c r="C42" s="747" t="str">
        <f>'Inventory Worksheet'!C45</f>
        <v>BAG</v>
      </c>
      <c r="D42" s="746">
        <f>IFERROR(VLOOKUP("Milkettes : ESM",USAGES!A$1:Y$1497,11,FALSE),0)</f>
        <v>1.6</v>
      </c>
      <c r="E42" s="745">
        <f>IFERROR(VLOOKUP("Milkettes : ESM",USAGES!A$1:Y$1497,12,FALSE),0)</f>
        <v>2.9</v>
      </c>
      <c r="F42" s="746"/>
      <c r="G42" s="745"/>
    </row>
    <row r="43" spans="1:7" ht="15" x14ac:dyDescent="0.25">
      <c r="A43" s="759" t="str">
        <f>'Inventory Worksheet'!B46</f>
        <v>Parmesan Cheese</v>
      </c>
      <c r="B43" s="749">
        <v>5</v>
      </c>
      <c r="C43" s="747" t="str">
        <f>'Inventory Worksheet'!C46</f>
        <v>KG</v>
      </c>
      <c r="D43" s="746">
        <f>IFERROR(VLOOKUP("Cheese : Parmesan Romano : ESM",USAGES!A$1:Y$1497,11,FALSE),0)</f>
        <v>4.5999999999999996</v>
      </c>
      <c r="E43" s="745">
        <f>IFERROR(VLOOKUP("Cheese : Parmesan Romano : ESM",USAGES!A$1:Y$1497,12,FALSE),0)</f>
        <v>5.15</v>
      </c>
      <c r="F43" s="746"/>
      <c r="G43" s="745"/>
    </row>
    <row r="44" spans="1:7" ht="15" x14ac:dyDescent="0.25">
      <c r="A44" s="750" t="str">
        <f>'Inventory Worksheet'!B47</f>
        <v>Goat Cheese</v>
      </c>
      <c r="B44" s="749">
        <v>4.5</v>
      </c>
      <c r="C44" s="747" t="str">
        <f>'Inventory Worksheet'!C47</f>
        <v>LB</v>
      </c>
      <c r="D44" s="746">
        <f>IFERROR(VLOOKUP("Cheese : Goat : ESM",USAGES!A$1:Y$1497,11,FALSE),0)/2.2</f>
        <v>1.0909090909090908</v>
      </c>
      <c r="E44" s="745">
        <f>IFERROR(VLOOKUP("Cheese : Goat : ESM",USAGES!A$1:Y$1497,12,FALSE),0)/2.2</f>
        <v>-9.0909090909090912E-2</v>
      </c>
      <c r="F44" s="746"/>
      <c r="G44" s="745"/>
    </row>
    <row r="45" spans="1:7" ht="15" x14ac:dyDescent="0.25">
      <c r="A45" s="750" t="str">
        <f>'Inventory Worksheet'!B48</f>
        <v>Parmesan Cubes</v>
      </c>
      <c r="B45" s="749">
        <v>4</v>
      </c>
      <c r="C45" s="747" t="str">
        <f>'Inventory Worksheet'!C48</f>
        <v>KG</v>
      </c>
      <c r="D45" s="746">
        <f>IFERROR(VLOOKUP("Cheese : Parmesan Cubes : ESM",USAGES!A$1:Y$1497,11,FALSE),0)</f>
        <v>9.3000000000000007</v>
      </c>
      <c r="E45" s="745">
        <f>IFERROR(VLOOKUP("Cheese : Parmesan Cubes : ESM",USAGES!A$1:Y$1497,12,FALSE),0)</f>
        <v>15.7</v>
      </c>
      <c r="F45" s="746"/>
      <c r="G45" s="745"/>
    </row>
    <row r="46" spans="1:7" ht="15" x14ac:dyDescent="0.25">
      <c r="A46" s="750" t="str">
        <f>'Inventory Worksheet'!B49</f>
        <v>Garlic Butter</v>
      </c>
      <c r="B46" s="749">
        <v>1</v>
      </c>
      <c r="C46" s="747" t="str">
        <f>'Inventory Worksheet'!C49</f>
        <v>PAIL</v>
      </c>
      <c r="D46" s="746">
        <f>IFERROR(VLOOKUP("Garlic Spread : ESM",USAGES!A$1:Y$1497,11,FALSE),0)</f>
        <v>0</v>
      </c>
      <c r="E46" s="745">
        <f>IFERROR(VLOOKUP("Garlic Spread : ESM",USAGES!A$1:Y$1497,12,FALSE),0)</f>
        <v>0</v>
      </c>
      <c r="F46" s="746"/>
      <c r="G46" s="745"/>
    </row>
    <row r="47" spans="1:7" ht="15" x14ac:dyDescent="0.25">
      <c r="A47" s="759" t="str">
        <f>'Inventory Worksheet'!B50</f>
        <v>Shredded Mozzeralla</v>
      </c>
      <c r="B47" s="749">
        <v>10</v>
      </c>
      <c r="C47" s="747" t="str">
        <f>'Inventory Worksheet'!C50</f>
        <v>KG</v>
      </c>
      <c r="D47" s="746">
        <f>IFERROR(VLOOKUP("Cheese : Pizza Mozzarella : ESM",USAGES!A$1:Y$1497,11,FALSE),0)</f>
        <v>4</v>
      </c>
      <c r="E47" s="745">
        <f>IFERROR(VLOOKUP("Cheese : Pizza Mozzarella : ESM",USAGES!A$1:Y$1497,12,FALSE),0)</f>
        <v>42.05</v>
      </c>
      <c r="F47" s="746"/>
      <c r="G47" s="745"/>
    </row>
    <row r="48" spans="1:7" ht="15" x14ac:dyDescent="0.25">
      <c r="A48" s="750" t="str">
        <f>'Inventory Worksheet'!B51</f>
        <v>Cheese Sticks</v>
      </c>
      <c r="B48" s="749">
        <v>1</v>
      </c>
      <c r="C48" s="747" t="str">
        <f>'Inventory Worksheet'!C51</f>
        <v>KG</v>
      </c>
      <c r="D48" s="746">
        <f>IFERROR(VLOOKUP("Breaded Mozzarella Sticks : ESM",USAGES!A$1:Y$1497,11,FALSE),0)</f>
        <v>5</v>
      </c>
      <c r="E48" s="745">
        <f>IFERROR(VLOOKUP("Breaded Mozzarella Sticks : ESM",USAGES!A$1:Y$1497,12,FALSE),0)</f>
        <v>14</v>
      </c>
      <c r="F48" s="746"/>
      <c r="G48" s="745"/>
    </row>
    <row r="49" spans="1:7" ht="15" x14ac:dyDescent="0.25">
      <c r="A49" s="750" t="str">
        <f>'Inventory Worksheet'!B53</f>
        <v>Take Out Parm Cheese</v>
      </c>
      <c r="B49" s="749">
        <v>3.5</v>
      </c>
      <c r="C49" s="747" t="s">
        <v>140</v>
      </c>
      <c r="D49" s="746">
        <f>IFERROR(VLOOKUP("Cheese : Parmesan Cube Shredded : ESM",USAGES!A$1:Y$1497,11,FALSE),0)</f>
        <v>10</v>
      </c>
      <c r="E49" s="745">
        <f>IFERROR(VLOOKUP("Cheese : Parmesan Cube Shredded : ESM",USAGES!A$1:Y$1497,12,FALSE),0)</f>
        <v>0</v>
      </c>
      <c r="F49" s="746"/>
      <c r="G49" s="745"/>
    </row>
    <row r="50" spans="1:7" ht="15" x14ac:dyDescent="0.25">
      <c r="A50" s="750" t="s">
        <v>1309</v>
      </c>
      <c r="B50" s="749"/>
      <c r="C50" s="747" t="s">
        <v>168</v>
      </c>
      <c r="D50" s="746">
        <f>IFERROR(VLOOKUP("Butter : Potted : ESM",USAGES!A$1:Y$1497,11,FALSE),0)</f>
        <v>0.84</v>
      </c>
      <c r="E50" s="745">
        <f>IFERROR(VLOOKUP("Butter : Potted : ESM",USAGES!A$1:Y$1497,12,FALSE),0)</f>
        <v>0.57999999999999996</v>
      </c>
      <c r="F50" s="746"/>
      <c r="G50" s="745"/>
    </row>
    <row r="51" spans="1:7" ht="15" x14ac:dyDescent="0.25">
      <c r="A51" s="766" t="s">
        <v>531</v>
      </c>
      <c r="B51" s="760"/>
      <c r="C51" s="776" t="s">
        <v>353</v>
      </c>
      <c r="D51" s="746">
        <f>IFERROR(VLOOKUP("Buttery Garlic Flavour Glaze : ESM",USAGES!A$1:Y$1497,11,FALSE),0)/0.5</f>
        <v>8.6</v>
      </c>
      <c r="E51" s="745">
        <f>IFERROR(VLOOKUP("Buttery Garlic Flavour Glaze : ESM",USAGES!A$1:Y$1497,12,FALSE),0)/0.5</f>
        <v>4.4000000000000004</v>
      </c>
      <c r="F51" s="746"/>
      <c r="G51" s="745"/>
    </row>
    <row r="52" spans="1:7" ht="15" x14ac:dyDescent="0.25">
      <c r="A52" s="768"/>
      <c r="B52" s="763"/>
      <c r="C52" s="764"/>
      <c r="D52" s="754"/>
      <c r="E52" s="754"/>
      <c r="F52" s="754"/>
      <c r="G52" s="754"/>
    </row>
    <row r="53" spans="1:7" ht="15" x14ac:dyDescent="0.25">
      <c r="A53" s="775"/>
      <c r="B53" s="753"/>
      <c r="C53" s="774"/>
      <c r="D53" s="746"/>
      <c r="E53" s="746"/>
      <c r="F53" s="746"/>
      <c r="G53" s="746"/>
    </row>
    <row r="54" spans="1:7" ht="15" x14ac:dyDescent="0.25">
      <c r="A54" s="773" t="s">
        <v>19</v>
      </c>
      <c r="B54" s="772"/>
      <c r="C54" s="777"/>
      <c r="D54" s="754"/>
      <c r="E54" s="754"/>
      <c r="F54" s="754"/>
      <c r="G54" s="754"/>
    </row>
    <row r="55" spans="1:7" ht="15" x14ac:dyDescent="0.25">
      <c r="A55" s="750" t="str">
        <f>'Inventory Worksheet'!B60</f>
        <v>Sundried Tortilla</v>
      </c>
      <c r="B55" s="749"/>
      <c r="C55" s="747" t="str">
        <f>'Inventory Worksheet'!C60</f>
        <v>Pack</v>
      </c>
      <c r="D55" s="746">
        <f>IFERROR(VLOOKUP("Tortilla : Sundried Tomato 12in : ESM",USAGES!A$1:Y$1497,11,FALSE),0)</f>
        <v>2.5</v>
      </c>
      <c r="E55" s="745">
        <f>IFERROR(VLOOKUP("Tortilla : Sundried Tomato 12in : ESM",USAGES!A$1:Y$1497,12,FALSE),0)</f>
        <v>3</v>
      </c>
      <c r="F55" s="746"/>
      <c r="G55" s="745"/>
    </row>
    <row r="56" spans="1:7" ht="15" x14ac:dyDescent="0.25">
      <c r="A56" s="750" t="str">
        <f>'Inventory Worksheet'!B61</f>
        <v>Italian Wedding Soup</v>
      </c>
      <c r="B56" s="749">
        <v>6</v>
      </c>
      <c r="C56" s="747" t="str">
        <f>'Inventory Worksheet'!C61</f>
        <v>BAG</v>
      </c>
      <c r="D56" s="746">
        <f>IFERROR(VLOOKUP("Soup : Italian Wedding : ESM",USAGES!A$1:Y$1497,11,FALSE),0)</f>
        <v>3.1</v>
      </c>
      <c r="E56" s="745">
        <f>IFERROR(VLOOKUP("Soup : Italian Wedding : ESM",USAGES!A$1:Y$1497,12,FALSE),0)</f>
        <v>7.9</v>
      </c>
      <c r="F56" s="746"/>
      <c r="G56" s="745"/>
    </row>
    <row r="57" spans="1:7" ht="15" x14ac:dyDescent="0.25">
      <c r="A57" s="750" t="str">
        <f>'Inventory Worksheet'!B62</f>
        <v>Croutons Portioned</v>
      </c>
      <c r="B57" s="749">
        <v>1</v>
      </c>
      <c r="C57" s="747" t="str">
        <f>'Inventory Worksheet'!C62</f>
        <v>CASE</v>
      </c>
      <c r="D57" s="746">
        <f>IFERROR(VLOOKUP("Croutons Ptn : ESM",USAGES!A$1:Y$1497,11,FALSE),0)</f>
        <v>0.6</v>
      </c>
      <c r="E57" s="745">
        <f>IFERROR(VLOOKUP("Croutons Ptn : ESM",USAGES!A$1:Y$1497,12,FALSE),0)</f>
        <v>0.2</v>
      </c>
      <c r="F57" s="746"/>
      <c r="G57" s="745"/>
    </row>
    <row r="58" spans="1:7" ht="15" x14ac:dyDescent="0.25">
      <c r="A58" s="750" t="str">
        <f>'Inventory Worksheet'!B63</f>
        <v>Home Loaf</v>
      </c>
      <c r="B58" s="749">
        <v>96</v>
      </c>
      <c r="C58" s="747" t="s">
        <v>168</v>
      </c>
      <c r="D58" s="746">
        <f>IFERROR(VLOOKUP("Bread : Homeloaf : ESM",USAGES!A$1:Y$1497,11,FALSE),0)/96</f>
        <v>3</v>
      </c>
      <c r="E58" s="745">
        <f>IFERROR(VLOOKUP("Bread : Homeloaf : ESM",USAGES!A$1:Y$1497,12,FALSE),0)/96</f>
        <v>12.78125</v>
      </c>
      <c r="F58" s="746"/>
      <c r="G58" s="745"/>
    </row>
    <row r="59" spans="1:7" ht="15" x14ac:dyDescent="0.25">
      <c r="A59" s="759" t="str">
        <f>'Inventory Worksheet'!B64</f>
        <v>10 oz Pizza Dough</v>
      </c>
      <c r="B59" s="749">
        <v>60</v>
      </c>
      <c r="C59" s="747" t="s">
        <v>168</v>
      </c>
      <c r="D59" s="746">
        <f>IFERROR(VLOOKUP("Dough : 10oz : ESM",USAGES!A$1:Y$1497,11,FALSE),0)/60</f>
        <v>0.83333333333333337</v>
      </c>
      <c r="E59" s="745">
        <f>IFERROR(VLOOKUP("Dough : 10oz : ESM",USAGES!A$1:Y$1497,12,FALSE),0)/60</f>
        <v>3.3333333333333335</v>
      </c>
      <c r="F59" s="746"/>
      <c r="G59" s="745"/>
    </row>
    <row r="60" spans="1:7" ht="15" x14ac:dyDescent="0.25">
      <c r="A60" s="750" t="str">
        <f>'Inventory Worksheet'!B65</f>
        <v>16 oz Pizza Dough</v>
      </c>
      <c r="B60" s="749">
        <v>30</v>
      </c>
      <c r="C60" s="747" t="s">
        <v>168</v>
      </c>
      <c r="D60" s="746">
        <f>IFERROR(VLOOKUP("Dough : 16oz : ESM",USAGES!A$1:Y$1497,11,FALSE),0)/30</f>
        <v>1.4</v>
      </c>
      <c r="E60" s="745">
        <f>IFERROR(VLOOKUP("Dough : 16oz : ESM",USAGES!A$1:Y$1497,12,FALSE),0)/30</f>
        <v>1.4</v>
      </c>
      <c r="F60" s="746"/>
      <c r="G60" s="745"/>
    </row>
    <row r="61" spans="1:7" ht="15" x14ac:dyDescent="0.25">
      <c r="A61" s="750" t="str">
        <f>'Inventory Worksheet'!B66</f>
        <v>6 oz Pizza Dough</v>
      </c>
      <c r="B61" s="749">
        <v>100</v>
      </c>
      <c r="C61" s="747" t="str">
        <f>'Inventory Worksheet'!C66</f>
        <v>EACH</v>
      </c>
      <c r="D61" s="746">
        <f>IFERROR(VLOOKUP("Dough : 6oz : ESM",USAGES!A$1:Y$1497,11,FALSE),0)/100</f>
        <v>0.9</v>
      </c>
      <c r="E61" s="745">
        <f>IFERROR(VLOOKUP("Dough : 6oz : ESM",USAGES!A$1:Y$1497,12,FALSE),0)/100</f>
        <v>0.77</v>
      </c>
      <c r="F61" s="746"/>
      <c r="G61" s="745"/>
    </row>
    <row r="62" spans="1:7" ht="15" x14ac:dyDescent="0.25">
      <c r="A62" s="759" t="str">
        <f>'Inventory Worksheet'!B68</f>
        <v>Seasoned Flour Mix</v>
      </c>
      <c r="B62" s="749">
        <v>4</v>
      </c>
      <c r="C62" s="747" t="s">
        <v>140</v>
      </c>
      <c r="D62" s="746">
        <f>IFERROR(VLOOKUP("Flour Seasoned : ESM",USAGES!A$1:Y$1497,11,FALSE),0)</f>
        <v>3</v>
      </c>
      <c r="E62" s="745">
        <f>IFERROR(VLOOKUP("Flour Seasoned : ESM",USAGES!A$1:Y$1497,12,FALSE),0)</f>
        <v>0</v>
      </c>
      <c r="F62" s="746"/>
      <c r="G62" s="745"/>
    </row>
    <row r="63" spans="1:7" ht="15" x14ac:dyDescent="0.25">
      <c r="A63" s="766" t="str">
        <f>'Inventory Worksheet'!B69</f>
        <v>Cauliflower GF Dough</v>
      </c>
      <c r="B63" s="760">
        <v>20</v>
      </c>
      <c r="C63" s="747" t="s">
        <v>141</v>
      </c>
      <c r="D63" s="746">
        <f>IFERROR(VLOOKUP("Dough : Cauliflower Crust : ESM",USAGES!A$1:Y$1497,11,FALSE),0)</f>
        <v>32</v>
      </c>
      <c r="E63" s="745">
        <f>IFERROR(VLOOKUP("Dough : Cauliflower Crust : ESM",USAGES!A$1:Y$1497,12,FALSE),0)</f>
        <v>3</v>
      </c>
      <c r="F63" s="746"/>
      <c r="G63" s="745"/>
    </row>
    <row r="64" spans="1:7" ht="15" x14ac:dyDescent="0.25">
      <c r="A64" s="766" t="str">
        <f>'Inventory Worksheet'!B70</f>
        <v>Flour</v>
      </c>
      <c r="B64" s="760">
        <v>44</v>
      </c>
      <c r="C64" s="747" t="s">
        <v>140</v>
      </c>
      <c r="D64" s="746">
        <f>IFERROR(VLOOKUP("Flour All Purpose : ESM",USAGES!A$1:Y$1497,11,FALSE),0)</f>
        <v>21.81</v>
      </c>
      <c r="E64" s="745">
        <f>IFERROR(VLOOKUP("Flour All Purpose : ESM",USAGES!A$1:Y$1497,12,FALSE),0)</f>
        <v>24.99</v>
      </c>
      <c r="F64" s="746"/>
      <c r="G64" s="745"/>
    </row>
    <row r="65" spans="1:7" ht="15" x14ac:dyDescent="0.25">
      <c r="A65" s="766" t="str">
        <f>'Inventory Worksheet'!B71</f>
        <v>Tomato Soup</v>
      </c>
      <c r="B65" s="760">
        <v>4</v>
      </c>
      <c r="C65" s="747" t="str">
        <f>'Inventory Worksheet'!C71</f>
        <v>BAG</v>
      </c>
      <c r="D65" s="746">
        <f>IFERROR(VLOOKUP("Soup : Tomato : ESM",USAGES!A$1:Y$1497,11,FALSE),0)</f>
        <v>9.6</v>
      </c>
      <c r="E65" s="745">
        <f>IFERROR(VLOOKUP("Soup : Tomato : ESM",USAGES!A$1:Y$1497,12,FALSE),0)</f>
        <v>16.399999999999999</v>
      </c>
      <c r="F65" s="746"/>
      <c r="G65" s="745"/>
    </row>
    <row r="66" spans="1:7" ht="15" x14ac:dyDescent="0.25">
      <c r="A66" s="766" t="str">
        <f>'Inventory Worksheet'!B73</f>
        <v>Mini Slider Buns</v>
      </c>
      <c r="B66" s="760">
        <v>12</v>
      </c>
      <c r="C66" s="747" t="str">
        <f>'Inventory Worksheet'!C73</f>
        <v>BAG</v>
      </c>
      <c r="D66" s="746">
        <f>IFERROR(VLOOKUP("Bun : Burger Mini : ESM",USAGES!A$1:Y$1497,11,FALSE),0)/12</f>
        <v>12.5</v>
      </c>
      <c r="E66" s="745">
        <f>IFERROR(VLOOKUP("Bun : Burger Mini : ESM",USAGES!A$1:Y$1497,12,FALSE),0)/12</f>
        <v>-6</v>
      </c>
      <c r="F66" s="746"/>
      <c r="G66" s="745"/>
    </row>
    <row r="67" spans="1:7" ht="15" x14ac:dyDescent="0.25">
      <c r="A67" s="766" t="str">
        <f>'Inventory Worksheet'!B74</f>
        <v>Burger Bun</v>
      </c>
      <c r="B67" s="760">
        <v>44</v>
      </c>
      <c r="C67" s="747" t="str">
        <f>'Inventory Worksheet'!C74</f>
        <v>BAG</v>
      </c>
      <c r="D67" s="746">
        <f>IFERROR(VLOOKUP("Bun : Burger Craft : ESM",USAGES!A$1:Y$1497,11,FALSE),0)/12</f>
        <v>0</v>
      </c>
      <c r="E67" s="745">
        <f>IFERROR(VLOOKUP("Bun : Burger Craft : ESM",USAGES!A$1:Y$1497,12,FALSE),0)/12</f>
        <v>12.5</v>
      </c>
      <c r="F67" s="746"/>
      <c r="G67" s="745"/>
    </row>
    <row r="68" spans="1:7" ht="15" x14ac:dyDescent="0.25">
      <c r="A68" s="766" t="str">
        <f>'Inventory Worksheet'!B75</f>
        <v>Panko Bread Crumbs</v>
      </c>
      <c r="B68" s="760">
        <v>25</v>
      </c>
      <c r="C68" s="747" t="s">
        <v>140</v>
      </c>
      <c r="D68" s="746">
        <f>IFERROR(VLOOKUP("Bread : Crumbs Panko : ESM",USAGES!A$1:Y$1497,11,FALSE),0)</f>
        <v>6.36</v>
      </c>
      <c r="E68" s="745">
        <f>IFERROR(VLOOKUP("Bread : Crumbs Panko : ESM",USAGES!A$1:Y$1497,12,FALSE),0)</f>
        <v>23.64</v>
      </c>
      <c r="F68" s="746"/>
      <c r="G68" s="745"/>
    </row>
    <row r="69" spans="1:7" ht="15" x14ac:dyDescent="0.25">
      <c r="A69" s="768"/>
      <c r="B69" s="763"/>
      <c r="C69" s="764"/>
      <c r="D69" s="754"/>
      <c r="E69" s="754"/>
      <c r="F69" s="754"/>
      <c r="G69" s="754"/>
    </row>
    <row r="70" spans="1:7" ht="15" x14ac:dyDescent="0.25">
      <c r="A70" s="775"/>
      <c r="B70" s="753"/>
      <c r="C70" s="774"/>
      <c r="D70" s="746"/>
      <c r="E70" s="746"/>
      <c r="F70" s="746"/>
      <c r="G70" s="746"/>
    </row>
    <row r="71" spans="1:7" ht="15" x14ac:dyDescent="0.25">
      <c r="A71" s="773" t="s">
        <v>20</v>
      </c>
      <c r="B71" s="772"/>
      <c r="C71" s="771"/>
      <c r="D71" s="754"/>
      <c r="E71" s="754"/>
      <c r="F71" s="754"/>
      <c r="G71" s="754"/>
    </row>
    <row r="72" spans="1:7" ht="15" x14ac:dyDescent="0.25">
      <c r="A72" s="750" t="str">
        <f>'Inventory Worksheet'!B82</f>
        <v>Lasagna Noodles</v>
      </c>
      <c r="B72" s="749">
        <v>10</v>
      </c>
      <c r="C72" s="747" t="s">
        <v>140</v>
      </c>
      <c r="D72" s="746">
        <f>IFERROR(VLOOKUP("Pasta : Lasagna : ESM",USAGES!A$1:Y$1497,11,FALSE),0)</f>
        <v>5.0999999999999996</v>
      </c>
      <c r="E72" s="745">
        <f>IFERROR(VLOOKUP("Pasta : Lasagna : ESM",USAGES!A$1:Y$1497,12,FALSE),0)</f>
        <v>7.39</v>
      </c>
      <c r="F72" s="746"/>
      <c r="G72" s="745"/>
    </row>
    <row r="73" spans="1:7" ht="15" x14ac:dyDescent="0.25">
      <c r="A73" s="750" t="str">
        <f>'Inventory Worksheet'!B83</f>
        <v>Fettucini</v>
      </c>
      <c r="B73" s="749">
        <v>10</v>
      </c>
      <c r="C73" s="747" t="s">
        <v>140</v>
      </c>
      <c r="D73" s="746">
        <f>IFERROR(VLOOKUP("Pasta : Fettuccine : ESM",USAGES!A$1:Y$1497,11,FALSE),0)</f>
        <v>22.72</v>
      </c>
      <c r="E73" s="745">
        <f>IFERROR(VLOOKUP("Pasta : Fettuccine : ESM",USAGES!A$1:Y$1497,12,FALSE),0)</f>
        <v>31.8</v>
      </c>
      <c r="F73" s="746"/>
      <c r="G73" s="745"/>
    </row>
    <row r="74" spans="1:7" ht="15" x14ac:dyDescent="0.25">
      <c r="A74" s="759" t="str">
        <f>'Inventory Worksheet'!B84</f>
        <v>Linguine</v>
      </c>
      <c r="B74" s="749">
        <v>10</v>
      </c>
      <c r="C74" s="747" t="s">
        <v>140</v>
      </c>
      <c r="D74" s="746">
        <f>IFERROR(VLOOKUP("Pasta : Linguine : ESM",USAGES!A$1:Y$1497,11,FALSE),0)</f>
        <v>31.81</v>
      </c>
      <c r="E74" s="745">
        <f>IFERROR(VLOOKUP("Pasta : Linguine : ESM",USAGES!A$1:Y$1497,12,FALSE),0)</f>
        <v>41.25</v>
      </c>
      <c r="F74" s="746"/>
      <c r="G74" s="745"/>
    </row>
    <row r="75" spans="1:7" ht="15" x14ac:dyDescent="0.25">
      <c r="A75" s="759" t="str">
        <f>'Inventory Worksheet'!B85</f>
        <v>Penne</v>
      </c>
      <c r="B75" s="749">
        <v>10</v>
      </c>
      <c r="C75" s="747" t="s">
        <v>140</v>
      </c>
      <c r="D75" s="746">
        <f>IFERROR(VLOOKUP("Pasta : Penne : ESM",USAGES!A$1:Y$1497,11,FALSE),0)</f>
        <v>32.72</v>
      </c>
      <c r="E75" s="745">
        <f>IFERROR(VLOOKUP("Pasta : Penne : ESM",USAGES!A$1:Y$1497,12,FALSE),0)</f>
        <v>19.48</v>
      </c>
      <c r="F75" s="746"/>
      <c r="G75" s="745"/>
    </row>
    <row r="76" spans="1:7" ht="15" x14ac:dyDescent="0.25">
      <c r="A76" s="759" t="str">
        <f>'Inventory Worksheet'!B86</f>
        <v>Spaghetti</v>
      </c>
      <c r="B76" s="749">
        <v>10</v>
      </c>
      <c r="C76" s="747" t="s">
        <v>140</v>
      </c>
      <c r="D76" s="746">
        <f>IFERROR(VLOOKUP("Pasta : Spaghettini : ESM",USAGES!A$1:Y$1497,11,FALSE),0)</f>
        <v>20</v>
      </c>
      <c r="E76" s="745">
        <f>IFERROR(VLOOKUP("Pasta : Spaghettini : ESM",USAGES!A$1:Y$1497,12,FALSE),0)</f>
        <v>13.64</v>
      </c>
      <c r="F76" s="746"/>
      <c r="G76" s="745"/>
    </row>
    <row r="77" spans="1:7" ht="15" x14ac:dyDescent="0.25">
      <c r="A77" s="759" t="str">
        <f>'Inventory Worksheet'!B87</f>
        <v>Cheese Cappelletti</v>
      </c>
      <c r="B77" s="749"/>
      <c r="C77" s="747" t="s">
        <v>140</v>
      </c>
      <c r="D77" s="746">
        <f>IFERROR(VLOOKUP("Pasta : Cappelletti : ESM",USAGES!A$1:Y$1497,11,FALSE),0)</f>
        <v>15</v>
      </c>
      <c r="E77" s="745">
        <f>IFERROR(VLOOKUP("Pasta : Cappelletti : ESM",USAGES!A$1:Y$1497,12,FALSE),0)</f>
        <v>51.1</v>
      </c>
      <c r="F77" s="746"/>
      <c r="G77" s="745"/>
    </row>
    <row r="78" spans="1:7" ht="15" x14ac:dyDescent="0.25">
      <c r="A78" s="759" t="str">
        <f>'Inventory Worksheet'!B88</f>
        <v>Gluten Free</v>
      </c>
      <c r="B78" s="749">
        <v>40</v>
      </c>
      <c r="C78" s="747" t="str">
        <f>'Inventory Worksheet'!C88</f>
        <v>BOX</v>
      </c>
      <c r="D78" s="746">
        <f>IFERROR(VLOOKUP("Pasta : Gluten Free : ESM",USAGES!A$1:Y$1497,11,FALSE),0)</f>
        <v>4</v>
      </c>
      <c r="E78" s="745">
        <f>IFERROR(VLOOKUP("Pasta : Gluten Free : ESM",USAGES!A$1:Y$1497,12,FALSE),0)</f>
        <v>11</v>
      </c>
      <c r="F78" s="746"/>
      <c r="G78" s="745"/>
    </row>
    <row r="79" spans="1:7" ht="15" x14ac:dyDescent="0.25">
      <c r="A79" s="759" t="s">
        <v>545</v>
      </c>
      <c r="B79" s="749"/>
      <c r="C79" s="747"/>
      <c r="D79" s="746">
        <f>IFERROR(VLOOKUP("Pasta : Cellentani/Cavatappi  : ESM",USAGES!A$1:Y$1497,11,FALSE),0)</f>
        <v>10</v>
      </c>
      <c r="E79" s="745">
        <f>IFERROR(VLOOKUP("Pasta : Cellentani/Cavatappi  : ESM",USAGES!A$1:Y$1497,12,FALSE),0)</f>
        <v>25.98</v>
      </c>
      <c r="F79" s="746"/>
      <c r="G79" s="745"/>
    </row>
    <row r="80" spans="1:7" ht="15" x14ac:dyDescent="0.25">
      <c r="A80" s="767"/>
      <c r="B80" s="757"/>
      <c r="C80" s="748"/>
      <c r="D80" s="754"/>
      <c r="E80" s="754"/>
      <c r="F80" s="754"/>
      <c r="G80" s="754"/>
    </row>
    <row r="81" spans="1:7" ht="15" x14ac:dyDescent="0.25">
      <c r="A81" s="759"/>
      <c r="B81" s="749"/>
      <c r="C81" s="747"/>
      <c r="D81" s="746"/>
      <c r="E81" s="746"/>
      <c r="F81" s="746"/>
      <c r="G81" s="746"/>
    </row>
    <row r="82" spans="1:7" ht="15" x14ac:dyDescent="0.25">
      <c r="A82" s="768" t="s">
        <v>21</v>
      </c>
      <c r="B82" s="763"/>
      <c r="C82" s="764"/>
      <c r="D82" s="754"/>
      <c r="E82" s="754"/>
      <c r="F82" s="754"/>
      <c r="G82" s="754"/>
    </row>
    <row r="83" spans="1:7" ht="15" x14ac:dyDescent="0.25">
      <c r="A83" s="750" t="str">
        <f>'Inventory Worksheet'!B95</f>
        <v>Alfredo Sauce 64oz</v>
      </c>
      <c r="B83" s="749">
        <v>10</v>
      </c>
      <c r="C83" s="747" t="str">
        <f>'Inventory Worksheet'!C95</f>
        <v>BAG</v>
      </c>
      <c r="D83" s="746">
        <f>IFERROR(VLOOKUP("Sauce : Alfredo : ESM",USAGES!A$1:Y$1497,11,FALSE),0)</f>
        <v>26.5</v>
      </c>
      <c r="E83" s="745">
        <f>IFERROR(VLOOKUP("Sauce : Alfredo : ESM",USAGES!A$1:Y$1497,12,FALSE),0)</f>
        <v>124.76</v>
      </c>
      <c r="F83" s="746"/>
      <c r="G83" s="745"/>
    </row>
    <row r="84" spans="1:7" ht="15" x14ac:dyDescent="0.25">
      <c r="A84" s="750" t="str">
        <f>'Inventory Worksheet'!B96</f>
        <v>Mother Sauce 105oz</v>
      </c>
      <c r="B84" s="749">
        <v>6</v>
      </c>
      <c r="C84" s="747" t="str">
        <f>'Inventory Worksheet'!C96</f>
        <v>BAG</v>
      </c>
      <c r="D84" s="746">
        <f>IFERROR(VLOOKUP("Sauce : Tomato Mother : ESM",USAGES!A$1:Y$1497,11,FALSE),0)</f>
        <v>9.6</v>
      </c>
      <c r="E84" s="745">
        <f>IFERROR(VLOOKUP("Sauce : Tomato Mother : ESM",USAGES!A$1:Y$1497,12,FALSE),0)</f>
        <v>58.9</v>
      </c>
      <c r="F84" s="746"/>
      <c r="G84" s="745"/>
    </row>
    <row r="85" spans="1:7" ht="15" x14ac:dyDescent="0.25">
      <c r="A85" s="750" t="str">
        <f>'Inventory Worksheet'!B97</f>
        <v>Pesto Sauce</v>
      </c>
      <c r="B85" s="749">
        <v>1</v>
      </c>
      <c r="C85" s="747" t="s">
        <v>157</v>
      </c>
      <c r="D85" s="746">
        <f>IFERROR(VLOOKUP("Sauce : Pesto : ESM",USAGES!A$1:Y$1497,11,FALSE),0)</f>
        <v>7.5</v>
      </c>
      <c r="E85" s="745">
        <f>IFERROR(VLOOKUP("Sauce : Pesto : ESM",USAGES!A$1:Y$1497,12,FALSE),0)</f>
        <v>5</v>
      </c>
      <c r="F85" s="746"/>
      <c r="G85" s="745"/>
    </row>
    <row r="86" spans="1:7" ht="15" x14ac:dyDescent="0.25">
      <c r="A86" s="766" t="str">
        <f>'Inventory Worksheet'!B98</f>
        <v>Prima Sauce</v>
      </c>
      <c r="B86" s="760">
        <v>4</v>
      </c>
      <c r="C86" s="747" t="str">
        <f>'Inventory Worksheet'!C98</f>
        <v>BAG</v>
      </c>
      <c r="D86" s="746">
        <f>IFERROR(VLOOKUP("Sauce : Primavera : ESM",USAGES!A$1:Y$1497,11,FALSE),0)</f>
        <v>8.52</v>
      </c>
      <c r="E86" s="745">
        <f>IFERROR(VLOOKUP("Sauce : Primavera : ESM",USAGES!A$1:Y$1497,12,FALSE),0)</f>
        <v>4.92</v>
      </c>
      <c r="F86" s="746"/>
      <c r="G86" s="745"/>
    </row>
    <row r="87" spans="1:7" ht="15" x14ac:dyDescent="0.25">
      <c r="A87" s="766" t="str">
        <f>'Inventory Worksheet'!B99</f>
        <v>Bolgnese Sauce</v>
      </c>
      <c r="B87" s="760">
        <v>4</v>
      </c>
      <c r="C87" s="747" t="str">
        <f>'Inventory Worksheet'!C99</f>
        <v>BAG</v>
      </c>
      <c r="D87" s="746">
        <f>IFERROR(VLOOKUP("Sauce : Bolognese : ESM",USAGES!A$1:Y$1497,11,FALSE),0)</f>
        <v>1.5</v>
      </c>
      <c r="E87" s="745">
        <f>IFERROR(VLOOKUP("Sauce : Bolognese : ESM",USAGES!A$1:Y$1497,12,FALSE),0)</f>
        <v>10.01</v>
      </c>
      <c r="F87" s="746"/>
      <c r="G87" s="745"/>
    </row>
    <row r="88" spans="1:7" ht="15" x14ac:dyDescent="0.25">
      <c r="A88" s="766" t="str">
        <f>'Inventory Worksheet'!B100</f>
        <v>White Wine</v>
      </c>
      <c r="B88" s="760">
        <v>4</v>
      </c>
      <c r="C88" s="747" t="s">
        <v>190</v>
      </c>
      <c r="D88" s="746">
        <f>IFERROR(VLOOKUP("Wine : Cooking White : ESM",USAGES!A$1:Y$1497,11,FALSE),0)/10</f>
        <v>1.4</v>
      </c>
      <c r="E88" s="745">
        <f>IFERROR(VLOOKUP("Wine : Cooking White : ESM",USAGES!A$1:Y$1497,12,FALSE),0)/10</f>
        <v>-0.15</v>
      </c>
      <c r="F88" s="746"/>
      <c r="G88" s="745"/>
    </row>
    <row r="89" spans="1:7" ht="15" x14ac:dyDescent="0.25">
      <c r="A89" s="766" t="str">
        <f>'Inventory Worksheet'!B101</f>
        <v>Calamari Sauce</v>
      </c>
      <c r="B89" s="760">
        <v>6</v>
      </c>
      <c r="C89" s="747" t="str">
        <f>'Inventory Worksheet'!C101</f>
        <v>JUG</v>
      </c>
      <c r="D89" s="746">
        <f>IFERROR(VLOOKUP("Sauce : Calamari : ESM",USAGES!A$1:Y$1497,11,FALSE),0)/1.89</f>
        <v>4.7989417989417991</v>
      </c>
      <c r="E89" s="745">
        <f>IFERROR(VLOOKUP("Sauce : Calamari : ESM",USAGES!A$1:Y$1497,12,FALSE),0)/1.89</f>
        <v>5.5978835978835981</v>
      </c>
      <c r="F89" s="746"/>
      <c r="G89" s="745"/>
    </row>
    <row r="90" spans="1:7" ht="15" x14ac:dyDescent="0.25">
      <c r="A90" s="766" t="str">
        <f>'Inventory Worksheet'!B103</f>
        <v>Pizza Sauce</v>
      </c>
      <c r="B90" s="760">
        <v>1</v>
      </c>
      <c r="C90" s="747" t="str">
        <f>'Inventory Worksheet'!C103</f>
        <v>BAG</v>
      </c>
      <c r="D90" s="746">
        <f>IFERROR(VLOOKUP("Sauce : Pizza : ESM",USAGES!A$1:Y$1497,11,FALSE),0)</f>
        <v>9.6</v>
      </c>
      <c r="E90" s="745">
        <f>IFERROR(VLOOKUP("Sauce : Pizza : ESM",USAGES!A$1:Y$1497,12,FALSE),0)</f>
        <v>8.15</v>
      </c>
      <c r="F90" s="746"/>
      <c r="G90" s="745"/>
    </row>
    <row r="91" spans="1:7" ht="15" x14ac:dyDescent="0.25">
      <c r="A91" s="766" t="s">
        <v>580</v>
      </c>
      <c r="B91" s="760"/>
      <c r="C91" s="747" t="s">
        <v>179</v>
      </c>
      <c r="D91" s="746">
        <f>IFERROR(VLOOKUP("Sauce : Hells Kitchen : ESM",USAGES!A$1:Y$1497,11,FALSE),0)/1.89</f>
        <v>2.2010582010582014</v>
      </c>
      <c r="E91" s="745">
        <f>IFERROR(VLOOKUP("Sauce : Hells Kitchen : ESM",USAGES!A$1:Y$1497,12,FALSE),0)/1.89</f>
        <v>1.0476190476190477</v>
      </c>
      <c r="F91" s="746"/>
      <c r="G91" s="745"/>
    </row>
    <row r="92" spans="1:7" ht="15" x14ac:dyDescent="0.25">
      <c r="A92" s="766" t="s">
        <v>1310</v>
      </c>
      <c r="B92" s="760"/>
      <c r="C92" s="747" t="s">
        <v>823</v>
      </c>
      <c r="D92" s="746">
        <f>IFERROR(VLOOKUP("Sauce : Arrabbiata Base : ESM",USAGES!A$1:Y$1497,11,FALSE),0)</f>
        <v>6.2</v>
      </c>
      <c r="E92" s="745">
        <f>IFERROR(VLOOKUP("Sauce : Arrabbiata Base : ESM",USAGES!A$1:Y$1497,12,FALSE),0)</f>
        <v>0.8</v>
      </c>
      <c r="F92" s="746"/>
      <c r="G92" s="745"/>
    </row>
    <row r="93" spans="1:7" ht="15" x14ac:dyDescent="0.25">
      <c r="A93" s="766" t="s">
        <v>1311</v>
      </c>
      <c r="B93" s="760"/>
      <c r="C93" s="747" t="s">
        <v>823</v>
      </c>
      <c r="D93" s="746">
        <f>IFERROR(VLOOKUP("Garlic Roasted : ESM",USAGES!A$1:Y$1497,11,FALSE),0)</f>
        <v>0</v>
      </c>
      <c r="E93" s="745">
        <f>IFERROR(VLOOKUP("Garlic Roasted : ESM",USAGES!A$1:Y$1497,12,FALSE),0)</f>
        <v>0</v>
      </c>
      <c r="F93" s="746"/>
      <c r="G93" s="745"/>
    </row>
    <row r="94" spans="1:7" ht="15" x14ac:dyDescent="0.25">
      <c r="A94" s="766"/>
      <c r="B94" s="760"/>
      <c r="C94" s="747"/>
      <c r="D94" s="746"/>
      <c r="E94" s="745"/>
      <c r="F94" s="746"/>
      <c r="G94" s="745"/>
    </row>
    <row r="95" spans="1:7" ht="15" x14ac:dyDescent="0.25">
      <c r="A95" s="768"/>
      <c r="B95" s="763"/>
      <c r="C95" s="748"/>
      <c r="D95" s="754"/>
      <c r="E95" s="754"/>
      <c r="F95" s="754"/>
      <c r="G95" s="754"/>
    </row>
    <row r="96" spans="1:7" ht="15" x14ac:dyDescent="0.25">
      <c r="A96" s="761"/>
      <c r="B96" s="760"/>
      <c r="C96" s="749"/>
      <c r="D96" s="746"/>
      <c r="E96" s="746"/>
      <c r="F96" s="746"/>
      <c r="G96" s="746"/>
    </row>
    <row r="97" spans="1:7" ht="15" x14ac:dyDescent="0.25">
      <c r="A97" s="768" t="s">
        <v>22</v>
      </c>
      <c r="B97" s="763"/>
      <c r="C97" s="764"/>
      <c r="D97" s="754"/>
      <c r="E97" s="754"/>
      <c r="F97" s="754"/>
      <c r="G97" s="754"/>
    </row>
    <row r="98" spans="1:7" ht="15" x14ac:dyDescent="0.25">
      <c r="A98" s="750" t="str">
        <f>'Inventory Worksheet'!B111</f>
        <v>French Fries</v>
      </c>
      <c r="B98" s="749">
        <v>4</v>
      </c>
      <c r="C98" s="747" t="s">
        <v>506</v>
      </c>
      <c r="D98" s="746">
        <f>IFERROR(VLOOKUP("French Fries : ESM",USAGES!A$1:Y$1497,11,FALSE),0)</f>
        <v>5</v>
      </c>
      <c r="E98" s="745">
        <f>IFERROR(VLOOKUP("French Fries : ESM",USAGES!A$1:Y$1497,12,FALSE),0)</f>
        <v>85.94</v>
      </c>
      <c r="F98" s="746"/>
      <c r="G98" s="745"/>
    </row>
    <row r="99" spans="1:7" ht="15" x14ac:dyDescent="0.25">
      <c r="A99" s="750" t="str">
        <f>'Inventory Worksheet'!B112</f>
        <v>Potato Wedges</v>
      </c>
      <c r="B99" s="749">
        <v>2</v>
      </c>
      <c r="C99" s="747" t="s">
        <v>506</v>
      </c>
      <c r="D99" s="746">
        <f>IFERROR(VLOOKUP("Potato Wedges : ESM",USAGES!A$1:Y$1497,11,FALSE),0)</f>
        <v>30</v>
      </c>
      <c r="E99" s="745">
        <f>IFERROR(VLOOKUP("Potato Wedges : ESM",USAGES!A$1:Y$1497,12,FALSE),0)</f>
        <v>14.48</v>
      </c>
      <c r="F99" s="746"/>
      <c r="G99" s="745"/>
    </row>
    <row r="100" spans="1:7" ht="15" x14ac:dyDescent="0.25">
      <c r="A100" s="750" t="str">
        <f>'Inventory Worksheet'!B113</f>
        <v>Pineapple Tidbits</v>
      </c>
      <c r="B100" s="749">
        <v>4</v>
      </c>
      <c r="C100" s="747" t="str">
        <f>'Inventory Worksheet'!C113</f>
        <v>CAN</v>
      </c>
      <c r="D100" s="746">
        <f>IFERROR(VLOOKUP("Pineapple Tidbit : ESM",USAGES!A$1:Y$1497,11,FALSE),0)</f>
        <v>22</v>
      </c>
      <c r="E100" s="745">
        <f>IFERROR(VLOOKUP("Pineapple Tidbit : ESM",USAGES!A$1:Y$1497,12,FALSE),0)</f>
        <v>0</v>
      </c>
      <c r="F100" s="746"/>
      <c r="G100" s="745"/>
    </row>
    <row r="101" spans="1:7" ht="15" x14ac:dyDescent="0.25">
      <c r="A101" s="750" t="str">
        <f>'Inventory Worksheet'!B114</f>
        <v>Whole Black Olives</v>
      </c>
      <c r="B101" s="749">
        <v>6</v>
      </c>
      <c r="C101" s="747" t="str">
        <f>'Inventory Worksheet'!C114</f>
        <v>CAN</v>
      </c>
      <c r="D101" s="746">
        <f>IFERROR(VLOOKUP("Olives : Black Pitted : ESM",USAGES!A$1:Y$1497,11,FALSE),0)</f>
        <v>5.6</v>
      </c>
      <c r="E101" s="745">
        <f>IFERROR(VLOOKUP("Olives : Black Pitted : ESM",USAGES!A$1:Y$1497,12,FALSE),0)</f>
        <v>0.4</v>
      </c>
      <c r="F101" s="746"/>
      <c r="G101" s="745"/>
    </row>
    <row r="102" spans="1:7" ht="15" x14ac:dyDescent="0.25">
      <c r="A102" s="750" t="str">
        <f>'Inventory Worksheet'!B119</f>
        <v>Spinach &amp; Artichoke Dip</v>
      </c>
      <c r="B102" s="749">
        <v>4</v>
      </c>
      <c r="C102" s="747" t="s">
        <v>140</v>
      </c>
      <c r="D102" s="746">
        <f>IFERROR(VLOOKUP("Spinach Dip : ESM",USAGES!A$1:Y$1497,11,FALSE),0)</f>
        <v>4.2</v>
      </c>
      <c r="E102" s="745">
        <f>IFERROR(VLOOKUP("Spinach Dip : ESM",USAGES!A$1:Y$1497,12,FALSE),0)</f>
        <v>-2.1</v>
      </c>
      <c r="F102" s="746"/>
      <c r="G102" s="745"/>
    </row>
    <row r="103" spans="1:7" ht="15" x14ac:dyDescent="0.25">
      <c r="A103" s="750" t="s">
        <v>1312</v>
      </c>
      <c r="B103" s="749">
        <v>6.5</v>
      </c>
      <c r="C103" s="747" t="s">
        <v>934</v>
      </c>
      <c r="D103" s="746">
        <f>IFERROR(VLOOKUP("Olives : Green Stuffed : ESM",USAGES!A$1:Y$1497,11,FALSE),0)</f>
        <v>0.3</v>
      </c>
      <c r="E103" s="745">
        <f>IFERROR(VLOOKUP("Olives : Green Stuffed : ESM",USAGES!A$1:Y$1497,12,FALSE),0)</f>
        <v>0</v>
      </c>
      <c r="F103" s="746"/>
      <c r="G103" s="745"/>
    </row>
    <row r="104" spans="1:7" ht="15" x14ac:dyDescent="0.25">
      <c r="A104" s="766" t="s">
        <v>187</v>
      </c>
      <c r="B104" s="760"/>
      <c r="C104" s="747" t="s">
        <v>934</v>
      </c>
      <c r="D104" s="746">
        <f>IFERROR(VLOOKUP("Pepper : Hot Cherry : ESM",USAGES!A$1:Y$1497,11,FALSE),0)</f>
        <v>2.2999999999999998</v>
      </c>
      <c r="E104" s="745">
        <f>IFERROR(VLOOKUP("Pepper : Hot Cherry : ESM",USAGES!A$1:Y$1497,12,FALSE),0)</f>
        <v>3.5</v>
      </c>
      <c r="F104" s="746"/>
      <c r="G104" s="745"/>
    </row>
    <row r="105" spans="1:7" ht="15" x14ac:dyDescent="0.25">
      <c r="A105" s="766" t="s">
        <v>189</v>
      </c>
      <c r="B105" s="760"/>
      <c r="C105" s="747" t="s">
        <v>934</v>
      </c>
      <c r="D105" s="746">
        <f>IFERROR(VLOOKUP("Maraschino Cherries : ESM",USAGES!A$1:Y$1497,11,FALSE),0)</f>
        <v>14.4</v>
      </c>
      <c r="E105" s="745">
        <f>IFERROR(VLOOKUP("Maraschino Cherries : ESM",USAGES!A$1:Y$1497,12,FALSE),0)</f>
        <v>-2.4</v>
      </c>
      <c r="F105" s="746"/>
      <c r="G105" s="745"/>
    </row>
    <row r="106" spans="1:7" ht="15" x14ac:dyDescent="0.25">
      <c r="A106" s="766" t="s">
        <v>1313</v>
      </c>
      <c r="B106" s="760"/>
      <c r="C106" s="747" t="s">
        <v>934</v>
      </c>
      <c r="D106" s="746">
        <f>IFERROR(VLOOKUP("Pepperoncini : ESM",USAGES!A$1:Y$1497,11,FALSE),0)</f>
        <v>5.85</v>
      </c>
      <c r="E106" s="745">
        <f>IFERROR(VLOOKUP("Pepperoncini : ESM",USAGES!A$1:Y$1497,12,FALSE),0)</f>
        <v>4.8899999999999997</v>
      </c>
      <c r="F106" s="746"/>
      <c r="G106" s="745"/>
    </row>
    <row r="107" spans="1:7" ht="15" x14ac:dyDescent="0.25">
      <c r="A107" s="768"/>
      <c r="B107" s="763"/>
      <c r="C107" s="748"/>
      <c r="D107" s="754"/>
      <c r="E107" s="754"/>
      <c r="F107" s="754"/>
      <c r="G107" s="754"/>
    </row>
    <row r="108" spans="1:7" ht="15" x14ac:dyDescent="0.25">
      <c r="A108" s="766"/>
      <c r="B108" s="760"/>
      <c r="C108" s="747"/>
      <c r="D108" s="746"/>
      <c r="E108" s="746"/>
      <c r="F108" s="746"/>
      <c r="G108" s="746"/>
    </row>
    <row r="109" spans="1:7" ht="15" x14ac:dyDescent="0.25">
      <c r="A109" s="768" t="s">
        <v>23</v>
      </c>
      <c r="B109" s="763"/>
      <c r="C109" s="748"/>
      <c r="D109" s="754"/>
      <c r="E109" s="754"/>
      <c r="F109" s="754"/>
      <c r="G109" s="754"/>
    </row>
    <row r="110" spans="1:7" ht="15" x14ac:dyDescent="0.25">
      <c r="A110" s="759" t="str">
        <f>'Inventory Worksheet'!B126</f>
        <v>Nestle Vanilla</v>
      </c>
      <c r="B110" s="749">
        <v>8</v>
      </c>
      <c r="C110" s="747" t="str">
        <f>'Inventory Worksheet'!C126</f>
        <v>TUB</v>
      </c>
      <c r="D110" s="746">
        <f>IFERROR(VLOOKUP("Ice Cream : Vanilla : ESM",USAGES!A$1:Y$1497,11,FALSE),0)/10</f>
        <v>1.3679999999999999</v>
      </c>
      <c r="E110" s="745">
        <f>IFERROR(VLOOKUP("Ice Cream : Vanilla : ESM",USAGES!A$1:Y$1497,12,FALSE),0)/10</f>
        <v>1.254</v>
      </c>
      <c r="F110" s="746"/>
      <c r="G110" s="745"/>
    </row>
    <row r="111" spans="1:7" ht="15" x14ac:dyDescent="0.25">
      <c r="A111" s="759" t="str">
        <f>'Inventory Worksheet'!B127</f>
        <v>Salted Caramel Brownie</v>
      </c>
      <c r="B111" s="749">
        <v>8</v>
      </c>
      <c r="C111" s="747" t="s">
        <v>1802</v>
      </c>
      <c r="D111" s="746">
        <f>IFERROR(VLOOKUP("Brownie : Caramel : ESM",USAGES!A$1:Y$1497,11,FALSE),0)/6</f>
        <v>3.0416666666666665</v>
      </c>
      <c r="E111" s="745">
        <f>IFERROR(VLOOKUP("Brownie : Caramel : ESM",USAGES!A$1:Y$1497,12,FALSE),0)/6</f>
        <v>2.125</v>
      </c>
      <c r="F111" s="746"/>
      <c r="G111" s="745"/>
    </row>
    <row r="112" spans="1:7" ht="15" x14ac:dyDescent="0.25">
      <c r="A112" s="759" t="str">
        <f>'Inventory Worksheet'!B128</f>
        <v>Caramel Topping</v>
      </c>
      <c r="B112" s="749">
        <v>8</v>
      </c>
      <c r="C112" s="747" t="str">
        <f>'Inventory Worksheet'!C128</f>
        <v>BAG</v>
      </c>
      <c r="D112" s="746">
        <f>IFERROR(VLOOKUP("Topping : Caramel : ESM",USAGES!A$1:Y$1497,11,FALSE),0)</f>
        <v>2.6</v>
      </c>
      <c r="E112" s="745">
        <f>IFERROR(VLOOKUP("Topping : Caramel : ESM",USAGES!A$1:Y$1497,12,FALSE),0)</f>
        <v>0.2</v>
      </c>
      <c r="F112" s="746"/>
      <c r="G112" s="745"/>
    </row>
    <row r="113" spans="1:7" ht="15" x14ac:dyDescent="0.25">
      <c r="A113" s="759" t="str">
        <f>'Inventory Worksheet'!B129</f>
        <v>Chocolate Syrup</v>
      </c>
      <c r="B113" s="749">
        <v>64</v>
      </c>
      <c r="C113" s="747" t="str">
        <f>'Inventory Worksheet'!C129</f>
        <v>BAG</v>
      </c>
      <c r="D113" s="746">
        <f>IFERROR(VLOOKUP("Topping : Chocolate : ESM",USAGES!A$1:Y$1497,11,FALSE),0)</f>
        <v>2.6</v>
      </c>
      <c r="E113" s="745">
        <f>IFERROR(VLOOKUP("Topping : Chocolate : ESM",USAGES!A$1:Y$1497,12,FALSE),0)</f>
        <v>-0.1</v>
      </c>
      <c r="F113" s="746"/>
      <c r="G113" s="745"/>
    </row>
    <row r="114" spans="1:7" ht="15" x14ac:dyDescent="0.25">
      <c r="A114" s="759" t="str">
        <f>'Inventory Worksheet'!B130</f>
        <v>Peanut Butter Stack  8</v>
      </c>
      <c r="B114" s="749">
        <v>56</v>
      </c>
      <c r="C114" s="747" t="str">
        <f>'Inventory Worksheet'!C130</f>
        <v>EACH</v>
      </c>
      <c r="D114" s="746">
        <f>IFERROR(VLOOKUP("Cake : Peanut Butter Stacker : ESM",USAGES!A$1:Y$1497,11,FALSE),0)/64</f>
        <v>0.3828125</v>
      </c>
      <c r="E114" s="745">
        <f>IFERROR(VLOOKUP("Cake : Peanut Butter Stacker : ESM",USAGES!A$1:Y$1497,12,FALSE),0)/64</f>
        <v>0.3359375</v>
      </c>
      <c r="F114" s="746"/>
      <c r="G114" s="745"/>
    </row>
    <row r="115" spans="1:7" ht="15" x14ac:dyDescent="0.25">
      <c r="A115" s="759" t="str">
        <f>'Inventory Worksheet'!B131</f>
        <v>Mascarpone Cheesecake</v>
      </c>
      <c r="B115" s="749">
        <v>12</v>
      </c>
      <c r="C115" s="747" t="str">
        <f>'Inventory Worksheet'!C131</f>
        <v>EACH</v>
      </c>
      <c r="D115" s="746">
        <f>IFERROR(VLOOKUP("Cheesecake : Mascarpone : ESM",USAGES!A$1:Y$1497,11,FALSE),0)*14</f>
        <v>68.040000000000006</v>
      </c>
      <c r="E115" s="745">
        <f>IFERROR(VLOOKUP("Cheesecake : Mascarpone : ESM",USAGES!A$1:Y$1497,12,FALSE),0)*14</f>
        <v>16.939999999999998</v>
      </c>
      <c r="F115" s="746"/>
      <c r="G115" s="745"/>
    </row>
    <row r="116" spans="1:7" ht="15" x14ac:dyDescent="0.25">
      <c r="A116" s="759" t="str">
        <f>'Inventory Worksheet'!B132</f>
        <v>Cones</v>
      </c>
      <c r="B116" s="749">
        <v>1</v>
      </c>
      <c r="C116" s="747" t="str">
        <f>'Inventory Worksheet'!C132</f>
        <v>BOX</v>
      </c>
      <c r="D116" s="746">
        <f>IFERROR(VLOOKUP("Sugar Cones : ESM",USAGES!A$1:Y$1497,11,FALSE),0)/12</f>
        <v>8.5</v>
      </c>
      <c r="E116" s="745">
        <f>IFERROR(VLOOKUP("Sugar Cones : ESM",USAGES!A$1:Y$1497,12,FALSE),0)/12</f>
        <v>1</v>
      </c>
      <c r="F116" s="746"/>
      <c r="G116" s="745"/>
    </row>
    <row r="117" spans="1:7" ht="15" x14ac:dyDescent="0.25">
      <c r="A117" s="759" t="str">
        <f>'Inventory Worksheet'!B133</f>
        <v>Brownie Bites</v>
      </c>
      <c r="B117" s="749">
        <v>18</v>
      </c>
      <c r="C117" s="747" t="str">
        <f>'Inventory Worksheet'!C133</f>
        <v>CSE</v>
      </c>
      <c r="D117" s="746">
        <f>IFERROR(VLOOKUP("Brownie : Two Bite : ESM",USAGES!A$1:Y$1497,11,FALSE),0)/210</f>
        <v>0</v>
      </c>
      <c r="E117" s="745">
        <f>IFERROR(VLOOKUP("Brownie : Two Bite : ESM",USAGES!A$1:Y$1497,12,FALSE),0)/210</f>
        <v>0</v>
      </c>
      <c r="F117" s="746"/>
      <c r="G117" s="745"/>
    </row>
    <row r="118" spans="1:7" ht="15" x14ac:dyDescent="0.25">
      <c r="A118" s="759" t="s">
        <v>470</v>
      </c>
      <c r="B118" s="749"/>
      <c r="C118" s="747" t="s">
        <v>934</v>
      </c>
      <c r="D118" s="746">
        <f>IFERROR(VLOOKUP("Sprinkles : ESM",USAGES!A$1:Y$1497,11,FALSE),0)</f>
        <v>6.2</v>
      </c>
      <c r="E118" s="745">
        <f>IFERROR(VLOOKUP("Sprinkles : ESM",USAGES!A$1:Y$1497,12,FALSE),0)</f>
        <v>0.3</v>
      </c>
      <c r="F118" s="746"/>
      <c r="G118" s="745"/>
    </row>
    <row r="119" spans="1:7" ht="15" x14ac:dyDescent="0.25">
      <c r="A119" s="759" t="str">
        <f>'Inventory Worksheet'!B136</f>
        <v>Strawberry Gelato</v>
      </c>
      <c r="B119" s="749">
        <v>1</v>
      </c>
      <c r="C119" s="747" t="str">
        <f>'Inventory Worksheet'!C136</f>
        <v>case</v>
      </c>
      <c r="D119" s="746">
        <f>IFERROR(VLOOKUP("Ice Cream : Popup Gelato Strawberry : ESM",USAGES!A$1:Y$1497,11,FALSE),0)/96</f>
        <v>1.8</v>
      </c>
      <c r="E119" s="745">
        <f>IFERROR(VLOOKUP("Ice Cream : Popup Gelato Strawberry : ESM",USAGES!A$1:Y$1497,12,FALSE),0)/96</f>
        <v>-0.79999999999999993</v>
      </c>
      <c r="F119" s="746"/>
      <c r="G119" s="745"/>
    </row>
    <row r="120" spans="1:7" ht="15" x14ac:dyDescent="0.25">
      <c r="A120" s="759" t="str">
        <f>'Inventory Worksheet'!B137</f>
        <v>Chocolate Gelato</v>
      </c>
      <c r="B120" s="749">
        <v>1</v>
      </c>
      <c r="C120" s="747" t="str">
        <f>'Inventory Worksheet'!C137</f>
        <v>case</v>
      </c>
      <c r="D120" s="746">
        <f>IFERROR(VLOOKUP("Ice Cream : Popup Gelato Chocolate : ESM",USAGES!A$1:Y$1497,11,FALSE),0)/96</f>
        <v>1.2</v>
      </c>
      <c r="E120" s="745">
        <f>IFERROR(VLOOKUP("Ice Cream : Popup Gelato Chocolate : ESM",USAGES!A$1:Y$1497,12,FALSE),0)/96</f>
        <v>-0.35000000000000003</v>
      </c>
      <c r="F120" s="746"/>
      <c r="G120" s="745"/>
    </row>
    <row r="121" spans="1:7" ht="15" x14ac:dyDescent="0.25">
      <c r="A121" s="758"/>
      <c r="B121" s="757"/>
      <c r="C121" s="748"/>
      <c r="D121" s="754"/>
      <c r="E121" s="754"/>
      <c r="F121" s="754"/>
      <c r="G121" s="754"/>
    </row>
    <row r="122" spans="1:7" ht="15" x14ac:dyDescent="0.25">
      <c r="A122" s="750"/>
      <c r="B122" s="749"/>
      <c r="C122" s="747"/>
      <c r="D122" s="746"/>
      <c r="E122" s="746"/>
      <c r="F122" s="746"/>
      <c r="G122" s="746"/>
    </row>
    <row r="123" spans="1:7" ht="15" x14ac:dyDescent="0.25">
      <c r="A123" s="758" t="s">
        <v>355</v>
      </c>
      <c r="B123" s="757"/>
      <c r="C123" s="748"/>
      <c r="D123" s="754"/>
      <c r="E123" s="754"/>
      <c r="F123" s="754"/>
      <c r="G123" s="754"/>
    </row>
    <row r="124" spans="1:7" ht="15" x14ac:dyDescent="0.25">
      <c r="A124" s="750" t="str">
        <f>'Inventory Worksheet'!B143</f>
        <v>Canola Oil</v>
      </c>
      <c r="B124" s="749">
        <v>1</v>
      </c>
      <c r="C124" s="747" t="s">
        <v>179</v>
      </c>
      <c r="D124" s="746">
        <f>IFERROR(VLOOKUP("Oil : Olive Canola Blend : ESM",USAGES!A$1:Y$1497,11,FALSE),0)</f>
        <v>7.6</v>
      </c>
      <c r="E124" s="745">
        <f>IFERROR(VLOOKUP("Oil : Olive Canola Blend : ESM",USAGES!A$1:Y$1497,12,FALSE),0)</f>
        <v>5.9</v>
      </c>
      <c r="F124" s="746"/>
      <c r="G124" s="745"/>
    </row>
    <row r="125" spans="1:7" ht="15" x14ac:dyDescent="0.25">
      <c r="A125" s="750" t="str">
        <f>'Inventory Worksheet'!B144</f>
        <v>Hi Lo Fryer Shortening</v>
      </c>
      <c r="B125" s="760">
        <v>6</v>
      </c>
      <c r="C125" s="760" t="s">
        <v>153</v>
      </c>
      <c r="D125" s="746">
        <f>IFERROR(VLOOKUP("Oil : Canola Frying : ESM",USAGES!A$1:Y$1497,11,FALSE),0)/35</f>
        <v>5.4951428571428576</v>
      </c>
      <c r="E125" s="745">
        <f>IFERROR(VLOOKUP("Oil : Canola Frying : ESM",USAGES!A$1:Y$1497,12,FALSE),0)/35</f>
        <v>3.4968571428571429</v>
      </c>
      <c r="F125" s="746"/>
      <c r="G125" s="745"/>
    </row>
    <row r="126" spans="1:7" ht="15" x14ac:dyDescent="0.25">
      <c r="A126" s="750" t="s">
        <v>1314</v>
      </c>
      <c r="B126" s="760">
        <v>6</v>
      </c>
      <c r="C126" s="760" t="s">
        <v>184</v>
      </c>
      <c r="D126" s="746">
        <f>IFERROR(VLOOKUP("Oil : Canola Spray : ESM",USAGES!A$1:Y$1497,11,FALSE),0)</f>
        <v>1.82</v>
      </c>
      <c r="E126" s="745">
        <f>IFERROR(VLOOKUP("Oil : Canola Spray : ESM",USAGES!A$1:Y$1497,12,FALSE),0)</f>
        <v>1.23</v>
      </c>
      <c r="F126" s="746"/>
      <c r="G126" s="745"/>
    </row>
    <row r="127" spans="1:7" ht="15" x14ac:dyDescent="0.25">
      <c r="A127" s="750" t="s">
        <v>531</v>
      </c>
      <c r="B127" s="760" t="s">
        <v>157</v>
      </c>
      <c r="C127" s="760" t="s">
        <v>157</v>
      </c>
      <c r="D127" s="746">
        <f>IFERROR(VLOOKUP("Buttery Garlic Flavour Glaze : ESM",USAGES!A$1:Y$1497,11,FALSE),0)/0.5</f>
        <v>8.6</v>
      </c>
      <c r="E127" s="745">
        <f>IFERROR(VLOOKUP("Buttery Garlic Flavour Glaze : ESM",USAGES!A$1:Y$1497,12,FALSE),0)/0.5</f>
        <v>4.4000000000000004</v>
      </c>
      <c r="F127" s="746"/>
      <c r="G127" s="745"/>
    </row>
    <row r="128" spans="1:7" ht="15" x14ac:dyDescent="0.25">
      <c r="A128" s="758"/>
      <c r="B128" s="757"/>
      <c r="C128" s="748"/>
      <c r="D128" s="754"/>
      <c r="E128" s="754"/>
      <c r="F128" s="754"/>
      <c r="G128" s="754"/>
    </row>
    <row r="129" spans="1:7" ht="15" x14ac:dyDescent="0.25">
      <c r="A129" s="750"/>
      <c r="B129" s="749"/>
      <c r="C129" s="747"/>
      <c r="D129" s="746"/>
      <c r="E129" s="746"/>
      <c r="F129" s="746"/>
      <c r="G129" s="746"/>
    </row>
    <row r="130" spans="1:7" ht="15" x14ac:dyDescent="0.25">
      <c r="A130" s="758" t="s">
        <v>24</v>
      </c>
      <c r="B130" s="757"/>
      <c r="C130" s="748"/>
      <c r="D130" s="754"/>
      <c r="E130" s="754"/>
      <c r="F130" s="754"/>
      <c r="G130" s="754"/>
    </row>
    <row r="131" spans="1:7" ht="15" x14ac:dyDescent="0.25">
      <c r="A131" s="750" t="str">
        <f>'Inventory Worksheet'!B151</f>
        <v>Ketchup Bottles</v>
      </c>
      <c r="B131" s="760">
        <v>24</v>
      </c>
      <c r="C131" s="760" t="str">
        <f>'Inventory Worksheet'!C151</f>
        <v>BTL</v>
      </c>
      <c r="D131" s="746">
        <f>IFERROR(VLOOKUP("Bottle : Ketchup : ESM",USAGES!A$1:Y$1497,11,FALSE),0)</f>
        <v>25</v>
      </c>
      <c r="E131" s="745">
        <f>IFERROR(VLOOKUP("Bottle : Ketchup : ESM",USAGES!A$1:Y$1497,12,FALSE),0)</f>
        <v>2</v>
      </c>
      <c r="F131" s="746"/>
      <c r="G131" s="745"/>
    </row>
    <row r="132" spans="1:7" ht="15" x14ac:dyDescent="0.25">
      <c r="A132" s="759" t="str">
        <f>'Inventory Worksheet'!B152</f>
        <v>White Vinegar</v>
      </c>
      <c r="B132" s="753">
        <v>2</v>
      </c>
      <c r="C132" s="753" t="str">
        <f>'Inventory Worksheet'!C152</f>
        <v>JUG</v>
      </c>
      <c r="D132" s="746">
        <f>IFERROR(VLOOKUP("Vinegar : White : ESM",USAGES!A$1:Y$1497,11,FALSE),0)*5000/375</f>
        <v>19.066666666666666</v>
      </c>
      <c r="E132" s="745">
        <f>IFERROR(VLOOKUP("Vinegar : White : ESM",USAGES!A$1:Y$1497,12,FALSE),0)*5000/375</f>
        <v>5.8666666666666663</v>
      </c>
      <c r="F132" s="746"/>
      <c r="G132" s="745"/>
    </row>
    <row r="133" spans="1:7" ht="15" x14ac:dyDescent="0.25">
      <c r="A133" s="750" t="str">
        <f>'Inventory Worksheet'!B153</f>
        <v>Hot Wing Sauce</v>
      </c>
      <c r="B133" s="752">
        <v>2</v>
      </c>
      <c r="C133" s="752" t="str">
        <f>'Inventory Worksheet'!C153</f>
        <v>JUG</v>
      </c>
      <c r="D133" s="746">
        <f>IFERROR(VLOOKUP("Sauce : Hot Wing : ESM",USAGES!A$1:Y$1497,11,FALSE),0)/4</f>
        <v>2.2000000000000002</v>
      </c>
      <c r="E133" s="745">
        <f>IFERROR(VLOOKUP("Sauce : Hot Wing : ESM",USAGES!A$1:Y$1497,12,FALSE),0)/4</f>
        <v>0.05</v>
      </c>
      <c r="F133" s="746"/>
      <c r="G133" s="745"/>
    </row>
    <row r="134" spans="1:7" ht="15" x14ac:dyDescent="0.25">
      <c r="A134" s="750" t="str">
        <f>'Inventory Worksheet'!B154</f>
        <v>Medium Wing Sauce</v>
      </c>
      <c r="B134" s="749">
        <v>2</v>
      </c>
      <c r="C134" s="747" t="str">
        <f>'Inventory Worksheet'!C154</f>
        <v>JUG</v>
      </c>
      <c r="D134" s="746">
        <f>IFERROR(VLOOKUP("Sauce : Medium Wing : ESM",USAGES!A$1:Y$1497,11,FALSE),0)/4</f>
        <v>0.27500000000000002</v>
      </c>
      <c r="E134" s="745">
        <f>IFERROR(VLOOKUP("Sauce : Medium Wing : ESM",USAGES!A$1:Y$1497,12,FALSE),0)/4</f>
        <v>-2.5000000000000001E-2</v>
      </c>
      <c r="F134" s="746"/>
      <c r="G134" s="745"/>
    </row>
    <row r="135" spans="1:7" ht="15" x14ac:dyDescent="0.25">
      <c r="A135" s="750" t="str">
        <f>'Inventory Worksheet'!B155</f>
        <v>Mild Wing Sauce</v>
      </c>
      <c r="B135" s="752">
        <v>2</v>
      </c>
      <c r="C135" s="752" t="str">
        <f>'Inventory Worksheet'!C155</f>
        <v>JUG</v>
      </c>
      <c r="D135" s="746">
        <f>IFERROR(VLOOKUP("Sauce : Mild Wing : ESM",USAGES!A$1:Y$1497,11,FALSE),0)/4</f>
        <v>1.2</v>
      </c>
      <c r="E135" s="745">
        <f>IFERROR(VLOOKUP("Sauce : Mild Wing : ESM",USAGES!A$1:Y$1497,12,FALSE),0)/4</f>
        <v>0.05</v>
      </c>
      <c r="F135" s="746"/>
      <c r="G135" s="745"/>
    </row>
    <row r="136" spans="1:7" ht="15" x14ac:dyDescent="0.25">
      <c r="A136" s="750" t="s">
        <v>203</v>
      </c>
      <c r="B136" s="749">
        <v>12</v>
      </c>
      <c r="C136" s="747" t="str">
        <f>'Inventory Worksheet'!C157</f>
        <v>CSE</v>
      </c>
      <c r="D136" s="746">
        <f>IFERROR(VLOOKUP("Bottle : Relish : ESM",USAGES!A$1:Y$1497,11,FALSE),0)</f>
        <v>5</v>
      </c>
      <c r="E136" s="745">
        <f>IFERROR(VLOOKUP("Bottle : Relish : ESM",USAGES!A$1:Y$1497,12,FALSE),0)</f>
        <v>1</v>
      </c>
      <c r="F136" s="746"/>
      <c r="G136" s="745"/>
    </row>
    <row r="137" spans="1:7" ht="15" x14ac:dyDescent="0.25">
      <c r="A137" s="750" t="s">
        <v>205</v>
      </c>
      <c r="B137" s="749">
        <v>24</v>
      </c>
      <c r="C137" s="747" t="str">
        <f>'Inventory Worksheet'!C159</f>
        <v>BTL</v>
      </c>
      <c r="D137" s="746">
        <f>IFERROR(VLOOKUP("Bottle : Mustard : ESM",USAGES!A$1:Y$1497,11,FALSE),0)</f>
        <v>19.899999999999999</v>
      </c>
      <c r="E137" s="745">
        <f>IFERROR(VLOOKUP("Bottle : Mustard : ESM",USAGES!A$1:Y$1497,12,FALSE),0)</f>
        <v>-1.9</v>
      </c>
      <c r="F137" s="746"/>
      <c r="G137" s="745"/>
    </row>
    <row r="138" spans="1:7" ht="15" x14ac:dyDescent="0.25">
      <c r="A138" s="750" t="str">
        <f>'Inventory Worksheet'!B161</f>
        <v>Sugar Sticks</v>
      </c>
      <c r="B138" s="749">
        <v>1</v>
      </c>
      <c r="C138" s="747" t="str">
        <f>'Inventory Worksheet'!C161</f>
        <v>CASE</v>
      </c>
      <c r="D138" s="746">
        <f>IFERROR(VLOOKUP("Sugar : White Sticks : ESM",USAGES!A$1:Y$1497,11,FALSE),0)</f>
        <v>1.9</v>
      </c>
      <c r="E138" s="745">
        <f>IFERROR(VLOOKUP("Sugar : White Sticks : ESM",USAGES!A$1:Y$1497,12,FALSE),0)</f>
        <v>-1</v>
      </c>
      <c r="F138" s="746"/>
      <c r="G138" s="745"/>
    </row>
    <row r="139" spans="1:7" ht="15" x14ac:dyDescent="0.25">
      <c r="A139" s="750" t="str">
        <f>'Inventory Worksheet'!B162</f>
        <v>Sweet &amp; Low</v>
      </c>
      <c r="B139" s="749">
        <v>3</v>
      </c>
      <c r="C139" s="747" t="str">
        <f>'Inventory Worksheet'!C162</f>
        <v>BAG</v>
      </c>
      <c r="D139" s="746">
        <f>IFERROR(VLOOKUP("Sugar : Sweet N Low : ESM",USAGES!A$1:Y$1497,11,FALSE),0)*3000/1000</f>
        <v>2.1</v>
      </c>
      <c r="E139" s="745">
        <f>IFERROR(VLOOKUP("Sugar : Sweet N Low : ESM",USAGES!A$1:Y$1497,12,FALSE),0)*3000/1000</f>
        <v>-1.1100000000000001</v>
      </c>
      <c r="F139" s="746"/>
      <c r="G139" s="745"/>
    </row>
    <row r="140" spans="1:7" ht="15" x14ac:dyDescent="0.25">
      <c r="A140" s="770" t="s">
        <v>1801</v>
      </c>
      <c r="B140" s="753">
        <v>4</v>
      </c>
      <c r="C140" s="747" t="str">
        <f>'Inventory Worksheet'!C163</f>
        <v>jug</v>
      </c>
      <c r="D140" s="746">
        <f>IFERROR(VLOOKUP("Sauce : Roasted Garlic Aioli : ESM",USAGES!A$1:Y$1497,11,FALSE),0)</f>
        <v>1.5</v>
      </c>
      <c r="E140" s="745">
        <f>IFERROR(VLOOKUP("Sauce : Roasted Garlic Aioli : ESM",USAGES!A$1:Y$1497,12,FALSE),0)</f>
        <v>14.4</v>
      </c>
      <c r="F140" s="746"/>
      <c r="G140" s="745"/>
    </row>
    <row r="141" spans="1:7" ht="15" x14ac:dyDescent="0.25">
      <c r="A141" s="750" t="str">
        <f>'Inventory Worksheet'!B164</f>
        <v>TO Ketchup</v>
      </c>
      <c r="B141" s="749">
        <v>1</v>
      </c>
      <c r="C141" s="747" t="str">
        <f>'Inventory Worksheet'!C164</f>
        <v>CASE</v>
      </c>
      <c r="D141" s="746">
        <f>IFERROR(VLOOKUP("Packet : Ketchup : ESM",USAGES!A$1:Y$1497,11,FALSE),0)</f>
        <v>1.1000000000000001</v>
      </c>
      <c r="E141" s="745">
        <f>IFERROR(VLOOKUP("Packet : Ketchup : ESM",USAGES!A$1:Y$1497,12,FALSE),0)</f>
        <v>0</v>
      </c>
      <c r="F141" s="746"/>
      <c r="G141" s="745"/>
    </row>
    <row r="142" spans="1:7" ht="15" x14ac:dyDescent="0.25">
      <c r="A142" s="759" t="str">
        <f>'Inventory Worksheet'!B165</f>
        <v>Caeser Dressing</v>
      </c>
      <c r="B142" s="752">
        <v>8</v>
      </c>
      <c r="C142" s="769" t="str">
        <f>'Inventory Worksheet'!C165</f>
        <v>BAG</v>
      </c>
      <c r="D142" s="746">
        <f>IFERROR(VLOOKUP("Dressing Caesar : ESM",USAGES!A$1:Y$1497,11,FALSE),0)/2</f>
        <v>4.915</v>
      </c>
      <c r="E142" s="745">
        <f>IFERROR(VLOOKUP("Dressing Caesar : ESM",USAGES!A$1:Y$1497,12,FALSE),0)/2</f>
        <v>22.425000000000001</v>
      </c>
      <c r="F142" s="746"/>
      <c r="G142" s="745"/>
    </row>
    <row r="143" spans="1:7" ht="15" x14ac:dyDescent="0.25">
      <c r="A143" s="766" t="str">
        <f>'Inventory Worksheet'!B166</f>
        <v xml:space="preserve">Blue Cheese Dressing    </v>
      </c>
      <c r="B143" s="760">
        <v>2</v>
      </c>
      <c r="C143" s="747" t="str">
        <f>'Inventory Worksheet'!C166</f>
        <v>JUG</v>
      </c>
      <c r="D143" s="746">
        <f>IFERROR(VLOOKUP("Dressing Blue Cheese : ESM",USAGES!A$1:Y$1497,11,FALSE),0)/4</f>
        <v>2.2999999999999998</v>
      </c>
      <c r="E143" s="745">
        <f>IFERROR(VLOOKUP("Dressing Blue Cheese : ESM",USAGES!A$1:Y$1497,12,FALSE),0)/4</f>
        <v>0</v>
      </c>
      <c r="F143" s="746"/>
      <c r="G143" s="745"/>
    </row>
    <row r="144" spans="1:7" ht="15" x14ac:dyDescent="0.25">
      <c r="A144" s="759" t="str">
        <f>'Inventory Worksheet'!B167</f>
        <v>House Viniagrette</v>
      </c>
      <c r="B144" s="749">
        <v>2</v>
      </c>
      <c r="C144" s="747" t="str">
        <f>'Inventory Worksheet'!C167</f>
        <v>JUG</v>
      </c>
      <c r="D144" s="746">
        <f>IFERROR(VLOOKUP("Dressing House Vinaigrette : ESM",USAGES!A$1:Y$1497,11,FALSE),0)/4</f>
        <v>2.2999999999999998</v>
      </c>
      <c r="E144" s="745">
        <f>IFERROR(VLOOKUP("Dressing House Vinaigrette : ESM",USAGES!A$1:Y$1497,12,FALSE),0)/4</f>
        <v>4.2</v>
      </c>
      <c r="F144" s="746"/>
      <c r="G144" s="745"/>
    </row>
    <row r="145" spans="1:7" ht="15" x14ac:dyDescent="0.25">
      <c r="A145" s="761" t="str">
        <f>'Inventory Worksheet'!B169</f>
        <v>Plum Sauce</v>
      </c>
      <c r="B145" s="753">
        <v>2</v>
      </c>
      <c r="C145" s="769" t="str">
        <f>'Inventory Worksheet'!C169</f>
        <v>jug</v>
      </c>
      <c r="D145" s="746">
        <f>IFERROR(VLOOKUP("Sauce : Plum : ESM",USAGES!A$1:Y$1497,11,FALSE),0)/4</f>
        <v>1.7</v>
      </c>
      <c r="E145" s="745">
        <f>IFERROR(VLOOKUP("Sauce : Plum : ESM",USAGES!A$1:Y$1497,12,FALSE),0)/4</f>
        <v>0.3</v>
      </c>
      <c r="F145" s="746"/>
      <c r="G145" s="745"/>
    </row>
    <row r="146" spans="1:7" ht="15" x14ac:dyDescent="0.25">
      <c r="A146" s="759" t="str">
        <f>'Inventory Worksheet'!B171</f>
        <v>Beef Gravy</v>
      </c>
      <c r="B146" s="752">
        <v>6</v>
      </c>
      <c r="C146" s="769" t="s">
        <v>157</v>
      </c>
      <c r="D146" s="746">
        <f>IFERROR(VLOOKUP("Gravy : Beef : ESM",USAGES!A$1:Y$1497,11,FALSE),0)</f>
        <v>20</v>
      </c>
      <c r="E146" s="745">
        <f>IFERROR(VLOOKUP("Gravy : Beef : ESM",USAGES!A$1:Y$1497,12,FALSE),0)</f>
        <v>0</v>
      </c>
      <c r="F146" s="746"/>
      <c r="G146" s="745"/>
    </row>
    <row r="147" spans="1:7" ht="15" x14ac:dyDescent="0.25">
      <c r="A147" s="750" t="str">
        <f>'Inventory Worksheet'!B172</f>
        <v>ground black pepper</v>
      </c>
      <c r="B147" s="749">
        <v>6</v>
      </c>
      <c r="C147" s="747" t="s">
        <v>179</v>
      </c>
      <c r="D147" s="746">
        <f>IFERROR(VLOOKUP("Spice : Black Pepper Ground : ESM",USAGES!A$1:Y$1497,11,FALSE),0)/2.1</f>
        <v>0.75714285714285712</v>
      </c>
      <c r="E147" s="745">
        <f>IFERROR(VLOOKUP("Spice : Black Pepper Ground : ESM",USAGES!A$1:Y$1497,12,FALSE),0)/2.1</f>
        <v>-3.3333333333333333E-2</v>
      </c>
      <c r="F147" s="746"/>
      <c r="G147" s="745"/>
    </row>
    <row r="148" spans="1:7" ht="15" x14ac:dyDescent="0.25">
      <c r="A148" s="750" t="s">
        <v>1315</v>
      </c>
      <c r="B148" s="749"/>
      <c r="C148" s="747" t="s">
        <v>178</v>
      </c>
      <c r="D148" s="746">
        <f>IFERROR(VLOOKUP("Bottle : House Dressing : ESM",USAGES!A$1:Y$1497,11,FALSE),0)</f>
        <v>6</v>
      </c>
      <c r="E148" s="745">
        <f>IFERROR(VLOOKUP("Bottle : House Dressing : ESM",USAGES!A$1:Y$1497,12,FALSE),0)</f>
        <v>6</v>
      </c>
      <c r="F148" s="746"/>
      <c r="G148" s="745"/>
    </row>
    <row r="149" spans="1:7" ht="15" x14ac:dyDescent="0.25">
      <c r="A149" s="750" t="str">
        <f>'Inventory Worksheet'!B174</f>
        <v>Take Out House Dressing</v>
      </c>
      <c r="B149" s="749"/>
      <c r="C149" s="747" t="str">
        <f>'Inventory Worksheet'!C174</f>
        <v>BOX</v>
      </c>
      <c r="D149" s="746">
        <f>IFERROR(VLOOKUP("Dressing House Portion : ESM",USAGES!A$1:Y$1497,11,FALSE),0)</f>
        <v>0.5</v>
      </c>
      <c r="E149" s="745">
        <f>IFERROR(VLOOKUP("Dressing House Portion : ESM",USAGES!A$1:Y$1497,12,FALSE),0)</f>
        <v>1.1000000000000001</v>
      </c>
      <c r="F149" s="746"/>
      <c r="G149" s="745"/>
    </row>
    <row r="150" spans="1:7" ht="15" x14ac:dyDescent="0.25">
      <c r="A150" s="766" t="s">
        <v>496</v>
      </c>
      <c r="B150" s="760"/>
      <c r="C150" s="747" t="s">
        <v>190</v>
      </c>
      <c r="D150" s="746">
        <f>IFERROR(VLOOKUP("Dressing Caesar Portion : ESM",USAGES!A$1:Y$1497,11,FALSE),0)</f>
        <v>0.7</v>
      </c>
      <c r="E150" s="745">
        <f>IFERROR(VLOOKUP("Dressing Caesar Portion : ESM",USAGES!A$1:Y$1497,12,FALSE),0)</f>
        <v>1</v>
      </c>
      <c r="F150" s="746"/>
      <c r="G150" s="745"/>
    </row>
    <row r="151" spans="1:7" ht="15" x14ac:dyDescent="0.25">
      <c r="A151" s="768"/>
      <c r="B151" s="763"/>
      <c r="C151" s="748"/>
      <c r="D151" s="754"/>
      <c r="E151" s="754"/>
      <c r="F151" s="754"/>
      <c r="G151" s="754"/>
    </row>
    <row r="152" spans="1:7" ht="15" x14ac:dyDescent="0.25">
      <c r="A152" s="766"/>
      <c r="B152" s="760"/>
      <c r="C152" s="747"/>
      <c r="D152" s="746"/>
      <c r="E152" s="746"/>
      <c r="F152" s="746"/>
      <c r="G152" s="746"/>
    </row>
    <row r="153" spans="1:7" ht="15" x14ac:dyDescent="0.25">
      <c r="A153" s="768" t="s">
        <v>285</v>
      </c>
      <c r="B153" s="763"/>
      <c r="C153" s="748"/>
      <c r="D153" s="754"/>
      <c r="E153" s="754"/>
      <c r="F153" s="754"/>
      <c r="G153" s="754"/>
    </row>
    <row r="154" spans="1:7" ht="15" x14ac:dyDescent="0.25">
      <c r="A154" s="766" t="s">
        <v>1316</v>
      </c>
      <c r="B154" s="760">
        <v>2</v>
      </c>
      <c r="C154" s="747">
        <f>'Inventory Worksheet'!C179</f>
        <v>0</v>
      </c>
      <c r="D154" s="746">
        <f>IFERROR(VLOOKUP("Spice : Crushed Chili : ESM",USAGES!A$1:Y$1497,11,FALSE),0)/2.27</f>
        <v>1.7004405286343611</v>
      </c>
      <c r="E154" s="745">
        <f>IFERROR(VLOOKUP("Spice : Crushed Chili : ESM",USAGES!A$1:Y$1497,12,FALSE),0)/2.27</f>
        <v>0</v>
      </c>
      <c r="F154" s="746"/>
      <c r="G154" s="745"/>
    </row>
    <row r="155" spans="1:7" ht="15" x14ac:dyDescent="0.25">
      <c r="A155" s="759" t="str">
        <f>'Inventory Worksheet'!B181</f>
        <v>cajun</v>
      </c>
      <c r="B155" s="753">
        <v>5</v>
      </c>
      <c r="C155" s="753" t="s">
        <v>140</v>
      </c>
      <c r="D155" s="746">
        <f>IFERROR(VLOOKUP("Spice : Cajun : ESM",USAGES!A$1:Y$1497,11,FALSE),0)</f>
        <v>0.15</v>
      </c>
      <c r="E155" s="745">
        <f>IFERROR(VLOOKUP("Spice : Cajun : ESM",USAGES!A$1:Y$1497,12,FALSE),0)</f>
        <v>0</v>
      </c>
      <c r="F155" s="746"/>
      <c r="G155" s="745"/>
    </row>
    <row r="156" spans="1:7" ht="15" x14ac:dyDescent="0.25">
      <c r="A156" s="759" t="str">
        <f>'Inventory Worksheet'!B182</f>
        <v>Oregano Garlic Seasoning MPS</v>
      </c>
      <c r="B156" s="752">
        <v>24</v>
      </c>
      <c r="C156" s="752" t="str">
        <f>'Inventory Worksheet'!C182</f>
        <v>LB</v>
      </c>
      <c r="D156" s="746">
        <f>IFERROR(VLOOKUP("Spice : MPS Blend : ESM",USAGES!A$1:Y$1497,11,FALSE),0)/2.34</f>
        <v>1.0683760683760684</v>
      </c>
      <c r="E156" s="745">
        <f>IFERROR(VLOOKUP("Spice : MPS Blend : ESM",USAGES!A$1:Y$1497,12,FALSE),0)/2.34</f>
        <v>0.12820512820512822</v>
      </c>
      <c r="F156" s="746"/>
      <c r="G156" s="745"/>
    </row>
    <row r="157" spans="1:7" ht="15" x14ac:dyDescent="0.25">
      <c r="A157" s="750" t="str">
        <f>'Inventory Worksheet'!B183</f>
        <v>Table Salt</v>
      </c>
      <c r="B157" s="749">
        <v>6.5</v>
      </c>
      <c r="C157" s="747" t="s">
        <v>140</v>
      </c>
      <c r="D157" s="746">
        <f>IFERROR(VLOOKUP("Salt : Table : ESM",USAGES!A$1:Y$1497,11,FALSE),0)</f>
        <v>14</v>
      </c>
      <c r="E157" s="745">
        <f>IFERROR(VLOOKUP("Salt : Table : ESM",USAGES!A$1:Y$1497,12,FALSE),0)</f>
        <v>-1</v>
      </c>
      <c r="F157" s="746"/>
      <c r="G157" s="745"/>
    </row>
    <row r="158" spans="1:7" ht="15" x14ac:dyDescent="0.25">
      <c r="A158" s="750" t="str">
        <f>'Inventory Worksheet'!B184</f>
        <v>Cinnamon Sugar</v>
      </c>
      <c r="B158" s="749">
        <v>2</v>
      </c>
      <c r="C158" s="747" t="str">
        <f>'Inventory Worksheet'!C184</f>
        <v>Jug</v>
      </c>
      <c r="D158" s="746">
        <f>IFERROR(VLOOKUP("Sugar : Cinnamon : ESM",USAGES!A$1:Y$1497,11,FALSE),0)</f>
        <v>0</v>
      </c>
      <c r="E158" s="745">
        <f>IFERROR(VLOOKUP("Sugar : Cinnamon : ESM",USAGES!A$1:Y$1497,12,FALSE),0)</f>
        <v>0</v>
      </c>
      <c r="F158" s="746"/>
      <c r="G158" s="745"/>
    </row>
    <row r="159" spans="1:7" ht="15" x14ac:dyDescent="0.25">
      <c r="A159" s="750" t="str">
        <f>'Inventory Worksheet'!B185</f>
        <v>Cracked Black Pepper</v>
      </c>
      <c r="B159" s="749">
        <v>72</v>
      </c>
      <c r="C159" s="747" t="str">
        <f>'Inventory Worksheet'!C185</f>
        <v>JUG</v>
      </c>
      <c r="D159" s="746">
        <f>IFERROR(VLOOKUP("Spice : Black Pepper Cracked : ESM",USAGES!A$1:Y$1497,11,FALSE),0)/2.27</f>
        <v>0</v>
      </c>
      <c r="E159" s="745">
        <f>IFERROR(VLOOKUP("Spice : Black Pepper Cracked : ESM",USAGES!A$1:Y$1497,12,FALSE),0)/2.27</f>
        <v>0</v>
      </c>
      <c r="F159" s="746"/>
      <c r="G159" s="745"/>
    </row>
    <row r="160" spans="1:7" ht="15" x14ac:dyDescent="0.25">
      <c r="A160" s="750" t="str">
        <f>'Inventory Worksheet'!B186</f>
        <v>Salt Grinder</v>
      </c>
      <c r="B160" s="749">
        <v>72</v>
      </c>
      <c r="C160" s="747" t="str">
        <f>'Inventory Worksheet'!C186</f>
        <v>EACH</v>
      </c>
      <c r="D160" s="746">
        <f>IFERROR(VLOOKUP("Salt Grinder : ESM",USAGES!A$1:Y$1497,11,FALSE),0)</f>
        <v>51</v>
      </c>
      <c r="E160" s="745">
        <f>IFERROR(VLOOKUP("Salt Grinder : ESM",USAGES!A$1:Y$1497,12,FALSE),0)</f>
        <v>2</v>
      </c>
      <c r="F160" s="746"/>
      <c r="G160" s="745"/>
    </row>
    <row r="161" spans="1:7" ht="15" x14ac:dyDescent="0.25">
      <c r="A161" s="750" t="str">
        <f>'Inventory Worksheet'!B187</f>
        <v>Pepper Grinder</v>
      </c>
      <c r="B161" s="749"/>
      <c r="C161" s="747"/>
      <c r="D161" s="746">
        <f>IFERROR(VLOOKUP("Pepper Grinder : ESM",USAGES!A$1:Y$1497,11,FALSE),0)</f>
        <v>94</v>
      </c>
      <c r="E161" s="745">
        <f>IFERROR(VLOOKUP("Pepper Grinder : ESM",USAGES!A$1:Y$1497,12,FALSE),0)</f>
        <v>-8</v>
      </c>
      <c r="F161" s="746"/>
      <c r="G161" s="745"/>
    </row>
    <row r="162" spans="1:7" ht="15" x14ac:dyDescent="0.25">
      <c r="A162" s="750" t="s">
        <v>1317</v>
      </c>
      <c r="B162" s="749"/>
      <c r="C162" s="747"/>
      <c r="D162" s="746"/>
      <c r="E162" s="745"/>
      <c r="F162" s="746"/>
      <c r="G162" s="745"/>
    </row>
    <row r="163" spans="1:7" ht="15" x14ac:dyDescent="0.25">
      <c r="A163" s="758"/>
      <c r="B163" s="757"/>
      <c r="C163" s="748"/>
      <c r="D163" s="754"/>
      <c r="E163" s="754"/>
      <c r="F163" s="754"/>
      <c r="G163" s="754"/>
    </row>
    <row r="164" spans="1:7" ht="15" x14ac:dyDescent="0.25">
      <c r="A164" s="750"/>
      <c r="B164" s="749"/>
      <c r="C164" s="747"/>
      <c r="D164" s="746"/>
      <c r="E164" s="746"/>
      <c r="F164" s="746"/>
      <c r="G164" s="746"/>
    </row>
    <row r="165" spans="1:7" ht="15" x14ac:dyDescent="0.25">
      <c r="A165" s="758" t="s">
        <v>116</v>
      </c>
      <c r="B165" s="757"/>
      <c r="C165" s="748"/>
      <c r="D165" s="754"/>
      <c r="E165" s="754"/>
      <c r="F165" s="754"/>
      <c r="G165" s="754"/>
    </row>
    <row r="166" spans="1:7" ht="15" x14ac:dyDescent="0.25">
      <c r="A166" s="759" t="str">
        <f>'Inventory Worksheet'!B194</f>
        <v>Oasis Apple Juice</v>
      </c>
      <c r="B166" s="749">
        <v>24</v>
      </c>
      <c r="C166" s="749" t="str">
        <f>'Inventory Worksheet'!C194</f>
        <v>EACH</v>
      </c>
      <c r="D166" s="746">
        <f>IFERROR(VLOOKUP("Juice : Apple : ESM",USAGES!A$1:Y$1497,11,FALSE),0)</f>
        <v>18</v>
      </c>
      <c r="E166" s="745">
        <f>IFERROR(VLOOKUP("Juice : Apple : ESM",USAGES!A$1:Y$1497,12,FALSE),0)</f>
        <v>1</v>
      </c>
      <c r="F166" s="746"/>
      <c r="G166" s="745"/>
    </row>
    <row r="167" spans="1:7" ht="15" x14ac:dyDescent="0.25">
      <c r="A167" s="759" t="str">
        <f>'Inventory Worksheet'!B195</f>
        <v>BOTTLED - Pepsi</v>
      </c>
      <c r="B167" s="760">
        <v>1</v>
      </c>
      <c r="C167" s="760" t="str">
        <f>'Inventory Worksheet'!C195</f>
        <v>BTL</v>
      </c>
      <c r="D167" s="746">
        <f>IFERROR(VLOOKUP("Btl : Pepsi : ESM",USAGES!A$1:Y$1497,11,FALSE),0)</f>
        <v>29</v>
      </c>
      <c r="E167" s="745">
        <f>IFERROR(VLOOKUP("Btl : Pepsi : ESM",USAGES!A$1:Y$1497,12,FALSE),0)</f>
        <v>28</v>
      </c>
      <c r="F167" s="746"/>
      <c r="G167" s="745"/>
    </row>
    <row r="168" spans="1:7" ht="15" x14ac:dyDescent="0.25">
      <c r="A168" s="759" t="str">
        <f>'Inventory Worksheet'!B196</f>
        <v>BOTTLED - Diet Pepsi</v>
      </c>
      <c r="B168" s="753">
        <v>1</v>
      </c>
      <c r="C168" s="753" t="str">
        <f>'Inventory Worksheet'!C196</f>
        <v>BTL</v>
      </c>
      <c r="D168" s="746">
        <f>IFERROR(VLOOKUP("Btl : Diet Pepsi : ESM",USAGES!A$1:Y$1497,11,FALSE),0)</f>
        <v>19</v>
      </c>
      <c r="E168" s="745">
        <f>IFERROR(VLOOKUP("Btl : Diet Pepsi : ESM",USAGES!A$1:Y$1497,12,FALSE),0)</f>
        <v>-1</v>
      </c>
      <c r="F168" s="746"/>
      <c r="G168" s="745"/>
    </row>
    <row r="169" spans="1:7" ht="15" x14ac:dyDescent="0.25">
      <c r="A169" s="759" t="str">
        <f>'Inventory Worksheet'!B197</f>
        <v>BOTTLED - 7 up</v>
      </c>
      <c r="B169" s="752">
        <v>1</v>
      </c>
      <c r="C169" s="752" t="str">
        <f>'Inventory Worksheet'!C197</f>
        <v>BTL</v>
      </c>
      <c r="D169" s="746">
        <f>IFERROR(VLOOKUP("Btl : 7 Up : ESM",USAGES!A$1:Y$1497,11,FALSE),0)</f>
        <v>32</v>
      </c>
      <c r="E169" s="745">
        <f>IFERROR(VLOOKUP("Btl : 7 Up : ESM",USAGES!A$1:Y$1497,12,FALSE),0)</f>
        <v>0</v>
      </c>
      <c r="F169" s="746"/>
      <c r="G169" s="745"/>
    </row>
    <row r="170" spans="1:7" ht="15" x14ac:dyDescent="0.25">
      <c r="A170" s="750" t="str">
        <f>'Inventory Worksheet'!B198</f>
        <v>Pepsi</v>
      </c>
      <c r="B170" s="749">
        <v>1</v>
      </c>
      <c r="C170" s="747" t="str">
        <f>'Inventory Worksheet'!C198</f>
        <v>BIB</v>
      </c>
      <c r="D170" s="746">
        <f>IFERROR(VLOOKUP("BIB : Pepsi : ESM",USAGES!A$1:Y$1497,11,FALSE),0)</f>
        <v>0</v>
      </c>
      <c r="E170" s="745">
        <f>IFERROR(VLOOKUP("BIB : Pepsi : ESM",USAGES!A$1:Y$1497,12,FALSE),0)</f>
        <v>0</v>
      </c>
      <c r="F170" s="746"/>
      <c r="G170" s="745"/>
    </row>
    <row r="171" spans="1:7" ht="15" x14ac:dyDescent="0.25">
      <c r="A171" s="759" t="str">
        <f>'Inventory Worksheet'!B199</f>
        <v>Seven up</v>
      </c>
      <c r="B171" s="749">
        <v>1</v>
      </c>
      <c r="C171" s="747" t="str">
        <f>'Inventory Worksheet'!C199</f>
        <v>BIB</v>
      </c>
      <c r="D171" s="746">
        <f>IFERROR(VLOOKUP("BIB : 7 Up : ESM",USAGES!A$1:Y$1497,11,FALSE),0)</f>
        <v>0.2</v>
      </c>
      <c r="E171" s="745">
        <f>IFERROR(VLOOKUP("BIB : 7 Up : ESM",USAGES!A$1:Y$1497,12,FALSE),0)</f>
        <v>1.7</v>
      </c>
      <c r="F171" s="746"/>
      <c r="G171" s="745"/>
    </row>
    <row r="172" spans="1:7" ht="15" x14ac:dyDescent="0.25">
      <c r="A172" s="759" t="str">
        <f>'Inventory Worksheet'!B200</f>
        <v>Diet Pepsi</v>
      </c>
      <c r="B172" s="749">
        <v>1</v>
      </c>
      <c r="C172" s="747" t="str">
        <f>'Inventory Worksheet'!C200</f>
        <v>BIB</v>
      </c>
      <c r="D172" s="746">
        <f>IFERROR(VLOOKUP("BIB : Diet Pepsi : ESM",USAGES!A$1:Y$1497,11,FALSE),0)</f>
        <v>1.8</v>
      </c>
      <c r="E172" s="745">
        <f>IFERROR(VLOOKUP("BIB : Diet Pepsi : ESM",USAGES!A$1:Y$1497,12,FALSE),0)</f>
        <v>0.8</v>
      </c>
      <c r="F172" s="746"/>
      <c r="G172" s="745"/>
    </row>
    <row r="173" spans="1:7" ht="15" x14ac:dyDescent="0.25">
      <c r="A173" s="759" t="str">
        <f>'Inventory Worksheet'!B201</f>
        <v>Mug Rootbeer</v>
      </c>
      <c r="B173" s="749">
        <v>1</v>
      </c>
      <c r="C173" s="747" t="str">
        <f>'Inventory Worksheet'!C201</f>
        <v>BIB</v>
      </c>
      <c r="D173" s="746">
        <f>IFERROR(VLOOKUP("BIB : Root Beer : ESM",USAGES!A$1:Y$1497,11,FALSE),0)</f>
        <v>0</v>
      </c>
      <c r="E173" s="745">
        <f>IFERROR(VLOOKUP("BIB : Root Beer : ESM",USAGES!A$1:Y$1497,12,FALSE),0)</f>
        <v>0</v>
      </c>
      <c r="F173" s="746"/>
      <c r="G173" s="745"/>
    </row>
    <row r="174" spans="1:7" ht="15" x14ac:dyDescent="0.25">
      <c r="A174" s="750" t="str">
        <f>'Inventory Worksheet'!B202</f>
        <v>Iced Tea</v>
      </c>
      <c r="B174" s="749">
        <v>1</v>
      </c>
      <c r="C174" s="747" t="str">
        <f>'Inventory Worksheet'!C202</f>
        <v>BIB</v>
      </c>
      <c r="D174" s="746">
        <f>IFERROR(VLOOKUP("BIB : Iced Tea : ESM",USAGES!A$1:Y$1497,11,FALSE),0)</f>
        <v>1.5</v>
      </c>
      <c r="E174" s="745">
        <f>IFERROR(VLOOKUP("BIB : Iced Tea : ESM",USAGES!A$1:Y$1497,12,FALSE),0)</f>
        <v>0.7</v>
      </c>
      <c r="F174" s="746"/>
      <c r="G174" s="745"/>
    </row>
    <row r="175" spans="1:7" ht="15" x14ac:dyDescent="0.25">
      <c r="A175" s="750" t="str">
        <f>'Inventory Worksheet'!B203</f>
        <v>Frozen Yogurt</v>
      </c>
      <c r="B175" s="749">
        <v>1</v>
      </c>
      <c r="C175" s="747" t="str">
        <f>'Inventory Worksheet'!C203</f>
        <v>EACH</v>
      </c>
      <c r="D175" s="746">
        <f>IFERROR(VLOOKUP("IO Yogurt Non Fat : ESM",USAGES!A$1:Y$1497,11,FALSE),0)</f>
        <v>14.1</v>
      </c>
      <c r="E175" s="745">
        <f>IFERROR(VLOOKUP("IO Yogurt Non Fat : ESM",USAGES!A$1:Y$1497,12,FALSE),0)</f>
        <v>-1.1000000000000001</v>
      </c>
      <c r="F175" s="746"/>
      <c r="G175" s="745"/>
    </row>
    <row r="176" spans="1:7" ht="15" x14ac:dyDescent="0.25">
      <c r="A176" s="750" t="s">
        <v>933</v>
      </c>
      <c r="B176" s="749">
        <v>24</v>
      </c>
      <c r="C176" s="747" t="str">
        <f>'Inventory Worksheet'!C204</f>
        <v>BIB</v>
      </c>
      <c r="D176" s="746">
        <f>IFERROR(VLOOKUP("Water : San Pellegrino 500ml : ESM",USAGES!A$1:Y$1497,11,FALSE),0)</f>
        <v>5</v>
      </c>
      <c r="E176" s="745">
        <f>IFERROR(VLOOKUP("Water : San Pellegrino 500ml : ESM",USAGES!A$1:Y$1497,12,FALSE),0)</f>
        <v>1</v>
      </c>
      <c r="F176" s="746"/>
      <c r="G176" s="745"/>
    </row>
    <row r="177" spans="1:7" ht="15" x14ac:dyDescent="0.25">
      <c r="A177" s="750" t="str">
        <f>'Inventory Worksheet'!B205</f>
        <v>Ginger Ale</v>
      </c>
      <c r="B177" s="749"/>
      <c r="C177" s="747" t="str">
        <f>'Inventory Worksheet'!C205</f>
        <v>BIB</v>
      </c>
      <c r="D177" s="746">
        <f>IFERROR(VLOOKUP("BIB : Ginger Ale : ESM",USAGES!A$1:Y$1497,11,FALSE),0)</f>
        <v>0.9</v>
      </c>
      <c r="E177" s="745">
        <f>IFERROR(VLOOKUP("BIB : Ginger Ale : ESM",USAGES!A$1:Y$1497,12,FALSE),0)</f>
        <v>1.1000000000000001</v>
      </c>
      <c r="F177" s="746"/>
      <c r="G177" s="745"/>
    </row>
    <row r="178" spans="1:7" ht="15" x14ac:dyDescent="0.25">
      <c r="A178" s="750" t="s">
        <v>932</v>
      </c>
      <c r="B178" s="749"/>
      <c r="C178" s="747" t="s">
        <v>190</v>
      </c>
      <c r="D178" s="746">
        <f>IFERROR(VLOOKUP("Tea : Earl Grey : ESM",USAGES!A$1:Y$1497,11,FALSE),0)/20</f>
        <v>2</v>
      </c>
      <c r="E178" s="745">
        <f>IFERROR(VLOOKUP("Tea : Earl Grey : ESM",USAGES!A$1:Y$1497,12,FALSE),0)/20</f>
        <v>0</v>
      </c>
      <c r="F178" s="746"/>
      <c r="G178" s="745"/>
    </row>
    <row r="179" spans="1:7" ht="15" x14ac:dyDescent="0.25">
      <c r="A179" s="750" t="s">
        <v>931</v>
      </c>
      <c r="B179" s="749"/>
      <c r="C179" s="747" t="s">
        <v>190</v>
      </c>
      <c r="D179" s="746">
        <f>IFERROR(VLOOKUP("Tea : Peppermint : ESM",USAGES!A$1:Y$1497,11,FALSE),0)/20</f>
        <v>0.2</v>
      </c>
      <c r="E179" s="745">
        <f>IFERROR(VLOOKUP("Tea : Peppermint : ESM",USAGES!A$1:Y$1497,12,FALSE),0)/20</f>
        <v>0</v>
      </c>
      <c r="F179" s="746"/>
      <c r="G179" s="745"/>
    </row>
    <row r="180" spans="1:7" ht="15" x14ac:dyDescent="0.25">
      <c r="A180" s="750" t="s">
        <v>930</v>
      </c>
      <c r="B180" s="749"/>
      <c r="C180" s="747" t="s">
        <v>190</v>
      </c>
      <c r="D180" s="746">
        <f>IFERROR(VLOOKUP("Tea : Chamomile : ESM",USAGES!A$1:Y$1497,11,FALSE),0)/20</f>
        <v>3</v>
      </c>
      <c r="E180" s="745">
        <f>IFERROR(VLOOKUP("Tea : Chamomile : ESM",USAGES!A$1:Y$1497,12,FALSE),0)/20</f>
        <v>0</v>
      </c>
      <c r="F180" s="746"/>
      <c r="G180" s="745"/>
    </row>
    <row r="181" spans="1:7" ht="15" x14ac:dyDescent="0.25">
      <c r="A181" s="750" t="s">
        <v>929</v>
      </c>
      <c r="B181" s="749"/>
      <c r="C181" s="747" t="s">
        <v>190</v>
      </c>
      <c r="D181" s="746">
        <f>IFERROR(VLOOKUP("Tea : Green : ESM",USAGES!A$1:Y$1497,11,FALSE),0)/20</f>
        <v>4</v>
      </c>
      <c r="E181" s="745">
        <f>IFERROR(VLOOKUP("Tea : Green : ESM",USAGES!A$1:Y$1497,12,FALSE),0)/20</f>
        <v>0</v>
      </c>
      <c r="F181" s="746"/>
      <c r="G181" s="745"/>
    </row>
    <row r="182" spans="1:7" ht="15" x14ac:dyDescent="0.25">
      <c r="A182" s="750" t="s">
        <v>450</v>
      </c>
      <c r="B182" s="749">
        <v>24</v>
      </c>
      <c r="C182" s="747" t="str">
        <f>'Inventory Worksheet'!C207</f>
        <v>BTL</v>
      </c>
      <c r="D182" s="746">
        <f>IFERROR(VLOOKUP("Btl : Aquafina : ESM",USAGES!A$1:Y$1497,11,FALSE),0)</f>
        <v>27</v>
      </c>
      <c r="E182" s="745">
        <f>IFERROR(VLOOKUP("Btl : Aquafina : ESM",USAGES!A$1:Y$1497,12,FALSE),0)</f>
        <v>1</v>
      </c>
      <c r="F182" s="746"/>
      <c r="G182" s="745"/>
    </row>
    <row r="183" spans="1:7" ht="15" x14ac:dyDescent="0.25">
      <c r="A183" s="750" t="str">
        <f>'Inventory Worksheet'!B208</f>
        <v>Orange Pekoe</v>
      </c>
      <c r="B183" s="749">
        <v>24</v>
      </c>
      <c r="C183" s="747" t="str">
        <f>'Inventory Worksheet'!C208</f>
        <v>BOX</v>
      </c>
      <c r="D183" s="746">
        <f>IFERROR(VLOOKUP("Tea : Orange Pekoe : ESM",USAGES!A$1:Y$1497,11,FALSE),0)/100</f>
        <v>5.5E-2</v>
      </c>
      <c r="E183" s="745">
        <f>IFERROR(VLOOKUP("Tea : Orange Pekoe : ESM",USAGES!A$1:Y$1497,12,FALSE),0)/100</f>
        <v>-5.0000000000000001E-3</v>
      </c>
      <c r="F183" s="746"/>
      <c r="G183" s="745"/>
    </row>
    <row r="184" spans="1:7" ht="13.5" customHeight="1" x14ac:dyDescent="0.25">
      <c r="A184" s="750" t="s">
        <v>222</v>
      </c>
      <c r="B184" s="749">
        <v>1</v>
      </c>
      <c r="C184" s="747" t="str">
        <f>'Inventory Worksheet'!C210</f>
        <v>EACH</v>
      </c>
      <c r="D184" s="746">
        <f>IFERROR(VLOOKUP("Hot Chocolate : ESM",USAGES!A$1:Y$1497,11,FALSE),0)/50</f>
        <v>1.98</v>
      </c>
      <c r="E184" s="745">
        <f>IFERROR(VLOOKUP("Hot Chocolate : ESM",USAGES!A$1:Y$1497,12,FALSE),0)/50</f>
        <v>7.02</v>
      </c>
      <c r="F184" s="746"/>
      <c r="G184" s="745"/>
    </row>
    <row r="185" spans="1:7" ht="13.5" customHeight="1" x14ac:dyDescent="0.25">
      <c r="A185" s="750" t="str">
        <f>'Inventory Worksheet'!B211</f>
        <v>Tomato Juice - small</v>
      </c>
      <c r="B185" s="749">
        <v>1</v>
      </c>
      <c r="C185" s="747" t="str">
        <f>'Inventory Worksheet'!C211</f>
        <v>EACH</v>
      </c>
      <c r="D185" s="746">
        <f>IFERROR(VLOOKUP("Juice : Tomato : ESM",USAGES!A$1:Y$1497,11,FALSE),0)</f>
        <v>0</v>
      </c>
      <c r="E185" s="745">
        <f>IFERROR(VLOOKUP("Juice : Tomato : ESM",USAGES!A$1:Y$1497,12,FALSE),0)</f>
        <v>0</v>
      </c>
      <c r="F185" s="746"/>
      <c r="G185" s="745"/>
    </row>
    <row r="186" spans="1:7" ht="13.5" customHeight="1" x14ac:dyDescent="0.25">
      <c r="A186" s="750" t="s">
        <v>928</v>
      </c>
      <c r="B186" s="749"/>
      <c r="C186" s="747"/>
      <c r="D186" s="746">
        <f>IFERROR(VLOOKUP("Coffee : Decaf : ESM",USAGES!A$1:Y$1497,11,FALSE),0)/64</f>
        <v>0</v>
      </c>
      <c r="E186" s="745">
        <f>IFERROR(VLOOKUP("Coffee : Decaf : ESM",USAGES!A$1:Y$1497,12,FALSE),0)/64</f>
        <v>0</v>
      </c>
      <c r="F186" s="746"/>
      <c r="G186" s="745"/>
    </row>
    <row r="187" spans="1:7" ht="13.5" customHeight="1" x14ac:dyDescent="0.25">
      <c r="A187" s="750" t="str">
        <f>'Inventory Worksheet'!B212</f>
        <v>Oasis Orange Juice</v>
      </c>
      <c r="B187" s="749">
        <v>24</v>
      </c>
      <c r="C187" s="747" t="str">
        <f>'Inventory Worksheet'!C212</f>
        <v>BTL</v>
      </c>
      <c r="D187" s="746">
        <f>IFERROR(VLOOKUP("Juice : Orange : ESM",USAGES!A$1:Y$1497,11,FALSE),0)</f>
        <v>15.9</v>
      </c>
      <c r="E187" s="745">
        <f>IFERROR(VLOOKUP("Juice : Orange : ESM",USAGES!A$1:Y$1497,12,FALSE),0)</f>
        <v>4.2</v>
      </c>
      <c r="F187" s="746"/>
      <c r="G187" s="745"/>
    </row>
    <row r="188" spans="1:7" ht="13.5" customHeight="1" x14ac:dyDescent="0.25">
      <c r="A188" s="750" t="str">
        <f>'Inventory Worksheet'!B214</f>
        <v>Coffee</v>
      </c>
      <c r="B188" s="749">
        <v>6</v>
      </c>
      <c r="C188" s="747" t="str">
        <f>'Inventory Worksheet'!C214</f>
        <v>CSE</v>
      </c>
      <c r="D188" s="746">
        <f>IFERROR(VLOOKUP("Coffee : ESM",USAGES!A$1:Y$1497,11,FALSE),0)/64</f>
        <v>0.8</v>
      </c>
      <c r="E188" s="745">
        <f>IFERROR(VLOOKUP("Coffee : ESM",USAGES!A$1:Y$1497,12,FALSE),0)/64</f>
        <v>-0.05</v>
      </c>
      <c r="F188" s="746"/>
      <c r="G188" s="745"/>
    </row>
    <row r="189" spans="1:7" ht="15" x14ac:dyDescent="0.25">
      <c r="A189" s="759" t="str">
        <f>'Inventory Worksheet'!B218</f>
        <v>BOTTLED - Crush</v>
      </c>
      <c r="B189" s="749">
        <v>12</v>
      </c>
      <c r="C189" s="747" t="str">
        <f>'Inventory Worksheet'!C218</f>
        <v>BTL</v>
      </c>
      <c r="D189" s="746">
        <f>IFERROR(VLOOKUP("Btl : Orange Crush : ESM",USAGES!A$1:Y$1497,11,FALSE),0)</f>
        <v>37</v>
      </c>
      <c r="E189" s="745">
        <f>IFERROR(VLOOKUP("Btl : Orange Crush : ESM",USAGES!A$1:Y$1497,12,FALSE),0)</f>
        <v>-4</v>
      </c>
      <c r="F189" s="746"/>
      <c r="G189" s="745"/>
    </row>
    <row r="190" spans="1:7" ht="15" x14ac:dyDescent="0.25">
      <c r="A190" s="759" t="str">
        <f>'Inventory Worksheet'!B219</f>
        <v>Kids Apple Juice</v>
      </c>
      <c r="B190" s="749">
        <v>1</v>
      </c>
      <c r="C190" s="747" t="s">
        <v>190</v>
      </c>
      <c r="D190" s="746">
        <f>IFERROR(VLOOKUP("Juice : Apple Juice Box : ESM",USAGES!A$1:Y$1497,11,FALSE),0)</f>
        <v>12</v>
      </c>
      <c r="E190" s="745">
        <f>IFERROR(VLOOKUP("Juice : Apple Juice Box : ESM",USAGES!A$1:Y$1497,12,FALSE),0)</f>
        <v>43</v>
      </c>
      <c r="F190" s="746"/>
      <c r="G190" s="745"/>
    </row>
    <row r="191" spans="1:7" ht="15" x14ac:dyDescent="0.25">
      <c r="A191" s="759" t="str">
        <f>'Inventory Worksheet'!B220</f>
        <v>Kids Orange Juice</v>
      </c>
      <c r="B191" s="749">
        <v>1</v>
      </c>
      <c r="C191" s="747" t="str">
        <f>'Inventory Worksheet'!C220</f>
        <v>EACH</v>
      </c>
      <c r="D191" s="746">
        <f>IFERROR(VLOOKUP("Juice : Orange Juice Box : ESM",USAGES!A$1:Y$1497,11,FALSE),0)</f>
        <v>18</v>
      </c>
      <c r="E191" s="745">
        <f>IFERROR(VLOOKUP("Juice : Orange Juice Box : ESM",USAGES!A$1:Y$1497,12,FALSE),0)</f>
        <v>6</v>
      </c>
      <c r="F191" s="746"/>
      <c r="G191" s="745"/>
    </row>
    <row r="192" spans="1:7" ht="15" x14ac:dyDescent="0.25">
      <c r="A192" s="759" t="str">
        <f>'Inventory Worksheet'!B221</f>
        <v>BOTTLED - DR.PEPPER</v>
      </c>
      <c r="B192" s="749"/>
      <c r="C192" s="747" t="str">
        <f>'Inventory Worksheet'!C221</f>
        <v>BTL</v>
      </c>
      <c r="D192" s="746">
        <f>IFERROR(VLOOKUP("Btl : Dr Pepper : ESM",USAGES!A$1:Y$1497,11,FALSE),0)</f>
        <v>43</v>
      </c>
      <c r="E192" s="745">
        <f>IFERROR(VLOOKUP("Btl : Dr Pepper : ESM",USAGES!A$1:Y$1497,12,FALSE),0)</f>
        <v>-2</v>
      </c>
      <c r="F192" s="746"/>
      <c r="G192" s="745"/>
    </row>
    <row r="193" spans="1:7" ht="15" x14ac:dyDescent="0.25">
      <c r="A193" s="759" t="str">
        <f>'Inventory Worksheet'!B222</f>
        <v>Popping Strawberry Bubbles</v>
      </c>
      <c r="B193" s="749">
        <v>24</v>
      </c>
      <c r="C193" s="747" t="str">
        <f>'Inventory Worksheet'!C222</f>
        <v>PAIL</v>
      </c>
      <c r="D193" s="746">
        <f>IFERROR(VLOOKUP("Boba : Strawberry Popping : ESM",USAGES!A$1:Y$1497,11,FALSE),0)/3.3</f>
        <v>1.5515151515151517</v>
      </c>
      <c r="E193" s="745">
        <f>IFERROR(VLOOKUP("Boba : Strawberry Popping : ESM",USAGES!A$1:Y$1497,12,FALSE),0)/3.3</f>
        <v>1.2606060606060607</v>
      </c>
      <c r="F193" s="746"/>
      <c r="G193" s="745"/>
    </row>
    <row r="194" spans="1:7" ht="15" x14ac:dyDescent="0.25">
      <c r="A194" s="759" t="str">
        <f>'Inventory Worksheet'!B224</f>
        <v>NEW Cotton Drink</v>
      </c>
      <c r="B194" s="749"/>
      <c r="C194" s="747" t="s">
        <v>178</v>
      </c>
      <c r="D194" s="746">
        <f>IFERROR(VLOOKUP("Drink Mix : Cotton Candy : ESM",USAGES!A$1:Y$1497,11,FALSE),0)</f>
        <v>4.2</v>
      </c>
      <c r="E194" s="745">
        <f>IFERROR(VLOOKUP("Drink Mix : Cotton Candy : ESM",USAGES!A$1:Y$1497,12,FALSE),0)</f>
        <v>-0.2</v>
      </c>
      <c r="F194" s="746"/>
      <c r="G194" s="745"/>
    </row>
    <row r="195" spans="1:7" ht="15" x14ac:dyDescent="0.25">
      <c r="A195" s="759" t="str">
        <f>'Inventory Worksheet'!B225</f>
        <v>Blood Orange Juice</v>
      </c>
      <c r="B195" s="749"/>
      <c r="C195" s="747" t="s">
        <v>178</v>
      </c>
      <c r="D195" s="746">
        <f>IFERROR(VLOOKUP("Juice : Blood Orange : ESM",USAGES!A$1:Y$1497,11,FALSE),0)</f>
        <v>0</v>
      </c>
      <c r="E195" s="745">
        <f>IFERROR(VLOOKUP("Juice : Blood Orange : ESM",USAGES!A$1:Y$1497,12,FALSE),0)</f>
        <v>0</v>
      </c>
      <c r="F195" s="746"/>
      <c r="G195" s="745"/>
    </row>
    <row r="196" spans="1:7" ht="15" x14ac:dyDescent="0.25">
      <c r="A196" s="759" t="str">
        <f>'Inventory Worksheet'!B226</f>
        <v>BOTTLED - Rootbeer</v>
      </c>
      <c r="B196" s="749"/>
      <c r="C196" s="747" t="s">
        <v>178</v>
      </c>
      <c r="D196" s="746">
        <f>IFERROR(VLOOKUP("Btl : Root Beer : ESM",USAGES!A$1:Y$1497,11,FALSE),0)</f>
        <v>32</v>
      </c>
      <c r="E196" s="745">
        <f>IFERROR(VLOOKUP("Btl : Root Beer : ESM",USAGES!A$1:Y$1497,12,FALSE),0)</f>
        <v>4</v>
      </c>
      <c r="F196" s="746"/>
      <c r="G196" s="745"/>
    </row>
    <row r="197" spans="1:7" ht="15" x14ac:dyDescent="0.25">
      <c r="A197" s="759" t="str">
        <f>'Inventory Worksheet'!B227</f>
        <v>BOTTLED - Ginger Ale</v>
      </c>
      <c r="B197" s="749"/>
      <c r="C197" s="747" t="str">
        <f>'Inventory Worksheet'!C227</f>
        <v>BTL</v>
      </c>
      <c r="D197" s="746">
        <f>IFERROR(VLOOKUP("Btl : Ginger Ale : ESM",USAGES!A$1:Y$1497,11,FALSE),0)</f>
        <v>26</v>
      </c>
      <c r="E197" s="745">
        <f>IFERROR(VLOOKUP("Btl : Ginger Ale : ESM",USAGES!A$1:Y$1497,12,FALSE),0)</f>
        <v>25</v>
      </c>
      <c r="F197" s="746"/>
      <c r="G197" s="745"/>
    </row>
    <row r="198" spans="1:7" ht="15" x14ac:dyDescent="0.25">
      <c r="A198" s="759" t="str">
        <f>'Inventory Worksheet'!B228</f>
        <v>BOTTLED - Mountain Dew</v>
      </c>
      <c r="B198" s="749"/>
      <c r="C198" s="747" t="str">
        <f>'Inventory Worksheet'!C228</f>
        <v>BTL</v>
      </c>
      <c r="D198" s="746">
        <f>IFERROR(VLOOKUP("Btl : Mountain Dew : ESM",USAGES!A$1:Y$1497,11,FALSE),0)</f>
        <v>35</v>
      </c>
      <c r="E198" s="745">
        <f>IFERROR(VLOOKUP("Btl : Mountain Dew : ESM",USAGES!A$1:Y$1497,12,FALSE),0)</f>
        <v>-6</v>
      </c>
      <c r="F198" s="746"/>
      <c r="G198" s="745"/>
    </row>
    <row r="199" spans="1:7" ht="15" x14ac:dyDescent="0.25">
      <c r="A199" s="759" t="str">
        <f>'Inventory Worksheet'!B229</f>
        <v>Blackberry Syrup</v>
      </c>
      <c r="B199" s="749"/>
      <c r="C199" s="747" t="s">
        <v>190</v>
      </c>
      <c r="D199" s="746">
        <f>IFERROR(VLOOKUP("Syrup : Blackberry : ESM",USAGES!A$1:Y$1497,11,FALSE),0)</f>
        <v>11.26</v>
      </c>
      <c r="E199" s="745">
        <f>IFERROR(VLOOKUP("Syrup : Blackberry : ESM",USAGES!A$1:Y$1497,12,FALSE),0)</f>
        <v>-1.0900000000000001</v>
      </c>
      <c r="F199" s="746"/>
      <c r="G199" s="745"/>
    </row>
    <row r="200" spans="1:7" ht="15" x14ac:dyDescent="0.25">
      <c r="A200" s="759" t="str">
        <f>'Inventory Worksheet'!B230</f>
        <v>Stonefruit Syrup</v>
      </c>
      <c r="B200" s="749"/>
      <c r="C200" s="747" t="s">
        <v>178</v>
      </c>
      <c r="D200" s="746">
        <f>IFERROR(VLOOKUP("Syrup : Stone Fruit : ESM",USAGES!A$1:Y$1497,11,FALSE),0)</f>
        <v>0</v>
      </c>
      <c r="E200" s="745">
        <f>IFERROR(VLOOKUP("Syrup : Stone Fruit : ESM",USAGES!A$1:Y$1497,12,FALSE),0)</f>
        <v>0</v>
      </c>
      <c r="F200" s="746"/>
      <c r="G200" s="745"/>
    </row>
    <row r="201" spans="1:7" ht="15" x14ac:dyDescent="0.25">
      <c r="A201" s="767"/>
      <c r="B201" s="757"/>
      <c r="C201" s="748"/>
      <c r="D201" s="754"/>
      <c r="E201" s="754"/>
      <c r="F201" s="754"/>
      <c r="G201" s="754"/>
    </row>
    <row r="202" spans="1:7" ht="15" x14ac:dyDescent="0.25">
      <c r="A202" s="750"/>
      <c r="B202" s="749"/>
      <c r="C202" s="747"/>
      <c r="D202" s="746"/>
      <c r="E202" s="746"/>
      <c r="F202" s="746"/>
      <c r="G202" s="746"/>
    </row>
    <row r="203" spans="1:7" ht="15" x14ac:dyDescent="0.25">
      <c r="A203" s="767" t="s">
        <v>25</v>
      </c>
      <c r="B203" s="757"/>
      <c r="C203" s="748"/>
      <c r="D203" s="754"/>
      <c r="E203" s="754"/>
      <c r="F203" s="754"/>
      <c r="G203" s="754"/>
    </row>
    <row r="204" spans="1:7" ht="15" x14ac:dyDescent="0.25">
      <c r="A204" s="766" t="str">
        <f>'Inventory Worksheet'!B238</f>
        <v>Basil - Fresh</v>
      </c>
      <c r="B204" s="760">
        <v>3</v>
      </c>
      <c r="C204" s="747" t="s">
        <v>1318</v>
      </c>
      <c r="D204" s="746">
        <f>IFERROR(VLOOKUP("Basil : ESM",USAGES!A$1:Y$1497,11,FALSE),0)</f>
        <v>0.5</v>
      </c>
      <c r="E204" s="745">
        <f>IFERROR(VLOOKUP("Basil : ESM",USAGES!A$1:Y$1497,12,FALSE),0)</f>
        <v>4.3</v>
      </c>
      <c r="F204" s="746"/>
      <c r="G204" s="745"/>
    </row>
    <row r="205" spans="1:7" ht="15" x14ac:dyDescent="0.25">
      <c r="A205" s="766" t="str">
        <f>'Inventory Worksheet'!B239</f>
        <v>Baby Spinach</v>
      </c>
      <c r="B205" s="760">
        <v>22</v>
      </c>
      <c r="C205" s="747" t="str">
        <f>'Inventory Worksheet'!C239</f>
        <v>LB</v>
      </c>
      <c r="D205" s="746">
        <f>IFERROR(VLOOKUP("Spinach : ESM",USAGES!A$1:Y$1497,11,FALSE),0)</f>
        <v>2.5</v>
      </c>
      <c r="E205" s="745">
        <f>IFERROR(VLOOKUP("Spinach : ESM",USAGES!A$1:Y$1497,12,FALSE),0)</f>
        <v>5.5</v>
      </c>
      <c r="F205" s="746"/>
      <c r="G205" s="745"/>
    </row>
    <row r="206" spans="1:7" ht="15" x14ac:dyDescent="0.25">
      <c r="A206" s="766" t="str">
        <f>'Inventory Worksheet'!B240</f>
        <v>Carrots</v>
      </c>
      <c r="B206" s="760">
        <v>20</v>
      </c>
      <c r="C206" s="747" t="str">
        <f>'Inventory Worksheet'!C240</f>
        <v>LB</v>
      </c>
      <c r="D206" s="746">
        <f>IFERROR(VLOOKUP("Carrots Large : ESM",USAGES!A$1:Y$1497,11,FALSE),0)</f>
        <v>5.6</v>
      </c>
      <c r="E206" s="745">
        <f>IFERROR(VLOOKUP("Carrots Large : ESM",USAGES!A$1:Y$1497,12,FALSE),0)</f>
        <v>2.4</v>
      </c>
      <c r="F206" s="746"/>
      <c r="G206" s="745"/>
    </row>
    <row r="207" spans="1:7" ht="15" x14ac:dyDescent="0.25">
      <c r="A207" s="759" t="str">
        <f>'Inventory Worksheet'!B241</f>
        <v>Celery</v>
      </c>
      <c r="B207" s="749">
        <v>1</v>
      </c>
      <c r="C207" s="760" t="str">
        <f>'Inventory Worksheet'!C241</f>
        <v>EACH</v>
      </c>
      <c r="D207" s="746">
        <f>IFERROR(VLOOKUP("Celery : ESM",USAGES!A$1:Y$1497,11,FALSE),0)</f>
        <v>3.8</v>
      </c>
      <c r="E207" s="745">
        <f>IFERROR(VLOOKUP("Celery : ESM",USAGES!A$1:Y$1497,12,FALSE),0)</f>
        <v>12.2</v>
      </c>
      <c r="F207" s="746"/>
      <c r="G207" s="745"/>
    </row>
    <row r="208" spans="1:7" ht="15" x14ac:dyDescent="0.25">
      <c r="A208" s="759" t="str">
        <f>'Inventory Worksheet'!B244</f>
        <v>Chopped Iceberg</v>
      </c>
      <c r="B208" s="752">
        <v>5</v>
      </c>
      <c r="C208" s="752" t="str">
        <f>'Inventory Worksheet'!C244</f>
        <v>LB</v>
      </c>
      <c r="D208" s="746">
        <f>IFERROR(VLOOKUP("Lettuce Separated : ESM",USAGES!A$1:Y$1497,11,FALSE),0)</f>
        <v>21</v>
      </c>
      <c r="E208" s="745">
        <f>IFERROR(VLOOKUP("Lettuce : Iceberg Chopped : ESM",USAGES!A$1:Y$1497,12,FALSE),0)</f>
        <v>0</v>
      </c>
      <c r="F208" s="746"/>
      <c r="G208" s="745"/>
    </row>
    <row r="209" spans="1:7" ht="15" x14ac:dyDescent="0.25">
      <c r="A209" s="750" t="str">
        <f>'Inventory Worksheet'!B245</f>
        <v>Lemons</v>
      </c>
      <c r="B209" s="749">
        <v>25</v>
      </c>
      <c r="C209" s="747" t="s">
        <v>175</v>
      </c>
      <c r="D209" s="746">
        <f>IFERROR(VLOOKUP("Lemons : ESM",USAGES!A$1:Y$1497,11,FALSE),0)/140</f>
        <v>0.6</v>
      </c>
      <c r="E209" s="745">
        <f>IFERROR(VLOOKUP("Lemons : ESM",USAGES!A$1:Y$1497,12,FALSE),0)/140</f>
        <v>0.2</v>
      </c>
      <c r="F209" s="746"/>
      <c r="G209" s="745"/>
    </row>
    <row r="210" spans="1:7" ht="15" x14ac:dyDescent="0.25">
      <c r="A210" s="750" t="str">
        <f>'Inventory Worksheet'!B246</f>
        <v>Button Mushrooms</v>
      </c>
      <c r="B210" s="749">
        <v>1</v>
      </c>
      <c r="C210" s="747" t="s">
        <v>143</v>
      </c>
      <c r="D210" s="746">
        <f>IFERROR(VLOOKUP("Mushrooms Button : ESM",USAGES!A$1:Y$1497,11,FALSE),0)</f>
        <v>16.5</v>
      </c>
      <c r="E210" s="745">
        <f>IFERROR(VLOOKUP("Mushrooms Button : ESM",USAGES!A$1:Y$1497,12,FALSE),0)</f>
        <v>38.46</v>
      </c>
      <c r="F210" s="746"/>
      <c r="G210" s="745"/>
    </row>
    <row r="211" spans="1:7" ht="15" x14ac:dyDescent="0.25">
      <c r="A211" s="750" t="str">
        <f>'Inventory Worksheet'!B247</f>
        <v>Red Onions</v>
      </c>
      <c r="B211" s="749">
        <v>17</v>
      </c>
      <c r="C211" s="747" t="str">
        <f>'Inventory Worksheet'!C247</f>
        <v>LB</v>
      </c>
      <c r="D211" s="746">
        <f>IFERROR(VLOOKUP("Onions Red : ESM",USAGES!A$1:Y$1497,11,FALSE),0)</f>
        <v>29.6</v>
      </c>
      <c r="E211" s="745">
        <f>IFERROR(VLOOKUP("Onions Red : ESM",USAGES!A$1:Y$1497,12,FALSE),0)</f>
        <v>30.38</v>
      </c>
      <c r="F211" s="746"/>
      <c r="G211" s="745"/>
    </row>
    <row r="212" spans="1:7" ht="15" x14ac:dyDescent="0.25">
      <c r="A212" s="750" t="str">
        <f>'Inventory Worksheet'!B248</f>
        <v>Parsley</v>
      </c>
      <c r="B212" s="749">
        <v>22</v>
      </c>
      <c r="C212" s="747" t="s">
        <v>1318</v>
      </c>
      <c r="D212" s="746">
        <f>IFERROR(VLOOKUP("Parsley : ESM",USAGES!A$1:Y$1497,11,FALSE),0)</f>
        <v>2</v>
      </c>
      <c r="E212" s="745">
        <f>IFERROR(VLOOKUP("Parsley : ESM",USAGES!A$1:Y$1497,12,FALSE),0)</f>
        <v>2.9</v>
      </c>
      <c r="F212" s="746"/>
      <c r="G212" s="745"/>
    </row>
    <row r="213" spans="1:7" ht="15" x14ac:dyDescent="0.25">
      <c r="A213" s="750" t="str">
        <f>'Inventory Worksheet'!B249</f>
        <v>Green Zucchini</v>
      </c>
      <c r="B213" s="749">
        <v>25</v>
      </c>
      <c r="C213" s="747" t="s">
        <v>143</v>
      </c>
      <c r="D213" s="746">
        <f>IFERROR(VLOOKUP("Zucchini : ESM",USAGES!A$1:Y$1497,11,FALSE),0)</f>
        <v>10.6</v>
      </c>
      <c r="E213" s="745">
        <f>IFERROR(VLOOKUP("Zucchini : ESM",USAGES!A$1:Y$1497,12,FALSE),0)</f>
        <v>29.38</v>
      </c>
      <c r="F213" s="746"/>
      <c r="G213" s="745"/>
    </row>
    <row r="214" spans="1:7" ht="15" x14ac:dyDescent="0.25">
      <c r="A214" s="750" t="str">
        <f>'Inventory Worksheet'!B250</f>
        <v>Red Peppers</v>
      </c>
      <c r="B214" s="749">
        <v>25</v>
      </c>
      <c r="C214" s="747" t="str">
        <f>'Inventory Worksheet'!C250</f>
        <v>LB</v>
      </c>
      <c r="D214" s="746">
        <f>IFERROR(VLOOKUP("Peppers Red : ESM",USAGES!A$1:Y$1497,11,FALSE),0)</f>
        <v>21.5</v>
      </c>
      <c r="E214" s="745">
        <f>IFERROR(VLOOKUP("Peppers Red : ESM",USAGES!A$1:Y$1497,12,FALSE),0)</f>
        <v>32.479999999999997</v>
      </c>
      <c r="F214" s="746"/>
      <c r="G214" s="745"/>
    </row>
    <row r="215" spans="1:7" ht="15" x14ac:dyDescent="0.25">
      <c r="A215" s="751" t="str">
        <f>'Inventory Worksheet'!B251</f>
        <v>Roma Tomatoes</v>
      </c>
      <c r="B215" s="765">
        <v>50</v>
      </c>
      <c r="C215" s="747" t="str">
        <f>'Inventory Worksheet'!C251</f>
        <v>LB</v>
      </c>
      <c r="D215" s="746">
        <f>IFERROR(VLOOKUP("Tomatoes Roma : ESM",USAGES!A$1:Y$1497,11,FALSE),0)*2.2</f>
        <v>26.774000000000001</v>
      </c>
      <c r="E215" s="745">
        <f>IFERROR(VLOOKUP("Tomatoes Roma : ESM",USAGES!A$1:Y$1497,12,FALSE),0)*2.2</f>
        <v>88</v>
      </c>
      <c r="F215" s="746"/>
      <c r="G215" s="745"/>
    </row>
    <row r="216" spans="1:7" ht="15" x14ac:dyDescent="0.25">
      <c r="A216" s="750" t="str">
        <f>'Inventory Worksheet'!B253</f>
        <v>Green Onions</v>
      </c>
      <c r="B216" s="749">
        <v>1</v>
      </c>
      <c r="C216" s="747" t="str">
        <f>'Inventory Worksheet'!C253</f>
        <v>EACH</v>
      </c>
      <c r="D216" s="746">
        <f>IFERROR(VLOOKUP("Onions Green : ESM",USAGES!A$1:Y$1497,11,FALSE),0)</f>
        <v>8</v>
      </c>
      <c r="E216" s="745">
        <f>IFERROR(VLOOKUP("Onions Green : ESM",USAGES!A$1:Y$1497,12,FALSE),0)</f>
        <v>6</v>
      </c>
      <c r="F216" s="746"/>
      <c r="G216" s="745"/>
    </row>
    <row r="217" spans="1:7" ht="15" x14ac:dyDescent="0.25">
      <c r="A217" s="750" t="str">
        <f>'Inventory Worksheet'!B256</f>
        <v>Arugala</v>
      </c>
      <c r="B217" s="749">
        <v>12</v>
      </c>
      <c r="C217" s="747" t="str">
        <f>'Inventory Worksheet'!C256</f>
        <v>LB</v>
      </c>
      <c r="D217" s="746">
        <f>IFERROR(VLOOKUP("Baby Arugula : ESM",USAGES!A$1:Y$1497,11,FALSE),0)</f>
        <v>0</v>
      </c>
      <c r="E217" s="745">
        <f>IFERROR(VLOOKUP("Baby Arugula : ESM",USAGES!A$1:Y$1497,12,FALSE),0)</f>
        <v>0</v>
      </c>
      <c r="F217" s="746"/>
      <c r="G217" s="745"/>
    </row>
    <row r="218" spans="1:7" ht="15" x14ac:dyDescent="0.25">
      <c r="A218" s="750" t="s">
        <v>1319</v>
      </c>
      <c r="B218" s="749">
        <v>20</v>
      </c>
      <c r="C218" s="747" t="str">
        <f>'Inventory Worksheet'!C257</f>
        <v>lb</v>
      </c>
      <c r="D218" s="746">
        <f>IFERROR(VLOOKUP("Broccoli : ESM",USAGES!A$1:Y$1497,11,FALSE),0)*2.2</f>
        <v>13.640000000000002</v>
      </c>
      <c r="E218" s="745">
        <f>IFERROR(VLOOKUP("Broccoli : ESM",USAGES!A$1:Y$1497,12,FALSE),0)*2.2</f>
        <v>61.314000000000007</v>
      </c>
      <c r="F218" s="746"/>
      <c r="G218" s="745"/>
    </row>
    <row r="219" spans="1:7" ht="15" x14ac:dyDescent="0.25">
      <c r="A219" s="750" t="s">
        <v>1320</v>
      </c>
      <c r="B219" s="749">
        <v>3</v>
      </c>
      <c r="C219" s="747" t="s">
        <v>143</v>
      </c>
      <c r="D219" s="746">
        <f>IFERROR(VLOOKUP("Lettuce : Romaine Chopped : ESM",USAGES!A$1:Y$1497,11,FALSE),0)/2.2</f>
        <v>5.4545454545454541</v>
      </c>
      <c r="E219" s="745">
        <f>IFERROR(VLOOKUP("Lettuce : Romaine Chopped : ESM",USAGES!A$1:Y$1497,12,FALSE),0)/2.2</f>
        <v>55.340909090909086</v>
      </c>
      <c r="F219" s="746"/>
      <c r="G219" s="745"/>
    </row>
    <row r="220" spans="1:7" ht="15" x14ac:dyDescent="0.25">
      <c r="A220" s="750" t="s">
        <v>229</v>
      </c>
      <c r="B220" s="749"/>
      <c r="C220" s="747"/>
      <c r="D220" s="746">
        <f>IFERROR(VLOOKUP("Peppers Green : ESM",USAGES!A$1:Y$1497,11,FALSE),0)</f>
        <v>10</v>
      </c>
      <c r="E220" s="745">
        <f>IFERROR(VLOOKUP("Peppers Green : ESM",USAGES!A$1:Y$1497,12,FALSE),0)</f>
        <v>15.98</v>
      </c>
      <c r="F220" s="746"/>
      <c r="G220" s="745"/>
    </row>
    <row r="221" spans="1:7" ht="15" x14ac:dyDescent="0.25">
      <c r="A221" s="758"/>
      <c r="B221" s="757"/>
      <c r="C221" s="748"/>
      <c r="D221" s="754"/>
      <c r="E221" s="754"/>
      <c r="F221" s="754"/>
      <c r="G221" s="754"/>
    </row>
    <row r="222" spans="1:7" ht="15" x14ac:dyDescent="0.25">
      <c r="A222" s="750"/>
      <c r="B222" s="749"/>
      <c r="C222" s="747"/>
      <c r="D222" s="746"/>
      <c r="E222" s="746"/>
      <c r="F222" s="746"/>
      <c r="G222" s="746"/>
    </row>
    <row r="223" spans="1:7" ht="15" x14ac:dyDescent="0.25">
      <c r="A223" s="761"/>
      <c r="B223" s="760"/>
      <c r="C223" s="760"/>
      <c r="D223" s="746"/>
      <c r="E223" s="746"/>
      <c r="F223" s="746"/>
      <c r="G223" s="746"/>
    </row>
    <row r="224" spans="1:7" ht="15" x14ac:dyDescent="0.25">
      <c r="A224" s="764" t="s">
        <v>332</v>
      </c>
      <c r="B224" s="763"/>
      <c r="C224" s="762"/>
      <c r="D224" s="754"/>
      <c r="E224" s="754"/>
      <c r="F224" s="754"/>
      <c r="G224" s="754"/>
    </row>
    <row r="225" spans="1:7" ht="15" x14ac:dyDescent="0.25">
      <c r="A225" s="761" t="str">
        <f>'Inventory Worksheet'!B291</f>
        <v>Clamato Bottles</v>
      </c>
      <c r="B225" s="760"/>
      <c r="C225" s="760" t="str">
        <f>'Inventory Worksheet'!C291</f>
        <v>EACH</v>
      </c>
      <c r="D225" s="746">
        <f>IFERROR(VLOOKUP("Juice : Clamato : ESM",USAGES!A$1:Y$1497,11,FALSE),0)</f>
        <v>5.0999999999999996</v>
      </c>
      <c r="E225" s="745">
        <f>IFERROR(VLOOKUP("Juice : Clamato : ESM",USAGES!A$1:Y$1497,12,FALSE),0)</f>
        <v>16.7</v>
      </c>
      <c r="F225" s="746"/>
      <c r="G225" s="745"/>
    </row>
    <row r="226" spans="1:7" ht="15" x14ac:dyDescent="0.25">
      <c r="A226" s="761" t="str">
        <f>'Inventory Worksheet'!B292</f>
        <v>Worchestershire</v>
      </c>
      <c r="B226" s="760">
        <v>2</v>
      </c>
      <c r="C226" s="760" t="s">
        <v>178</v>
      </c>
      <c r="D226" s="746">
        <f>IFERROR(VLOOKUP("Sauce : Worchestershire : ESM",USAGES!A$1:Y$1497,11,FALSE),0)</f>
        <v>2.5</v>
      </c>
      <c r="E226" s="745">
        <f>IFERROR(VLOOKUP("Sauce : Worchestershire : ESM",USAGES!A$1:Y$1497,12,FALSE),0)</f>
        <v>1.3</v>
      </c>
      <c r="F226" s="746"/>
      <c r="G226" s="745"/>
    </row>
    <row r="227" spans="1:7" ht="15" x14ac:dyDescent="0.25">
      <c r="A227" s="761" t="s">
        <v>1321</v>
      </c>
      <c r="B227" s="760">
        <v>4</v>
      </c>
      <c r="C227" s="760" t="str">
        <f>'Inventory Worksheet'!C293</f>
        <v>CAN</v>
      </c>
      <c r="D227" s="746">
        <f>IFERROR(VLOOKUP("Margarita Mix Premium : ESM",USAGES!A$1:Y$1497,11,FALSE),0)</f>
        <v>14.6</v>
      </c>
      <c r="E227" s="745">
        <f>IFERROR(VLOOKUP("Margarita Mix Premium : ESM",USAGES!A$1:Y$1497,12,FALSE),0)</f>
        <v>3.9</v>
      </c>
      <c r="F227" s="746"/>
      <c r="G227" s="745"/>
    </row>
    <row r="228" spans="1:7" ht="15" x14ac:dyDescent="0.25">
      <c r="A228" s="750" t="str">
        <f>'Inventory Worksheet'!B294</f>
        <v>Tabasco</v>
      </c>
      <c r="B228" s="760">
        <v>12</v>
      </c>
      <c r="C228" s="760" t="str">
        <f>'Inventory Worksheet'!C294</f>
        <v>EACH</v>
      </c>
      <c r="D228" s="746">
        <f>IFERROR(VLOOKUP("Sauce : Tabasco : ESM",USAGES!A$1:Y$1497,11,FALSE),0)</f>
        <v>0</v>
      </c>
      <c r="E228" s="745">
        <f>IFERROR(VLOOKUP("Sauce : Tabasco : ESM",USAGES!A$1:Y$1497,12,FALSE),0)</f>
        <v>0</v>
      </c>
      <c r="F228" s="746"/>
      <c r="G228" s="745"/>
    </row>
    <row r="229" spans="1:7" ht="15" x14ac:dyDescent="0.25">
      <c r="A229" s="759" t="s">
        <v>244</v>
      </c>
      <c r="B229" s="753">
        <v>12</v>
      </c>
      <c r="C229" s="753" t="str">
        <f>'Inventory Worksheet'!C295</f>
        <v>JUG</v>
      </c>
      <c r="D229" s="746">
        <f>IFERROR(VLOOKUP("IO Peach : ESM",USAGES!A$1:Y$1497,11,FALSE),0)</f>
        <v>10.1</v>
      </c>
      <c r="E229" s="745">
        <f>IFERROR(VLOOKUP("IO Peach : ESM",USAGES!A$1:Y$1497,12,FALSE),0)</f>
        <v>1.1499999999999999</v>
      </c>
      <c r="F229" s="746"/>
      <c r="G229" s="745"/>
    </row>
    <row r="230" spans="1:7" ht="15" x14ac:dyDescent="0.25">
      <c r="A230" s="750" t="s">
        <v>248</v>
      </c>
      <c r="B230" s="749">
        <v>1</v>
      </c>
      <c r="C230" s="747" t="str">
        <f>'Inventory Worksheet'!C296</f>
        <v>EACH</v>
      </c>
      <c r="D230" s="746">
        <f>IFERROR(VLOOKUP("Limes : ESM",USAGES!A$1:Y$1497,11,FALSE),0)/50</f>
        <v>0</v>
      </c>
      <c r="E230" s="745">
        <f>IFERROR(VLOOKUP("Limes : ESM",USAGES!A$1:Y$1497,12,FALSE),0)/50</f>
        <v>0.82200000000000006</v>
      </c>
      <c r="F230" s="746"/>
      <c r="G230" s="745"/>
    </row>
    <row r="231" spans="1:7" ht="15" x14ac:dyDescent="0.25">
      <c r="A231" s="750" t="str">
        <f>'Inventory Worksheet'!B297</f>
        <v>Oasis Pomegrante</v>
      </c>
      <c r="B231" s="749">
        <v>8</v>
      </c>
      <c r="C231" s="747" t="str">
        <f>'Inventory Worksheet'!C297</f>
        <v>EACH</v>
      </c>
      <c r="D231" s="746">
        <f>IFERROR(VLOOKUP("Juice : Berry/Pomegranate : ESM",USAGES!A$1:Y$1497,11,FALSE),0)</f>
        <v>6.1</v>
      </c>
      <c r="E231" s="745">
        <f>IFERROR(VLOOKUP("Juice : Berry/Pomegranate : ESM",USAGES!A$1:Y$1497,12,FALSE),0)</f>
        <v>6.23</v>
      </c>
      <c r="F231" s="746"/>
      <c r="G231" s="745"/>
    </row>
    <row r="232" spans="1:7" ht="15" x14ac:dyDescent="0.25">
      <c r="A232" s="750" t="str">
        <f>'Inventory Worksheet'!B298</f>
        <v>Oasis Strawberry</v>
      </c>
      <c r="B232" s="749">
        <v>8</v>
      </c>
      <c r="C232" s="747" t="str">
        <f>'Inventory Worksheet'!C298</f>
        <v>EACH</v>
      </c>
      <c r="D232" s="746">
        <f>IFERROR(VLOOKUP("IO Strawberry : ESM",USAGES!A$1:Y$1497,11,FALSE),0)</f>
        <v>5.6</v>
      </c>
      <c r="E232" s="745">
        <f>IFERROR(VLOOKUP("IO Strawberry : ESM",USAGES!A$1:Y$1497,12,FALSE),0)</f>
        <v>0.9</v>
      </c>
      <c r="F232" s="746"/>
      <c r="G232" s="745"/>
    </row>
    <row r="233" spans="1:7" ht="15" x14ac:dyDescent="0.25">
      <c r="A233" s="750" t="str">
        <f>'Inventory Worksheet'!B299</f>
        <v>Passionfruit Juice</v>
      </c>
      <c r="B233" s="749">
        <v>12</v>
      </c>
      <c r="C233" s="747" t="str">
        <f>'Inventory Worksheet'!C299</f>
        <v>Each</v>
      </c>
      <c r="D233" s="746">
        <f>IFERROR(VLOOKUP("Juice : Passion Fruit : ESM",USAGES!A$1:Y$1497,11,FALSE),0)</f>
        <v>4.5</v>
      </c>
      <c r="E233" s="745">
        <f>IFERROR(VLOOKUP("Juice : Passion Fruit : ESM",USAGES!A$1:Y$1497,12,FALSE),0)</f>
        <v>0.25</v>
      </c>
      <c r="F233" s="746"/>
      <c r="G233" s="745"/>
    </row>
    <row r="234" spans="1:7" ht="15" x14ac:dyDescent="0.25">
      <c r="A234" s="750" t="str">
        <f>'Inventory Worksheet'!B300</f>
        <v>Berry Mix</v>
      </c>
      <c r="B234" s="749" t="s">
        <v>140</v>
      </c>
      <c r="C234" s="747" t="s">
        <v>140</v>
      </c>
      <c r="D234" s="746">
        <f>IFERROR(VLOOKUP("Berries : Mixed IQF : ESM",USAGES!A$1:Y$1497,11,FALSE),0)</f>
        <v>4.0999999999999996</v>
      </c>
      <c r="E234" s="745">
        <f>IFERROR(VLOOKUP("Berries : Mixed IQF : ESM",USAGES!A$1:Y$1497,12,FALSE),0)</f>
        <v>6</v>
      </c>
      <c r="F234" s="746"/>
      <c r="G234" s="745"/>
    </row>
    <row r="235" spans="1:7" ht="15" x14ac:dyDescent="0.25">
      <c r="A235" s="750" t="s">
        <v>1322</v>
      </c>
      <c r="B235" s="749" t="s">
        <v>31</v>
      </c>
      <c r="C235" s="747" t="str">
        <f>'Inventory Worksheet'!C301</f>
        <v>EACH</v>
      </c>
      <c r="D235" s="746">
        <f>IFERROR(VLOOKUP("IO Raspberry : ESM",USAGES!A$1:Y$1497,11,FALSE),0)</f>
        <v>4.0999999999999996</v>
      </c>
      <c r="E235" s="745">
        <f>IFERROR(VLOOKUP("IO Raspberry : ESM",USAGES!A$1:Y$1497,12,FALSE),0)</f>
        <v>0.15</v>
      </c>
      <c r="F235" s="746"/>
      <c r="G235" s="745"/>
    </row>
    <row r="236" spans="1:7" ht="15" x14ac:dyDescent="0.25">
      <c r="A236" s="750" t="s">
        <v>1323</v>
      </c>
      <c r="B236" s="749">
        <v>3</v>
      </c>
      <c r="C236" s="747">
        <f>'Inventory Worksheet'!C303</f>
        <v>0</v>
      </c>
      <c r="D236" s="746">
        <f>IFERROR(VLOOKUP("Caesar Rimmer : ESM",USAGES!A$1:Y$1497,11,FALSE),0)</f>
        <v>2.6</v>
      </c>
      <c r="E236" s="745">
        <f>IFERROR(VLOOKUP("Caesar Rimmer : ESM",USAGES!A$1:Y$1497,12,FALSE),0)</f>
        <v>0.9</v>
      </c>
      <c r="F236" s="746"/>
      <c r="G236" s="745"/>
    </row>
    <row r="237" spans="1:7" ht="15" x14ac:dyDescent="0.25">
      <c r="A237" s="750" t="s">
        <v>1324</v>
      </c>
      <c r="B237" s="749">
        <v>6</v>
      </c>
      <c r="C237" s="747">
        <f>'Inventory Worksheet'!C306</f>
        <v>0</v>
      </c>
      <c r="D237" s="746">
        <f>IFERROR(VLOOKUP("Juice : Cranberry Cktl : ESM",USAGES!A$1:Y$1497,11,FALSE),0)</f>
        <v>18.59</v>
      </c>
      <c r="E237" s="745">
        <f>IFERROR(VLOOKUP("Juice : Cranberry Cktl : ESM",USAGES!A$1:Y$1497,12,FALSE),0)</f>
        <v>15.22</v>
      </c>
      <c r="F237" s="746"/>
      <c r="G237" s="745"/>
    </row>
    <row r="238" spans="1:7" ht="15" x14ac:dyDescent="0.25">
      <c r="A238" s="758"/>
      <c r="B238" s="757"/>
      <c r="C238" s="748"/>
      <c r="D238" s="754"/>
      <c r="E238" s="754"/>
      <c r="F238" s="754"/>
      <c r="G238" s="754"/>
    </row>
    <row r="239" spans="1:7" ht="15" x14ac:dyDescent="0.25">
      <c r="A239" s="750"/>
      <c r="B239" s="749"/>
      <c r="C239" s="747"/>
      <c r="D239" s="746"/>
      <c r="E239" s="746"/>
      <c r="F239" s="746"/>
      <c r="G239" s="746"/>
    </row>
    <row r="240" spans="1:7" ht="15" x14ac:dyDescent="0.25">
      <c r="A240" s="750"/>
      <c r="B240" s="749"/>
      <c r="C240" s="747"/>
      <c r="D240" s="746"/>
      <c r="E240" s="746"/>
      <c r="F240" s="746"/>
      <c r="G240" s="746"/>
    </row>
    <row r="241" spans="1:7" ht="15" x14ac:dyDescent="0.25">
      <c r="A241" s="758"/>
      <c r="B241" s="757"/>
      <c r="C241" s="748"/>
      <c r="D241" s="754"/>
      <c r="E241" s="754"/>
      <c r="F241" s="754"/>
      <c r="G241" s="754"/>
    </row>
    <row r="242" spans="1:7" ht="15" x14ac:dyDescent="0.25">
      <c r="A242" s="756"/>
      <c r="B242" s="755"/>
      <c r="C242" s="748"/>
      <c r="D242" s="754"/>
      <c r="E242" s="754"/>
      <c r="F242" s="754"/>
      <c r="G242" s="754"/>
    </row>
  </sheetData>
  <conditionalFormatting sqref="F241 E1:E1048576">
    <cfRule type="cellIs" dxfId="0" priority="2" stopIfTrue="1" operator="lessThan">
      <formula>0</formula>
    </cfRule>
  </conditionalFormatting>
  <pageMargins left="0.7" right="0.7" top="0.75" bottom="0.75" header="0.3" footer="0.3"/>
  <pageSetup scale="91" orientation="portrait" r:id="rId1"/>
  <rowBreaks count="4" manualBreakCount="4">
    <brk id="52" max="16383" man="1"/>
    <brk id="152" max="6" man="1"/>
    <brk id="202" max="6" man="1"/>
    <brk id="220" max="6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86A3-5A9A-40D5-8999-9477739227C2}">
  <sheetPr codeName="Sheet8"/>
  <dimension ref="A1:R261"/>
  <sheetViews>
    <sheetView workbookViewId="0">
      <selection sqref="A1:IV65536"/>
    </sheetView>
  </sheetViews>
  <sheetFormatPr defaultRowHeight="15" x14ac:dyDescent="0.25"/>
  <cols>
    <col min="1" max="1" width="28" style="716" customWidth="1"/>
    <col min="2" max="2" width="12" style="716" customWidth="1"/>
    <col min="3" max="3" width="9.85546875" style="716" customWidth="1"/>
    <col min="4" max="4" width="1.85546875" style="716" customWidth="1"/>
    <col min="5" max="6" width="9.85546875" style="716" customWidth="1"/>
    <col min="7" max="7" width="4" style="716" customWidth="1"/>
    <col min="8" max="8" width="5.85546875" style="716" customWidth="1"/>
    <col min="9" max="10" width="9.85546875" style="716" customWidth="1"/>
    <col min="11" max="11" width="9" style="716" customWidth="1"/>
    <col min="12" max="12" width="9.85546875" style="716" customWidth="1"/>
    <col min="13" max="13" width="9" style="716" customWidth="1"/>
    <col min="14" max="14" width="9.85546875" style="716" customWidth="1"/>
    <col min="15" max="15" width="9" style="716" customWidth="1"/>
    <col min="16" max="16" width="8" style="716" customWidth="1"/>
    <col min="17" max="17" width="2.85546875" style="716" customWidth="1"/>
    <col min="18" max="18" width="4" style="716" customWidth="1"/>
    <col min="19" max="19" width="2.85546875" style="716" customWidth="1"/>
    <col min="20" max="16384" width="9.140625" style="716"/>
  </cols>
  <sheetData>
    <row r="1" spans="1:18" ht="21.95" customHeight="1" x14ac:dyDescent="0.25">
      <c r="A1" s="783" t="s">
        <v>935</v>
      </c>
    </row>
    <row r="2" spans="1:18" ht="14.1" customHeight="1" x14ac:dyDescent="0.25">
      <c r="A2" s="784" t="s">
        <v>936</v>
      </c>
    </row>
    <row r="3" spans="1:18" ht="14.1" customHeight="1" x14ac:dyDescent="0.25">
      <c r="A3" s="784" t="s">
        <v>937</v>
      </c>
    </row>
    <row r="4" spans="1:18" ht="14.1" customHeight="1" x14ac:dyDescent="0.25">
      <c r="A4" s="784" t="s">
        <v>938</v>
      </c>
    </row>
    <row r="5" spans="1:18" ht="14.1" customHeight="1" x14ac:dyDescent="0.25">
      <c r="A5" s="784" t="s">
        <v>1330</v>
      </c>
    </row>
    <row r="6" spans="1:18" ht="14.1" customHeight="1" x14ac:dyDescent="0.25">
      <c r="A6" s="784" t="s">
        <v>1331</v>
      </c>
    </row>
    <row r="7" spans="1:18" ht="14.1" customHeight="1" x14ac:dyDescent="0.25">
      <c r="A7" s="784" t="s">
        <v>1332</v>
      </c>
    </row>
    <row r="8" spans="1:18" ht="14.1" customHeight="1" x14ac:dyDescent="0.25">
      <c r="A8" s="784" t="s">
        <v>1333</v>
      </c>
    </row>
    <row r="9" spans="1:18" ht="30" customHeight="1" x14ac:dyDescent="0.25">
      <c r="A9" s="785" t="s">
        <v>939</v>
      </c>
      <c r="B9" s="786" t="s">
        <v>940</v>
      </c>
      <c r="C9" s="973" t="s">
        <v>941</v>
      </c>
      <c r="D9" s="974"/>
      <c r="E9" s="786" t="s">
        <v>942</v>
      </c>
      <c r="F9" s="786" t="s">
        <v>943</v>
      </c>
      <c r="G9" s="975" t="s">
        <v>944</v>
      </c>
      <c r="H9" s="976"/>
      <c r="I9" s="786" t="s">
        <v>945</v>
      </c>
      <c r="J9" s="787" t="s">
        <v>946</v>
      </c>
      <c r="K9" s="786" t="s">
        <v>947</v>
      </c>
      <c r="L9" s="786" t="s">
        <v>948</v>
      </c>
      <c r="M9" s="786" t="s">
        <v>949</v>
      </c>
      <c r="N9" s="786" t="s">
        <v>950</v>
      </c>
      <c r="O9" s="739" t="s">
        <v>951</v>
      </c>
      <c r="P9" s="786" t="s">
        <v>952</v>
      </c>
      <c r="Q9" s="975" t="s">
        <v>953</v>
      </c>
      <c r="R9" s="976"/>
    </row>
    <row r="10" spans="1:18" ht="15" customHeight="1" x14ac:dyDescent="0.25">
      <c r="A10" s="788" t="s">
        <v>954</v>
      </c>
      <c r="B10" s="794">
        <v>44479</v>
      </c>
      <c r="C10" s="953" t="s">
        <v>955</v>
      </c>
      <c r="D10" s="954"/>
      <c r="E10" s="788" t="s">
        <v>1334</v>
      </c>
      <c r="F10" s="721">
        <v>31.25</v>
      </c>
      <c r="G10" s="955">
        <v>120.01</v>
      </c>
      <c r="H10" s="956"/>
      <c r="I10" s="724">
        <v>0</v>
      </c>
      <c r="J10" s="723">
        <v>0</v>
      </c>
      <c r="K10" s="725">
        <v>26.5</v>
      </c>
      <c r="L10" s="721">
        <v>124.76</v>
      </c>
      <c r="M10" s="720">
        <v>31.18</v>
      </c>
      <c r="N10" s="735">
        <v>-93.58</v>
      </c>
      <c r="O10" s="788" t="s">
        <v>1335</v>
      </c>
      <c r="P10" s="789" t="s">
        <v>1336</v>
      </c>
      <c r="Q10" s="939">
        <v>0</v>
      </c>
      <c r="R10" s="940"/>
    </row>
    <row r="11" spans="1:18" ht="15" customHeight="1" x14ac:dyDescent="0.25">
      <c r="A11" s="788" t="s">
        <v>1337</v>
      </c>
      <c r="B11" s="794">
        <v>44479</v>
      </c>
      <c r="C11" s="953" t="s">
        <v>956</v>
      </c>
      <c r="D11" s="954"/>
      <c r="E11" s="788" t="s">
        <v>957</v>
      </c>
      <c r="F11" s="721">
        <v>14</v>
      </c>
      <c r="G11" s="955">
        <v>119.75</v>
      </c>
      <c r="H11" s="956"/>
      <c r="I11" s="724">
        <v>0</v>
      </c>
      <c r="J11" s="723">
        <v>0</v>
      </c>
      <c r="K11" s="725">
        <v>12</v>
      </c>
      <c r="L11" s="721">
        <v>121.75</v>
      </c>
      <c r="M11" s="720">
        <v>51.99</v>
      </c>
      <c r="N11" s="735">
        <v>-69.75</v>
      </c>
      <c r="O11" s="788" t="s">
        <v>1338</v>
      </c>
      <c r="P11" s="789" t="s">
        <v>1339</v>
      </c>
      <c r="Q11" s="939">
        <v>0</v>
      </c>
      <c r="R11" s="940"/>
    </row>
    <row r="12" spans="1:18" ht="15" customHeight="1" x14ac:dyDescent="0.25">
      <c r="A12" s="788" t="s">
        <v>1340</v>
      </c>
      <c r="B12" s="794">
        <v>44479</v>
      </c>
      <c r="C12" s="953" t="s">
        <v>964</v>
      </c>
      <c r="D12" s="954"/>
      <c r="E12" s="788" t="s">
        <v>965</v>
      </c>
      <c r="F12" s="726">
        <v>8.5</v>
      </c>
      <c r="G12" s="955">
        <v>60</v>
      </c>
      <c r="H12" s="956"/>
      <c r="I12" s="724">
        <v>0</v>
      </c>
      <c r="J12" s="723">
        <v>0</v>
      </c>
      <c r="K12" s="722">
        <v>9.6</v>
      </c>
      <c r="L12" s="721">
        <v>58.9</v>
      </c>
      <c r="M12" s="720">
        <v>26.74</v>
      </c>
      <c r="N12" s="735">
        <v>-32.159999999999997</v>
      </c>
      <c r="O12" s="788" t="s">
        <v>1341</v>
      </c>
      <c r="P12" s="789" t="s">
        <v>1342</v>
      </c>
      <c r="Q12" s="939">
        <v>0</v>
      </c>
      <c r="R12" s="940"/>
    </row>
    <row r="13" spans="1:18" ht="15" customHeight="1" x14ac:dyDescent="0.25">
      <c r="A13" s="788" t="s">
        <v>993</v>
      </c>
      <c r="B13" s="794">
        <v>44479</v>
      </c>
      <c r="C13" s="953" t="s">
        <v>956</v>
      </c>
      <c r="D13" s="954"/>
      <c r="E13" s="788" t="s">
        <v>994</v>
      </c>
      <c r="F13" s="726">
        <v>7.5</v>
      </c>
      <c r="G13" s="955">
        <v>40</v>
      </c>
      <c r="H13" s="956"/>
      <c r="I13" s="724">
        <v>0</v>
      </c>
      <c r="J13" s="723">
        <v>0</v>
      </c>
      <c r="K13" s="725">
        <v>13</v>
      </c>
      <c r="L13" s="721">
        <v>34.5</v>
      </c>
      <c r="M13" s="720">
        <v>11.95</v>
      </c>
      <c r="N13" s="735">
        <v>-22.55</v>
      </c>
      <c r="O13" s="788" t="s">
        <v>1343</v>
      </c>
      <c r="P13" s="789" t="s">
        <v>1344</v>
      </c>
      <c r="Q13" s="939">
        <v>0</v>
      </c>
      <c r="R13" s="940"/>
    </row>
    <row r="14" spans="1:18" ht="15" customHeight="1" x14ac:dyDescent="0.25">
      <c r="A14" s="788" t="s">
        <v>1345</v>
      </c>
      <c r="B14" s="794">
        <v>44479</v>
      </c>
      <c r="C14" s="953" t="s">
        <v>956</v>
      </c>
      <c r="D14" s="954"/>
      <c r="E14" s="788" t="s">
        <v>1297</v>
      </c>
      <c r="F14" s="721">
        <v>16.100000000000001</v>
      </c>
      <c r="G14" s="955">
        <v>50</v>
      </c>
      <c r="H14" s="956"/>
      <c r="I14" s="724">
        <v>0</v>
      </c>
      <c r="J14" s="723">
        <v>0</v>
      </c>
      <c r="K14" s="725">
        <v>15</v>
      </c>
      <c r="L14" s="721">
        <v>51.1</v>
      </c>
      <c r="M14" s="720">
        <v>20.16</v>
      </c>
      <c r="N14" s="735">
        <v>-30.94</v>
      </c>
      <c r="O14" s="788" t="s">
        <v>1346</v>
      </c>
      <c r="P14" s="789" t="s">
        <v>1347</v>
      </c>
      <c r="Q14" s="939">
        <v>0</v>
      </c>
      <c r="R14" s="940"/>
    </row>
    <row r="15" spans="1:18" ht="15" customHeight="1" x14ac:dyDescent="0.25">
      <c r="A15" s="788" t="s">
        <v>1135</v>
      </c>
      <c r="B15" s="794">
        <v>44479</v>
      </c>
      <c r="C15" s="953" t="s">
        <v>970</v>
      </c>
      <c r="D15" s="954"/>
      <c r="E15" s="788" t="s">
        <v>1136</v>
      </c>
      <c r="F15" s="721">
        <v>21.3</v>
      </c>
      <c r="G15" s="957">
        <v>0</v>
      </c>
      <c r="H15" s="958"/>
      <c r="I15" s="724">
        <v>0</v>
      </c>
      <c r="J15" s="723">
        <v>0</v>
      </c>
      <c r="K15" s="722">
        <v>0</v>
      </c>
      <c r="L15" s="721">
        <v>21.3</v>
      </c>
      <c r="M15" s="732">
        <v>0</v>
      </c>
      <c r="N15" s="735">
        <v>-21.3</v>
      </c>
      <c r="O15" s="788" t="s">
        <v>1348</v>
      </c>
      <c r="P15" s="789" t="s">
        <v>1349</v>
      </c>
      <c r="Q15" s="939">
        <v>0</v>
      </c>
      <c r="R15" s="940"/>
    </row>
    <row r="16" spans="1:18" ht="15" customHeight="1" x14ac:dyDescent="0.25">
      <c r="A16" s="788" t="s">
        <v>1350</v>
      </c>
      <c r="B16" s="794">
        <v>44479</v>
      </c>
      <c r="C16" s="953" t="s">
        <v>956</v>
      </c>
      <c r="D16" s="954"/>
      <c r="E16" s="788" t="s">
        <v>1292</v>
      </c>
      <c r="F16" s="726">
        <v>2.95</v>
      </c>
      <c r="G16" s="957">
        <v>4.54</v>
      </c>
      <c r="H16" s="958"/>
      <c r="I16" s="724">
        <v>0</v>
      </c>
      <c r="J16" s="723">
        <v>0</v>
      </c>
      <c r="K16" s="722">
        <v>2.72</v>
      </c>
      <c r="L16" s="726">
        <v>4.76</v>
      </c>
      <c r="M16" s="732">
        <v>1.25</v>
      </c>
      <c r="N16" s="735">
        <v>-3.51</v>
      </c>
      <c r="O16" s="788" t="s">
        <v>1351</v>
      </c>
      <c r="P16" s="789" t="s">
        <v>1352</v>
      </c>
      <c r="Q16" s="939">
        <v>0</v>
      </c>
      <c r="R16" s="940"/>
    </row>
    <row r="17" spans="1:18" ht="15" customHeight="1" x14ac:dyDescent="0.25">
      <c r="A17" s="788" t="s">
        <v>1116</v>
      </c>
      <c r="B17" s="794">
        <v>44479</v>
      </c>
      <c r="C17" s="953" t="s">
        <v>1105</v>
      </c>
      <c r="D17" s="954"/>
      <c r="E17" s="788" t="s">
        <v>1117</v>
      </c>
      <c r="F17" s="726">
        <v>7.9</v>
      </c>
      <c r="G17" s="957">
        <v>8</v>
      </c>
      <c r="H17" s="958"/>
      <c r="I17" s="724">
        <v>0</v>
      </c>
      <c r="J17" s="723">
        <v>0</v>
      </c>
      <c r="K17" s="722">
        <v>1.5</v>
      </c>
      <c r="L17" s="721">
        <v>14.4</v>
      </c>
      <c r="M17" s="732">
        <v>2.57</v>
      </c>
      <c r="N17" s="735">
        <v>-11.83</v>
      </c>
      <c r="O17" s="788" t="s">
        <v>1353</v>
      </c>
      <c r="P17" s="789" t="s">
        <v>1354</v>
      </c>
      <c r="Q17" s="939">
        <v>0</v>
      </c>
      <c r="R17" s="940"/>
    </row>
    <row r="18" spans="1:18" ht="15" customHeight="1" x14ac:dyDescent="0.25">
      <c r="A18" s="788" t="s">
        <v>961</v>
      </c>
      <c r="B18" s="794">
        <v>44479</v>
      </c>
      <c r="C18" s="953" t="s">
        <v>956</v>
      </c>
      <c r="D18" s="954"/>
      <c r="E18" s="788" t="s">
        <v>962</v>
      </c>
      <c r="F18" s="726">
        <v>6.05</v>
      </c>
      <c r="G18" s="955">
        <v>40</v>
      </c>
      <c r="H18" s="956"/>
      <c r="I18" s="724">
        <v>0</v>
      </c>
      <c r="J18" s="723">
        <v>0</v>
      </c>
      <c r="K18" s="722">
        <v>4</v>
      </c>
      <c r="L18" s="721">
        <v>42.05</v>
      </c>
      <c r="M18" s="720">
        <v>25.67</v>
      </c>
      <c r="N18" s="735">
        <v>-16.38</v>
      </c>
      <c r="O18" s="788" t="s">
        <v>1355</v>
      </c>
      <c r="P18" s="789" t="s">
        <v>1356</v>
      </c>
      <c r="Q18" s="939">
        <v>0</v>
      </c>
      <c r="R18" s="940"/>
    </row>
    <row r="19" spans="1:18" ht="15" customHeight="1" x14ac:dyDescent="0.25">
      <c r="A19" s="788" t="s">
        <v>1020</v>
      </c>
      <c r="B19" s="794">
        <v>44479</v>
      </c>
      <c r="C19" s="953" t="s">
        <v>970</v>
      </c>
      <c r="D19" s="954"/>
      <c r="E19" s="788" t="s">
        <v>1021</v>
      </c>
      <c r="F19" s="726">
        <v>8.24</v>
      </c>
      <c r="G19" s="957">
        <v>9.99</v>
      </c>
      <c r="H19" s="958"/>
      <c r="I19" s="724">
        <v>0</v>
      </c>
      <c r="J19" s="723">
        <v>0</v>
      </c>
      <c r="K19" s="722">
        <v>4.87</v>
      </c>
      <c r="L19" s="721">
        <v>13.36</v>
      </c>
      <c r="M19" s="732">
        <v>2.25</v>
      </c>
      <c r="N19" s="735">
        <v>-11.12</v>
      </c>
      <c r="O19" s="788" t="s">
        <v>1357</v>
      </c>
      <c r="P19" s="789" t="s">
        <v>1358</v>
      </c>
      <c r="Q19" s="939">
        <v>0</v>
      </c>
      <c r="R19" s="940"/>
    </row>
    <row r="20" spans="1:18" ht="15" customHeight="1" x14ac:dyDescent="0.25">
      <c r="A20" s="788" t="s">
        <v>958</v>
      </c>
      <c r="B20" s="794">
        <v>44479</v>
      </c>
      <c r="C20" s="953" t="s">
        <v>959</v>
      </c>
      <c r="D20" s="954"/>
      <c r="E20" s="788" t="s">
        <v>960</v>
      </c>
      <c r="F20" s="721">
        <v>11</v>
      </c>
      <c r="G20" s="955">
        <v>10</v>
      </c>
      <c r="H20" s="956"/>
      <c r="I20" s="724">
        <v>0</v>
      </c>
      <c r="J20" s="723">
        <v>0</v>
      </c>
      <c r="K20" s="725">
        <v>11.32</v>
      </c>
      <c r="L20" s="726">
        <v>9.68</v>
      </c>
      <c r="M20" s="732">
        <v>3.5</v>
      </c>
      <c r="N20" s="735">
        <v>-6.18</v>
      </c>
      <c r="O20" s="788" t="s">
        <v>1359</v>
      </c>
      <c r="P20" s="789" t="s">
        <v>1360</v>
      </c>
      <c r="Q20" s="939">
        <v>0</v>
      </c>
      <c r="R20" s="940"/>
    </row>
    <row r="21" spans="1:18" ht="15" customHeight="1" x14ac:dyDescent="0.25">
      <c r="A21" s="788" t="s">
        <v>1057</v>
      </c>
      <c r="B21" s="794">
        <v>44479</v>
      </c>
      <c r="C21" s="953" t="s">
        <v>956</v>
      </c>
      <c r="D21" s="954"/>
      <c r="E21" s="788" t="s">
        <v>1058</v>
      </c>
      <c r="F21" s="726">
        <v>6.7</v>
      </c>
      <c r="G21" s="955">
        <v>20</v>
      </c>
      <c r="H21" s="956"/>
      <c r="I21" s="724">
        <v>0</v>
      </c>
      <c r="J21" s="723">
        <v>0</v>
      </c>
      <c r="K21" s="722">
        <v>0</v>
      </c>
      <c r="L21" s="721">
        <v>26.7</v>
      </c>
      <c r="M21" s="720">
        <v>14.33</v>
      </c>
      <c r="N21" s="735">
        <v>-12.37</v>
      </c>
      <c r="O21" s="788" t="s">
        <v>1361</v>
      </c>
      <c r="P21" s="789" t="s">
        <v>1362</v>
      </c>
      <c r="Q21" s="939">
        <v>0</v>
      </c>
      <c r="R21" s="940"/>
    </row>
    <row r="22" spans="1:18" ht="15" customHeight="1" x14ac:dyDescent="0.25">
      <c r="A22" s="788" t="s">
        <v>1363</v>
      </c>
      <c r="B22" s="794">
        <v>44479</v>
      </c>
      <c r="C22" s="953" t="s">
        <v>956</v>
      </c>
      <c r="D22" s="954"/>
      <c r="E22" s="788" t="s">
        <v>1288</v>
      </c>
      <c r="F22" s="721">
        <v>11</v>
      </c>
      <c r="G22" s="957">
        <v>8</v>
      </c>
      <c r="H22" s="958"/>
      <c r="I22" s="724">
        <v>0</v>
      </c>
      <c r="J22" s="723">
        <v>0</v>
      </c>
      <c r="K22" s="722">
        <v>5</v>
      </c>
      <c r="L22" s="721">
        <v>14</v>
      </c>
      <c r="M22" s="732">
        <v>5.95</v>
      </c>
      <c r="N22" s="735">
        <v>-8.0500000000000007</v>
      </c>
      <c r="O22" s="788" t="s">
        <v>1364</v>
      </c>
      <c r="P22" s="789" t="s">
        <v>1365</v>
      </c>
      <c r="Q22" s="939">
        <v>0</v>
      </c>
      <c r="R22" s="940"/>
    </row>
    <row r="23" spans="1:18" ht="15" customHeight="1" x14ac:dyDescent="0.25">
      <c r="A23" s="788" t="s">
        <v>998</v>
      </c>
      <c r="B23" s="794">
        <v>44479</v>
      </c>
      <c r="C23" s="953" t="s">
        <v>956</v>
      </c>
      <c r="D23" s="954"/>
      <c r="E23" s="788" t="s">
        <v>999</v>
      </c>
      <c r="F23" s="721">
        <v>22</v>
      </c>
      <c r="G23" s="957">
        <v>8</v>
      </c>
      <c r="H23" s="958"/>
      <c r="I23" s="724">
        <v>0</v>
      </c>
      <c r="J23" s="723">
        <v>0</v>
      </c>
      <c r="K23" s="722">
        <v>3</v>
      </c>
      <c r="L23" s="721">
        <v>27</v>
      </c>
      <c r="M23" s="720">
        <v>17.86</v>
      </c>
      <c r="N23" s="735">
        <v>-9.14</v>
      </c>
      <c r="O23" s="788" t="s">
        <v>1366</v>
      </c>
      <c r="P23" s="789" t="s">
        <v>1367</v>
      </c>
      <c r="Q23" s="939">
        <v>0</v>
      </c>
      <c r="R23" s="940"/>
    </row>
    <row r="24" spans="1:18" ht="15" customHeight="1" x14ac:dyDescent="0.25">
      <c r="A24" s="788" t="s">
        <v>1121</v>
      </c>
      <c r="B24" s="794">
        <v>44479</v>
      </c>
      <c r="C24" s="953" t="s">
        <v>966</v>
      </c>
      <c r="D24" s="954"/>
      <c r="E24" s="788" t="s">
        <v>1122</v>
      </c>
      <c r="F24" s="721">
        <v>450</v>
      </c>
      <c r="G24" s="957">
        <v>0</v>
      </c>
      <c r="H24" s="958"/>
      <c r="I24" s="724">
        <v>0</v>
      </c>
      <c r="J24" s="723">
        <v>0</v>
      </c>
      <c r="K24" s="725">
        <v>99</v>
      </c>
      <c r="L24" s="721">
        <v>351</v>
      </c>
      <c r="M24" s="732">
        <v>1</v>
      </c>
      <c r="N24" s="735">
        <v>-350</v>
      </c>
      <c r="O24" s="788" t="s">
        <v>1368</v>
      </c>
      <c r="P24" s="789" t="s">
        <v>1369</v>
      </c>
      <c r="Q24" s="939">
        <v>0</v>
      </c>
      <c r="R24" s="940"/>
    </row>
    <row r="25" spans="1:18" ht="15" customHeight="1" x14ac:dyDescent="0.25">
      <c r="A25" s="788" t="s">
        <v>1248</v>
      </c>
      <c r="B25" s="794">
        <v>44479</v>
      </c>
      <c r="C25" s="953" t="s">
        <v>970</v>
      </c>
      <c r="D25" s="954"/>
      <c r="E25" s="788" t="s">
        <v>1249</v>
      </c>
      <c r="F25" s="721">
        <v>27.5</v>
      </c>
      <c r="G25" s="955">
        <v>19.98</v>
      </c>
      <c r="H25" s="956"/>
      <c r="I25" s="724">
        <v>0</v>
      </c>
      <c r="J25" s="723">
        <v>0</v>
      </c>
      <c r="K25" s="725">
        <v>15</v>
      </c>
      <c r="L25" s="721">
        <v>32.479999999999997</v>
      </c>
      <c r="M25" s="720">
        <v>12.74</v>
      </c>
      <c r="N25" s="735">
        <v>-19.739999999999998</v>
      </c>
      <c r="O25" s="788" t="s">
        <v>1370</v>
      </c>
      <c r="P25" s="789" t="s">
        <v>1371</v>
      </c>
      <c r="Q25" s="939">
        <v>0</v>
      </c>
      <c r="R25" s="940"/>
    </row>
    <row r="26" spans="1:18" ht="15" customHeight="1" x14ac:dyDescent="0.25">
      <c r="A26" s="788" t="s">
        <v>1372</v>
      </c>
      <c r="B26" s="794">
        <v>44479</v>
      </c>
      <c r="C26" s="953" t="s">
        <v>970</v>
      </c>
      <c r="D26" s="954"/>
      <c r="E26" s="788" t="s">
        <v>1373</v>
      </c>
      <c r="F26" s="721">
        <v>16.13</v>
      </c>
      <c r="G26" s="955">
        <v>35.97</v>
      </c>
      <c r="H26" s="956"/>
      <c r="I26" s="724">
        <v>0</v>
      </c>
      <c r="J26" s="723">
        <v>0</v>
      </c>
      <c r="K26" s="725">
        <v>14</v>
      </c>
      <c r="L26" s="721">
        <v>38.1</v>
      </c>
      <c r="M26" s="720">
        <v>14.36</v>
      </c>
      <c r="N26" s="735">
        <v>-23.74</v>
      </c>
      <c r="O26" s="788" t="s">
        <v>1374</v>
      </c>
      <c r="P26" s="789" t="s">
        <v>1375</v>
      </c>
      <c r="Q26" s="939">
        <v>0</v>
      </c>
      <c r="R26" s="940"/>
    </row>
    <row r="27" spans="1:18" ht="15" customHeight="1" x14ac:dyDescent="0.25">
      <c r="A27" s="788" t="s">
        <v>986</v>
      </c>
      <c r="B27" s="794">
        <v>44479</v>
      </c>
      <c r="C27" s="953" t="s">
        <v>971</v>
      </c>
      <c r="D27" s="954"/>
      <c r="E27" s="788" t="s">
        <v>987</v>
      </c>
      <c r="F27" s="721">
        <v>22.68</v>
      </c>
      <c r="G27" s="955">
        <v>32</v>
      </c>
      <c r="H27" s="956"/>
      <c r="I27" s="724">
        <v>0</v>
      </c>
      <c r="J27" s="723">
        <v>0</v>
      </c>
      <c r="K27" s="722">
        <v>9.83</v>
      </c>
      <c r="L27" s="721">
        <v>44.85</v>
      </c>
      <c r="M27" s="720">
        <v>20.3</v>
      </c>
      <c r="N27" s="735">
        <v>-24.56</v>
      </c>
      <c r="O27" s="788" t="s">
        <v>1376</v>
      </c>
      <c r="P27" s="789" t="s">
        <v>1377</v>
      </c>
      <c r="Q27" s="939">
        <v>0</v>
      </c>
      <c r="R27" s="940"/>
    </row>
    <row r="28" spans="1:18" ht="15" customHeight="1" x14ac:dyDescent="0.25">
      <c r="A28" s="788" t="s">
        <v>1183</v>
      </c>
      <c r="B28" s="794">
        <v>44479</v>
      </c>
      <c r="C28" s="953" t="s">
        <v>1184</v>
      </c>
      <c r="D28" s="954"/>
      <c r="E28" s="788" t="s">
        <v>1185</v>
      </c>
      <c r="F28" s="726">
        <v>8</v>
      </c>
      <c r="G28" s="957">
        <v>0</v>
      </c>
      <c r="H28" s="958"/>
      <c r="I28" s="724">
        <v>0</v>
      </c>
      <c r="J28" s="723">
        <v>0</v>
      </c>
      <c r="K28" s="722">
        <v>0</v>
      </c>
      <c r="L28" s="726">
        <v>8</v>
      </c>
      <c r="M28" s="732">
        <v>0</v>
      </c>
      <c r="N28" s="735">
        <v>-8</v>
      </c>
      <c r="O28" s="788" t="s">
        <v>1378</v>
      </c>
      <c r="P28" s="789" t="s">
        <v>1349</v>
      </c>
      <c r="Q28" s="939">
        <v>0</v>
      </c>
      <c r="R28" s="940"/>
    </row>
    <row r="29" spans="1:18" ht="15" customHeight="1" x14ac:dyDescent="0.25">
      <c r="A29" s="788" t="s">
        <v>1379</v>
      </c>
      <c r="B29" s="794">
        <v>44479</v>
      </c>
      <c r="C29" s="953" t="s">
        <v>956</v>
      </c>
      <c r="D29" s="954"/>
      <c r="E29" s="788" t="s">
        <v>1380</v>
      </c>
      <c r="F29" s="726">
        <v>6.81</v>
      </c>
      <c r="G29" s="955">
        <v>45.36</v>
      </c>
      <c r="H29" s="956"/>
      <c r="I29" s="724">
        <v>0</v>
      </c>
      <c r="J29" s="723">
        <v>0</v>
      </c>
      <c r="K29" s="725">
        <v>12.17</v>
      </c>
      <c r="L29" s="721">
        <v>40</v>
      </c>
      <c r="M29" s="720">
        <v>13.12</v>
      </c>
      <c r="N29" s="735">
        <v>-26.88</v>
      </c>
      <c r="O29" s="788" t="s">
        <v>1381</v>
      </c>
      <c r="P29" s="789" t="s">
        <v>1382</v>
      </c>
      <c r="Q29" s="939">
        <v>0</v>
      </c>
      <c r="R29" s="940"/>
    </row>
    <row r="30" spans="1:18" ht="14.1" customHeight="1" x14ac:dyDescent="0.25">
      <c r="A30" s="788" t="s">
        <v>1100</v>
      </c>
      <c r="B30" s="794">
        <v>44479</v>
      </c>
      <c r="C30" s="953" t="s">
        <v>956</v>
      </c>
      <c r="D30" s="954"/>
      <c r="E30" s="788" t="s">
        <v>1101</v>
      </c>
      <c r="F30" s="721">
        <v>25</v>
      </c>
      <c r="G30" s="957">
        <v>9.07</v>
      </c>
      <c r="H30" s="958"/>
      <c r="I30" s="724">
        <v>0</v>
      </c>
      <c r="J30" s="723">
        <v>0</v>
      </c>
      <c r="K30" s="722">
        <v>6.2</v>
      </c>
      <c r="L30" s="721">
        <v>27.87</v>
      </c>
      <c r="M30" s="732">
        <v>2.76</v>
      </c>
      <c r="N30" s="735">
        <v>-25.11</v>
      </c>
      <c r="O30" s="788" t="s">
        <v>1383</v>
      </c>
      <c r="P30" s="789" t="s">
        <v>1384</v>
      </c>
      <c r="Q30" s="939">
        <v>0</v>
      </c>
      <c r="R30" s="940"/>
    </row>
    <row r="31" spans="1:18" ht="30" customHeight="1" x14ac:dyDescent="0.25">
      <c r="A31" s="785" t="s">
        <v>939</v>
      </c>
      <c r="B31" s="786" t="s">
        <v>940</v>
      </c>
      <c r="C31" s="973" t="s">
        <v>941</v>
      </c>
      <c r="D31" s="974"/>
      <c r="E31" s="786" t="s">
        <v>942</v>
      </c>
      <c r="F31" s="786" t="s">
        <v>943</v>
      </c>
      <c r="G31" s="975" t="s">
        <v>944</v>
      </c>
      <c r="H31" s="976"/>
      <c r="I31" s="786" t="s">
        <v>945</v>
      </c>
      <c r="J31" s="787" t="s">
        <v>946</v>
      </c>
      <c r="K31" s="786" t="s">
        <v>947</v>
      </c>
      <c r="L31" s="786" t="s">
        <v>948</v>
      </c>
      <c r="M31" s="786" t="s">
        <v>949</v>
      </c>
      <c r="N31" s="786" t="s">
        <v>950</v>
      </c>
      <c r="O31" s="739" t="s">
        <v>951</v>
      </c>
      <c r="P31" s="786" t="s">
        <v>952</v>
      </c>
      <c r="Q31" s="975" t="s">
        <v>953</v>
      </c>
      <c r="R31" s="976"/>
    </row>
    <row r="32" spans="1:18" ht="15" customHeight="1" x14ac:dyDescent="0.25">
      <c r="A32" s="788" t="s">
        <v>983</v>
      </c>
      <c r="B32" s="794">
        <v>44479</v>
      </c>
      <c r="C32" s="953" t="s">
        <v>984</v>
      </c>
      <c r="D32" s="954"/>
      <c r="E32" s="788" t="s">
        <v>985</v>
      </c>
      <c r="F32" s="721">
        <v>70</v>
      </c>
      <c r="G32" s="955">
        <v>180</v>
      </c>
      <c r="H32" s="956"/>
      <c r="I32" s="724">
        <v>0</v>
      </c>
      <c r="J32" s="723">
        <v>0</v>
      </c>
      <c r="K32" s="725">
        <v>50</v>
      </c>
      <c r="L32" s="721">
        <v>200</v>
      </c>
      <c r="M32" s="720">
        <v>91.5</v>
      </c>
      <c r="N32" s="735">
        <v>-108.5</v>
      </c>
      <c r="O32" s="788" t="s">
        <v>1385</v>
      </c>
      <c r="P32" s="789" t="s">
        <v>1386</v>
      </c>
      <c r="Q32" s="939">
        <v>0</v>
      </c>
      <c r="R32" s="940"/>
    </row>
    <row r="33" spans="1:18" ht="15" customHeight="1" x14ac:dyDescent="0.25">
      <c r="A33" s="788" t="s">
        <v>1387</v>
      </c>
      <c r="B33" s="794">
        <v>44479</v>
      </c>
      <c r="C33" s="953" t="s">
        <v>1059</v>
      </c>
      <c r="D33" s="954"/>
      <c r="E33" s="788" t="s">
        <v>1060</v>
      </c>
      <c r="F33" s="726">
        <v>5.5</v>
      </c>
      <c r="G33" s="957">
        <v>6.01</v>
      </c>
      <c r="H33" s="958"/>
      <c r="I33" s="724">
        <v>0</v>
      </c>
      <c r="J33" s="723">
        <v>0</v>
      </c>
      <c r="K33" s="722">
        <v>1.5</v>
      </c>
      <c r="L33" s="721">
        <v>10.01</v>
      </c>
      <c r="M33" s="732">
        <v>2.75</v>
      </c>
      <c r="N33" s="735">
        <v>-7.27</v>
      </c>
      <c r="O33" s="788" t="s">
        <v>1388</v>
      </c>
      <c r="P33" s="789" t="s">
        <v>1389</v>
      </c>
      <c r="Q33" s="939">
        <v>0</v>
      </c>
      <c r="R33" s="940"/>
    </row>
    <row r="34" spans="1:18" ht="15" customHeight="1" x14ac:dyDescent="0.25">
      <c r="A34" s="788" t="s">
        <v>1051</v>
      </c>
      <c r="B34" s="794">
        <v>44479</v>
      </c>
      <c r="C34" s="953" t="s">
        <v>956</v>
      </c>
      <c r="D34" s="954"/>
      <c r="E34" s="788" t="s">
        <v>1052</v>
      </c>
      <c r="F34" s="726">
        <v>8.5</v>
      </c>
      <c r="G34" s="955">
        <v>10</v>
      </c>
      <c r="H34" s="956"/>
      <c r="I34" s="724">
        <v>0</v>
      </c>
      <c r="J34" s="723">
        <v>0</v>
      </c>
      <c r="K34" s="722">
        <v>7</v>
      </c>
      <c r="L34" s="721">
        <v>11.5</v>
      </c>
      <c r="M34" s="732">
        <v>4.0599999999999996</v>
      </c>
      <c r="N34" s="735">
        <v>-7.44</v>
      </c>
      <c r="O34" s="788" t="s">
        <v>1390</v>
      </c>
      <c r="P34" s="789" t="s">
        <v>1391</v>
      </c>
      <c r="Q34" s="939">
        <v>0</v>
      </c>
      <c r="R34" s="940"/>
    </row>
    <row r="35" spans="1:18" ht="15" customHeight="1" x14ac:dyDescent="0.25">
      <c r="A35" s="788" t="s">
        <v>1284</v>
      </c>
      <c r="B35" s="794">
        <v>44479</v>
      </c>
      <c r="C35" s="953" t="s">
        <v>956</v>
      </c>
      <c r="D35" s="954"/>
      <c r="E35" s="788" t="s">
        <v>1285</v>
      </c>
      <c r="F35" s="726">
        <v>4.75</v>
      </c>
      <c r="G35" s="957">
        <v>5</v>
      </c>
      <c r="H35" s="958"/>
      <c r="I35" s="724">
        <v>0</v>
      </c>
      <c r="J35" s="723">
        <v>0</v>
      </c>
      <c r="K35" s="722">
        <v>4.5999999999999996</v>
      </c>
      <c r="L35" s="726">
        <v>5.15</v>
      </c>
      <c r="M35" s="732">
        <v>0.98</v>
      </c>
      <c r="N35" s="735">
        <v>-4.17</v>
      </c>
      <c r="O35" s="788" t="s">
        <v>1392</v>
      </c>
      <c r="P35" s="789" t="s">
        <v>1393</v>
      </c>
      <c r="Q35" s="939">
        <v>0</v>
      </c>
      <c r="R35" s="940"/>
    </row>
    <row r="36" spans="1:18" ht="15" customHeight="1" x14ac:dyDescent="0.25">
      <c r="A36" s="788" t="s">
        <v>991</v>
      </c>
      <c r="B36" s="794">
        <v>44479</v>
      </c>
      <c r="C36" s="953" t="s">
        <v>984</v>
      </c>
      <c r="D36" s="954"/>
      <c r="E36" s="788" t="s">
        <v>992</v>
      </c>
      <c r="F36" s="721">
        <v>54</v>
      </c>
      <c r="G36" s="955">
        <v>96</v>
      </c>
      <c r="H36" s="956"/>
      <c r="I36" s="724">
        <v>0</v>
      </c>
      <c r="J36" s="723">
        <v>0</v>
      </c>
      <c r="K36" s="722">
        <v>0</v>
      </c>
      <c r="L36" s="721">
        <v>150</v>
      </c>
      <c r="M36" s="720">
        <v>13</v>
      </c>
      <c r="N36" s="735">
        <v>-137</v>
      </c>
      <c r="O36" s="788" t="s">
        <v>1394</v>
      </c>
      <c r="P36" s="789" t="s">
        <v>1395</v>
      </c>
      <c r="Q36" s="939">
        <v>0</v>
      </c>
      <c r="R36" s="940"/>
    </row>
    <row r="37" spans="1:18" ht="15" customHeight="1" x14ac:dyDescent="0.25">
      <c r="A37" s="788" t="s">
        <v>1206</v>
      </c>
      <c r="B37" s="794">
        <v>44479</v>
      </c>
      <c r="C37" s="953" t="s">
        <v>970</v>
      </c>
      <c r="D37" s="954"/>
      <c r="E37" s="788" t="s">
        <v>1207</v>
      </c>
      <c r="F37" s="721">
        <v>15</v>
      </c>
      <c r="G37" s="955">
        <v>19.98</v>
      </c>
      <c r="H37" s="956"/>
      <c r="I37" s="724">
        <v>0</v>
      </c>
      <c r="J37" s="723">
        <v>0</v>
      </c>
      <c r="K37" s="725">
        <v>22</v>
      </c>
      <c r="L37" s="721">
        <v>12.98</v>
      </c>
      <c r="M37" s="732">
        <v>5.21</v>
      </c>
      <c r="N37" s="735">
        <v>-7.77</v>
      </c>
      <c r="O37" s="788" t="s">
        <v>1396</v>
      </c>
      <c r="P37" s="789" t="s">
        <v>1397</v>
      </c>
      <c r="Q37" s="939">
        <v>0</v>
      </c>
      <c r="R37" s="940"/>
    </row>
    <row r="38" spans="1:18" ht="15" customHeight="1" x14ac:dyDescent="0.25">
      <c r="A38" s="788" t="s">
        <v>1398</v>
      </c>
      <c r="B38" s="794">
        <v>44479</v>
      </c>
      <c r="C38" s="953" t="s">
        <v>970</v>
      </c>
      <c r="D38" s="954"/>
      <c r="E38" s="788" t="s">
        <v>1399</v>
      </c>
      <c r="F38" s="721">
        <v>32</v>
      </c>
      <c r="G38" s="955">
        <v>21.98</v>
      </c>
      <c r="H38" s="956"/>
      <c r="I38" s="724">
        <v>0</v>
      </c>
      <c r="J38" s="723">
        <v>0</v>
      </c>
      <c r="K38" s="725">
        <v>21.5</v>
      </c>
      <c r="L38" s="721">
        <v>32.479999999999997</v>
      </c>
      <c r="M38" s="732">
        <v>3.96</v>
      </c>
      <c r="N38" s="735">
        <v>-28.52</v>
      </c>
      <c r="O38" s="788" t="s">
        <v>1400</v>
      </c>
      <c r="P38" s="789" t="s">
        <v>1401</v>
      </c>
      <c r="Q38" s="939">
        <v>0</v>
      </c>
      <c r="R38" s="940"/>
    </row>
    <row r="39" spans="1:18" ht="15" customHeight="1" x14ac:dyDescent="0.25">
      <c r="A39" s="788" t="s">
        <v>1090</v>
      </c>
      <c r="B39" s="794">
        <v>44479</v>
      </c>
      <c r="C39" s="953" t="s">
        <v>1091</v>
      </c>
      <c r="D39" s="954"/>
      <c r="E39" s="788" t="s">
        <v>1402</v>
      </c>
      <c r="F39" s="726">
        <v>5.5</v>
      </c>
      <c r="G39" s="957">
        <v>8</v>
      </c>
      <c r="H39" s="958"/>
      <c r="I39" s="724">
        <v>0</v>
      </c>
      <c r="J39" s="723">
        <v>0</v>
      </c>
      <c r="K39" s="722">
        <v>7.6</v>
      </c>
      <c r="L39" s="726">
        <v>5.9</v>
      </c>
      <c r="M39" s="732">
        <v>3.61</v>
      </c>
      <c r="N39" s="735">
        <v>-2.29</v>
      </c>
      <c r="O39" s="788" t="s">
        <v>1403</v>
      </c>
      <c r="P39" s="789" t="s">
        <v>1404</v>
      </c>
      <c r="Q39" s="939">
        <v>0</v>
      </c>
      <c r="R39" s="940"/>
    </row>
    <row r="40" spans="1:18" ht="15" customHeight="1" x14ac:dyDescent="0.25">
      <c r="A40" s="788" t="s">
        <v>1244</v>
      </c>
      <c r="B40" s="794">
        <v>44479</v>
      </c>
      <c r="C40" s="953" t="s">
        <v>956</v>
      </c>
      <c r="D40" s="954"/>
      <c r="E40" s="788" t="s">
        <v>1245</v>
      </c>
      <c r="F40" s="726">
        <v>1.5</v>
      </c>
      <c r="G40" s="955">
        <v>30</v>
      </c>
      <c r="H40" s="956"/>
      <c r="I40" s="724">
        <v>0</v>
      </c>
      <c r="J40" s="723">
        <v>0</v>
      </c>
      <c r="K40" s="722">
        <v>2.1</v>
      </c>
      <c r="L40" s="721">
        <v>29.4</v>
      </c>
      <c r="M40" s="720">
        <v>10.72</v>
      </c>
      <c r="N40" s="735">
        <v>-18.68</v>
      </c>
      <c r="O40" s="788" t="s">
        <v>1405</v>
      </c>
      <c r="P40" s="789" t="s">
        <v>1406</v>
      </c>
      <c r="Q40" s="939">
        <v>0</v>
      </c>
      <c r="R40" s="940"/>
    </row>
    <row r="41" spans="1:18" ht="15" customHeight="1" x14ac:dyDescent="0.25">
      <c r="A41" s="788" t="s">
        <v>1407</v>
      </c>
      <c r="B41" s="794">
        <v>44479</v>
      </c>
      <c r="C41" s="953" t="s">
        <v>1049</v>
      </c>
      <c r="D41" s="954"/>
      <c r="E41" s="788" t="s">
        <v>1050</v>
      </c>
      <c r="F41" s="726">
        <v>5.75</v>
      </c>
      <c r="G41" s="955">
        <v>12</v>
      </c>
      <c r="H41" s="956"/>
      <c r="I41" s="724">
        <v>0</v>
      </c>
      <c r="J41" s="723">
        <v>0</v>
      </c>
      <c r="K41" s="722">
        <v>9.6</v>
      </c>
      <c r="L41" s="726">
        <v>8.15</v>
      </c>
      <c r="M41" s="732">
        <v>2.09</v>
      </c>
      <c r="N41" s="735">
        <v>-6.06</v>
      </c>
      <c r="O41" s="788" t="s">
        <v>1408</v>
      </c>
      <c r="P41" s="789" t="s">
        <v>1409</v>
      </c>
      <c r="Q41" s="939">
        <v>0</v>
      </c>
      <c r="R41" s="940"/>
    </row>
    <row r="42" spans="1:18" ht="15" customHeight="1" x14ac:dyDescent="0.25">
      <c r="A42" s="788" t="s">
        <v>1410</v>
      </c>
      <c r="B42" s="794">
        <v>44479</v>
      </c>
      <c r="C42" s="953" t="s">
        <v>996</v>
      </c>
      <c r="D42" s="954"/>
      <c r="E42" s="788" t="s">
        <v>997</v>
      </c>
      <c r="F42" s="726">
        <v>1.9</v>
      </c>
      <c r="G42" s="957">
        <v>0</v>
      </c>
      <c r="H42" s="958"/>
      <c r="I42" s="724">
        <v>0</v>
      </c>
      <c r="J42" s="723">
        <v>0</v>
      </c>
      <c r="K42" s="722">
        <v>0.2</v>
      </c>
      <c r="L42" s="726">
        <v>1.7</v>
      </c>
      <c r="M42" s="732">
        <v>0.18</v>
      </c>
      <c r="N42" s="735">
        <v>-1.52</v>
      </c>
      <c r="O42" s="788" t="s">
        <v>1411</v>
      </c>
      <c r="P42" s="789" t="s">
        <v>1412</v>
      </c>
      <c r="Q42" s="939">
        <v>0</v>
      </c>
      <c r="R42" s="940"/>
    </row>
    <row r="43" spans="1:18" ht="15" customHeight="1" x14ac:dyDescent="0.25">
      <c r="A43" s="788" t="s">
        <v>1413</v>
      </c>
      <c r="B43" s="794">
        <v>44479</v>
      </c>
      <c r="C43" s="953" t="s">
        <v>988</v>
      </c>
      <c r="D43" s="954"/>
      <c r="E43" s="788" t="s">
        <v>989</v>
      </c>
      <c r="F43" s="726">
        <v>5.8</v>
      </c>
      <c r="G43" s="955">
        <v>16</v>
      </c>
      <c r="H43" s="956"/>
      <c r="I43" s="724">
        <v>0</v>
      </c>
      <c r="J43" s="723">
        <v>0</v>
      </c>
      <c r="K43" s="722">
        <v>5.0999999999999996</v>
      </c>
      <c r="L43" s="721">
        <v>16.7</v>
      </c>
      <c r="M43" s="732">
        <v>5.05</v>
      </c>
      <c r="N43" s="735">
        <v>-11.65</v>
      </c>
      <c r="O43" s="788" t="s">
        <v>1414</v>
      </c>
      <c r="P43" s="789" t="s">
        <v>1415</v>
      </c>
      <c r="Q43" s="939">
        <v>0</v>
      </c>
      <c r="R43" s="940"/>
    </row>
    <row r="44" spans="1:18" ht="15" customHeight="1" x14ac:dyDescent="0.25">
      <c r="A44" s="788" t="s">
        <v>1416</v>
      </c>
      <c r="B44" s="794">
        <v>44479</v>
      </c>
      <c r="C44" s="953" t="s">
        <v>956</v>
      </c>
      <c r="D44" s="954"/>
      <c r="E44" s="788" t="s">
        <v>990</v>
      </c>
      <c r="F44" s="726">
        <v>9.5</v>
      </c>
      <c r="G44" s="955">
        <v>63.56</v>
      </c>
      <c r="H44" s="956"/>
      <c r="I44" s="724">
        <v>0</v>
      </c>
      <c r="J44" s="723">
        <v>0</v>
      </c>
      <c r="K44" s="725">
        <v>31.81</v>
      </c>
      <c r="L44" s="721">
        <v>41.25</v>
      </c>
      <c r="M44" s="720">
        <v>20.399999999999999</v>
      </c>
      <c r="N44" s="735">
        <v>-20.85</v>
      </c>
      <c r="O44" s="788" t="s">
        <v>1417</v>
      </c>
      <c r="P44" s="789" t="s">
        <v>1418</v>
      </c>
      <c r="Q44" s="939">
        <v>0</v>
      </c>
      <c r="R44" s="940"/>
    </row>
    <row r="45" spans="1:18" ht="15" customHeight="1" x14ac:dyDescent="0.25">
      <c r="A45" s="933" t="s">
        <v>1195</v>
      </c>
      <c r="B45" s="941">
        <v>44479</v>
      </c>
      <c r="C45" s="943" t="s">
        <v>1196</v>
      </c>
      <c r="D45" s="944"/>
      <c r="E45" s="933" t="s">
        <v>1197</v>
      </c>
      <c r="F45" s="963">
        <v>6.5</v>
      </c>
      <c r="G45" s="949">
        <v>0</v>
      </c>
      <c r="H45" s="950"/>
      <c r="I45" s="959">
        <v>0</v>
      </c>
      <c r="J45" s="723">
        <v>0</v>
      </c>
      <c r="K45" s="969">
        <v>4</v>
      </c>
      <c r="L45" s="963">
        <v>2.5</v>
      </c>
      <c r="M45" s="971">
        <v>0</v>
      </c>
      <c r="N45" s="738">
        <v>-2.5</v>
      </c>
      <c r="O45" s="933" t="s">
        <v>1419</v>
      </c>
      <c r="P45" s="790" t="s">
        <v>1349</v>
      </c>
      <c r="Q45" s="935">
        <v>0</v>
      </c>
      <c r="R45" s="936"/>
    </row>
    <row r="46" spans="1:18" ht="5.0999999999999996" customHeight="1" x14ac:dyDescent="0.25">
      <c r="A46" s="934"/>
      <c r="B46" s="942"/>
      <c r="C46" s="945"/>
      <c r="D46" s="946"/>
      <c r="E46" s="934"/>
      <c r="F46" s="964"/>
      <c r="G46" s="951"/>
      <c r="H46" s="952"/>
      <c r="I46" s="960"/>
      <c r="J46" s="729"/>
      <c r="K46" s="970"/>
      <c r="L46" s="964"/>
      <c r="M46" s="972"/>
      <c r="N46" s="728"/>
      <c r="O46" s="934"/>
      <c r="P46" s="728"/>
      <c r="Q46" s="937"/>
      <c r="R46" s="938"/>
    </row>
    <row r="47" spans="1:18" ht="15" customHeight="1" x14ac:dyDescent="0.25">
      <c r="A47" s="788" t="s">
        <v>1298</v>
      </c>
      <c r="B47" s="794">
        <v>44479</v>
      </c>
      <c r="C47" s="953" t="s">
        <v>956</v>
      </c>
      <c r="D47" s="954"/>
      <c r="E47" s="788" t="s">
        <v>1299</v>
      </c>
      <c r="F47" s="721">
        <v>21</v>
      </c>
      <c r="G47" s="955">
        <v>22.7</v>
      </c>
      <c r="H47" s="956"/>
      <c r="I47" s="724">
        <v>0</v>
      </c>
      <c r="J47" s="723">
        <v>0</v>
      </c>
      <c r="K47" s="725">
        <v>30</v>
      </c>
      <c r="L47" s="721">
        <v>13.7</v>
      </c>
      <c r="M47" s="720">
        <v>11.67</v>
      </c>
      <c r="N47" s="735">
        <v>-2.0299999999999998</v>
      </c>
      <c r="O47" s="788" t="s">
        <v>1420</v>
      </c>
      <c r="P47" s="789" t="s">
        <v>1421</v>
      </c>
      <c r="Q47" s="939">
        <v>0</v>
      </c>
      <c r="R47" s="940"/>
    </row>
    <row r="48" spans="1:18" ht="15" customHeight="1" x14ac:dyDescent="0.25">
      <c r="A48" s="788" t="s">
        <v>1290</v>
      </c>
      <c r="B48" s="794">
        <v>44479</v>
      </c>
      <c r="C48" s="953" t="s">
        <v>956</v>
      </c>
      <c r="D48" s="954"/>
      <c r="E48" s="788" t="s">
        <v>1422</v>
      </c>
      <c r="F48" s="721">
        <v>15</v>
      </c>
      <c r="G48" s="955">
        <v>15</v>
      </c>
      <c r="H48" s="956"/>
      <c r="I48" s="724">
        <v>0</v>
      </c>
      <c r="J48" s="723">
        <v>0</v>
      </c>
      <c r="K48" s="722">
        <v>6.36</v>
      </c>
      <c r="L48" s="721">
        <v>23.64</v>
      </c>
      <c r="M48" s="732">
        <v>7.99</v>
      </c>
      <c r="N48" s="735">
        <v>-15.65</v>
      </c>
      <c r="O48" s="788" t="s">
        <v>1423</v>
      </c>
      <c r="P48" s="789" t="s">
        <v>1424</v>
      </c>
      <c r="Q48" s="939">
        <v>0</v>
      </c>
      <c r="R48" s="940"/>
    </row>
    <row r="49" spans="1:18" ht="15" customHeight="1" x14ac:dyDescent="0.25">
      <c r="A49" s="788" t="s">
        <v>1425</v>
      </c>
      <c r="B49" s="794">
        <v>44479</v>
      </c>
      <c r="C49" s="953" t="s">
        <v>970</v>
      </c>
      <c r="D49" s="954"/>
      <c r="E49" s="788" t="s">
        <v>1426</v>
      </c>
      <c r="F49" s="721">
        <v>15</v>
      </c>
      <c r="G49" s="955">
        <v>39.96</v>
      </c>
      <c r="H49" s="956"/>
      <c r="I49" s="724">
        <v>0</v>
      </c>
      <c r="J49" s="723">
        <v>0</v>
      </c>
      <c r="K49" s="725">
        <v>16.5</v>
      </c>
      <c r="L49" s="721">
        <v>38.46</v>
      </c>
      <c r="M49" s="720">
        <v>21.38</v>
      </c>
      <c r="N49" s="735">
        <v>-17.09</v>
      </c>
      <c r="O49" s="788" t="s">
        <v>1427</v>
      </c>
      <c r="P49" s="789" t="s">
        <v>1428</v>
      </c>
      <c r="Q49" s="939">
        <v>0</v>
      </c>
      <c r="R49" s="940"/>
    </row>
    <row r="50" spans="1:18" ht="15" customHeight="1" x14ac:dyDescent="0.25">
      <c r="A50" s="788" t="s">
        <v>963</v>
      </c>
      <c r="B50" s="794">
        <v>44479</v>
      </c>
      <c r="C50" s="953" t="s">
        <v>956</v>
      </c>
      <c r="D50" s="954"/>
      <c r="E50" s="788" t="s">
        <v>1429</v>
      </c>
      <c r="F50" s="726">
        <v>7.25</v>
      </c>
      <c r="G50" s="955">
        <v>12</v>
      </c>
      <c r="H50" s="956"/>
      <c r="I50" s="724">
        <v>0</v>
      </c>
      <c r="J50" s="723">
        <v>0</v>
      </c>
      <c r="K50" s="722">
        <v>8.6</v>
      </c>
      <c r="L50" s="721">
        <v>10.65</v>
      </c>
      <c r="M50" s="732">
        <v>7.58</v>
      </c>
      <c r="N50" s="735">
        <v>-3.07</v>
      </c>
      <c r="O50" s="788" t="s">
        <v>1430</v>
      </c>
      <c r="P50" s="789" t="s">
        <v>1431</v>
      </c>
      <c r="Q50" s="939">
        <v>0</v>
      </c>
      <c r="R50" s="940"/>
    </row>
    <row r="51" spans="1:18" ht="15" customHeight="1" x14ac:dyDescent="0.25">
      <c r="A51" s="788" t="s">
        <v>1432</v>
      </c>
      <c r="B51" s="794">
        <v>44479</v>
      </c>
      <c r="C51" s="953" t="s">
        <v>971</v>
      </c>
      <c r="D51" s="954"/>
      <c r="E51" s="788" t="s">
        <v>1118</v>
      </c>
      <c r="F51" s="721">
        <v>12.1</v>
      </c>
      <c r="G51" s="957">
        <v>7.56</v>
      </c>
      <c r="H51" s="958"/>
      <c r="I51" s="724">
        <v>0</v>
      </c>
      <c r="J51" s="723">
        <v>0</v>
      </c>
      <c r="K51" s="722">
        <v>9.07</v>
      </c>
      <c r="L51" s="721">
        <v>10.58</v>
      </c>
      <c r="M51" s="732">
        <v>3.13</v>
      </c>
      <c r="N51" s="735">
        <v>-7.45</v>
      </c>
      <c r="O51" s="788" t="s">
        <v>1433</v>
      </c>
      <c r="P51" s="789" t="s">
        <v>1434</v>
      </c>
      <c r="Q51" s="939">
        <v>0</v>
      </c>
      <c r="R51" s="940"/>
    </row>
    <row r="52" spans="1:18" ht="15" customHeight="1" x14ac:dyDescent="0.25">
      <c r="A52" s="788" t="s">
        <v>1047</v>
      </c>
      <c r="B52" s="794">
        <v>44479</v>
      </c>
      <c r="C52" s="953" t="s">
        <v>956</v>
      </c>
      <c r="D52" s="954"/>
      <c r="E52" s="788" t="s">
        <v>1048</v>
      </c>
      <c r="F52" s="726">
        <v>5.0999999999999996</v>
      </c>
      <c r="G52" s="957">
        <v>5</v>
      </c>
      <c r="H52" s="958"/>
      <c r="I52" s="724">
        <v>0</v>
      </c>
      <c r="J52" s="723">
        <v>0</v>
      </c>
      <c r="K52" s="722">
        <v>4.0999999999999996</v>
      </c>
      <c r="L52" s="726">
        <v>6</v>
      </c>
      <c r="M52" s="732">
        <v>0.83</v>
      </c>
      <c r="N52" s="735">
        <v>-5.17</v>
      </c>
      <c r="O52" s="788" t="s">
        <v>1435</v>
      </c>
      <c r="P52" s="789" t="s">
        <v>1436</v>
      </c>
      <c r="Q52" s="939">
        <v>0</v>
      </c>
      <c r="R52" s="940"/>
    </row>
    <row r="53" spans="1:18" ht="15" customHeight="1" x14ac:dyDescent="0.25">
      <c r="A53" s="788" t="s">
        <v>1012</v>
      </c>
      <c r="B53" s="794">
        <v>44479</v>
      </c>
      <c r="C53" s="953" t="s">
        <v>971</v>
      </c>
      <c r="D53" s="954"/>
      <c r="E53" s="788" t="s">
        <v>1013</v>
      </c>
      <c r="F53" s="726">
        <v>2</v>
      </c>
      <c r="G53" s="955">
        <v>24</v>
      </c>
      <c r="H53" s="956"/>
      <c r="I53" s="724">
        <v>0</v>
      </c>
      <c r="J53" s="723">
        <v>0</v>
      </c>
      <c r="K53" s="722">
        <v>9.1999999999999993</v>
      </c>
      <c r="L53" s="721">
        <v>16.8</v>
      </c>
      <c r="M53" s="732">
        <v>4.49</v>
      </c>
      <c r="N53" s="735">
        <v>-12.31</v>
      </c>
      <c r="O53" s="788" t="s">
        <v>1437</v>
      </c>
      <c r="P53" s="789" t="s">
        <v>1438</v>
      </c>
      <c r="Q53" s="939">
        <v>0</v>
      </c>
      <c r="R53" s="940"/>
    </row>
    <row r="54" spans="1:18" ht="15" customHeight="1" x14ac:dyDescent="0.25">
      <c r="A54" s="788" t="s">
        <v>1095</v>
      </c>
      <c r="B54" s="794">
        <v>44479</v>
      </c>
      <c r="C54" s="953" t="s">
        <v>966</v>
      </c>
      <c r="D54" s="954"/>
      <c r="E54" s="788" t="s">
        <v>1439</v>
      </c>
      <c r="F54" s="726">
        <v>5.0999999999999996</v>
      </c>
      <c r="G54" s="955">
        <v>36</v>
      </c>
      <c r="H54" s="956"/>
      <c r="I54" s="724">
        <v>0</v>
      </c>
      <c r="J54" s="723">
        <v>0</v>
      </c>
      <c r="K54" s="722">
        <v>0</v>
      </c>
      <c r="L54" s="721">
        <v>41.1</v>
      </c>
      <c r="M54" s="732">
        <v>9.7799999999999994</v>
      </c>
      <c r="N54" s="735">
        <v>-31.32</v>
      </c>
      <c r="O54" s="788" t="s">
        <v>1440</v>
      </c>
      <c r="P54" s="789" t="s">
        <v>1441</v>
      </c>
      <c r="Q54" s="939">
        <v>0</v>
      </c>
      <c r="R54" s="940"/>
    </row>
    <row r="55" spans="1:18" ht="15" customHeight="1" x14ac:dyDescent="0.25">
      <c r="A55" s="788" t="s">
        <v>1442</v>
      </c>
      <c r="B55" s="794">
        <v>44479</v>
      </c>
      <c r="C55" s="953" t="s">
        <v>956</v>
      </c>
      <c r="D55" s="954"/>
      <c r="E55" s="788" t="s">
        <v>1003</v>
      </c>
      <c r="F55" s="726">
        <v>2.88</v>
      </c>
      <c r="G55" s="957">
        <v>6.4</v>
      </c>
      <c r="H55" s="958"/>
      <c r="I55" s="724">
        <v>0</v>
      </c>
      <c r="J55" s="723">
        <v>0</v>
      </c>
      <c r="K55" s="722">
        <v>5.12</v>
      </c>
      <c r="L55" s="726">
        <v>4.16</v>
      </c>
      <c r="M55" s="732">
        <v>0.98</v>
      </c>
      <c r="N55" s="735">
        <v>-3.18</v>
      </c>
      <c r="O55" s="788" t="s">
        <v>1443</v>
      </c>
      <c r="P55" s="789" t="s">
        <v>1444</v>
      </c>
      <c r="Q55" s="939">
        <v>0</v>
      </c>
      <c r="R55" s="940"/>
    </row>
    <row r="56" spans="1:18" ht="15" customHeight="1" x14ac:dyDescent="0.25">
      <c r="A56" s="788" t="s">
        <v>1445</v>
      </c>
      <c r="B56" s="794">
        <v>44479</v>
      </c>
      <c r="C56" s="953" t="s">
        <v>1023</v>
      </c>
      <c r="D56" s="954"/>
      <c r="E56" s="788" t="s">
        <v>1061</v>
      </c>
      <c r="F56" s="726">
        <v>1.8</v>
      </c>
      <c r="G56" s="957">
        <v>4</v>
      </c>
      <c r="H56" s="958"/>
      <c r="I56" s="724">
        <v>0</v>
      </c>
      <c r="J56" s="723">
        <v>0</v>
      </c>
      <c r="K56" s="722">
        <v>2.2999999999999998</v>
      </c>
      <c r="L56" s="726">
        <v>3.5</v>
      </c>
      <c r="M56" s="732">
        <v>0.74</v>
      </c>
      <c r="N56" s="735">
        <v>-2.76</v>
      </c>
      <c r="O56" s="788" t="s">
        <v>1446</v>
      </c>
      <c r="P56" s="789" t="s">
        <v>1447</v>
      </c>
      <c r="Q56" s="939">
        <v>0</v>
      </c>
      <c r="R56" s="940"/>
    </row>
    <row r="57" spans="1:18" ht="15" customHeight="1" x14ac:dyDescent="0.25">
      <c r="A57" s="788" t="s">
        <v>1448</v>
      </c>
      <c r="B57" s="794">
        <v>44479</v>
      </c>
      <c r="C57" s="953" t="s">
        <v>956</v>
      </c>
      <c r="D57" s="954"/>
      <c r="E57" s="788" t="s">
        <v>990</v>
      </c>
      <c r="F57" s="721">
        <v>18.2</v>
      </c>
      <c r="G57" s="955">
        <v>36.32</v>
      </c>
      <c r="H57" s="956"/>
      <c r="I57" s="724">
        <v>0</v>
      </c>
      <c r="J57" s="723">
        <v>0</v>
      </c>
      <c r="K57" s="725">
        <v>22.72</v>
      </c>
      <c r="L57" s="721">
        <v>31.8</v>
      </c>
      <c r="M57" s="720">
        <v>15.83</v>
      </c>
      <c r="N57" s="735">
        <v>-15.97</v>
      </c>
      <c r="O57" s="788" t="s">
        <v>1449</v>
      </c>
      <c r="P57" s="789" t="s">
        <v>1450</v>
      </c>
      <c r="Q57" s="939">
        <v>0</v>
      </c>
      <c r="R57" s="940"/>
    </row>
    <row r="58" spans="1:18" ht="14.1" customHeight="1" x14ac:dyDescent="0.25">
      <c r="A58" s="933" t="s">
        <v>968</v>
      </c>
      <c r="B58" s="941">
        <v>44479</v>
      </c>
      <c r="C58" s="943" t="s">
        <v>969</v>
      </c>
      <c r="D58" s="944"/>
      <c r="E58" s="933" t="s">
        <v>1451</v>
      </c>
      <c r="F58" s="963">
        <v>0.7</v>
      </c>
      <c r="G58" s="949">
        <v>1</v>
      </c>
      <c r="H58" s="950"/>
      <c r="I58" s="959">
        <v>0</v>
      </c>
      <c r="J58" s="723">
        <v>0</v>
      </c>
      <c r="K58" s="969">
        <v>0.7</v>
      </c>
      <c r="L58" s="963">
        <v>1</v>
      </c>
      <c r="M58" s="971">
        <v>0</v>
      </c>
      <c r="N58" s="738">
        <v>-1</v>
      </c>
      <c r="O58" s="933" t="s">
        <v>1452</v>
      </c>
      <c r="P58" s="790" t="s">
        <v>1349</v>
      </c>
      <c r="Q58" s="935">
        <v>0</v>
      </c>
      <c r="R58" s="936"/>
    </row>
    <row r="59" spans="1:18" ht="5.0999999999999996" customHeight="1" x14ac:dyDescent="0.25">
      <c r="A59" s="934"/>
      <c r="B59" s="942"/>
      <c r="C59" s="945"/>
      <c r="D59" s="946"/>
      <c r="E59" s="934"/>
      <c r="F59" s="964"/>
      <c r="G59" s="951"/>
      <c r="H59" s="952"/>
      <c r="I59" s="960"/>
      <c r="J59" s="729"/>
      <c r="K59" s="970"/>
      <c r="L59" s="964"/>
      <c r="M59" s="972"/>
      <c r="N59" s="728"/>
      <c r="O59" s="934"/>
      <c r="P59" s="728"/>
      <c r="Q59" s="937"/>
      <c r="R59" s="938"/>
    </row>
    <row r="60" spans="1:18" ht="14.1" customHeight="1" x14ac:dyDescent="0.25">
      <c r="A60" s="788" t="s">
        <v>1453</v>
      </c>
      <c r="B60" s="794">
        <v>44479</v>
      </c>
      <c r="C60" s="953" t="s">
        <v>1070</v>
      </c>
      <c r="D60" s="954"/>
      <c r="E60" s="788" t="s">
        <v>1071</v>
      </c>
      <c r="F60" s="726">
        <v>6.75</v>
      </c>
      <c r="G60" s="957">
        <v>4</v>
      </c>
      <c r="H60" s="958"/>
      <c r="I60" s="724">
        <v>0</v>
      </c>
      <c r="J60" s="723">
        <v>0</v>
      </c>
      <c r="K60" s="722">
        <v>5.85</v>
      </c>
      <c r="L60" s="726">
        <v>4.8899999999999997</v>
      </c>
      <c r="M60" s="732">
        <v>1.41</v>
      </c>
      <c r="N60" s="735">
        <v>-3.48</v>
      </c>
      <c r="O60" s="788" t="s">
        <v>1454</v>
      </c>
      <c r="P60" s="789" t="s">
        <v>1455</v>
      </c>
      <c r="Q60" s="939">
        <v>0</v>
      </c>
      <c r="R60" s="940"/>
    </row>
    <row r="61" spans="1:18" ht="30" customHeight="1" x14ac:dyDescent="0.25">
      <c r="A61" s="785" t="s">
        <v>939</v>
      </c>
      <c r="B61" s="786" t="s">
        <v>940</v>
      </c>
      <c r="C61" s="973" t="s">
        <v>941</v>
      </c>
      <c r="D61" s="974"/>
      <c r="E61" s="786" t="s">
        <v>942</v>
      </c>
      <c r="F61" s="786" t="s">
        <v>943</v>
      </c>
      <c r="G61" s="975" t="s">
        <v>944</v>
      </c>
      <c r="H61" s="976"/>
      <c r="I61" s="786" t="s">
        <v>945</v>
      </c>
      <c r="J61" s="787" t="s">
        <v>946</v>
      </c>
      <c r="K61" s="786" t="s">
        <v>947</v>
      </c>
      <c r="L61" s="786" t="s">
        <v>948</v>
      </c>
      <c r="M61" s="786" t="s">
        <v>949</v>
      </c>
      <c r="N61" s="786" t="s">
        <v>950</v>
      </c>
      <c r="O61" s="739" t="s">
        <v>951</v>
      </c>
      <c r="P61" s="786" t="s">
        <v>952</v>
      </c>
      <c r="Q61" s="975" t="s">
        <v>953</v>
      </c>
      <c r="R61" s="976"/>
    </row>
    <row r="62" spans="1:18" ht="15" customHeight="1" x14ac:dyDescent="0.25">
      <c r="A62" s="788" t="s">
        <v>1456</v>
      </c>
      <c r="B62" s="794">
        <v>44479</v>
      </c>
      <c r="C62" s="953" t="s">
        <v>971</v>
      </c>
      <c r="D62" s="954"/>
      <c r="E62" s="788" t="s">
        <v>1102</v>
      </c>
      <c r="F62" s="721">
        <v>19.649999999999999</v>
      </c>
      <c r="G62" s="955">
        <v>14.16</v>
      </c>
      <c r="H62" s="956"/>
      <c r="I62" s="724">
        <v>0</v>
      </c>
      <c r="J62" s="723">
        <v>0</v>
      </c>
      <c r="K62" s="725">
        <v>18.59</v>
      </c>
      <c r="L62" s="721">
        <v>15.22</v>
      </c>
      <c r="M62" s="732">
        <v>1.51</v>
      </c>
      <c r="N62" s="735">
        <v>-13.72</v>
      </c>
      <c r="O62" s="788" t="s">
        <v>1457</v>
      </c>
      <c r="P62" s="789" t="s">
        <v>1458</v>
      </c>
      <c r="Q62" s="939">
        <v>0</v>
      </c>
      <c r="R62" s="940"/>
    </row>
    <row r="63" spans="1:18" ht="15" customHeight="1" x14ac:dyDescent="0.25">
      <c r="A63" s="788" t="s">
        <v>1256</v>
      </c>
      <c r="B63" s="794">
        <v>44479</v>
      </c>
      <c r="C63" s="953" t="s">
        <v>984</v>
      </c>
      <c r="D63" s="954"/>
      <c r="E63" s="788" t="s">
        <v>1257</v>
      </c>
      <c r="F63" s="721">
        <v>54</v>
      </c>
      <c r="G63" s="955">
        <v>30</v>
      </c>
      <c r="H63" s="956"/>
      <c r="I63" s="724">
        <v>0</v>
      </c>
      <c r="J63" s="723">
        <v>0</v>
      </c>
      <c r="K63" s="725">
        <v>42</v>
      </c>
      <c r="L63" s="721">
        <v>42</v>
      </c>
      <c r="M63" s="720">
        <v>17</v>
      </c>
      <c r="N63" s="735">
        <v>-25</v>
      </c>
      <c r="O63" s="788" t="s">
        <v>1459</v>
      </c>
      <c r="P63" s="789" t="s">
        <v>1460</v>
      </c>
      <c r="Q63" s="939">
        <v>0</v>
      </c>
      <c r="R63" s="940"/>
    </row>
    <row r="64" spans="1:18" ht="15" customHeight="1" x14ac:dyDescent="0.25">
      <c r="A64" s="788" t="s">
        <v>1066</v>
      </c>
      <c r="B64" s="794">
        <v>44479</v>
      </c>
      <c r="C64" s="953" t="s">
        <v>966</v>
      </c>
      <c r="D64" s="954"/>
      <c r="E64" s="788" t="s">
        <v>1109</v>
      </c>
      <c r="F64" s="726">
        <v>4</v>
      </c>
      <c r="G64" s="955">
        <v>12</v>
      </c>
      <c r="H64" s="956"/>
      <c r="I64" s="724">
        <v>0</v>
      </c>
      <c r="J64" s="723">
        <v>0</v>
      </c>
      <c r="K64" s="722">
        <v>3.8</v>
      </c>
      <c r="L64" s="721">
        <v>12.2</v>
      </c>
      <c r="M64" s="732">
        <v>4.29</v>
      </c>
      <c r="N64" s="735">
        <v>-7.91</v>
      </c>
      <c r="O64" s="788" t="s">
        <v>1461</v>
      </c>
      <c r="P64" s="789" t="s">
        <v>1462</v>
      </c>
      <c r="Q64" s="939">
        <v>0</v>
      </c>
      <c r="R64" s="940"/>
    </row>
    <row r="65" spans="1:18" ht="15" customHeight="1" x14ac:dyDescent="0.25">
      <c r="A65" s="788" t="s">
        <v>1463</v>
      </c>
      <c r="B65" s="794">
        <v>44479</v>
      </c>
      <c r="C65" s="953" t="s">
        <v>996</v>
      </c>
      <c r="D65" s="954"/>
      <c r="E65" s="788" t="s">
        <v>997</v>
      </c>
      <c r="F65" s="726">
        <v>1</v>
      </c>
      <c r="G65" s="957">
        <v>1</v>
      </c>
      <c r="H65" s="958"/>
      <c r="I65" s="724">
        <v>0</v>
      </c>
      <c r="J65" s="723">
        <v>0</v>
      </c>
      <c r="K65" s="722">
        <v>0.9</v>
      </c>
      <c r="L65" s="726">
        <v>1.1000000000000001</v>
      </c>
      <c r="M65" s="732">
        <v>0.16</v>
      </c>
      <c r="N65" s="735">
        <v>-0.94</v>
      </c>
      <c r="O65" s="788" t="s">
        <v>1464</v>
      </c>
      <c r="P65" s="789" t="s">
        <v>1465</v>
      </c>
      <c r="Q65" s="939">
        <v>0</v>
      </c>
      <c r="R65" s="940"/>
    </row>
    <row r="66" spans="1:18" ht="15" customHeight="1" x14ac:dyDescent="0.25">
      <c r="A66" s="788" t="s">
        <v>1466</v>
      </c>
      <c r="B66" s="794">
        <v>44479</v>
      </c>
      <c r="C66" s="953" t="s">
        <v>970</v>
      </c>
      <c r="D66" s="954"/>
      <c r="E66" s="788" t="s">
        <v>1467</v>
      </c>
      <c r="F66" s="721">
        <v>19</v>
      </c>
      <c r="G66" s="955">
        <v>71.94</v>
      </c>
      <c r="H66" s="956"/>
      <c r="I66" s="724">
        <v>0</v>
      </c>
      <c r="J66" s="723">
        <v>0</v>
      </c>
      <c r="K66" s="722">
        <v>5</v>
      </c>
      <c r="L66" s="721">
        <v>85.94</v>
      </c>
      <c r="M66" s="720">
        <v>53.2</v>
      </c>
      <c r="N66" s="735">
        <v>-32.729999999999997</v>
      </c>
      <c r="O66" s="788" t="s">
        <v>1468</v>
      </c>
      <c r="P66" s="789" t="s">
        <v>1469</v>
      </c>
      <c r="Q66" s="939">
        <v>0</v>
      </c>
      <c r="R66" s="940"/>
    </row>
    <row r="67" spans="1:18" ht="15" customHeight="1" x14ac:dyDescent="0.25">
      <c r="A67" s="788" t="s">
        <v>1470</v>
      </c>
      <c r="B67" s="794">
        <v>44479</v>
      </c>
      <c r="C67" s="953" t="s">
        <v>970</v>
      </c>
      <c r="D67" s="954"/>
      <c r="E67" s="788" t="s">
        <v>1082</v>
      </c>
      <c r="F67" s="721">
        <v>20</v>
      </c>
      <c r="G67" s="955">
        <v>19.98</v>
      </c>
      <c r="H67" s="956"/>
      <c r="I67" s="724">
        <v>0</v>
      </c>
      <c r="J67" s="723">
        <v>0</v>
      </c>
      <c r="K67" s="725">
        <v>10.6</v>
      </c>
      <c r="L67" s="721">
        <v>29.38</v>
      </c>
      <c r="M67" s="732">
        <v>5.9</v>
      </c>
      <c r="N67" s="735">
        <v>-23.48</v>
      </c>
      <c r="O67" s="788" t="s">
        <v>1471</v>
      </c>
      <c r="P67" s="789" t="s">
        <v>1472</v>
      </c>
      <c r="Q67" s="939">
        <v>0</v>
      </c>
      <c r="R67" s="940"/>
    </row>
    <row r="68" spans="1:18" ht="15" customHeight="1" x14ac:dyDescent="0.25">
      <c r="A68" s="788" t="s">
        <v>1103</v>
      </c>
      <c r="B68" s="794">
        <v>44479</v>
      </c>
      <c r="C68" s="953" t="s">
        <v>970</v>
      </c>
      <c r="D68" s="954"/>
      <c r="E68" s="788" t="s">
        <v>1104</v>
      </c>
      <c r="F68" s="726">
        <v>5.25</v>
      </c>
      <c r="G68" s="955">
        <v>19.98</v>
      </c>
      <c r="H68" s="956"/>
      <c r="I68" s="724">
        <v>0</v>
      </c>
      <c r="J68" s="723">
        <v>0</v>
      </c>
      <c r="K68" s="722">
        <v>7.5</v>
      </c>
      <c r="L68" s="721">
        <v>17.73</v>
      </c>
      <c r="M68" s="732">
        <v>7.33</v>
      </c>
      <c r="N68" s="735">
        <v>-10.4</v>
      </c>
      <c r="O68" s="788" t="s">
        <v>1473</v>
      </c>
      <c r="P68" s="789" t="s">
        <v>1474</v>
      </c>
      <c r="Q68" s="939">
        <v>0</v>
      </c>
      <c r="R68" s="940"/>
    </row>
    <row r="69" spans="1:18" ht="15" customHeight="1" x14ac:dyDescent="0.25">
      <c r="A69" s="788" t="s">
        <v>1008</v>
      </c>
      <c r="B69" s="794">
        <v>44479</v>
      </c>
      <c r="C69" s="953" t="s">
        <v>956</v>
      </c>
      <c r="D69" s="954"/>
      <c r="E69" s="788" t="s">
        <v>1009</v>
      </c>
      <c r="F69" s="726">
        <v>7.65</v>
      </c>
      <c r="G69" s="957">
        <v>5.0999999999999996</v>
      </c>
      <c r="H69" s="958"/>
      <c r="I69" s="724">
        <v>0</v>
      </c>
      <c r="J69" s="723">
        <v>0</v>
      </c>
      <c r="K69" s="722">
        <v>2.4500000000000002</v>
      </c>
      <c r="L69" s="721">
        <v>10.3</v>
      </c>
      <c r="M69" s="732">
        <v>4.1100000000000003</v>
      </c>
      <c r="N69" s="735">
        <v>-6.19</v>
      </c>
      <c r="O69" s="788" t="s">
        <v>1475</v>
      </c>
      <c r="P69" s="789" t="s">
        <v>1476</v>
      </c>
      <c r="Q69" s="939">
        <v>0</v>
      </c>
      <c r="R69" s="940"/>
    </row>
    <row r="70" spans="1:18" ht="15" customHeight="1" x14ac:dyDescent="0.25">
      <c r="A70" s="788" t="s">
        <v>1029</v>
      </c>
      <c r="B70" s="794">
        <v>44479</v>
      </c>
      <c r="C70" s="953" t="s">
        <v>956</v>
      </c>
      <c r="D70" s="954"/>
      <c r="E70" s="788" t="s">
        <v>1030</v>
      </c>
      <c r="F70" s="721">
        <v>26.8</v>
      </c>
      <c r="G70" s="955">
        <v>20</v>
      </c>
      <c r="H70" s="956"/>
      <c r="I70" s="724">
        <v>0</v>
      </c>
      <c r="J70" s="723">
        <v>0</v>
      </c>
      <c r="K70" s="725">
        <v>21.81</v>
      </c>
      <c r="L70" s="721">
        <v>24.99</v>
      </c>
      <c r="M70" s="732">
        <v>2.71</v>
      </c>
      <c r="N70" s="735">
        <v>-22.28</v>
      </c>
      <c r="O70" s="788" t="s">
        <v>1477</v>
      </c>
      <c r="P70" s="789" t="s">
        <v>1478</v>
      </c>
      <c r="Q70" s="939">
        <v>0</v>
      </c>
      <c r="R70" s="940"/>
    </row>
    <row r="71" spans="1:18" ht="15" customHeight="1" x14ac:dyDescent="0.25">
      <c r="A71" s="788" t="s">
        <v>1479</v>
      </c>
      <c r="B71" s="794">
        <v>44479</v>
      </c>
      <c r="C71" s="953" t="s">
        <v>970</v>
      </c>
      <c r="D71" s="954"/>
      <c r="E71" s="788" t="s">
        <v>1099</v>
      </c>
      <c r="F71" s="726">
        <v>4</v>
      </c>
      <c r="G71" s="957">
        <v>4</v>
      </c>
      <c r="H71" s="958"/>
      <c r="I71" s="724">
        <v>0</v>
      </c>
      <c r="J71" s="723">
        <v>0</v>
      </c>
      <c r="K71" s="722">
        <v>2.5</v>
      </c>
      <c r="L71" s="726">
        <v>5.5</v>
      </c>
      <c r="M71" s="732">
        <v>0.53</v>
      </c>
      <c r="N71" s="735">
        <v>-4.97</v>
      </c>
      <c r="O71" s="788" t="s">
        <v>1480</v>
      </c>
      <c r="P71" s="789" t="s">
        <v>1481</v>
      </c>
      <c r="Q71" s="939">
        <v>0</v>
      </c>
      <c r="R71" s="940"/>
    </row>
    <row r="72" spans="1:18" ht="15" customHeight="1" x14ac:dyDescent="0.25">
      <c r="A72" s="788" t="s">
        <v>1014</v>
      </c>
      <c r="B72" s="794">
        <v>44479</v>
      </c>
      <c r="C72" s="953" t="s">
        <v>1002</v>
      </c>
      <c r="D72" s="954"/>
      <c r="E72" s="788" t="s">
        <v>1015</v>
      </c>
      <c r="F72" s="721">
        <v>12.1</v>
      </c>
      <c r="G72" s="955">
        <v>12</v>
      </c>
      <c r="H72" s="956"/>
      <c r="I72" s="724">
        <v>0</v>
      </c>
      <c r="J72" s="723">
        <v>0</v>
      </c>
      <c r="K72" s="722">
        <v>6.9</v>
      </c>
      <c r="L72" s="721">
        <v>17.2</v>
      </c>
      <c r="M72" s="732">
        <v>4.43</v>
      </c>
      <c r="N72" s="735">
        <v>-12.77</v>
      </c>
      <c r="O72" s="788" t="s">
        <v>1482</v>
      </c>
      <c r="P72" s="789" t="s">
        <v>1483</v>
      </c>
      <c r="Q72" s="939">
        <v>0</v>
      </c>
      <c r="R72" s="940"/>
    </row>
    <row r="73" spans="1:18" ht="15" customHeight="1" x14ac:dyDescent="0.25">
      <c r="A73" s="788" t="s">
        <v>1484</v>
      </c>
      <c r="B73" s="794">
        <v>44479</v>
      </c>
      <c r="C73" s="953" t="s">
        <v>970</v>
      </c>
      <c r="D73" s="954"/>
      <c r="E73" s="788" t="s">
        <v>1485</v>
      </c>
      <c r="F73" s="721">
        <v>35</v>
      </c>
      <c r="G73" s="955">
        <v>24.98</v>
      </c>
      <c r="H73" s="956"/>
      <c r="I73" s="724">
        <v>0</v>
      </c>
      <c r="J73" s="723">
        <v>0</v>
      </c>
      <c r="K73" s="725">
        <v>29.6</v>
      </c>
      <c r="L73" s="721">
        <v>30.38</v>
      </c>
      <c r="M73" s="732">
        <v>5.49</v>
      </c>
      <c r="N73" s="735">
        <v>-24.89</v>
      </c>
      <c r="O73" s="788" t="s">
        <v>1486</v>
      </c>
      <c r="P73" s="789" t="s">
        <v>1487</v>
      </c>
      <c r="Q73" s="939">
        <v>0</v>
      </c>
      <c r="R73" s="940"/>
    </row>
    <row r="74" spans="1:18" ht="15" customHeight="1" x14ac:dyDescent="0.25">
      <c r="A74" s="788" t="s">
        <v>1267</v>
      </c>
      <c r="B74" s="794">
        <v>44479</v>
      </c>
      <c r="C74" s="953" t="s">
        <v>1268</v>
      </c>
      <c r="D74" s="954"/>
      <c r="E74" s="788" t="s">
        <v>1269</v>
      </c>
      <c r="F74" s="726">
        <v>0.6</v>
      </c>
      <c r="G74" s="957">
        <v>1</v>
      </c>
      <c r="H74" s="958"/>
      <c r="I74" s="724">
        <v>0</v>
      </c>
      <c r="J74" s="723">
        <v>0</v>
      </c>
      <c r="K74" s="722">
        <v>0.5</v>
      </c>
      <c r="L74" s="726">
        <v>1.1000000000000001</v>
      </c>
      <c r="M74" s="732">
        <v>0.27</v>
      </c>
      <c r="N74" s="735">
        <v>-0.83</v>
      </c>
      <c r="O74" s="788" t="s">
        <v>1488</v>
      </c>
      <c r="P74" s="789" t="s">
        <v>1489</v>
      </c>
      <c r="Q74" s="939">
        <v>0</v>
      </c>
      <c r="R74" s="940"/>
    </row>
    <row r="75" spans="1:18" ht="15" customHeight="1" x14ac:dyDescent="0.25">
      <c r="A75" s="788" t="s">
        <v>1490</v>
      </c>
      <c r="B75" s="794">
        <v>44479</v>
      </c>
      <c r="C75" s="953" t="s">
        <v>971</v>
      </c>
      <c r="D75" s="954"/>
      <c r="E75" s="788" t="s">
        <v>990</v>
      </c>
      <c r="F75" s="721">
        <v>14.82</v>
      </c>
      <c r="G75" s="955">
        <v>11.4</v>
      </c>
      <c r="H75" s="956"/>
      <c r="I75" s="724">
        <v>0</v>
      </c>
      <c r="J75" s="723">
        <v>0</v>
      </c>
      <c r="K75" s="725">
        <v>13.68</v>
      </c>
      <c r="L75" s="721">
        <v>12.54</v>
      </c>
      <c r="M75" s="732">
        <v>1.51</v>
      </c>
      <c r="N75" s="735">
        <v>-11.03</v>
      </c>
      <c r="O75" s="788" t="s">
        <v>1491</v>
      </c>
      <c r="P75" s="789" t="s">
        <v>1492</v>
      </c>
      <c r="Q75" s="939">
        <v>0</v>
      </c>
      <c r="R75" s="940"/>
    </row>
    <row r="76" spans="1:18" ht="15" customHeight="1" x14ac:dyDescent="0.25">
      <c r="A76" s="788" t="s">
        <v>1493</v>
      </c>
      <c r="B76" s="794">
        <v>44479</v>
      </c>
      <c r="C76" s="953" t="s">
        <v>1233</v>
      </c>
      <c r="D76" s="954"/>
      <c r="E76" s="788" t="s">
        <v>1234</v>
      </c>
      <c r="F76" s="726">
        <v>7</v>
      </c>
      <c r="G76" s="957">
        <v>8</v>
      </c>
      <c r="H76" s="958"/>
      <c r="I76" s="724">
        <v>0</v>
      </c>
      <c r="J76" s="723">
        <v>0</v>
      </c>
      <c r="K76" s="722">
        <v>4</v>
      </c>
      <c r="L76" s="721">
        <v>11</v>
      </c>
      <c r="M76" s="732">
        <v>2.88</v>
      </c>
      <c r="N76" s="735">
        <v>-8.1199999999999992</v>
      </c>
      <c r="O76" s="788" t="s">
        <v>1494</v>
      </c>
      <c r="P76" s="789" t="s">
        <v>1495</v>
      </c>
      <c r="Q76" s="939">
        <v>0</v>
      </c>
      <c r="R76" s="940"/>
    </row>
    <row r="77" spans="1:18" ht="15" customHeight="1" x14ac:dyDescent="0.25">
      <c r="A77" s="788" t="s">
        <v>1496</v>
      </c>
      <c r="B77" s="794">
        <v>44479</v>
      </c>
      <c r="C77" s="953" t="s">
        <v>956</v>
      </c>
      <c r="D77" s="954"/>
      <c r="E77" s="788" t="s">
        <v>1222</v>
      </c>
      <c r="F77" s="726">
        <v>3.41</v>
      </c>
      <c r="G77" s="957">
        <v>9.08</v>
      </c>
      <c r="H77" s="958"/>
      <c r="I77" s="724">
        <v>0</v>
      </c>
      <c r="J77" s="723">
        <v>0</v>
      </c>
      <c r="K77" s="722">
        <v>5.0999999999999996</v>
      </c>
      <c r="L77" s="726">
        <v>7.39</v>
      </c>
      <c r="M77" s="732">
        <v>1.32</v>
      </c>
      <c r="N77" s="735">
        <v>-6.07</v>
      </c>
      <c r="O77" s="788" t="s">
        <v>1497</v>
      </c>
      <c r="P77" s="789" t="s">
        <v>1498</v>
      </c>
      <c r="Q77" s="939">
        <v>0</v>
      </c>
      <c r="R77" s="940"/>
    </row>
    <row r="78" spans="1:18" ht="15" customHeight="1" x14ac:dyDescent="0.25">
      <c r="A78" s="788" t="s">
        <v>1499</v>
      </c>
      <c r="B78" s="794">
        <v>44479</v>
      </c>
      <c r="C78" s="953" t="s">
        <v>970</v>
      </c>
      <c r="D78" s="954"/>
      <c r="E78" s="788" t="s">
        <v>1083</v>
      </c>
      <c r="F78" s="721">
        <v>16</v>
      </c>
      <c r="G78" s="955">
        <v>19.98</v>
      </c>
      <c r="H78" s="956"/>
      <c r="I78" s="724">
        <v>0</v>
      </c>
      <c r="J78" s="723">
        <v>0</v>
      </c>
      <c r="K78" s="725">
        <v>10</v>
      </c>
      <c r="L78" s="721">
        <v>25.98</v>
      </c>
      <c r="M78" s="732">
        <v>3.48</v>
      </c>
      <c r="N78" s="735">
        <v>-22.5</v>
      </c>
      <c r="O78" s="788" t="s">
        <v>1500</v>
      </c>
      <c r="P78" s="789" t="s">
        <v>1501</v>
      </c>
      <c r="Q78" s="939">
        <v>0</v>
      </c>
      <c r="R78" s="940"/>
    </row>
    <row r="79" spans="1:18" ht="15" customHeight="1" x14ac:dyDescent="0.25">
      <c r="A79" s="788" t="s">
        <v>1293</v>
      </c>
      <c r="B79" s="794">
        <v>44479</v>
      </c>
      <c r="C79" s="953" t="s">
        <v>956</v>
      </c>
      <c r="D79" s="954"/>
      <c r="E79" s="788" t="s">
        <v>1294</v>
      </c>
      <c r="F79" s="726">
        <v>2.25</v>
      </c>
      <c r="G79" s="955">
        <v>16.04</v>
      </c>
      <c r="H79" s="956"/>
      <c r="I79" s="724">
        <v>0</v>
      </c>
      <c r="J79" s="723">
        <v>0</v>
      </c>
      <c r="K79" s="722">
        <v>9.5</v>
      </c>
      <c r="L79" s="726">
        <v>8.7899999999999991</v>
      </c>
      <c r="M79" s="732">
        <v>7.04</v>
      </c>
      <c r="N79" s="735">
        <v>-1.74</v>
      </c>
      <c r="O79" s="788" t="s">
        <v>1502</v>
      </c>
      <c r="P79" s="789" t="s">
        <v>1503</v>
      </c>
      <c r="Q79" s="939">
        <v>0</v>
      </c>
      <c r="R79" s="940"/>
    </row>
    <row r="80" spans="1:18" ht="15" customHeight="1" x14ac:dyDescent="0.25">
      <c r="A80" s="788" t="s">
        <v>1213</v>
      </c>
      <c r="B80" s="794">
        <v>44479</v>
      </c>
      <c r="C80" s="953" t="s">
        <v>1214</v>
      </c>
      <c r="D80" s="954"/>
      <c r="E80" s="788" t="s">
        <v>1215</v>
      </c>
      <c r="F80" s="726">
        <v>2.5</v>
      </c>
      <c r="G80" s="957">
        <v>2</v>
      </c>
      <c r="H80" s="958"/>
      <c r="I80" s="724">
        <v>0</v>
      </c>
      <c r="J80" s="723">
        <v>0</v>
      </c>
      <c r="K80" s="722">
        <v>1.6</v>
      </c>
      <c r="L80" s="726">
        <v>2.9</v>
      </c>
      <c r="M80" s="732">
        <v>0.23</v>
      </c>
      <c r="N80" s="735">
        <v>-2.67</v>
      </c>
      <c r="O80" s="788" t="s">
        <v>1504</v>
      </c>
      <c r="P80" s="789" t="s">
        <v>1505</v>
      </c>
      <c r="Q80" s="939">
        <v>0</v>
      </c>
      <c r="R80" s="940"/>
    </row>
    <row r="81" spans="1:18" ht="15" customHeight="1" x14ac:dyDescent="0.25">
      <c r="A81" s="788" t="s">
        <v>1506</v>
      </c>
      <c r="B81" s="794">
        <v>44479</v>
      </c>
      <c r="C81" s="953" t="s">
        <v>966</v>
      </c>
      <c r="D81" s="954"/>
      <c r="E81" s="788" t="s">
        <v>1092</v>
      </c>
      <c r="F81" s="721">
        <v>46</v>
      </c>
      <c r="G81" s="957">
        <v>0</v>
      </c>
      <c r="H81" s="958"/>
      <c r="I81" s="724">
        <v>0</v>
      </c>
      <c r="J81" s="723">
        <v>0</v>
      </c>
      <c r="K81" s="725">
        <v>24.5</v>
      </c>
      <c r="L81" s="721">
        <v>21.5</v>
      </c>
      <c r="M81" s="720">
        <v>13</v>
      </c>
      <c r="N81" s="735">
        <v>-8.5</v>
      </c>
      <c r="O81" s="788" t="s">
        <v>1507</v>
      </c>
      <c r="P81" s="789" t="s">
        <v>1508</v>
      </c>
      <c r="Q81" s="939">
        <v>0</v>
      </c>
      <c r="R81" s="940"/>
    </row>
    <row r="82" spans="1:18" ht="15" customHeight="1" x14ac:dyDescent="0.25">
      <c r="A82" s="788" t="s">
        <v>1509</v>
      </c>
      <c r="B82" s="794">
        <v>44479</v>
      </c>
      <c r="C82" s="953" t="s">
        <v>1119</v>
      </c>
      <c r="D82" s="954"/>
      <c r="E82" s="788" t="s">
        <v>1120</v>
      </c>
      <c r="F82" s="726">
        <v>6.33</v>
      </c>
      <c r="G82" s="957">
        <v>6</v>
      </c>
      <c r="H82" s="958"/>
      <c r="I82" s="724">
        <v>0</v>
      </c>
      <c r="J82" s="723">
        <v>0</v>
      </c>
      <c r="K82" s="722">
        <v>6.1</v>
      </c>
      <c r="L82" s="726">
        <v>6.23</v>
      </c>
      <c r="M82" s="732">
        <v>0.21</v>
      </c>
      <c r="N82" s="735">
        <v>-6.02</v>
      </c>
      <c r="O82" s="788" t="s">
        <v>1510</v>
      </c>
      <c r="P82" s="789" t="s">
        <v>1511</v>
      </c>
      <c r="Q82" s="939">
        <v>0</v>
      </c>
      <c r="R82" s="940"/>
    </row>
    <row r="83" spans="1:18" ht="15" customHeight="1" x14ac:dyDescent="0.25">
      <c r="A83" s="788" t="s">
        <v>1224</v>
      </c>
      <c r="B83" s="794">
        <v>44479</v>
      </c>
      <c r="C83" s="953" t="s">
        <v>1214</v>
      </c>
      <c r="D83" s="954"/>
      <c r="E83" s="788" t="s">
        <v>1225</v>
      </c>
      <c r="F83" s="726">
        <v>1.5</v>
      </c>
      <c r="G83" s="957">
        <v>2</v>
      </c>
      <c r="H83" s="958"/>
      <c r="I83" s="724">
        <v>0</v>
      </c>
      <c r="J83" s="723">
        <v>0</v>
      </c>
      <c r="K83" s="722">
        <v>1.1000000000000001</v>
      </c>
      <c r="L83" s="726">
        <v>2.4</v>
      </c>
      <c r="M83" s="732">
        <v>0.45</v>
      </c>
      <c r="N83" s="735">
        <v>-1.95</v>
      </c>
      <c r="O83" s="788" t="s">
        <v>1512</v>
      </c>
      <c r="P83" s="789" t="s">
        <v>1513</v>
      </c>
      <c r="Q83" s="939">
        <v>0</v>
      </c>
      <c r="R83" s="940"/>
    </row>
    <row r="84" spans="1:18" ht="15" customHeight="1" x14ac:dyDescent="0.25">
      <c r="A84" s="788" t="s">
        <v>1514</v>
      </c>
      <c r="B84" s="794">
        <v>44479</v>
      </c>
      <c r="C84" s="953" t="s">
        <v>966</v>
      </c>
      <c r="D84" s="954"/>
      <c r="E84" s="788" t="s">
        <v>1246</v>
      </c>
      <c r="F84" s="726">
        <v>6</v>
      </c>
      <c r="G84" s="957">
        <v>6</v>
      </c>
      <c r="H84" s="958"/>
      <c r="I84" s="724">
        <v>0</v>
      </c>
      <c r="J84" s="723">
        <v>0</v>
      </c>
      <c r="K84" s="722">
        <v>6</v>
      </c>
      <c r="L84" s="726">
        <v>6</v>
      </c>
      <c r="M84" s="732">
        <v>0</v>
      </c>
      <c r="N84" s="735">
        <v>-6</v>
      </c>
      <c r="O84" s="788" t="s">
        <v>1515</v>
      </c>
      <c r="P84" s="789" t="s">
        <v>1349</v>
      </c>
      <c r="Q84" s="939">
        <v>0</v>
      </c>
      <c r="R84" s="940"/>
    </row>
    <row r="85" spans="1:18" ht="15" customHeight="1" x14ac:dyDescent="0.25">
      <c r="A85" s="788" t="s">
        <v>1516</v>
      </c>
      <c r="B85" s="794">
        <v>44479</v>
      </c>
      <c r="C85" s="953" t="s">
        <v>971</v>
      </c>
      <c r="D85" s="954"/>
      <c r="E85" s="788" t="s">
        <v>1043</v>
      </c>
      <c r="F85" s="721">
        <v>13.44</v>
      </c>
      <c r="G85" s="957">
        <v>0</v>
      </c>
      <c r="H85" s="958"/>
      <c r="I85" s="724">
        <v>0</v>
      </c>
      <c r="J85" s="723">
        <v>0</v>
      </c>
      <c r="K85" s="722">
        <v>8.52</v>
      </c>
      <c r="L85" s="726">
        <v>4.92</v>
      </c>
      <c r="M85" s="732">
        <v>2.2200000000000002</v>
      </c>
      <c r="N85" s="735">
        <v>-2.7</v>
      </c>
      <c r="O85" s="788" t="s">
        <v>1517</v>
      </c>
      <c r="P85" s="789" t="s">
        <v>1518</v>
      </c>
      <c r="Q85" s="939">
        <v>0</v>
      </c>
      <c r="R85" s="940"/>
    </row>
    <row r="86" spans="1:18" ht="15" customHeight="1" x14ac:dyDescent="0.25">
      <c r="A86" s="788" t="s">
        <v>1519</v>
      </c>
      <c r="B86" s="794">
        <v>44479</v>
      </c>
      <c r="C86" s="953" t="s">
        <v>966</v>
      </c>
      <c r="D86" s="954"/>
      <c r="E86" s="788" t="s">
        <v>992</v>
      </c>
      <c r="F86" s="721">
        <v>25</v>
      </c>
      <c r="G86" s="955">
        <v>30</v>
      </c>
      <c r="H86" s="956"/>
      <c r="I86" s="724">
        <v>0</v>
      </c>
      <c r="J86" s="723">
        <v>0</v>
      </c>
      <c r="K86" s="725">
        <v>12</v>
      </c>
      <c r="L86" s="721">
        <v>43</v>
      </c>
      <c r="M86" s="720">
        <v>10</v>
      </c>
      <c r="N86" s="735">
        <v>-33</v>
      </c>
      <c r="O86" s="788" t="s">
        <v>1520</v>
      </c>
      <c r="P86" s="789" t="s">
        <v>1521</v>
      </c>
      <c r="Q86" s="939">
        <v>0</v>
      </c>
      <c r="R86" s="940"/>
    </row>
    <row r="87" spans="1:18" ht="15" customHeight="1" x14ac:dyDescent="0.25">
      <c r="A87" s="788" t="s">
        <v>1522</v>
      </c>
      <c r="B87" s="794">
        <v>44479</v>
      </c>
      <c r="C87" s="953" t="s">
        <v>1134</v>
      </c>
      <c r="D87" s="954"/>
      <c r="E87" s="788" t="s">
        <v>1247</v>
      </c>
      <c r="F87" s="721">
        <v>12.5</v>
      </c>
      <c r="G87" s="957">
        <v>0</v>
      </c>
      <c r="H87" s="958"/>
      <c r="I87" s="724">
        <v>0</v>
      </c>
      <c r="J87" s="723">
        <v>0</v>
      </c>
      <c r="K87" s="722">
        <v>7.5</v>
      </c>
      <c r="L87" s="726">
        <v>5</v>
      </c>
      <c r="M87" s="732">
        <v>2.0099999999999998</v>
      </c>
      <c r="N87" s="735">
        <v>-2.99</v>
      </c>
      <c r="O87" s="788" t="s">
        <v>1523</v>
      </c>
      <c r="P87" s="789" t="s">
        <v>1524</v>
      </c>
      <c r="Q87" s="939">
        <v>0</v>
      </c>
      <c r="R87" s="940"/>
    </row>
    <row r="88" spans="1:18" ht="15" customHeight="1" x14ac:dyDescent="0.25">
      <c r="A88" s="788" t="s">
        <v>1044</v>
      </c>
      <c r="B88" s="794">
        <v>44479</v>
      </c>
      <c r="C88" s="953" t="s">
        <v>996</v>
      </c>
      <c r="D88" s="954"/>
      <c r="E88" s="788" t="s">
        <v>997</v>
      </c>
      <c r="F88" s="726">
        <v>1.5</v>
      </c>
      <c r="G88" s="957">
        <v>0</v>
      </c>
      <c r="H88" s="958"/>
      <c r="I88" s="724">
        <v>0</v>
      </c>
      <c r="J88" s="723">
        <v>0</v>
      </c>
      <c r="K88" s="722">
        <v>1</v>
      </c>
      <c r="L88" s="726">
        <v>0.5</v>
      </c>
      <c r="M88" s="732">
        <v>0.03</v>
      </c>
      <c r="N88" s="735">
        <v>-0.47</v>
      </c>
      <c r="O88" s="788" t="s">
        <v>1525</v>
      </c>
      <c r="P88" s="789" t="s">
        <v>1526</v>
      </c>
      <c r="Q88" s="939">
        <v>0</v>
      </c>
      <c r="R88" s="940"/>
    </row>
    <row r="89" spans="1:18" ht="14.1" customHeight="1" x14ac:dyDescent="0.25">
      <c r="A89" s="788" t="s">
        <v>1107</v>
      </c>
      <c r="B89" s="794">
        <v>44479</v>
      </c>
      <c r="C89" s="953" t="s">
        <v>971</v>
      </c>
      <c r="D89" s="954"/>
      <c r="E89" s="788" t="s">
        <v>1527</v>
      </c>
      <c r="F89" s="726">
        <v>8</v>
      </c>
      <c r="G89" s="957">
        <v>0</v>
      </c>
      <c r="H89" s="958"/>
      <c r="I89" s="724">
        <v>0</v>
      </c>
      <c r="J89" s="723">
        <v>0</v>
      </c>
      <c r="K89" s="722">
        <v>2.8</v>
      </c>
      <c r="L89" s="726">
        <v>5.2</v>
      </c>
      <c r="M89" s="732">
        <v>0</v>
      </c>
      <c r="N89" s="735">
        <v>-5.2</v>
      </c>
      <c r="O89" s="788" t="s">
        <v>1528</v>
      </c>
      <c r="P89" s="789" t="s">
        <v>1349</v>
      </c>
      <c r="Q89" s="939">
        <v>0</v>
      </c>
      <c r="R89" s="940"/>
    </row>
    <row r="90" spans="1:18" ht="30" customHeight="1" x14ac:dyDescent="0.25">
      <c r="A90" s="785" t="s">
        <v>939</v>
      </c>
      <c r="B90" s="786" t="s">
        <v>940</v>
      </c>
      <c r="C90" s="973" t="s">
        <v>941</v>
      </c>
      <c r="D90" s="974"/>
      <c r="E90" s="786" t="s">
        <v>942</v>
      </c>
      <c r="F90" s="786" t="s">
        <v>943</v>
      </c>
      <c r="G90" s="975" t="s">
        <v>944</v>
      </c>
      <c r="H90" s="976"/>
      <c r="I90" s="786" t="s">
        <v>945</v>
      </c>
      <c r="J90" s="787" t="s">
        <v>946</v>
      </c>
      <c r="K90" s="786" t="s">
        <v>947</v>
      </c>
      <c r="L90" s="786" t="s">
        <v>948</v>
      </c>
      <c r="M90" s="786" t="s">
        <v>949</v>
      </c>
      <c r="N90" s="786" t="s">
        <v>950</v>
      </c>
      <c r="O90" s="739" t="s">
        <v>951</v>
      </c>
      <c r="P90" s="786" t="s">
        <v>952</v>
      </c>
      <c r="Q90" s="975" t="s">
        <v>953</v>
      </c>
      <c r="R90" s="976"/>
    </row>
    <row r="91" spans="1:18" ht="15" customHeight="1" x14ac:dyDescent="0.25">
      <c r="A91" s="788" t="s">
        <v>1150</v>
      </c>
      <c r="B91" s="794">
        <v>44479</v>
      </c>
      <c r="C91" s="953" t="s">
        <v>1063</v>
      </c>
      <c r="D91" s="954"/>
      <c r="E91" s="788" t="s">
        <v>1089</v>
      </c>
      <c r="F91" s="721">
        <v>26</v>
      </c>
      <c r="G91" s="955">
        <v>24</v>
      </c>
      <c r="H91" s="956"/>
      <c r="I91" s="724">
        <v>0</v>
      </c>
      <c r="J91" s="723">
        <v>0</v>
      </c>
      <c r="K91" s="725">
        <v>24</v>
      </c>
      <c r="L91" s="721">
        <v>26</v>
      </c>
      <c r="M91" s="732">
        <v>6</v>
      </c>
      <c r="N91" s="735">
        <v>-20</v>
      </c>
      <c r="O91" s="788" t="s">
        <v>1529</v>
      </c>
      <c r="P91" s="789" t="s">
        <v>1530</v>
      </c>
      <c r="Q91" s="939">
        <v>0</v>
      </c>
      <c r="R91" s="940"/>
    </row>
    <row r="92" spans="1:18" ht="15" customHeight="1" x14ac:dyDescent="0.25">
      <c r="A92" s="788" t="s">
        <v>1148</v>
      </c>
      <c r="B92" s="794">
        <v>44479</v>
      </c>
      <c r="C92" s="953" t="s">
        <v>1063</v>
      </c>
      <c r="D92" s="954"/>
      <c r="E92" s="788" t="s">
        <v>1089</v>
      </c>
      <c r="F92" s="721">
        <v>27</v>
      </c>
      <c r="G92" s="955">
        <v>24</v>
      </c>
      <c r="H92" s="956"/>
      <c r="I92" s="724">
        <v>0</v>
      </c>
      <c r="J92" s="723">
        <v>0</v>
      </c>
      <c r="K92" s="725">
        <v>26</v>
      </c>
      <c r="L92" s="721">
        <v>25</v>
      </c>
      <c r="M92" s="732">
        <v>6</v>
      </c>
      <c r="N92" s="735">
        <v>-19</v>
      </c>
      <c r="O92" s="788" t="s">
        <v>1531</v>
      </c>
      <c r="P92" s="789" t="s">
        <v>1532</v>
      </c>
      <c r="Q92" s="939">
        <v>0</v>
      </c>
      <c r="R92" s="940"/>
    </row>
    <row r="93" spans="1:18" ht="15" customHeight="1" x14ac:dyDescent="0.25">
      <c r="A93" s="788" t="s">
        <v>1533</v>
      </c>
      <c r="B93" s="794">
        <v>44479</v>
      </c>
      <c r="C93" s="953" t="s">
        <v>996</v>
      </c>
      <c r="D93" s="954"/>
      <c r="E93" s="788" t="s">
        <v>1036</v>
      </c>
      <c r="F93" s="726">
        <v>0.2</v>
      </c>
      <c r="G93" s="957">
        <v>2</v>
      </c>
      <c r="H93" s="958"/>
      <c r="I93" s="724">
        <v>0</v>
      </c>
      <c r="J93" s="723">
        <v>0</v>
      </c>
      <c r="K93" s="722">
        <v>1.5</v>
      </c>
      <c r="L93" s="726">
        <v>0.7</v>
      </c>
      <c r="M93" s="732">
        <v>0.28999999999999998</v>
      </c>
      <c r="N93" s="735">
        <v>-0.41</v>
      </c>
      <c r="O93" s="788" t="s">
        <v>1534</v>
      </c>
      <c r="P93" s="789" t="s">
        <v>1535</v>
      </c>
      <c r="Q93" s="939">
        <v>0</v>
      </c>
      <c r="R93" s="940"/>
    </row>
    <row r="94" spans="1:18" ht="15" customHeight="1" x14ac:dyDescent="0.25">
      <c r="A94" s="788" t="s">
        <v>1536</v>
      </c>
      <c r="B94" s="794">
        <v>44479</v>
      </c>
      <c r="C94" s="953" t="s">
        <v>996</v>
      </c>
      <c r="D94" s="954"/>
      <c r="E94" s="788" t="s">
        <v>997</v>
      </c>
      <c r="F94" s="726">
        <v>0.6</v>
      </c>
      <c r="G94" s="957">
        <v>2</v>
      </c>
      <c r="H94" s="958"/>
      <c r="I94" s="724">
        <v>0</v>
      </c>
      <c r="J94" s="723">
        <v>0</v>
      </c>
      <c r="K94" s="722">
        <v>1.8</v>
      </c>
      <c r="L94" s="726">
        <v>0.8</v>
      </c>
      <c r="M94" s="732">
        <v>0.4</v>
      </c>
      <c r="N94" s="735">
        <v>-0.4</v>
      </c>
      <c r="O94" s="788" t="s">
        <v>1537</v>
      </c>
      <c r="P94" s="789" t="s">
        <v>1538</v>
      </c>
      <c r="Q94" s="939">
        <v>0</v>
      </c>
      <c r="R94" s="940"/>
    </row>
    <row r="95" spans="1:18" ht="15" customHeight="1" x14ac:dyDescent="0.25">
      <c r="A95" s="788" t="s">
        <v>1539</v>
      </c>
      <c r="B95" s="794">
        <v>44479</v>
      </c>
      <c r="C95" s="953" t="s">
        <v>1063</v>
      </c>
      <c r="D95" s="954"/>
      <c r="E95" s="788" t="s">
        <v>1089</v>
      </c>
      <c r="F95" s="726">
        <v>9</v>
      </c>
      <c r="G95" s="955">
        <v>48</v>
      </c>
      <c r="H95" s="956"/>
      <c r="I95" s="724">
        <v>0</v>
      </c>
      <c r="J95" s="723">
        <v>0</v>
      </c>
      <c r="K95" s="725">
        <v>29</v>
      </c>
      <c r="L95" s="721">
        <v>28</v>
      </c>
      <c r="M95" s="720">
        <v>12</v>
      </c>
      <c r="N95" s="735">
        <v>-16</v>
      </c>
      <c r="O95" s="788" t="s">
        <v>1540</v>
      </c>
      <c r="P95" s="789" t="s">
        <v>1541</v>
      </c>
      <c r="Q95" s="939">
        <v>0</v>
      </c>
      <c r="R95" s="940"/>
    </row>
    <row r="96" spans="1:18" ht="15" customHeight="1" x14ac:dyDescent="0.25">
      <c r="A96" s="788" t="s">
        <v>1182</v>
      </c>
      <c r="B96" s="794">
        <v>44479</v>
      </c>
      <c r="C96" s="953" t="s">
        <v>970</v>
      </c>
      <c r="D96" s="954"/>
      <c r="E96" s="788" t="s">
        <v>1017</v>
      </c>
      <c r="F96" s="726">
        <v>2</v>
      </c>
      <c r="G96" s="955">
        <v>49.96</v>
      </c>
      <c r="H96" s="956"/>
      <c r="I96" s="724">
        <v>0</v>
      </c>
      <c r="J96" s="723">
        <v>0</v>
      </c>
      <c r="K96" s="725">
        <v>30</v>
      </c>
      <c r="L96" s="721">
        <v>21.96</v>
      </c>
      <c r="M96" s="732">
        <v>0</v>
      </c>
      <c r="N96" s="735">
        <v>-21.96</v>
      </c>
      <c r="O96" s="788" t="s">
        <v>1542</v>
      </c>
      <c r="P96" s="789" t="s">
        <v>1349</v>
      </c>
      <c r="Q96" s="939">
        <v>0</v>
      </c>
      <c r="R96" s="940"/>
    </row>
    <row r="97" spans="1:18" ht="15" customHeight="1" x14ac:dyDescent="0.25">
      <c r="A97" s="788" t="s">
        <v>1291</v>
      </c>
      <c r="B97" s="794">
        <v>44479</v>
      </c>
      <c r="C97" s="953" t="s">
        <v>956</v>
      </c>
      <c r="D97" s="954"/>
      <c r="E97" s="788" t="s">
        <v>1026</v>
      </c>
      <c r="F97" s="726">
        <v>7.7</v>
      </c>
      <c r="G97" s="957">
        <v>0</v>
      </c>
      <c r="H97" s="958"/>
      <c r="I97" s="724">
        <v>0</v>
      </c>
      <c r="J97" s="723">
        <v>0</v>
      </c>
      <c r="K97" s="722">
        <v>2.5</v>
      </c>
      <c r="L97" s="726">
        <v>5.2</v>
      </c>
      <c r="M97" s="732">
        <v>0</v>
      </c>
      <c r="N97" s="735">
        <v>-5.2</v>
      </c>
      <c r="O97" s="788" t="s">
        <v>1543</v>
      </c>
      <c r="P97" s="789" t="s">
        <v>1349</v>
      </c>
      <c r="Q97" s="939">
        <v>0</v>
      </c>
      <c r="R97" s="940"/>
    </row>
    <row r="98" spans="1:18" ht="15" customHeight="1" x14ac:dyDescent="0.25">
      <c r="A98" s="933" t="s">
        <v>1241</v>
      </c>
      <c r="B98" s="941">
        <v>44479</v>
      </c>
      <c r="C98" s="943" t="s">
        <v>1242</v>
      </c>
      <c r="D98" s="944"/>
      <c r="E98" s="933" t="s">
        <v>1243</v>
      </c>
      <c r="F98" s="963">
        <v>3.5</v>
      </c>
      <c r="G98" s="949">
        <v>0</v>
      </c>
      <c r="H98" s="950"/>
      <c r="I98" s="959">
        <v>0</v>
      </c>
      <c r="J98" s="723">
        <v>0</v>
      </c>
      <c r="K98" s="969">
        <v>2.6</v>
      </c>
      <c r="L98" s="963">
        <v>0.9</v>
      </c>
      <c r="M98" s="971">
        <v>0.2</v>
      </c>
      <c r="N98" s="738">
        <v>-0.7</v>
      </c>
      <c r="O98" s="933" t="s">
        <v>1544</v>
      </c>
      <c r="P98" s="790" t="s">
        <v>1545</v>
      </c>
      <c r="Q98" s="935">
        <v>0</v>
      </c>
      <c r="R98" s="936"/>
    </row>
    <row r="99" spans="1:18" ht="5.0999999999999996" customHeight="1" x14ac:dyDescent="0.25">
      <c r="A99" s="934"/>
      <c r="B99" s="942"/>
      <c r="C99" s="945"/>
      <c r="D99" s="946"/>
      <c r="E99" s="934"/>
      <c r="F99" s="964"/>
      <c r="G99" s="951"/>
      <c r="H99" s="952"/>
      <c r="I99" s="960"/>
      <c r="J99" s="729"/>
      <c r="K99" s="970"/>
      <c r="L99" s="964"/>
      <c r="M99" s="972"/>
      <c r="N99" s="728"/>
      <c r="O99" s="934"/>
      <c r="P99" s="728"/>
      <c r="Q99" s="937"/>
      <c r="R99" s="938"/>
    </row>
    <row r="100" spans="1:18" ht="15" customHeight="1" x14ac:dyDescent="0.25">
      <c r="A100" s="788" t="s">
        <v>1546</v>
      </c>
      <c r="B100" s="794">
        <v>44479</v>
      </c>
      <c r="C100" s="953" t="s">
        <v>1073</v>
      </c>
      <c r="D100" s="954"/>
      <c r="E100" s="788" t="s">
        <v>1004</v>
      </c>
      <c r="F100" s="726">
        <v>6.5</v>
      </c>
      <c r="G100" s="955">
        <v>12</v>
      </c>
      <c r="H100" s="956"/>
      <c r="I100" s="724">
        <v>0</v>
      </c>
      <c r="J100" s="723">
        <v>0</v>
      </c>
      <c r="K100" s="725">
        <v>14.6</v>
      </c>
      <c r="L100" s="726">
        <v>3.9</v>
      </c>
      <c r="M100" s="732">
        <v>0.81</v>
      </c>
      <c r="N100" s="735">
        <v>-3.09</v>
      </c>
      <c r="O100" s="788" t="s">
        <v>1547</v>
      </c>
      <c r="P100" s="789" t="s">
        <v>1548</v>
      </c>
      <c r="Q100" s="939">
        <v>0</v>
      </c>
      <c r="R100" s="940"/>
    </row>
    <row r="101" spans="1:18" ht="15" customHeight="1" x14ac:dyDescent="0.25">
      <c r="A101" s="788" t="s">
        <v>1549</v>
      </c>
      <c r="B101" s="794">
        <v>44479</v>
      </c>
      <c r="C101" s="953" t="s">
        <v>1084</v>
      </c>
      <c r="D101" s="954"/>
      <c r="E101" s="788" t="s">
        <v>1550</v>
      </c>
      <c r="F101" s="726">
        <v>0.68</v>
      </c>
      <c r="G101" s="957">
        <v>1.2</v>
      </c>
      <c r="H101" s="958"/>
      <c r="I101" s="724">
        <v>0</v>
      </c>
      <c r="J101" s="723">
        <v>0</v>
      </c>
      <c r="K101" s="722">
        <v>1.43</v>
      </c>
      <c r="L101" s="726">
        <v>0.44</v>
      </c>
      <c r="M101" s="732">
        <v>0</v>
      </c>
      <c r="N101" s="735">
        <v>-0.44</v>
      </c>
      <c r="O101" s="788" t="s">
        <v>1551</v>
      </c>
      <c r="P101" s="789" t="s">
        <v>1349</v>
      </c>
      <c r="Q101" s="939">
        <v>0</v>
      </c>
      <c r="R101" s="940"/>
    </row>
    <row r="102" spans="1:18" ht="15" customHeight="1" x14ac:dyDescent="0.25">
      <c r="A102" s="788" t="s">
        <v>1037</v>
      </c>
      <c r="B102" s="794">
        <v>44479</v>
      </c>
      <c r="C102" s="953" t="s">
        <v>966</v>
      </c>
      <c r="D102" s="954"/>
      <c r="E102" s="788" t="s">
        <v>1038</v>
      </c>
      <c r="F102" s="721">
        <v>46</v>
      </c>
      <c r="G102" s="955">
        <v>80</v>
      </c>
      <c r="H102" s="956"/>
      <c r="I102" s="724">
        <v>0</v>
      </c>
      <c r="J102" s="723">
        <v>0</v>
      </c>
      <c r="K102" s="725">
        <v>40</v>
      </c>
      <c r="L102" s="721">
        <v>86</v>
      </c>
      <c r="M102" s="720">
        <v>78</v>
      </c>
      <c r="N102" s="735">
        <v>-8</v>
      </c>
      <c r="O102" s="788" t="s">
        <v>1552</v>
      </c>
      <c r="P102" s="789" t="s">
        <v>1553</v>
      </c>
      <c r="Q102" s="939">
        <v>0</v>
      </c>
      <c r="R102" s="940"/>
    </row>
    <row r="103" spans="1:18" ht="15" customHeight="1" x14ac:dyDescent="0.25">
      <c r="A103" s="788" t="s">
        <v>1554</v>
      </c>
      <c r="B103" s="794">
        <v>44479</v>
      </c>
      <c r="C103" s="953" t="s">
        <v>970</v>
      </c>
      <c r="D103" s="954"/>
      <c r="E103" s="788" t="s">
        <v>1062</v>
      </c>
      <c r="F103" s="726">
        <v>1</v>
      </c>
      <c r="G103" s="955">
        <v>24.98</v>
      </c>
      <c r="H103" s="956"/>
      <c r="I103" s="724">
        <v>0</v>
      </c>
      <c r="J103" s="723">
        <v>0</v>
      </c>
      <c r="K103" s="725">
        <v>10</v>
      </c>
      <c r="L103" s="721">
        <v>15.98</v>
      </c>
      <c r="M103" s="732">
        <v>8.19</v>
      </c>
      <c r="N103" s="735">
        <v>-7.78</v>
      </c>
      <c r="O103" s="788" t="s">
        <v>1555</v>
      </c>
      <c r="P103" s="789" t="s">
        <v>1556</v>
      </c>
      <c r="Q103" s="939">
        <v>0</v>
      </c>
      <c r="R103" s="940"/>
    </row>
    <row r="104" spans="1:18" ht="15" customHeight="1" x14ac:dyDescent="0.25">
      <c r="A104" s="788" t="s">
        <v>1557</v>
      </c>
      <c r="B104" s="794">
        <v>44479</v>
      </c>
      <c r="C104" s="953" t="s">
        <v>970</v>
      </c>
      <c r="D104" s="954"/>
      <c r="E104" s="788" t="s">
        <v>1082</v>
      </c>
      <c r="F104" s="721">
        <v>17.5</v>
      </c>
      <c r="G104" s="955">
        <v>26.98</v>
      </c>
      <c r="H104" s="956"/>
      <c r="I104" s="724">
        <v>0</v>
      </c>
      <c r="J104" s="723">
        <v>0</v>
      </c>
      <c r="K104" s="725">
        <v>30</v>
      </c>
      <c r="L104" s="721">
        <v>14.48</v>
      </c>
      <c r="M104" s="732">
        <v>7.87</v>
      </c>
      <c r="N104" s="735">
        <v>-6.61</v>
      </c>
      <c r="O104" s="788" t="s">
        <v>1558</v>
      </c>
      <c r="P104" s="789" t="s">
        <v>1559</v>
      </c>
      <c r="Q104" s="939">
        <v>0</v>
      </c>
      <c r="R104" s="940"/>
    </row>
    <row r="105" spans="1:18" ht="15" customHeight="1" x14ac:dyDescent="0.25">
      <c r="A105" s="788" t="s">
        <v>1001</v>
      </c>
      <c r="B105" s="794">
        <v>44479</v>
      </c>
      <c r="C105" s="953" t="s">
        <v>1002</v>
      </c>
      <c r="D105" s="954"/>
      <c r="E105" s="788" t="s">
        <v>1560</v>
      </c>
      <c r="F105" s="726">
        <v>2</v>
      </c>
      <c r="G105" s="955">
        <v>12</v>
      </c>
      <c r="H105" s="956"/>
      <c r="I105" s="724">
        <v>0</v>
      </c>
      <c r="J105" s="723">
        <v>0</v>
      </c>
      <c r="K105" s="722">
        <v>7.5</v>
      </c>
      <c r="L105" s="726">
        <v>6.5</v>
      </c>
      <c r="M105" s="732">
        <v>3.88</v>
      </c>
      <c r="N105" s="735">
        <v>-2.62</v>
      </c>
      <c r="O105" s="788" t="s">
        <v>1561</v>
      </c>
      <c r="P105" s="789" t="s">
        <v>1562</v>
      </c>
      <c r="Q105" s="939">
        <v>0</v>
      </c>
      <c r="R105" s="940"/>
    </row>
    <row r="106" spans="1:18" ht="15" customHeight="1" x14ac:dyDescent="0.25">
      <c r="A106" s="788" t="s">
        <v>1563</v>
      </c>
      <c r="B106" s="794">
        <v>44479</v>
      </c>
      <c r="C106" s="953" t="s">
        <v>956</v>
      </c>
      <c r="D106" s="954"/>
      <c r="E106" s="788" t="s">
        <v>1123</v>
      </c>
      <c r="F106" s="726">
        <v>1.5</v>
      </c>
      <c r="G106" s="957">
        <v>5</v>
      </c>
      <c r="H106" s="958"/>
      <c r="I106" s="724">
        <v>0</v>
      </c>
      <c r="J106" s="723">
        <v>0</v>
      </c>
      <c r="K106" s="722">
        <v>4.3</v>
      </c>
      <c r="L106" s="726">
        <v>2.2000000000000002</v>
      </c>
      <c r="M106" s="732">
        <v>1.67</v>
      </c>
      <c r="N106" s="735">
        <v>-0.53</v>
      </c>
      <c r="O106" s="788" t="s">
        <v>1564</v>
      </c>
      <c r="P106" s="789" t="s">
        <v>1565</v>
      </c>
      <c r="Q106" s="939">
        <v>0</v>
      </c>
      <c r="R106" s="940"/>
    </row>
    <row r="107" spans="1:18" ht="15" customHeight="1" x14ac:dyDescent="0.25">
      <c r="A107" s="788" t="s">
        <v>1068</v>
      </c>
      <c r="B107" s="794">
        <v>44479</v>
      </c>
      <c r="C107" s="953" t="s">
        <v>966</v>
      </c>
      <c r="D107" s="954"/>
      <c r="E107" s="788" t="s">
        <v>1069</v>
      </c>
      <c r="F107" s="721">
        <v>112</v>
      </c>
      <c r="G107" s="957">
        <v>0</v>
      </c>
      <c r="H107" s="958"/>
      <c r="I107" s="724">
        <v>0</v>
      </c>
      <c r="J107" s="723">
        <v>0</v>
      </c>
      <c r="K107" s="725">
        <v>84</v>
      </c>
      <c r="L107" s="721">
        <v>28</v>
      </c>
      <c r="M107" s="732">
        <v>6.61</v>
      </c>
      <c r="N107" s="735">
        <v>-21.39</v>
      </c>
      <c r="O107" s="788" t="s">
        <v>1566</v>
      </c>
      <c r="P107" s="789" t="s">
        <v>1567</v>
      </c>
      <c r="Q107" s="939">
        <v>0</v>
      </c>
      <c r="R107" s="940"/>
    </row>
    <row r="108" spans="1:18" ht="15" customHeight="1" x14ac:dyDescent="0.25">
      <c r="A108" s="788" t="s">
        <v>1128</v>
      </c>
      <c r="B108" s="794">
        <v>44479</v>
      </c>
      <c r="C108" s="953" t="s">
        <v>1129</v>
      </c>
      <c r="D108" s="954"/>
      <c r="E108" s="788" t="s">
        <v>1130</v>
      </c>
      <c r="F108" s="726">
        <v>1</v>
      </c>
      <c r="G108" s="957">
        <v>0</v>
      </c>
      <c r="H108" s="958"/>
      <c r="I108" s="724">
        <v>0</v>
      </c>
      <c r="J108" s="723">
        <v>0</v>
      </c>
      <c r="K108" s="722">
        <v>0</v>
      </c>
      <c r="L108" s="726">
        <v>1</v>
      </c>
      <c r="M108" s="732">
        <v>0</v>
      </c>
      <c r="N108" s="735">
        <v>-1</v>
      </c>
      <c r="O108" s="788" t="s">
        <v>1568</v>
      </c>
      <c r="P108" s="789" t="s">
        <v>1349</v>
      </c>
      <c r="Q108" s="939">
        <v>0</v>
      </c>
      <c r="R108" s="940"/>
    </row>
    <row r="109" spans="1:18" ht="15" customHeight="1" x14ac:dyDescent="0.25">
      <c r="A109" s="788" t="s">
        <v>978</v>
      </c>
      <c r="B109" s="794">
        <v>44479</v>
      </c>
      <c r="C109" s="953" t="s">
        <v>956</v>
      </c>
      <c r="D109" s="954"/>
      <c r="E109" s="788" t="s">
        <v>979</v>
      </c>
      <c r="F109" s="726">
        <v>2.2999999999999998</v>
      </c>
      <c r="G109" s="957">
        <v>9.07</v>
      </c>
      <c r="H109" s="958"/>
      <c r="I109" s="724">
        <v>0</v>
      </c>
      <c r="J109" s="723">
        <v>0</v>
      </c>
      <c r="K109" s="725">
        <v>10</v>
      </c>
      <c r="L109" s="726">
        <v>1.37</v>
      </c>
      <c r="M109" s="732">
        <v>0.56000000000000005</v>
      </c>
      <c r="N109" s="735">
        <v>-0.81</v>
      </c>
      <c r="O109" s="788" t="s">
        <v>1569</v>
      </c>
      <c r="P109" s="789" t="s">
        <v>1570</v>
      </c>
      <c r="Q109" s="939">
        <v>0</v>
      </c>
      <c r="R109" s="940"/>
    </row>
    <row r="110" spans="1:18" ht="15" customHeight="1" x14ac:dyDescent="0.25">
      <c r="A110" s="788" t="s">
        <v>1571</v>
      </c>
      <c r="B110" s="794">
        <v>44479</v>
      </c>
      <c r="C110" s="953" t="s">
        <v>966</v>
      </c>
      <c r="D110" s="954"/>
      <c r="E110" s="788" t="s">
        <v>1147</v>
      </c>
      <c r="F110" s="721">
        <v>31</v>
      </c>
      <c r="G110" s="957">
        <v>0</v>
      </c>
      <c r="H110" s="958"/>
      <c r="I110" s="724">
        <v>0</v>
      </c>
      <c r="J110" s="723">
        <v>0</v>
      </c>
      <c r="K110" s="725">
        <v>18.25</v>
      </c>
      <c r="L110" s="721">
        <v>12.75</v>
      </c>
      <c r="M110" s="720">
        <v>10</v>
      </c>
      <c r="N110" s="735">
        <v>-2.75</v>
      </c>
      <c r="O110" s="788" t="s">
        <v>1572</v>
      </c>
      <c r="P110" s="789" t="s">
        <v>1573</v>
      </c>
      <c r="Q110" s="939">
        <v>0</v>
      </c>
      <c r="R110" s="940"/>
    </row>
    <row r="111" spans="1:18" ht="15" customHeight="1" x14ac:dyDescent="0.25">
      <c r="A111" s="788" t="s">
        <v>1574</v>
      </c>
      <c r="B111" s="794">
        <v>44479</v>
      </c>
      <c r="C111" s="953" t="s">
        <v>1063</v>
      </c>
      <c r="D111" s="954"/>
      <c r="E111" s="788" t="s">
        <v>1064</v>
      </c>
      <c r="F111" s="726">
        <v>7</v>
      </c>
      <c r="G111" s="955">
        <v>20</v>
      </c>
      <c r="H111" s="956"/>
      <c r="I111" s="724">
        <v>0</v>
      </c>
      <c r="J111" s="723">
        <v>0</v>
      </c>
      <c r="K111" s="725">
        <v>25</v>
      </c>
      <c r="L111" s="726">
        <v>2</v>
      </c>
      <c r="M111" s="732">
        <v>0</v>
      </c>
      <c r="N111" s="735">
        <v>-2</v>
      </c>
      <c r="O111" s="788" t="s">
        <v>1575</v>
      </c>
      <c r="P111" s="789" t="s">
        <v>1349</v>
      </c>
      <c r="Q111" s="939">
        <v>0</v>
      </c>
      <c r="R111" s="940"/>
    </row>
    <row r="112" spans="1:18" ht="15" customHeight="1" x14ac:dyDescent="0.25">
      <c r="A112" s="788" t="s">
        <v>1085</v>
      </c>
      <c r="B112" s="794">
        <v>44479</v>
      </c>
      <c r="C112" s="953" t="s">
        <v>1086</v>
      </c>
      <c r="D112" s="954"/>
      <c r="E112" s="788" t="s">
        <v>1087</v>
      </c>
      <c r="F112" s="726">
        <v>5.5</v>
      </c>
      <c r="G112" s="957">
        <v>0</v>
      </c>
      <c r="H112" s="958"/>
      <c r="I112" s="724">
        <v>0</v>
      </c>
      <c r="J112" s="723">
        <v>0</v>
      </c>
      <c r="K112" s="722">
        <v>2.5</v>
      </c>
      <c r="L112" s="726">
        <v>3</v>
      </c>
      <c r="M112" s="732">
        <v>2.17</v>
      </c>
      <c r="N112" s="735">
        <v>-0.83</v>
      </c>
      <c r="O112" s="788" t="s">
        <v>1576</v>
      </c>
      <c r="P112" s="789" t="s">
        <v>1577</v>
      </c>
      <c r="Q112" s="939">
        <v>0</v>
      </c>
      <c r="R112" s="940"/>
    </row>
    <row r="113" spans="1:18" ht="15" customHeight="1" x14ac:dyDescent="0.25">
      <c r="A113" s="788" t="s">
        <v>1053</v>
      </c>
      <c r="B113" s="794">
        <v>44479</v>
      </c>
      <c r="C113" s="953" t="s">
        <v>971</v>
      </c>
      <c r="D113" s="954"/>
      <c r="E113" s="788" t="s">
        <v>1054</v>
      </c>
      <c r="F113" s="721">
        <v>11.25</v>
      </c>
      <c r="G113" s="957">
        <v>0</v>
      </c>
      <c r="H113" s="958"/>
      <c r="I113" s="724">
        <v>0</v>
      </c>
      <c r="J113" s="723">
        <v>0</v>
      </c>
      <c r="K113" s="725">
        <v>10.1</v>
      </c>
      <c r="L113" s="726">
        <v>1.1499999999999999</v>
      </c>
      <c r="M113" s="732">
        <v>0.74</v>
      </c>
      <c r="N113" s="735">
        <v>-0.41</v>
      </c>
      <c r="O113" s="788" t="s">
        <v>1578</v>
      </c>
      <c r="P113" s="789" t="s">
        <v>1579</v>
      </c>
      <c r="Q113" s="939">
        <v>0</v>
      </c>
      <c r="R113" s="940"/>
    </row>
    <row r="114" spans="1:18" ht="15" customHeight="1" x14ac:dyDescent="0.25">
      <c r="A114" s="788" t="s">
        <v>1079</v>
      </c>
      <c r="B114" s="794">
        <v>44479</v>
      </c>
      <c r="C114" s="953" t="s">
        <v>984</v>
      </c>
      <c r="D114" s="954"/>
      <c r="E114" s="788" t="s">
        <v>967</v>
      </c>
      <c r="F114" s="721">
        <v>67</v>
      </c>
      <c r="G114" s="955">
        <v>100</v>
      </c>
      <c r="H114" s="956"/>
      <c r="I114" s="724">
        <v>0</v>
      </c>
      <c r="J114" s="723">
        <v>0</v>
      </c>
      <c r="K114" s="725">
        <v>90</v>
      </c>
      <c r="L114" s="721">
        <v>77</v>
      </c>
      <c r="M114" s="720">
        <v>71</v>
      </c>
      <c r="N114" s="735">
        <v>-6</v>
      </c>
      <c r="O114" s="788" t="s">
        <v>1580</v>
      </c>
      <c r="P114" s="789" t="s">
        <v>1581</v>
      </c>
      <c r="Q114" s="939">
        <v>0</v>
      </c>
      <c r="R114" s="940"/>
    </row>
    <row r="115" spans="1:18" ht="15" customHeight="1" x14ac:dyDescent="0.25">
      <c r="A115" s="788" t="s">
        <v>1282</v>
      </c>
      <c r="B115" s="794">
        <v>44479</v>
      </c>
      <c r="C115" s="953" t="s">
        <v>971</v>
      </c>
      <c r="D115" s="954"/>
      <c r="E115" s="788" t="s">
        <v>1283</v>
      </c>
      <c r="F115" s="726">
        <v>6.66</v>
      </c>
      <c r="G115" s="957">
        <v>0</v>
      </c>
      <c r="H115" s="958"/>
      <c r="I115" s="724">
        <v>0</v>
      </c>
      <c r="J115" s="723">
        <v>0</v>
      </c>
      <c r="K115" s="722">
        <v>5.92</v>
      </c>
      <c r="L115" s="726">
        <v>0.74</v>
      </c>
      <c r="M115" s="732">
        <v>0</v>
      </c>
      <c r="N115" s="735">
        <v>-0.74</v>
      </c>
      <c r="O115" s="788" t="s">
        <v>1582</v>
      </c>
      <c r="P115" s="789" t="s">
        <v>1349</v>
      </c>
      <c r="Q115" s="939">
        <v>0</v>
      </c>
      <c r="R115" s="940"/>
    </row>
    <row r="116" spans="1:18" ht="15" customHeight="1" x14ac:dyDescent="0.25">
      <c r="A116" s="788" t="s">
        <v>1229</v>
      </c>
      <c r="B116" s="794">
        <v>44479</v>
      </c>
      <c r="C116" s="953" t="s">
        <v>1063</v>
      </c>
      <c r="D116" s="954"/>
      <c r="E116" s="788" t="s">
        <v>1089</v>
      </c>
      <c r="F116" s="721">
        <v>12</v>
      </c>
      <c r="G116" s="955">
        <v>24</v>
      </c>
      <c r="H116" s="956"/>
      <c r="I116" s="724">
        <v>0</v>
      </c>
      <c r="J116" s="723">
        <v>0</v>
      </c>
      <c r="K116" s="725">
        <v>32</v>
      </c>
      <c r="L116" s="726">
        <v>4</v>
      </c>
      <c r="M116" s="732">
        <v>0</v>
      </c>
      <c r="N116" s="735">
        <v>-4</v>
      </c>
      <c r="O116" s="788" t="s">
        <v>1583</v>
      </c>
      <c r="P116" s="789" t="s">
        <v>1349</v>
      </c>
      <c r="Q116" s="939">
        <v>0</v>
      </c>
      <c r="R116" s="940"/>
    </row>
    <row r="117" spans="1:18" ht="15" customHeight="1" x14ac:dyDescent="0.25">
      <c r="A117" s="788" t="s">
        <v>1584</v>
      </c>
      <c r="B117" s="794">
        <v>44479</v>
      </c>
      <c r="C117" s="953" t="s">
        <v>1018</v>
      </c>
      <c r="D117" s="954"/>
      <c r="E117" s="788" t="s">
        <v>1019</v>
      </c>
      <c r="F117" s="721">
        <v>20.100000000000001</v>
      </c>
      <c r="G117" s="957">
        <v>0</v>
      </c>
      <c r="H117" s="958"/>
      <c r="I117" s="724">
        <v>0</v>
      </c>
      <c r="J117" s="723">
        <v>0</v>
      </c>
      <c r="K117" s="725">
        <v>15.9</v>
      </c>
      <c r="L117" s="726">
        <v>4.2</v>
      </c>
      <c r="M117" s="732">
        <v>2.4900000000000002</v>
      </c>
      <c r="N117" s="735">
        <v>-1.71</v>
      </c>
      <c r="O117" s="788" t="s">
        <v>1585</v>
      </c>
      <c r="P117" s="789" t="s">
        <v>1586</v>
      </c>
      <c r="Q117" s="939">
        <v>0</v>
      </c>
      <c r="R117" s="940"/>
    </row>
    <row r="118" spans="1:18" ht="15" customHeight="1" x14ac:dyDescent="0.25">
      <c r="A118" s="788" t="s">
        <v>1587</v>
      </c>
      <c r="B118" s="794">
        <v>44479</v>
      </c>
      <c r="C118" s="953" t="s">
        <v>966</v>
      </c>
      <c r="D118" s="954"/>
      <c r="E118" s="788" t="s">
        <v>1017</v>
      </c>
      <c r="F118" s="721">
        <v>24</v>
      </c>
      <c r="G118" s="957">
        <v>0</v>
      </c>
      <c r="H118" s="958"/>
      <c r="I118" s="724">
        <v>0</v>
      </c>
      <c r="J118" s="723">
        <v>0</v>
      </c>
      <c r="K118" s="725">
        <v>18</v>
      </c>
      <c r="L118" s="726">
        <v>6</v>
      </c>
      <c r="M118" s="732">
        <v>1</v>
      </c>
      <c r="N118" s="735">
        <v>-5</v>
      </c>
      <c r="O118" s="788" t="s">
        <v>1588</v>
      </c>
      <c r="P118" s="789" t="s">
        <v>1589</v>
      </c>
      <c r="Q118" s="939">
        <v>0</v>
      </c>
      <c r="R118" s="940"/>
    </row>
    <row r="119" spans="1:18" ht="14.1" customHeight="1" x14ac:dyDescent="0.25">
      <c r="A119" s="788" t="s">
        <v>1590</v>
      </c>
      <c r="B119" s="794">
        <v>44479</v>
      </c>
      <c r="C119" s="953" t="s">
        <v>1112</v>
      </c>
      <c r="D119" s="954"/>
      <c r="E119" s="788" t="s">
        <v>1113</v>
      </c>
      <c r="F119" s="726">
        <v>3.8</v>
      </c>
      <c r="G119" s="957">
        <v>0</v>
      </c>
      <c r="H119" s="958"/>
      <c r="I119" s="724">
        <v>0</v>
      </c>
      <c r="J119" s="723">
        <v>0</v>
      </c>
      <c r="K119" s="722">
        <v>2.5</v>
      </c>
      <c r="L119" s="726">
        <v>1.3</v>
      </c>
      <c r="M119" s="732">
        <v>0.37</v>
      </c>
      <c r="N119" s="735">
        <v>-0.93</v>
      </c>
      <c r="O119" s="788" t="s">
        <v>1591</v>
      </c>
      <c r="P119" s="789" t="s">
        <v>1592</v>
      </c>
      <c r="Q119" s="939">
        <v>0</v>
      </c>
      <c r="R119" s="940"/>
    </row>
    <row r="120" spans="1:18" ht="30" customHeight="1" x14ac:dyDescent="0.25">
      <c r="A120" s="785" t="s">
        <v>939</v>
      </c>
      <c r="B120" s="786" t="s">
        <v>940</v>
      </c>
      <c r="C120" s="973" t="s">
        <v>941</v>
      </c>
      <c r="D120" s="974"/>
      <c r="E120" s="786" t="s">
        <v>942</v>
      </c>
      <c r="F120" s="786" t="s">
        <v>943</v>
      </c>
      <c r="G120" s="975" t="s">
        <v>944</v>
      </c>
      <c r="H120" s="976"/>
      <c r="I120" s="786" t="s">
        <v>945</v>
      </c>
      <c r="J120" s="787" t="s">
        <v>946</v>
      </c>
      <c r="K120" s="786" t="s">
        <v>947</v>
      </c>
      <c r="L120" s="786" t="s">
        <v>948</v>
      </c>
      <c r="M120" s="786" t="s">
        <v>949</v>
      </c>
      <c r="N120" s="786" t="s">
        <v>950</v>
      </c>
      <c r="O120" s="739" t="s">
        <v>951</v>
      </c>
      <c r="P120" s="786" t="s">
        <v>952</v>
      </c>
      <c r="Q120" s="975" t="s">
        <v>953</v>
      </c>
      <c r="R120" s="976"/>
    </row>
    <row r="121" spans="1:18" ht="15" customHeight="1" x14ac:dyDescent="0.25">
      <c r="A121" s="788" t="s">
        <v>1078</v>
      </c>
      <c r="B121" s="794">
        <v>44479</v>
      </c>
      <c r="C121" s="953" t="s">
        <v>996</v>
      </c>
      <c r="D121" s="954"/>
      <c r="E121" s="788" t="s">
        <v>1036</v>
      </c>
      <c r="F121" s="726">
        <v>0.5</v>
      </c>
      <c r="G121" s="957">
        <v>1</v>
      </c>
      <c r="H121" s="958"/>
      <c r="I121" s="724">
        <v>0</v>
      </c>
      <c r="J121" s="723">
        <v>0</v>
      </c>
      <c r="K121" s="722">
        <v>1.4</v>
      </c>
      <c r="L121" s="726">
        <v>0.1</v>
      </c>
      <c r="M121" s="732">
        <v>0.05</v>
      </c>
      <c r="N121" s="735">
        <v>-0.05</v>
      </c>
      <c r="O121" s="788" t="s">
        <v>1593</v>
      </c>
      <c r="P121" s="789" t="s">
        <v>1594</v>
      </c>
      <c r="Q121" s="939">
        <v>0</v>
      </c>
      <c r="R121" s="940"/>
    </row>
    <row r="122" spans="1:18" ht="15" customHeight="1" x14ac:dyDescent="0.25">
      <c r="A122" s="788" t="s">
        <v>1157</v>
      </c>
      <c r="B122" s="794">
        <v>44479</v>
      </c>
      <c r="C122" s="953" t="s">
        <v>1154</v>
      </c>
      <c r="D122" s="954"/>
      <c r="E122" s="788" t="s">
        <v>1158</v>
      </c>
      <c r="F122" s="726">
        <v>9</v>
      </c>
      <c r="G122" s="957">
        <v>0</v>
      </c>
      <c r="H122" s="958"/>
      <c r="I122" s="724">
        <v>0</v>
      </c>
      <c r="J122" s="723">
        <v>0</v>
      </c>
      <c r="K122" s="722">
        <v>5</v>
      </c>
      <c r="L122" s="726">
        <v>4</v>
      </c>
      <c r="M122" s="732">
        <v>0</v>
      </c>
      <c r="N122" s="735">
        <v>-4</v>
      </c>
      <c r="O122" s="788" t="s">
        <v>1595</v>
      </c>
      <c r="P122" s="789" t="s">
        <v>1349</v>
      </c>
      <c r="Q122" s="939">
        <v>0</v>
      </c>
      <c r="R122" s="940"/>
    </row>
    <row r="123" spans="1:18" ht="15" customHeight="1" x14ac:dyDescent="0.25">
      <c r="A123" s="788" t="s">
        <v>1025</v>
      </c>
      <c r="B123" s="794">
        <v>44479</v>
      </c>
      <c r="C123" s="953" t="s">
        <v>956</v>
      </c>
      <c r="D123" s="954"/>
      <c r="E123" s="788" t="s">
        <v>1026</v>
      </c>
      <c r="F123" s="726">
        <v>3.2</v>
      </c>
      <c r="G123" s="957">
        <v>0</v>
      </c>
      <c r="H123" s="958"/>
      <c r="I123" s="724">
        <v>0</v>
      </c>
      <c r="J123" s="723">
        <v>0</v>
      </c>
      <c r="K123" s="722">
        <v>2.5</v>
      </c>
      <c r="L123" s="726">
        <v>0.7</v>
      </c>
      <c r="M123" s="732">
        <v>0</v>
      </c>
      <c r="N123" s="735">
        <v>-0.7</v>
      </c>
      <c r="O123" s="788" t="s">
        <v>1596</v>
      </c>
      <c r="P123" s="789" t="s">
        <v>1349</v>
      </c>
      <c r="Q123" s="939">
        <v>0</v>
      </c>
      <c r="R123" s="940"/>
    </row>
    <row r="124" spans="1:18" ht="15" customHeight="1" x14ac:dyDescent="0.25">
      <c r="A124" s="788" t="s">
        <v>1240</v>
      </c>
      <c r="B124" s="794">
        <v>44479</v>
      </c>
      <c r="C124" s="953" t="s">
        <v>1002</v>
      </c>
      <c r="D124" s="954"/>
      <c r="E124" s="788" t="s">
        <v>1026</v>
      </c>
      <c r="F124" s="721">
        <v>12.1</v>
      </c>
      <c r="G124" s="957">
        <v>0</v>
      </c>
      <c r="H124" s="958"/>
      <c r="I124" s="724">
        <v>0</v>
      </c>
      <c r="J124" s="723">
        <v>0</v>
      </c>
      <c r="K124" s="725">
        <v>10.199999999999999</v>
      </c>
      <c r="L124" s="726">
        <v>1.9</v>
      </c>
      <c r="M124" s="732">
        <v>1.36</v>
      </c>
      <c r="N124" s="735">
        <v>-0.54</v>
      </c>
      <c r="O124" s="788" t="s">
        <v>1597</v>
      </c>
      <c r="P124" s="789" t="s">
        <v>1598</v>
      </c>
      <c r="Q124" s="939">
        <v>0</v>
      </c>
      <c r="R124" s="940"/>
    </row>
    <row r="125" spans="1:18" ht="15" customHeight="1" x14ac:dyDescent="0.25">
      <c r="A125" s="788" t="s">
        <v>1110</v>
      </c>
      <c r="B125" s="794">
        <v>44479</v>
      </c>
      <c r="C125" s="953" t="s">
        <v>1063</v>
      </c>
      <c r="D125" s="954"/>
      <c r="E125" s="788" t="s">
        <v>1111</v>
      </c>
      <c r="F125" s="726">
        <v>6</v>
      </c>
      <c r="G125" s="957">
        <v>0</v>
      </c>
      <c r="H125" s="958"/>
      <c r="I125" s="724">
        <v>0</v>
      </c>
      <c r="J125" s="723">
        <v>0</v>
      </c>
      <c r="K125" s="722">
        <v>5</v>
      </c>
      <c r="L125" s="726">
        <v>1</v>
      </c>
      <c r="M125" s="732">
        <v>0</v>
      </c>
      <c r="N125" s="735">
        <v>-1</v>
      </c>
      <c r="O125" s="788" t="s">
        <v>1599</v>
      </c>
      <c r="P125" s="789" t="s">
        <v>1349</v>
      </c>
      <c r="Q125" s="939">
        <v>0</v>
      </c>
      <c r="R125" s="940"/>
    </row>
    <row r="126" spans="1:18" ht="15" customHeight="1" x14ac:dyDescent="0.25">
      <c r="A126" s="788" t="s">
        <v>1260</v>
      </c>
      <c r="B126" s="794">
        <v>44479</v>
      </c>
      <c r="C126" s="953" t="s">
        <v>1180</v>
      </c>
      <c r="D126" s="954"/>
      <c r="E126" s="788" t="s">
        <v>1261</v>
      </c>
      <c r="F126" s="726">
        <v>0.9</v>
      </c>
      <c r="G126" s="957">
        <v>4</v>
      </c>
      <c r="H126" s="958"/>
      <c r="I126" s="724">
        <v>0</v>
      </c>
      <c r="J126" s="723">
        <v>0</v>
      </c>
      <c r="K126" s="722">
        <v>2</v>
      </c>
      <c r="L126" s="726">
        <v>2.9</v>
      </c>
      <c r="M126" s="732">
        <v>2.66</v>
      </c>
      <c r="N126" s="735">
        <v>-0.24</v>
      </c>
      <c r="O126" s="788" t="s">
        <v>1600</v>
      </c>
      <c r="P126" s="789" t="s">
        <v>1601</v>
      </c>
      <c r="Q126" s="939">
        <v>0</v>
      </c>
      <c r="R126" s="940"/>
    </row>
    <row r="127" spans="1:18" ht="15" customHeight="1" x14ac:dyDescent="0.25">
      <c r="A127" s="788" t="s">
        <v>1237</v>
      </c>
      <c r="B127" s="794">
        <v>44479</v>
      </c>
      <c r="C127" s="953" t="s">
        <v>1238</v>
      </c>
      <c r="D127" s="954"/>
      <c r="E127" s="788" t="s">
        <v>1239</v>
      </c>
      <c r="F127" s="726">
        <v>6.5</v>
      </c>
      <c r="G127" s="957">
        <v>0</v>
      </c>
      <c r="H127" s="958"/>
      <c r="I127" s="724">
        <v>0</v>
      </c>
      <c r="J127" s="723">
        <v>0</v>
      </c>
      <c r="K127" s="722">
        <v>6.2</v>
      </c>
      <c r="L127" s="726">
        <v>0.3</v>
      </c>
      <c r="M127" s="732">
        <v>0.1</v>
      </c>
      <c r="N127" s="735">
        <v>-0.2</v>
      </c>
      <c r="O127" s="788" t="s">
        <v>1602</v>
      </c>
      <c r="P127" s="789" t="s">
        <v>1603</v>
      </c>
      <c r="Q127" s="939">
        <v>0</v>
      </c>
      <c r="R127" s="940"/>
    </row>
    <row r="128" spans="1:18" ht="15" customHeight="1" x14ac:dyDescent="0.25">
      <c r="A128" s="788" t="s">
        <v>1097</v>
      </c>
      <c r="B128" s="794">
        <v>44479</v>
      </c>
      <c r="C128" s="953" t="s">
        <v>1063</v>
      </c>
      <c r="D128" s="954"/>
      <c r="E128" s="788" t="s">
        <v>1098</v>
      </c>
      <c r="F128" s="726">
        <v>4</v>
      </c>
      <c r="G128" s="955">
        <v>24</v>
      </c>
      <c r="H128" s="956"/>
      <c r="I128" s="724">
        <v>0</v>
      </c>
      <c r="J128" s="723">
        <v>0</v>
      </c>
      <c r="K128" s="725">
        <v>27</v>
      </c>
      <c r="L128" s="726">
        <v>1</v>
      </c>
      <c r="M128" s="732">
        <v>0</v>
      </c>
      <c r="N128" s="735">
        <v>-1</v>
      </c>
      <c r="O128" s="788" t="s">
        <v>1604</v>
      </c>
      <c r="P128" s="789" t="s">
        <v>1349</v>
      </c>
      <c r="Q128" s="939">
        <v>0</v>
      </c>
      <c r="R128" s="940"/>
    </row>
    <row r="129" spans="1:18" ht="15" customHeight="1" x14ac:dyDescent="0.25">
      <c r="A129" s="788" t="s">
        <v>1605</v>
      </c>
      <c r="B129" s="794">
        <v>44479</v>
      </c>
      <c r="C129" s="953" t="s">
        <v>966</v>
      </c>
      <c r="D129" s="954"/>
      <c r="E129" s="788" t="s">
        <v>1218</v>
      </c>
      <c r="F129" s="721">
        <v>114</v>
      </c>
      <c r="G129" s="957">
        <v>0</v>
      </c>
      <c r="H129" s="958"/>
      <c r="I129" s="724">
        <v>0</v>
      </c>
      <c r="J129" s="723">
        <v>0</v>
      </c>
      <c r="K129" s="725">
        <v>102</v>
      </c>
      <c r="L129" s="721">
        <v>12</v>
      </c>
      <c r="M129" s="720">
        <v>11</v>
      </c>
      <c r="N129" s="735">
        <v>-1</v>
      </c>
      <c r="O129" s="788" t="s">
        <v>1606</v>
      </c>
      <c r="P129" s="789" t="s">
        <v>1607</v>
      </c>
      <c r="Q129" s="939">
        <v>0</v>
      </c>
      <c r="R129" s="940"/>
    </row>
    <row r="130" spans="1:18" ht="15" customHeight="1" x14ac:dyDescent="0.25">
      <c r="A130" s="788" t="s">
        <v>1608</v>
      </c>
      <c r="B130" s="794">
        <v>44479</v>
      </c>
      <c r="C130" s="953" t="s">
        <v>971</v>
      </c>
      <c r="D130" s="954"/>
      <c r="E130" s="788" t="s">
        <v>1096</v>
      </c>
      <c r="F130" s="726">
        <v>4.25</v>
      </c>
      <c r="G130" s="957">
        <v>0</v>
      </c>
      <c r="H130" s="958"/>
      <c r="I130" s="724">
        <v>0</v>
      </c>
      <c r="J130" s="723">
        <v>0</v>
      </c>
      <c r="K130" s="722">
        <v>4.0999999999999996</v>
      </c>
      <c r="L130" s="726">
        <v>0.15</v>
      </c>
      <c r="M130" s="732">
        <v>0.13</v>
      </c>
      <c r="N130" s="735">
        <v>-0.02</v>
      </c>
      <c r="O130" s="788" t="s">
        <v>1609</v>
      </c>
      <c r="P130" s="789" t="s">
        <v>1610</v>
      </c>
      <c r="Q130" s="939">
        <v>0</v>
      </c>
      <c r="R130" s="940"/>
    </row>
    <row r="131" spans="1:18" ht="15" customHeight="1" x14ac:dyDescent="0.25">
      <c r="A131" s="788" t="s">
        <v>1611</v>
      </c>
      <c r="B131" s="794">
        <v>44479</v>
      </c>
      <c r="C131" s="953" t="s">
        <v>1169</v>
      </c>
      <c r="D131" s="954"/>
      <c r="E131" s="788" t="s">
        <v>1223</v>
      </c>
      <c r="F131" s="726">
        <v>4.75</v>
      </c>
      <c r="G131" s="957">
        <v>0</v>
      </c>
      <c r="H131" s="958"/>
      <c r="I131" s="724">
        <v>0</v>
      </c>
      <c r="J131" s="723">
        <v>0</v>
      </c>
      <c r="K131" s="722">
        <v>4.5</v>
      </c>
      <c r="L131" s="726">
        <v>0.25</v>
      </c>
      <c r="M131" s="732">
        <v>0.2</v>
      </c>
      <c r="N131" s="735">
        <v>-0.05</v>
      </c>
      <c r="O131" s="788" t="s">
        <v>1612</v>
      </c>
      <c r="P131" s="789" t="s">
        <v>1613</v>
      </c>
      <c r="Q131" s="939">
        <v>0</v>
      </c>
      <c r="R131" s="940"/>
    </row>
    <row r="132" spans="1:18" ht="15" customHeight="1" x14ac:dyDescent="0.25">
      <c r="A132" s="788" t="s">
        <v>1614</v>
      </c>
      <c r="B132" s="794">
        <v>44479</v>
      </c>
      <c r="C132" s="953" t="s">
        <v>1076</v>
      </c>
      <c r="D132" s="954"/>
      <c r="E132" s="788" t="s">
        <v>1077</v>
      </c>
      <c r="F132" s="726">
        <v>2.0699999999999998</v>
      </c>
      <c r="G132" s="957">
        <v>4</v>
      </c>
      <c r="H132" s="958"/>
      <c r="I132" s="724">
        <v>0</v>
      </c>
      <c r="J132" s="723">
        <v>0</v>
      </c>
      <c r="K132" s="722">
        <v>4.8600000000000003</v>
      </c>
      <c r="L132" s="726">
        <v>1.21</v>
      </c>
      <c r="M132" s="732">
        <v>1.21</v>
      </c>
      <c r="N132" s="795">
        <v>0</v>
      </c>
      <c r="O132" s="788" t="s">
        <v>1615</v>
      </c>
      <c r="P132" s="788" t="s">
        <v>1616</v>
      </c>
      <c r="Q132" s="939">
        <v>0</v>
      </c>
      <c r="R132" s="940"/>
    </row>
    <row r="133" spans="1:18" ht="15" customHeight="1" x14ac:dyDescent="0.25">
      <c r="A133" s="788" t="s">
        <v>1137</v>
      </c>
      <c r="B133" s="794">
        <v>44479</v>
      </c>
      <c r="C133" s="953" t="s">
        <v>1045</v>
      </c>
      <c r="D133" s="954"/>
      <c r="E133" s="734"/>
      <c r="F133" s="726">
        <v>0</v>
      </c>
      <c r="G133" s="957">
        <v>0</v>
      </c>
      <c r="H133" s="958"/>
      <c r="I133" s="724">
        <v>0</v>
      </c>
      <c r="J133" s="723">
        <v>0</v>
      </c>
      <c r="K133" s="725">
        <v>32</v>
      </c>
      <c r="L133" s="731">
        <v>-32</v>
      </c>
      <c r="M133" s="732">
        <v>0</v>
      </c>
      <c r="N133" s="719">
        <v>32</v>
      </c>
      <c r="O133" s="788" t="s">
        <v>1617</v>
      </c>
      <c r="P133" s="789" t="s">
        <v>1349</v>
      </c>
      <c r="Q133" s="939">
        <v>0</v>
      </c>
      <c r="R133" s="940"/>
    </row>
    <row r="134" spans="1:18" ht="15" customHeight="1" x14ac:dyDescent="0.25">
      <c r="A134" s="788" t="s">
        <v>1618</v>
      </c>
      <c r="B134" s="794">
        <v>44479</v>
      </c>
      <c r="C134" s="953" t="s">
        <v>1016</v>
      </c>
      <c r="D134" s="954"/>
      <c r="E134" s="788" t="s">
        <v>1138</v>
      </c>
      <c r="F134" s="726">
        <v>0</v>
      </c>
      <c r="G134" s="957">
        <v>0</v>
      </c>
      <c r="H134" s="958"/>
      <c r="I134" s="724">
        <v>0</v>
      </c>
      <c r="J134" s="723">
        <v>0</v>
      </c>
      <c r="K134" s="722">
        <v>0</v>
      </c>
      <c r="L134" s="726">
        <v>0</v>
      </c>
      <c r="M134" s="732">
        <v>0</v>
      </c>
      <c r="N134" s="727">
        <v>0</v>
      </c>
      <c r="O134" s="788" t="s">
        <v>1617</v>
      </c>
      <c r="P134" s="788" t="s">
        <v>1616</v>
      </c>
      <c r="Q134" s="939">
        <v>0</v>
      </c>
      <c r="R134" s="940"/>
    </row>
    <row r="135" spans="1:18" ht="15" customHeight="1" x14ac:dyDescent="0.25">
      <c r="A135" s="788" t="s">
        <v>1139</v>
      </c>
      <c r="B135" s="794">
        <v>44479</v>
      </c>
      <c r="C135" s="953" t="s">
        <v>956</v>
      </c>
      <c r="D135" s="954"/>
      <c r="E135" s="734"/>
      <c r="F135" s="726">
        <v>0</v>
      </c>
      <c r="G135" s="957">
        <v>0</v>
      </c>
      <c r="H135" s="958"/>
      <c r="I135" s="724">
        <v>0</v>
      </c>
      <c r="J135" s="723">
        <v>0</v>
      </c>
      <c r="K135" s="722">
        <v>0</v>
      </c>
      <c r="L135" s="726">
        <v>0</v>
      </c>
      <c r="M135" s="732">
        <v>0</v>
      </c>
      <c r="N135" s="727">
        <v>0</v>
      </c>
      <c r="O135" s="788" t="s">
        <v>1617</v>
      </c>
      <c r="P135" s="788" t="s">
        <v>1616</v>
      </c>
      <c r="Q135" s="939">
        <v>0</v>
      </c>
      <c r="R135" s="940"/>
    </row>
    <row r="136" spans="1:18" ht="15" customHeight="1" x14ac:dyDescent="0.25">
      <c r="A136" s="788" t="s">
        <v>1140</v>
      </c>
      <c r="B136" s="794">
        <v>44479</v>
      </c>
      <c r="C136" s="953" t="s">
        <v>996</v>
      </c>
      <c r="D136" s="954"/>
      <c r="E136" s="788" t="s">
        <v>1141</v>
      </c>
      <c r="F136" s="726">
        <v>0</v>
      </c>
      <c r="G136" s="957">
        <v>0</v>
      </c>
      <c r="H136" s="958"/>
      <c r="I136" s="724">
        <v>0</v>
      </c>
      <c r="J136" s="723">
        <v>0</v>
      </c>
      <c r="K136" s="722">
        <v>0</v>
      </c>
      <c r="L136" s="726">
        <v>0</v>
      </c>
      <c r="M136" s="732">
        <v>0</v>
      </c>
      <c r="N136" s="727">
        <v>0</v>
      </c>
      <c r="O136" s="788" t="s">
        <v>1617</v>
      </c>
      <c r="P136" s="788" t="s">
        <v>1616</v>
      </c>
      <c r="Q136" s="939">
        <v>0</v>
      </c>
      <c r="R136" s="940"/>
    </row>
    <row r="137" spans="1:18" ht="15" customHeight="1" x14ac:dyDescent="0.25">
      <c r="A137" s="788" t="s">
        <v>1144</v>
      </c>
      <c r="B137" s="794">
        <v>44479</v>
      </c>
      <c r="C137" s="953" t="s">
        <v>1063</v>
      </c>
      <c r="D137" s="954"/>
      <c r="E137" s="734"/>
      <c r="F137" s="726">
        <v>6</v>
      </c>
      <c r="G137" s="957">
        <v>0</v>
      </c>
      <c r="H137" s="958"/>
      <c r="I137" s="724">
        <v>0</v>
      </c>
      <c r="J137" s="723">
        <v>0</v>
      </c>
      <c r="K137" s="722">
        <v>5</v>
      </c>
      <c r="L137" s="726">
        <v>1</v>
      </c>
      <c r="M137" s="732">
        <v>0</v>
      </c>
      <c r="N137" s="735">
        <v>-1</v>
      </c>
      <c r="O137" s="788" t="s">
        <v>1617</v>
      </c>
      <c r="P137" s="789" t="s">
        <v>1349</v>
      </c>
      <c r="Q137" s="939">
        <v>0</v>
      </c>
      <c r="R137" s="940"/>
    </row>
    <row r="138" spans="1:18" ht="15" customHeight="1" x14ac:dyDescent="0.25">
      <c r="A138" s="788" t="s">
        <v>1145</v>
      </c>
      <c r="B138" s="794">
        <v>44479</v>
      </c>
      <c r="C138" s="953" t="s">
        <v>1146</v>
      </c>
      <c r="D138" s="954"/>
      <c r="E138" s="788" t="s">
        <v>1069</v>
      </c>
      <c r="F138" s="721">
        <v>171</v>
      </c>
      <c r="G138" s="977">
        <v>1344</v>
      </c>
      <c r="H138" s="978"/>
      <c r="I138" s="724">
        <v>0</v>
      </c>
      <c r="J138" s="723">
        <v>0</v>
      </c>
      <c r="K138" s="725">
        <v>288</v>
      </c>
      <c r="L138" s="737">
        <v>1227</v>
      </c>
      <c r="M138" s="736">
        <v>1227</v>
      </c>
      <c r="N138" s="727">
        <v>0</v>
      </c>
      <c r="O138" s="788" t="s">
        <v>1617</v>
      </c>
      <c r="P138" s="788" t="s">
        <v>1616</v>
      </c>
      <c r="Q138" s="939">
        <v>0</v>
      </c>
      <c r="R138" s="940"/>
    </row>
    <row r="139" spans="1:18" ht="15" customHeight="1" x14ac:dyDescent="0.25">
      <c r="A139" s="788" t="s">
        <v>1149</v>
      </c>
      <c r="B139" s="794">
        <v>44479</v>
      </c>
      <c r="C139" s="953" t="s">
        <v>1063</v>
      </c>
      <c r="D139" s="954"/>
      <c r="E139" s="734"/>
      <c r="F139" s="726">
        <v>0</v>
      </c>
      <c r="G139" s="957">
        <v>0</v>
      </c>
      <c r="H139" s="958"/>
      <c r="I139" s="724">
        <v>0</v>
      </c>
      <c r="J139" s="723">
        <v>0</v>
      </c>
      <c r="K139" s="722">
        <v>0</v>
      </c>
      <c r="L139" s="726">
        <v>0</v>
      </c>
      <c r="M139" s="732">
        <v>0</v>
      </c>
      <c r="N139" s="727">
        <v>0</v>
      </c>
      <c r="O139" s="788" t="s">
        <v>1617</v>
      </c>
      <c r="P139" s="788" t="s">
        <v>1616</v>
      </c>
      <c r="Q139" s="939">
        <v>0</v>
      </c>
      <c r="R139" s="940"/>
    </row>
    <row r="140" spans="1:18" ht="15" customHeight="1" x14ac:dyDescent="0.25">
      <c r="A140" s="788" t="s">
        <v>1619</v>
      </c>
      <c r="B140" s="794">
        <v>44479</v>
      </c>
      <c r="C140" s="953" t="s">
        <v>1154</v>
      </c>
      <c r="D140" s="954"/>
      <c r="E140" s="788" t="s">
        <v>1155</v>
      </c>
      <c r="F140" s="726">
        <v>6</v>
      </c>
      <c r="G140" s="957">
        <v>0</v>
      </c>
      <c r="H140" s="958"/>
      <c r="I140" s="724">
        <v>0</v>
      </c>
      <c r="J140" s="723">
        <v>0</v>
      </c>
      <c r="K140" s="722">
        <v>6</v>
      </c>
      <c r="L140" s="726">
        <v>0</v>
      </c>
      <c r="M140" s="732">
        <v>0</v>
      </c>
      <c r="N140" s="727">
        <v>0</v>
      </c>
      <c r="O140" s="788" t="s">
        <v>1617</v>
      </c>
      <c r="P140" s="788" t="s">
        <v>1616</v>
      </c>
      <c r="Q140" s="939">
        <v>0</v>
      </c>
      <c r="R140" s="940"/>
    </row>
    <row r="141" spans="1:18" ht="15" customHeight="1" x14ac:dyDescent="0.25">
      <c r="A141" s="788" t="s">
        <v>1620</v>
      </c>
      <c r="B141" s="794">
        <v>44479</v>
      </c>
      <c r="C141" s="953" t="s">
        <v>966</v>
      </c>
      <c r="D141" s="954"/>
      <c r="E141" s="788" t="s">
        <v>1155</v>
      </c>
      <c r="F141" s="726">
        <v>1</v>
      </c>
      <c r="G141" s="957">
        <v>0</v>
      </c>
      <c r="H141" s="958"/>
      <c r="I141" s="724">
        <v>0</v>
      </c>
      <c r="J141" s="723">
        <v>0</v>
      </c>
      <c r="K141" s="722">
        <v>1</v>
      </c>
      <c r="L141" s="726">
        <v>0</v>
      </c>
      <c r="M141" s="732">
        <v>0</v>
      </c>
      <c r="N141" s="727">
        <v>0</v>
      </c>
      <c r="O141" s="788" t="s">
        <v>1617</v>
      </c>
      <c r="P141" s="788" t="s">
        <v>1616</v>
      </c>
      <c r="Q141" s="939">
        <v>0</v>
      </c>
      <c r="R141" s="940"/>
    </row>
    <row r="142" spans="1:18" ht="15" customHeight="1" x14ac:dyDescent="0.25">
      <c r="A142" s="788" t="s">
        <v>1621</v>
      </c>
      <c r="B142" s="794">
        <v>44479</v>
      </c>
      <c r="C142" s="953" t="s">
        <v>966</v>
      </c>
      <c r="D142" s="954"/>
      <c r="E142" s="788" t="s">
        <v>1155</v>
      </c>
      <c r="F142" s="726">
        <v>2</v>
      </c>
      <c r="G142" s="957">
        <v>0</v>
      </c>
      <c r="H142" s="958"/>
      <c r="I142" s="724">
        <v>0</v>
      </c>
      <c r="J142" s="723">
        <v>0</v>
      </c>
      <c r="K142" s="722">
        <v>2</v>
      </c>
      <c r="L142" s="726">
        <v>0</v>
      </c>
      <c r="M142" s="732">
        <v>0</v>
      </c>
      <c r="N142" s="727">
        <v>0</v>
      </c>
      <c r="O142" s="788" t="s">
        <v>1617</v>
      </c>
      <c r="P142" s="788" t="s">
        <v>1616</v>
      </c>
      <c r="Q142" s="939">
        <v>0</v>
      </c>
      <c r="R142" s="940"/>
    </row>
    <row r="143" spans="1:18" ht="15" customHeight="1" x14ac:dyDescent="0.25">
      <c r="A143" s="788" t="s">
        <v>1622</v>
      </c>
      <c r="B143" s="794">
        <v>44479</v>
      </c>
      <c r="C143" s="953" t="s">
        <v>966</v>
      </c>
      <c r="D143" s="954"/>
      <c r="E143" s="788" t="s">
        <v>1156</v>
      </c>
      <c r="F143" s="726">
        <v>5</v>
      </c>
      <c r="G143" s="957">
        <v>0</v>
      </c>
      <c r="H143" s="958"/>
      <c r="I143" s="724">
        <v>0</v>
      </c>
      <c r="J143" s="723">
        <v>0</v>
      </c>
      <c r="K143" s="722">
        <v>5</v>
      </c>
      <c r="L143" s="726">
        <v>0</v>
      </c>
      <c r="M143" s="732">
        <v>0</v>
      </c>
      <c r="N143" s="727">
        <v>0</v>
      </c>
      <c r="O143" s="788" t="s">
        <v>1617</v>
      </c>
      <c r="P143" s="788" t="s">
        <v>1616</v>
      </c>
      <c r="Q143" s="939">
        <v>0</v>
      </c>
      <c r="R143" s="940"/>
    </row>
    <row r="144" spans="1:18" ht="14.1" customHeight="1" x14ac:dyDescent="0.25">
      <c r="A144" s="933" t="s">
        <v>1623</v>
      </c>
      <c r="B144" s="941">
        <v>44479</v>
      </c>
      <c r="C144" s="943" t="s">
        <v>956</v>
      </c>
      <c r="D144" s="944"/>
      <c r="E144" s="933" t="s">
        <v>1159</v>
      </c>
      <c r="F144" s="963">
        <v>4</v>
      </c>
      <c r="G144" s="949">
        <v>6</v>
      </c>
      <c r="H144" s="950"/>
      <c r="I144" s="959">
        <v>0</v>
      </c>
      <c r="J144" s="723">
        <v>0</v>
      </c>
      <c r="K144" s="961">
        <v>10</v>
      </c>
      <c r="L144" s="963">
        <v>0</v>
      </c>
      <c r="M144" s="971">
        <v>0</v>
      </c>
      <c r="N144" s="733">
        <v>0</v>
      </c>
      <c r="O144" s="933" t="s">
        <v>1617</v>
      </c>
      <c r="P144" s="933" t="s">
        <v>1616</v>
      </c>
      <c r="Q144" s="935">
        <v>0</v>
      </c>
      <c r="R144" s="936"/>
    </row>
    <row r="145" spans="1:18" ht="5.0999999999999996" customHeight="1" x14ac:dyDescent="0.25">
      <c r="A145" s="934"/>
      <c r="B145" s="942"/>
      <c r="C145" s="945"/>
      <c r="D145" s="946"/>
      <c r="E145" s="934"/>
      <c r="F145" s="964"/>
      <c r="G145" s="951"/>
      <c r="H145" s="952"/>
      <c r="I145" s="960"/>
      <c r="J145" s="729"/>
      <c r="K145" s="962"/>
      <c r="L145" s="964"/>
      <c r="M145" s="972"/>
      <c r="N145" s="728"/>
      <c r="O145" s="934"/>
      <c r="P145" s="934"/>
      <c r="Q145" s="937"/>
      <c r="R145" s="938"/>
    </row>
    <row r="146" spans="1:18" ht="15" customHeight="1" x14ac:dyDescent="0.25">
      <c r="A146" s="788" t="s">
        <v>1160</v>
      </c>
      <c r="B146" s="794">
        <v>44479</v>
      </c>
      <c r="C146" s="953" t="s">
        <v>956</v>
      </c>
      <c r="D146" s="954"/>
      <c r="E146" s="788" t="s">
        <v>1161</v>
      </c>
      <c r="F146" s="726">
        <v>5</v>
      </c>
      <c r="G146" s="955">
        <v>20</v>
      </c>
      <c r="H146" s="956"/>
      <c r="I146" s="724">
        <v>0</v>
      </c>
      <c r="J146" s="723">
        <v>0</v>
      </c>
      <c r="K146" s="722">
        <v>9.3000000000000007</v>
      </c>
      <c r="L146" s="721">
        <v>15.7</v>
      </c>
      <c r="M146" s="720">
        <v>15.7</v>
      </c>
      <c r="N146" s="727">
        <v>0</v>
      </c>
      <c r="O146" s="788" t="s">
        <v>1617</v>
      </c>
      <c r="P146" s="788" t="s">
        <v>1616</v>
      </c>
      <c r="Q146" s="939">
        <v>0</v>
      </c>
      <c r="R146" s="940"/>
    </row>
    <row r="147" spans="1:18" ht="15" customHeight="1" x14ac:dyDescent="0.25">
      <c r="A147" s="788" t="s">
        <v>1162</v>
      </c>
      <c r="B147" s="794">
        <v>44479</v>
      </c>
      <c r="C147" s="953" t="s">
        <v>1163</v>
      </c>
      <c r="D147" s="954"/>
      <c r="E147" s="788" t="s">
        <v>1164</v>
      </c>
      <c r="F147" s="726">
        <v>0</v>
      </c>
      <c r="G147" s="957">
        <v>0</v>
      </c>
      <c r="H147" s="958"/>
      <c r="I147" s="724">
        <v>0</v>
      </c>
      <c r="J147" s="723">
        <v>0</v>
      </c>
      <c r="K147" s="722">
        <v>0</v>
      </c>
      <c r="L147" s="726">
        <v>0</v>
      </c>
      <c r="M147" s="732">
        <v>0</v>
      </c>
      <c r="N147" s="727">
        <v>0</v>
      </c>
      <c r="O147" s="788" t="s">
        <v>1617</v>
      </c>
      <c r="P147" s="788" t="s">
        <v>1616</v>
      </c>
      <c r="Q147" s="939">
        <v>0</v>
      </c>
      <c r="R147" s="940"/>
    </row>
    <row r="148" spans="1:18" ht="15" customHeight="1" x14ac:dyDescent="0.25">
      <c r="A148" s="788" t="s">
        <v>1165</v>
      </c>
      <c r="B148" s="794">
        <v>44479</v>
      </c>
      <c r="C148" s="953" t="s">
        <v>966</v>
      </c>
      <c r="D148" s="954"/>
      <c r="E148" s="788" t="s">
        <v>1166</v>
      </c>
      <c r="F148" s="726">
        <v>0</v>
      </c>
      <c r="G148" s="957">
        <v>0</v>
      </c>
      <c r="H148" s="958"/>
      <c r="I148" s="724">
        <v>0</v>
      </c>
      <c r="J148" s="723">
        <v>0</v>
      </c>
      <c r="K148" s="722">
        <v>0</v>
      </c>
      <c r="L148" s="726">
        <v>0</v>
      </c>
      <c r="M148" s="732">
        <v>0</v>
      </c>
      <c r="N148" s="727">
        <v>0</v>
      </c>
      <c r="O148" s="788" t="s">
        <v>1617</v>
      </c>
      <c r="P148" s="788" t="s">
        <v>1616</v>
      </c>
      <c r="Q148" s="939">
        <v>0</v>
      </c>
      <c r="R148" s="940"/>
    </row>
    <row r="149" spans="1:18" ht="14.1" customHeight="1" x14ac:dyDescent="0.25">
      <c r="A149" s="788" t="s">
        <v>1167</v>
      </c>
      <c r="B149" s="794">
        <v>44479</v>
      </c>
      <c r="C149" s="953" t="s">
        <v>971</v>
      </c>
      <c r="D149" s="954"/>
      <c r="E149" s="788" t="s">
        <v>1168</v>
      </c>
      <c r="F149" s="726">
        <v>0</v>
      </c>
      <c r="G149" s="957">
        <v>0</v>
      </c>
      <c r="H149" s="958"/>
      <c r="I149" s="724">
        <v>0</v>
      </c>
      <c r="J149" s="723">
        <v>0</v>
      </c>
      <c r="K149" s="722">
        <v>0</v>
      </c>
      <c r="L149" s="726">
        <v>0</v>
      </c>
      <c r="M149" s="732">
        <v>0</v>
      </c>
      <c r="N149" s="727">
        <v>0</v>
      </c>
      <c r="O149" s="788" t="s">
        <v>1617</v>
      </c>
      <c r="P149" s="788" t="s">
        <v>1616</v>
      </c>
      <c r="Q149" s="939">
        <v>0</v>
      </c>
      <c r="R149" s="940"/>
    </row>
    <row r="150" spans="1:18" ht="30" customHeight="1" x14ac:dyDescent="0.25">
      <c r="A150" s="785" t="s">
        <v>939</v>
      </c>
      <c r="B150" s="786" t="s">
        <v>940</v>
      </c>
      <c r="C150" s="973" t="s">
        <v>941</v>
      </c>
      <c r="D150" s="974"/>
      <c r="E150" s="786" t="s">
        <v>942</v>
      </c>
      <c r="F150" s="786" t="s">
        <v>943</v>
      </c>
      <c r="G150" s="975" t="s">
        <v>944</v>
      </c>
      <c r="H150" s="976"/>
      <c r="I150" s="786" t="s">
        <v>945</v>
      </c>
      <c r="J150" s="787" t="s">
        <v>946</v>
      </c>
      <c r="K150" s="786" t="s">
        <v>947</v>
      </c>
      <c r="L150" s="786" t="s">
        <v>948</v>
      </c>
      <c r="M150" s="786" t="s">
        <v>949</v>
      </c>
      <c r="N150" s="786" t="s">
        <v>950</v>
      </c>
      <c r="O150" s="739" t="s">
        <v>951</v>
      </c>
      <c r="P150" s="786" t="s">
        <v>952</v>
      </c>
      <c r="Q150" s="975" t="s">
        <v>953</v>
      </c>
      <c r="R150" s="976"/>
    </row>
    <row r="151" spans="1:18" ht="15" customHeight="1" x14ac:dyDescent="0.25">
      <c r="A151" s="788" t="s">
        <v>1170</v>
      </c>
      <c r="B151" s="794">
        <v>44479</v>
      </c>
      <c r="C151" s="953" t="s">
        <v>1070</v>
      </c>
      <c r="D151" s="954"/>
      <c r="E151" s="788" t="s">
        <v>1171</v>
      </c>
      <c r="F151" s="726">
        <v>0</v>
      </c>
      <c r="G151" s="957">
        <v>0</v>
      </c>
      <c r="H151" s="958"/>
      <c r="I151" s="724">
        <v>0</v>
      </c>
      <c r="J151" s="723">
        <v>0</v>
      </c>
      <c r="K151" s="722">
        <v>0</v>
      </c>
      <c r="L151" s="726">
        <v>0</v>
      </c>
      <c r="M151" s="732">
        <v>0</v>
      </c>
      <c r="N151" s="727">
        <v>0</v>
      </c>
      <c r="O151" s="788" t="s">
        <v>1617</v>
      </c>
      <c r="P151" s="788" t="s">
        <v>1616</v>
      </c>
      <c r="Q151" s="939">
        <v>0</v>
      </c>
      <c r="R151" s="940"/>
    </row>
    <row r="152" spans="1:18" ht="15" customHeight="1" x14ac:dyDescent="0.25">
      <c r="A152" s="788" t="s">
        <v>1172</v>
      </c>
      <c r="B152" s="794">
        <v>44479</v>
      </c>
      <c r="C152" s="953" t="s">
        <v>966</v>
      </c>
      <c r="D152" s="954"/>
      <c r="E152" s="788" t="s">
        <v>1173</v>
      </c>
      <c r="F152" s="721">
        <v>120</v>
      </c>
      <c r="G152" s="955">
        <v>600</v>
      </c>
      <c r="H152" s="956"/>
      <c r="I152" s="724">
        <v>0</v>
      </c>
      <c r="J152" s="723">
        <v>0</v>
      </c>
      <c r="K152" s="725">
        <v>196</v>
      </c>
      <c r="L152" s="721">
        <v>524</v>
      </c>
      <c r="M152" s="720">
        <v>524</v>
      </c>
      <c r="N152" s="727">
        <v>0</v>
      </c>
      <c r="O152" s="788" t="s">
        <v>1617</v>
      </c>
      <c r="P152" s="788" t="s">
        <v>1616</v>
      </c>
      <c r="Q152" s="939">
        <v>0</v>
      </c>
      <c r="R152" s="940"/>
    </row>
    <row r="153" spans="1:18" ht="15" customHeight="1" x14ac:dyDescent="0.25">
      <c r="A153" s="788" t="s">
        <v>1624</v>
      </c>
      <c r="B153" s="794">
        <v>44479</v>
      </c>
      <c r="C153" s="953" t="s">
        <v>970</v>
      </c>
      <c r="D153" s="954"/>
      <c r="E153" s="788" t="s">
        <v>1625</v>
      </c>
      <c r="F153" s="726">
        <v>6.75</v>
      </c>
      <c r="G153" s="957">
        <v>5.99</v>
      </c>
      <c r="H153" s="958"/>
      <c r="I153" s="724">
        <v>0</v>
      </c>
      <c r="J153" s="723">
        <v>0</v>
      </c>
      <c r="K153" s="725">
        <v>11.83</v>
      </c>
      <c r="L153" s="726">
        <v>0.92</v>
      </c>
      <c r="M153" s="732">
        <v>0.92</v>
      </c>
      <c r="N153" s="727">
        <v>0</v>
      </c>
      <c r="O153" s="788" t="s">
        <v>1617</v>
      </c>
      <c r="P153" s="788" t="s">
        <v>1616</v>
      </c>
      <c r="Q153" s="939">
        <v>0</v>
      </c>
      <c r="R153" s="940"/>
    </row>
    <row r="154" spans="1:18" ht="15" customHeight="1" x14ac:dyDescent="0.25">
      <c r="A154" s="933" t="s">
        <v>1174</v>
      </c>
      <c r="B154" s="941">
        <v>44479</v>
      </c>
      <c r="C154" s="943" t="s">
        <v>1175</v>
      </c>
      <c r="D154" s="944"/>
      <c r="E154" s="734"/>
      <c r="F154" s="963">
        <v>0</v>
      </c>
      <c r="G154" s="949">
        <v>0</v>
      </c>
      <c r="H154" s="950"/>
      <c r="I154" s="959">
        <v>0</v>
      </c>
      <c r="J154" s="723">
        <v>0</v>
      </c>
      <c r="K154" s="969">
        <v>0</v>
      </c>
      <c r="L154" s="963">
        <v>0</v>
      </c>
      <c r="M154" s="971">
        <v>0</v>
      </c>
      <c r="N154" s="733">
        <v>0</v>
      </c>
      <c r="O154" s="933" t="s">
        <v>1617</v>
      </c>
      <c r="P154" s="933" t="s">
        <v>1616</v>
      </c>
      <c r="Q154" s="935">
        <v>0</v>
      </c>
      <c r="R154" s="936"/>
    </row>
    <row r="155" spans="1:18" ht="5.0999999999999996" customHeight="1" x14ac:dyDescent="0.25">
      <c r="A155" s="934"/>
      <c r="B155" s="942"/>
      <c r="C155" s="945"/>
      <c r="D155" s="946"/>
      <c r="E155" s="734"/>
      <c r="F155" s="964"/>
      <c r="G155" s="951"/>
      <c r="H155" s="952"/>
      <c r="I155" s="960"/>
      <c r="J155" s="729"/>
      <c r="K155" s="970"/>
      <c r="L155" s="964"/>
      <c r="M155" s="972"/>
      <c r="N155" s="728"/>
      <c r="O155" s="934"/>
      <c r="P155" s="934"/>
      <c r="Q155" s="937"/>
      <c r="R155" s="938"/>
    </row>
    <row r="156" spans="1:18" ht="15" customHeight="1" x14ac:dyDescent="0.25">
      <c r="A156" s="788" t="s">
        <v>1216</v>
      </c>
      <c r="B156" s="794">
        <v>44479</v>
      </c>
      <c r="C156" s="953" t="s">
        <v>971</v>
      </c>
      <c r="D156" s="954"/>
      <c r="E156" s="788" t="s">
        <v>1217</v>
      </c>
      <c r="F156" s="726">
        <v>0</v>
      </c>
      <c r="G156" s="957">
        <v>0</v>
      </c>
      <c r="H156" s="958"/>
      <c r="I156" s="724">
        <v>0</v>
      </c>
      <c r="J156" s="723">
        <v>0</v>
      </c>
      <c r="K156" s="722">
        <v>0</v>
      </c>
      <c r="L156" s="726">
        <v>0</v>
      </c>
      <c r="M156" s="732">
        <v>0</v>
      </c>
      <c r="N156" s="727">
        <v>0</v>
      </c>
      <c r="O156" s="788" t="s">
        <v>1617</v>
      </c>
      <c r="P156" s="788" t="s">
        <v>1616</v>
      </c>
      <c r="Q156" s="939">
        <v>0</v>
      </c>
      <c r="R156" s="940"/>
    </row>
    <row r="157" spans="1:18" ht="15" customHeight="1" x14ac:dyDescent="0.25">
      <c r="A157" s="788" t="s">
        <v>1176</v>
      </c>
      <c r="B157" s="794">
        <v>44479</v>
      </c>
      <c r="C157" s="953" t="s">
        <v>971</v>
      </c>
      <c r="D157" s="954"/>
      <c r="E157" s="788" t="s">
        <v>1177</v>
      </c>
      <c r="F157" s="726">
        <v>0</v>
      </c>
      <c r="G157" s="957">
        <v>0</v>
      </c>
      <c r="H157" s="958"/>
      <c r="I157" s="724">
        <v>0</v>
      </c>
      <c r="J157" s="723">
        <v>0</v>
      </c>
      <c r="K157" s="722">
        <v>0</v>
      </c>
      <c r="L157" s="726">
        <v>0</v>
      </c>
      <c r="M157" s="732">
        <v>0</v>
      </c>
      <c r="N157" s="727">
        <v>0</v>
      </c>
      <c r="O157" s="788" t="s">
        <v>1617</v>
      </c>
      <c r="P157" s="788" t="s">
        <v>1616</v>
      </c>
      <c r="Q157" s="939">
        <v>0</v>
      </c>
      <c r="R157" s="940"/>
    </row>
    <row r="158" spans="1:18" ht="15" customHeight="1" x14ac:dyDescent="0.25">
      <c r="A158" s="788" t="s">
        <v>1178</v>
      </c>
      <c r="B158" s="794">
        <v>44479</v>
      </c>
      <c r="C158" s="953" t="s">
        <v>956</v>
      </c>
      <c r="D158" s="954"/>
      <c r="E158" s="788" t="s">
        <v>1179</v>
      </c>
      <c r="F158" s="726">
        <v>7</v>
      </c>
      <c r="G158" s="957">
        <v>0</v>
      </c>
      <c r="H158" s="958"/>
      <c r="I158" s="724">
        <v>0</v>
      </c>
      <c r="J158" s="723">
        <v>0</v>
      </c>
      <c r="K158" s="722">
        <v>0</v>
      </c>
      <c r="L158" s="726">
        <v>7</v>
      </c>
      <c r="M158" s="732">
        <v>7</v>
      </c>
      <c r="N158" s="727">
        <v>0</v>
      </c>
      <c r="O158" s="788" t="s">
        <v>1617</v>
      </c>
      <c r="P158" s="788" t="s">
        <v>1616</v>
      </c>
      <c r="Q158" s="939">
        <v>0</v>
      </c>
      <c r="R158" s="940"/>
    </row>
    <row r="159" spans="1:18" ht="15" customHeight="1" x14ac:dyDescent="0.25">
      <c r="A159" s="788" t="s">
        <v>1211</v>
      </c>
      <c r="B159" s="794">
        <v>44479</v>
      </c>
      <c r="C159" s="953" t="s">
        <v>971</v>
      </c>
      <c r="D159" s="954"/>
      <c r="E159" s="788" t="s">
        <v>1212</v>
      </c>
      <c r="F159" s="726">
        <v>0</v>
      </c>
      <c r="G159" s="957">
        <v>0</v>
      </c>
      <c r="H159" s="958"/>
      <c r="I159" s="724">
        <v>0</v>
      </c>
      <c r="J159" s="723">
        <v>0</v>
      </c>
      <c r="K159" s="722">
        <v>0</v>
      </c>
      <c r="L159" s="726">
        <v>0</v>
      </c>
      <c r="M159" s="732">
        <v>0</v>
      </c>
      <c r="N159" s="727">
        <v>0</v>
      </c>
      <c r="O159" s="788" t="s">
        <v>1617</v>
      </c>
      <c r="P159" s="788" t="s">
        <v>1616</v>
      </c>
      <c r="Q159" s="939">
        <v>0</v>
      </c>
      <c r="R159" s="940"/>
    </row>
    <row r="160" spans="1:18" ht="15" customHeight="1" x14ac:dyDescent="0.25">
      <c r="A160" s="788" t="s">
        <v>1626</v>
      </c>
      <c r="B160" s="794">
        <v>44479</v>
      </c>
      <c r="C160" s="953" t="s">
        <v>970</v>
      </c>
      <c r="D160" s="954"/>
      <c r="E160" s="788" t="s">
        <v>1152</v>
      </c>
      <c r="F160" s="721">
        <v>69.94</v>
      </c>
      <c r="G160" s="955">
        <v>244.78</v>
      </c>
      <c r="H160" s="956"/>
      <c r="I160" s="724">
        <v>0</v>
      </c>
      <c r="J160" s="723">
        <v>0</v>
      </c>
      <c r="K160" s="725">
        <v>192.33</v>
      </c>
      <c r="L160" s="721">
        <v>122.39</v>
      </c>
      <c r="M160" s="720">
        <v>122.39</v>
      </c>
      <c r="N160" s="727">
        <v>0</v>
      </c>
      <c r="O160" s="788" t="s">
        <v>1617</v>
      </c>
      <c r="P160" s="788" t="s">
        <v>1616</v>
      </c>
      <c r="Q160" s="939">
        <v>0</v>
      </c>
      <c r="R160" s="940"/>
    </row>
    <row r="161" spans="1:18" ht="15" customHeight="1" x14ac:dyDescent="0.25">
      <c r="A161" s="933" t="s">
        <v>1627</v>
      </c>
      <c r="B161" s="941">
        <v>44479</v>
      </c>
      <c r="C161" s="943" t="s">
        <v>1181</v>
      </c>
      <c r="D161" s="944"/>
      <c r="E161" s="933" t="s">
        <v>1046</v>
      </c>
      <c r="F161" s="963">
        <v>3.05</v>
      </c>
      <c r="G161" s="949">
        <v>0</v>
      </c>
      <c r="H161" s="950"/>
      <c r="I161" s="959">
        <v>0</v>
      </c>
      <c r="J161" s="723">
        <v>0</v>
      </c>
      <c r="K161" s="969">
        <v>1.82</v>
      </c>
      <c r="L161" s="963">
        <v>1.23</v>
      </c>
      <c r="M161" s="971">
        <v>1.23</v>
      </c>
      <c r="N161" s="733">
        <v>0</v>
      </c>
      <c r="O161" s="933" t="s">
        <v>1617</v>
      </c>
      <c r="P161" s="933" t="s">
        <v>1616</v>
      </c>
      <c r="Q161" s="935">
        <v>0</v>
      </c>
      <c r="R161" s="936"/>
    </row>
    <row r="162" spans="1:18" ht="5.0999999999999996" customHeight="1" x14ac:dyDescent="0.25">
      <c r="A162" s="934"/>
      <c r="B162" s="942"/>
      <c r="C162" s="945"/>
      <c r="D162" s="946"/>
      <c r="E162" s="934"/>
      <c r="F162" s="964"/>
      <c r="G162" s="951"/>
      <c r="H162" s="952"/>
      <c r="I162" s="960"/>
      <c r="J162" s="729"/>
      <c r="K162" s="970"/>
      <c r="L162" s="964"/>
      <c r="M162" s="972"/>
      <c r="N162" s="728"/>
      <c r="O162" s="934"/>
      <c r="P162" s="934"/>
      <c r="Q162" s="937"/>
      <c r="R162" s="938"/>
    </row>
    <row r="163" spans="1:18" ht="15" customHeight="1" x14ac:dyDescent="0.25">
      <c r="A163" s="788" t="s">
        <v>1628</v>
      </c>
      <c r="B163" s="794">
        <v>44479</v>
      </c>
      <c r="C163" s="953" t="s">
        <v>1091</v>
      </c>
      <c r="D163" s="954"/>
      <c r="E163" s="788" t="s">
        <v>1629</v>
      </c>
      <c r="F163" s="726">
        <v>0</v>
      </c>
      <c r="G163" s="957">
        <v>0</v>
      </c>
      <c r="H163" s="958"/>
      <c r="I163" s="724">
        <v>0</v>
      </c>
      <c r="J163" s="723">
        <v>0</v>
      </c>
      <c r="K163" s="722">
        <v>0</v>
      </c>
      <c r="L163" s="726">
        <v>0</v>
      </c>
      <c r="M163" s="732">
        <v>0</v>
      </c>
      <c r="N163" s="727">
        <v>0</v>
      </c>
      <c r="O163" s="788" t="s">
        <v>1617</v>
      </c>
      <c r="P163" s="788" t="s">
        <v>1616</v>
      </c>
      <c r="Q163" s="939">
        <v>0</v>
      </c>
      <c r="R163" s="940"/>
    </row>
    <row r="164" spans="1:18" ht="15" customHeight="1" x14ac:dyDescent="0.25">
      <c r="A164" s="788" t="s">
        <v>1630</v>
      </c>
      <c r="B164" s="794">
        <v>44479</v>
      </c>
      <c r="C164" s="953" t="s">
        <v>1039</v>
      </c>
      <c r="D164" s="954"/>
      <c r="E164" s="788" t="s">
        <v>1040</v>
      </c>
      <c r="F164" s="726">
        <v>0.3</v>
      </c>
      <c r="G164" s="957">
        <v>0</v>
      </c>
      <c r="H164" s="958"/>
      <c r="I164" s="724">
        <v>0</v>
      </c>
      <c r="J164" s="723">
        <v>0</v>
      </c>
      <c r="K164" s="722">
        <v>0.3</v>
      </c>
      <c r="L164" s="726">
        <v>0</v>
      </c>
      <c r="M164" s="732">
        <v>0</v>
      </c>
      <c r="N164" s="727">
        <v>0</v>
      </c>
      <c r="O164" s="788" t="s">
        <v>1617</v>
      </c>
      <c r="P164" s="788" t="s">
        <v>1616</v>
      </c>
      <c r="Q164" s="939">
        <v>0</v>
      </c>
      <c r="R164" s="940"/>
    </row>
    <row r="165" spans="1:18" ht="15" customHeight="1" x14ac:dyDescent="0.25">
      <c r="A165" s="933" t="s">
        <v>1274</v>
      </c>
      <c r="B165" s="941">
        <v>44479</v>
      </c>
      <c r="C165" s="943" t="s">
        <v>1275</v>
      </c>
      <c r="D165" s="944"/>
      <c r="E165" s="933" t="s">
        <v>1276</v>
      </c>
      <c r="F165" s="963">
        <v>1.1000000000000001</v>
      </c>
      <c r="G165" s="949">
        <v>0</v>
      </c>
      <c r="H165" s="950"/>
      <c r="I165" s="959">
        <v>0</v>
      </c>
      <c r="J165" s="723">
        <v>0</v>
      </c>
      <c r="K165" s="969">
        <v>1.1000000000000001</v>
      </c>
      <c r="L165" s="963">
        <v>0</v>
      </c>
      <c r="M165" s="971">
        <v>0</v>
      </c>
      <c r="N165" s="733">
        <v>0</v>
      </c>
      <c r="O165" s="933" t="s">
        <v>1617</v>
      </c>
      <c r="P165" s="933" t="s">
        <v>1616</v>
      </c>
      <c r="Q165" s="935">
        <v>0</v>
      </c>
      <c r="R165" s="936"/>
    </row>
    <row r="166" spans="1:18" ht="5.0999999999999996" customHeight="1" x14ac:dyDescent="0.25">
      <c r="A166" s="934"/>
      <c r="B166" s="942"/>
      <c r="C166" s="945"/>
      <c r="D166" s="946"/>
      <c r="E166" s="934"/>
      <c r="F166" s="964"/>
      <c r="G166" s="951"/>
      <c r="H166" s="952"/>
      <c r="I166" s="960"/>
      <c r="J166" s="729"/>
      <c r="K166" s="970"/>
      <c r="L166" s="964"/>
      <c r="M166" s="972"/>
      <c r="N166" s="728"/>
      <c r="O166" s="934"/>
      <c r="P166" s="934"/>
      <c r="Q166" s="937"/>
      <c r="R166" s="938"/>
    </row>
    <row r="167" spans="1:18" ht="15" customHeight="1" x14ac:dyDescent="0.25">
      <c r="A167" s="788" t="s">
        <v>1631</v>
      </c>
      <c r="B167" s="794">
        <v>44479</v>
      </c>
      <c r="C167" s="953" t="s">
        <v>966</v>
      </c>
      <c r="D167" s="954"/>
      <c r="E167" s="788" t="s">
        <v>1094</v>
      </c>
      <c r="F167" s="721">
        <v>86</v>
      </c>
      <c r="G167" s="957">
        <v>0</v>
      </c>
      <c r="H167" s="958"/>
      <c r="I167" s="724">
        <v>0</v>
      </c>
      <c r="J167" s="723">
        <v>0</v>
      </c>
      <c r="K167" s="725">
        <v>94</v>
      </c>
      <c r="L167" s="731">
        <v>-8</v>
      </c>
      <c r="M167" s="796">
        <v>-8</v>
      </c>
      <c r="N167" s="727">
        <v>0</v>
      </c>
      <c r="O167" s="788" t="s">
        <v>1617</v>
      </c>
      <c r="P167" s="788" t="s">
        <v>1616</v>
      </c>
      <c r="Q167" s="939">
        <v>0</v>
      </c>
      <c r="R167" s="940"/>
    </row>
    <row r="168" spans="1:18" ht="15" customHeight="1" x14ac:dyDescent="0.25">
      <c r="A168" s="788" t="s">
        <v>1632</v>
      </c>
      <c r="B168" s="794">
        <v>44479</v>
      </c>
      <c r="C168" s="953" t="s">
        <v>966</v>
      </c>
      <c r="D168" s="954"/>
      <c r="E168" s="788" t="s">
        <v>1186</v>
      </c>
      <c r="F168" s="721">
        <v>53</v>
      </c>
      <c r="G168" s="957">
        <v>0</v>
      </c>
      <c r="H168" s="958"/>
      <c r="I168" s="724">
        <v>0</v>
      </c>
      <c r="J168" s="723">
        <v>0</v>
      </c>
      <c r="K168" s="725">
        <v>51</v>
      </c>
      <c r="L168" s="726">
        <v>2</v>
      </c>
      <c r="M168" s="732">
        <v>2</v>
      </c>
      <c r="N168" s="727">
        <v>0</v>
      </c>
      <c r="O168" s="788" t="s">
        <v>1617</v>
      </c>
      <c r="P168" s="788" t="s">
        <v>1616</v>
      </c>
      <c r="Q168" s="939">
        <v>0</v>
      </c>
      <c r="R168" s="940"/>
    </row>
    <row r="169" spans="1:18" ht="15" customHeight="1" x14ac:dyDescent="0.25">
      <c r="A169" s="788" t="s">
        <v>1190</v>
      </c>
      <c r="B169" s="794">
        <v>44479</v>
      </c>
      <c r="C169" s="953" t="s">
        <v>1191</v>
      </c>
      <c r="D169" s="954"/>
      <c r="E169" s="788" t="s">
        <v>1633</v>
      </c>
      <c r="F169" s="726">
        <v>1</v>
      </c>
      <c r="G169" s="955">
        <v>10</v>
      </c>
      <c r="H169" s="956"/>
      <c r="I169" s="724">
        <v>0</v>
      </c>
      <c r="J169" s="723">
        <v>0</v>
      </c>
      <c r="K169" s="722">
        <v>3.1</v>
      </c>
      <c r="L169" s="726">
        <v>7.9</v>
      </c>
      <c r="M169" s="732">
        <v>7.9</v>
      </c>
      <c r="N169" s="727">
        <v>0</v>
      </c>
      <c r="O169" s="788" t="s">
        <v>1617</v>
      </c>
      <c r="P169" s="788" t="s">
        <v>1616</v>
      </c>
      <c r="Q169" s="939">
        <v>0</v>
      </c>
      <c r="R169" s="940"/>
    </row>
    <row r="170" spans="1:18" ht="15" customHeight="1" x14ac:dyDescent="0.25">
      <c r="A170" s="788" t="s">
        <v>1192</v>
      </c>
      <c r="B170" s="794">
        <v>44479</v>
      </c>
      <c r="C170" s="953" t="s">
        <v>1193</v>
      </c>
      <c r="D170" s="954"/>
      <c r="E170" s="788" t="s">
        <v>1194</v>
      </c>
      <c r="F170" s="726">
        <v>2</v>
      </c>
      <c r="G170" s="955">
        <v>24</v>
      </c>
      <c r="H170" s="956"/>
      <c r="I170" s="724">
        <v>0</v>
      </c>
      <c r="J170" s="723">
        <v>0</v>
      </c>
      <c r="K170" s="722">
        <v>9.6</v>
      </c>
      <c r="L170" s="721">
        <v>16.399999999999999</v>
      </c>
      <c r="M170" s="720">
        <v>16.399999999999999</v>
      </c>
      <c r="N170" s="727">
        <v>0</v>
      </c>
      <c r="O170" s="788" t="s">
        <v>1617</v>
      </c>
      <c r="P170" s="788" t="s">
        <v>1616</v>
      </c>
      <c r="Q170" s="939">
        <v>0</v>
      </c>
      <c r="R170" s="940"/>
    </row>
    <row r="171" spans="1:18" ht="15" customHeight="1" x14ac:dyDescent="0.25">
      <c r="A171" s="788" t="s">
        <v>1634</v>
      </c>
      <c r="B171" s="794">
        <v>44479</v>
      </c>
      <c r="C171" s="953" t="s">
        <v>956</v>
      </c>
      <c r="D171" s="954"/>
      <c r="E171" s="734"/>
      <c r="F171" s="726">
        <v>0.15</v>
      </c>
      <c r="G171" s="957">
        <v>0</v>
      </c>
      <c r="H171" s="958"/>
      <c r="I171" s="724">
        <v>0</v>
      </c>
      <c r="J171" s="723">
        <v>0</v>
      </c>
      <c r="K171" s="722">
        <v>0.15</v>
      </c>
      <c r="L171" s="726">
        <v>0</v>
      </c>
      <c r="M171" s="732">
        <v>0</v>
      </c>
      <c r="N171" s="727">
        <v>0</v>
      </c>
      <c r="O171" s="788" t="s">
        <v>1617</v>
      </c>
      <c r="P171" s="788" t="s">
        <v>1616</v>
      </c>
      <c r="Q171" s="939">
        <v>0</v>
      </c>
      <c r="R171" s="940"/>
    </row>
    <row r="172" spans="1:18" ht="15" customHeight="1" x14ac:dyDescent="0.25">
      <c r="A172" s="788" t="s">
        <v>1635</v>
      </c>
      <c r="B172" s="794">
        <v>44479</v>
      </c>
      <c r="C172" s="953" t="s">
        <v>971</v>
      </c>
      <c r="D172" s="954"/>
      <c r="E172" s="788" t="s">
        <v>1273</v>
      </c>
      <c r="F172" s="721">
        <v>15.38</v>
      </c>
      <c r="G172" s="957">
        <v>0</v>
      </c>
      <c r="H172" s="958"/>
      <c r="I172" s="724">
        <v>0</v>
      </c>
      <c r="J172" s="723">
        <v>0</v>
      </c>
      <c r="K172" s="725">
        <v>15.16</v>
      </c>
      <c r="L172" s="726">
        <v>0.22</v>
      </c>
      <c r="M172" s="732">
        <v>0.22</v>
      </c>
      <c r="N172" s="727">
        <v>0</v>
      </c>
      <c r="O172" s="788" t="s">
        <v>1617</v>
      </c>
      <c r="P172" s="788" t="s">
        <v>1616</v>
      </c>
      <c r="Q172" s="939">
        <v>0</v>
      </c>
      <c r="R172" s="940"/>
    </row>
    <row r="173" spans="1:18" ht="15" customHeight="1" x14ac:dyDescent="0.25">
      <c r="A173" s="788" t="s">
        <v>1198</v>
      </c>
      <c r="B173" s="794">
        <v>44479</v>
      </c>
      <c r="C173" s="953" t="s">
        <v>966</v>
      </c>
      <c r="D173" s="954"/>
      <c r="E173" s="734"/>
      <c r="F173" s="721">
        <v>60</v>
      </c>
      <c r="G173" s="957">
        <v>0</v>
      </c>
      <c r="H173" s="958"/>
      <c r="I173" s="724">
        <v>0</v>
      </c>
      <c r="J173" s="723">
        <v>0</v>
      </c>
      <c r="K173" s="725">
        <v>60</v>
      </c>
      <c r="L173" s="726">
        <v>0</v>
      </c>
      <c r="M173" s="732">
        <v>0</v>
      </c>
      <c r="N173" s="727">
        <v>0</v>
      </c>
      <c r="O173" s="788" t="s">
        <v>1617</v>
      </c>
      <c r="P173" s="788" t="s">
        <v>1616</v>
      </c>
      <c r="Q173" s="939">
        <v>0</v>
      </c>
      <c r="R173" s="940"/>
    </row>
    <row r="174" spans="1:18" ht="15" customHeight="1" x14ac:dyDescent="0.25">
      <c r="A174" s="788" t="s">
        <v>1199</v>
      </c>
      <c r="B174" s="794">
        <v>44479</v>
      </c>
      <c r="C174" s="953" t="s">
        <v>966</v>
      </c>
      <c r="D174" s="954"/>
      <c r="E174" s="734"/>
      <c r="F174" s="721">
        <v>40</v>
      </c>
      <c r="G174" s="957">
        <v>0</v>
      </c>
      <c r="H174" s="958"/>
      <c r="I174" s="724">
        <v>0</v>
      </c>
      <c r="J174" s="723">
        <v>0</v>
      </c>
      <c r="K174" s="725">
        <v>40</v>
      </c>
      <c r="L174" s="726">
        <v>0</v>
      </c>
      <c r="M174" s="732">
        <v>0</v>
      </c>
      <c r="N174" s="727">
        <v>0</v>
      </c>
      <c r="O174" s="788" t="s">
        <v>1617</v>
      </c>
      <c r="P174" s="788" t="s">
        <v>1616</v>
      </c>
      <c r="Q174" s="939">
        <v>0</v>
      </c>
      <c r="R174" s="940"/>
    </row>
    <row r="175" spans="1:18" ht="15" customHeight="1" x14ac:dyDescent="0.25">
      <c r="A175" s="788" t="s">
        <v>1200</v>
      </c>
      <c r="B175" s="794">
        <v>44479</v>
      </c>
      <c r="C175" s="953" t="s">
        <v>966</v>
      </c>
      <c r="D175" s="954"/>
      <c r="E175" s="788" t="s">
        <v>1098</v>
      </c>
      <c r="F175" s="721">
        <v>80</v>
      </c>
      <c r="G175" s="957">
        <v>0</v>
      </c>
      <c r="H175" s="958"/>
      <c r="I175" s="724">
        <v>0</v>
      </c>
      <c r="J175" s="723">
        <v>0</v>
      </c>
      <c r="K175" s="725">
        <v>80</v>
      </c>
      <c r="L175" s="726">
        <v>0</v>
      </c>
      <c r="M175" s="732">
        <v>0</v>
      </c>
      <c r="N175" s="727">
        <v>0</v>
      </c>
      <c r="O175" s="788" t="s">
        <v>1617</v>
      </c>
      <c r="P175" s="788" t="s">
        <v>1616</v>
      </c>
      <c r="Q175" s="939">
        <v>0</v>
      </c>
      <c r="R175" s="940"/>
    </row>
    <row r="176" spans="1:18" ht="15" customHeight="1" x14ac:dyDescent="0.25">
      <c r="A176" s="788" t="s">
        <v>1201</v>
      </c>
      <c r="B176" s="794">
        <v>44479</v>
      </c>
      <c r="C176" s="953" t="s">
        <v>1202</v>
      </c>
      <c r="D176" s="954"/>
      <c r="E176" s="788" t="s">
        <v>1203</v>
      </c>
      <c r="F176" s="726">
        <v>4</v>
      </c>
      <c r="G176" s="957">
        <v>0</v>
      </c>
      <c r="H176" s="958"/>
      <c r="I176" s="724">
        <v>0</v>
      </c>
      <c r="J176" s="723">
        <v>0</v>
      </c>
      <c r="K176" s="722">
        <v>4</v>
      </c>
      <c r="L176" s="726">
        <v>0</v>
      </c>
      <c r="M176" s="732">
        <v>0</v>
      </c>
      <c r="N176" s="727">
        <v>0</v>
      </c>
      <c r="O176" s="788" t="s">
        <v>1617</v>
      </c>
      <c r="P176" s="788" t="s">
        <v>1616</v>
      </c>
      <c r="Q176" s="939">
        <v>0</v>
      </c>
      <c r="R176" s="940"/>
    </row>
    <row r="177" spans="1:18" ht="15" customHeight="1" x14ac:dyDescent="0.25">
      <c r="A177" s="788" t="s">
        <v>1204</v>
      </c>
      <c r="B177" s="794">
        <v>44479</v>
      </c>
      <c r="C177" s="953" t="s">
        <v>970</v>
      </c>
      <c r="D177" s="954"/>
      <c r="E177" s="734"/>
      <c r="F177" s="726">
        <v>0</v>
      </c>
      <c r="G177" s="957">
        <v>0</v>
      </c>
      <c r="H177" s="958"/>
      <c r="I177" s="724">
        <v>0</v>
      </c>
      <c r="J177" s="723">
        <v>0</v>
      </c>
      <c r="K177" s="722">
        <v>0</v>
      </c>
      <c r="L177" s="726">
        <v>0</v>
      </c>
      <c r="M177" s="732">
        <v>0</v>
      </c>
      <c r="N177" s="727">
        <v>0</v>
      </c>
      <c r="O177" s="788" t="s">
        <v>1617</v>
      </c>
      <c r="P177" s="788" t="s">
        <v>1616</v>
      </c>
      <c r="Q177" s="939">
        <v>0</v>
      </c>
      <c r="R177" s="940"/>
    </row>
    <row r="178" spans="1:18" ht="15" customHeight="1" x14ac:dyDescent="0.25">
      <c r="A178" s="788" t="s">
        <v>1187</v>
      </c>
      <c r="B178" s="794">
        <v>44479</v>
      </c>
      <c r="C178" s="953" t="s">
        <v>1188</v>
      </c>
      <c r="D178" s="954"/>
      <c r="E178" s="788" t="s">
        <v>1189</v>
      </c>
      <c r="F178" s="726">
        <v>0</v>
      </c>
      <c r="G178" s="957">
        <v>0</v>
      </c>
      <c r="H178" s="958"/>
      <c r="I178" s="724">
        <v>0</v>
      </c>
      <c r="J178" s="723">
        <v>0</v>
      </c>
      <c r="K178" s="722">
        <v>0</v>
      </c>
      <c r="L178" s="726">
        <v>0</v>
      </c>
      <c r="M178" s="732">
        <v>0</v>
      </c>
      <c r="N178" s="727">
        <v>0</v>
      </c>
      <c r="O178" s="788" t="s">
        <v>1636</v>
      </c>
      <c r="P178" s="788" t="s">
        <v>1616</v>
      </c>
      <c r="Q178" s="939">
        <v>0</v>
      </c>
      <c r="R178" s="940"/>
    </row>
    <row r="179" spans="1:18" ht="15" customHeight="1" x14ac:dyDescent="0.25">
      <c r="A179" s="788" t="s">
        <v>1637</v>
      </c>
      <c r="B179" s="794">
        <v>44479</v>
      </c>
      <c r="C179" s="953" t="s">
        <v>1018</v>
      </c>
      <c r="D179" s="954"/>
      <c r="E179" s="788" t="s">
        <v>1236</v>
      </c>
      <c r="F179" s="721">
        <v>19</v>
      </c>
      <c r="G179" s="957">
        <v>0</v>
      </c>
      <c r="H179" s="958"/>
      <c r="I179" s="724">
        <v>0</v>
      </c>
      <c r="J179" s="723">
        <v>0</v>
      </c>
      <c r="K179" s="725">
        <v>18</v>
      </c>
      <c r="L179" s="726">
        <v>1</v>
      </c>
      <c r="M179" s="732">
        <v>1.07</v>
      </c>
      <c r="N179" s="727">
        <v>7.0000000000000007E-2</v>
      </c>
      <c r="O179" s="788" t="s">
        <v>1638</v>
      </c>
      <c r="P179" s="788" t="s">
        <v>1639</v>
      </c>
      <c r="Q179" s="939">
        <v>0</v>
      </c>
      <c r="R179" s="940"/>
    </row>
    <row r="180" spans="1:18" ht="14.1" customHeight="1" x14ac:dyDescent="0.25">
      <c r="A180" s="788" t="s">
        <v>1271</v>
      </c>
      <c r="B180" s="794">
        <v>44479</v>
      </c>
      <c r="C180" s="953" t="s">
        <v>966</v>
      </c>
      <c r="D180" s="954"/>
      <c r="E180" s="788" t="s">
        <v>1272</v>
      </c>
      <c r="F180" s="726">
        <v>4</v>
      </c>
      <c r="G180" s="957">
        <v>0</v>
      </c>
      <c r="H180" s="958"/>
      <c r="I180" s="724">
        <v>0</v>
      </c>
      <c r="J180" s="723">
        <v>0</v>
      </c>
      <c r="K180" s="722">
        <v>4</v>
      </c>
      <c r="L180" s="726">
        <v>0</v>
      </c>
      <c r="M180" s="732">
        <v>7.0000000000000007E-2</v>
      </c>
      <c r="N180" s="727">
        <v>7.0000000000000007E-2</v>
      </c>
      <c r="O180" s="788" t="s">
        <v>1638</v>
      </c>
      <c r="P180" s="788" t="s">
        <v>1616</v>
      </c>
      <c r="Q180" s="939">
        <v>0</v>
      </c>
      <c r="R180" s="940"/>
    </row>
    <row r="181" spans="1:18" ht="30" customHeight="1" x14ac:dyDescent="0.25">
      <c r="A181" s="785" t="s">
        <v>939</v>
      </c>
      <c r="B181" s="786" t="s">
        <v>940</v>
      </c>
      <c r="C181" s="973" t="s">
        <v>941</v>
      </c>
      <c r="D181" s="974"/>
      <c r="E181" s="786" t="s">
        <v>942</v>
      </c>
      <c r="F181" s="786" t="s">
        <v>943</v>
      </c>
      <c r="G181" s="975" t="s">
        <v>944</v>
      </c>
      <c r="H181" s="976"/>
      <c r="I181" s="786" t="s">
        <v>945</v>
      </c>
      <c r="J181" s="787" t="s">
        <v>946</v>
      </c>
      <c r="K181" s="786" t="s">
        <v>947</v>
      </c>
      <c r="L181" s="786" t="s">
        <v>948</v>
      </c>
      <c r="M181" s="786" t="s">
        <v>949</v>
      </c>
      <c r="N181" s="786" t="s">
        <v>950</v>
      </c>
      <c r="O181" s="739" t="s">
        <v>951</v>
      </c>
      <c r="P181" s="786" t="s">
        <v>952</v>
      </c>
      <c r="Q181" s="975" t="s">
        <v>953</v>
      </c>
      <c r="R181" s="976"/>
    </row>
    <row r="182" spans="1:18" ht="15" customHeight="1" x14ac:dyDescent="0.25">
      <c r="A182" s="788" t="s">
        <v>1640</v>
      </c>
      <c r="B182" s="794">
        <v>44479</v>
      </c>
      <c r="C182" s="953" t="s">
        <v>1093</v>
      </c>
      <c r="D182" s="954"/>
      <c r="E182" s="788" t="s">
        <v>1094</v>
      </c>
      <c r="F182" s="721">
        <v>22</v>
      </c>
      <c r="G182" s="957">
        <v>0</v>
      </c>
      <c r="H182" s="958"/>
      <c r="I182" s="724">
        <v>0</v>
      </c>
      <c r="J182" s="723">
        <v>0</v>
      </c>
      <c r="K182" s="725">
        <v>22</v>
      </c>
      <c r="L182" s="726">
        <v>0</v>
      </c>
      <c r="M182" s="732">
        <v>0.05</v>
      </c>
      <c r="N182" s="727">
        <v>0.05</v>
      </c>
      <c r="O182" s="788" t="s">
        <v>1641</v>
      </c>
      <c r="P182" s="788" t="s">
        <v>1616</v>
      </c>
      <c r="Q182" s="939">
        <v>0</v>
      </c>
      <c r="R182" s="940"/>
    </row>
    <row r="183" spans="1:18" ht="15" customHeight="1" x14ac:dyDescent="0.25">
      <c r="A183" s="933" t="s">
        <v>1642</v>
      </c>
      <c r="B183" s="941">
        <v>44479</v>
      </c>
      <c r="C183" s="943" t="s">
        <v>1262</v>
      </c>
      <c r="D183" s="944"/>
      <c r="E183" s="933" t="s">
        <v>1263</v>
      </c>
      <c r="F183" s="963">
        <v>0.42</v>
      </c>
      <c r="G183" s="949">
        <v>1</v>
      </c>
      <c r="H183" s="950"/>
      <c r="I183" s="959">
        <v>0</v>
      </c>
      <c r="J183" s="723">
        <v>0</v>
      </c>
      <c r="K183" s="969">
        <v>0.84</v>
      </c>
      <c r="L183" s="963">
        <v>0.57999999999999996</v>
      </c>
      <c r="M183" s="971">
        <v>0.59</v>
      </c>
      <c r="N183" s="733">
        <v>0.01</v>
      </c>
      <c r="O183" s="933" t="s">
        <v>1643</v>
      </c>
      <c r="P183" s="933" t="s">
        <v>1644</v>
      </c>
      <c r="Q183" s="935">
        <v>0</v>
      </c>
      <c r="R183" s="936"/>
    </row>
    <row r="184" spans="1:18" ht="5.0999999999999996" customHeight="1" x14ac:dyDescent="0.25">
      <c r="A184" s="934"/>
      <c r="B184" s="942"/>
      <c r="C184" s="945"/>
      <c r="D184" s="946"/>
      <c r="E184" s="934"/>
      <c r="F184" s="964"/>
      <c r="G184" s="951"/>
      <c r="H184" s="952"/>
      <c r="I184" s="960"/>
      <c r="J184" s="729"/>
      <c r="K184" s="970"/>
      <c r="L184" s="964"/>
      <c r="M184" s="972"/>
      <c r="N184" s="728"/>
      <c r="O184" s="934"/>
      <c r="P184" s="934"/>
      <c r="Q184" s="937"/>
      <c r="R184" s="938"/>
    </row>
    <row r="185" spans="1:18" ht="15" customHeight="1" x14ac:dyDescent="0.25">
      <c r="A185" s="788" t="s">
        <v>1645</v>
      </c>
      <c r="B185" s="794">
        <v>44479</v>
      </c>
      <c r="C185" s="953" t="s">
        <v>1041</v>
      </c>
      <c r="D185" s="954"/>
      <c r="E185" s="788" t="s">
        <v>1042</v>
      </c>
      <c r="F185" s="726">
        <v>6</v>
      </c>
      <c r="G185" s="957">
        <v>0</v>
      </c>
      <c r="H185" s="958"/>
      <c r="I185" s="724">
        <v>0</v>
      </c>
      <c r="J185" s="723">
        <v>0</v>
      </c>
      <c r="K185" s="722">
        <v>5.6</v>
      </c>
      <c r="L185" s="726">
        <v>0.4</v>
      </c>
      <c r="M185" s="732">
        <v>0.45</v>
      </c>
      <c r="N185" s="727">
        <v>0.05</v>
      </c>
      <c r="O185" s="788" t="s">
        <v>1646</v>
      </c>
      <c r="P185" s="788" t="s">
        <v>1647</v>
      </c>
      <c r="Q185" s="939">
        <v>0</v>
      </c>
      <c r="R185" s="940"/>
    </row>
    <row r="186" spans="1:18" ht="15" customHeight="1" x14ac:dyDescent="0.25">
      <c r="A186" s="788" t="s">
        <v>1648</v>
      </c>
      <c r="B186" s="794">
        <v>44479</v>
      </c>
      <c r="C186" s="953" t="s">
        <v>971</v>
      </c>
      <c r="D186" s="954"/>
      <c r="E186" s="788" t="s">
        <v>1054</v>
      </c>
      <c r="F186" s="726">
        <v>6.5</v>
      </c>
      <c r="G186" s="957">
        <v>0</v>
      </c>
      <c r="H186" s="958"/>
      <c r="I186" s="724">
        <v>0</v>
      </c>
      <c r="J186" s="723">
        <v>0</v>
      </c>
      <c r="K186" s="722">
        <v>5.6</v>
      </c>
      <c r="L186" s="726">
        <v>0.9</v>
      </c>
      <c r="M186" s="732">
        <v>0.97</v>
      </c>
      <c r="N186" s="727">
        <v>7.0000000000000007E-2</v>
      </c>
      <c r="O186" s="788" t="s">
        <v>1649</v>
      </c>
      <c r="P186" s="788" t="s">
        <v>1650</v>
      </c>
      <c r="Q186" s="939">
        <v>0</v>
      </c>
      <c r="R186" s="940"/>
    </row>
    <row r="187" spans="1:18" ht="15" customHeight="1" x14ac:dyDescent="0.25">
      <c r="A187" s="933" t="s">
        <v>1651</v>
      </c>
      <c r="B187" s="941">
        <v>44479</v>
      </c>
      <c r="C187" s="943" t="s">
        <v>1226</v>
      </c>
      <c r="D187" s="944"/>
      <c r="E187" s="933" t="s">
        <v>1227</v>
      </c>
      <c r="F187" s="963">
        <v>0</v>
      </c>
      <c r="G187" s="949">
        <v>0</v>
      </c>
      <c r="H187" s="950"/>
      <c r="I187" s="959">
        <v>0</v>
      </c>
      <c r="J187" s="723">
        <v>0</v>
      </c>
      <c r="K187" s="969">
        <v>0</v>
      </c>
      <c r="L187" s="963">
        <v>0</v>
      </c>
      <c r="M187" s="971">
        <v>0.96</v>
      </c>
      <c r="N187" s="733">
        <v>0.96</v>
      </c>
      <c r="O187" s="933" t="s">
        <v>1652</v>
      </c>
      <c r="P187" s="933" t="s">
        <v>1616</v>
      </c>
      <c r="Q187" s="935">
        <v>0</v>
      </c>
      <c r="R187" s="936"/>
    </row>
    <row r="188" spans="1:18" ht="5.0999999999999996" customHeight="1" x14ac:dyDescent="0.25">
      <c r="A188" s="934"/>
      <c r="B188" s="942"/>
      <c r="C188" s="945"/>
      <c r="D188" s="946"/>
      <c r="E188" s="934"/>
      <c r="F188" s="964"/>
      <c r="G188" s="951"/>
      <c r="H188" s="952"/>
      <c r="I188" s="960"/>
      <c r="J188" s="729"/>
      <c r="K188" s="970"/>
      <c r="L188" s="964"/>
      <c r="M188" s="972"/>
      <c r="N188" s="728"/>
      <c r="O188" s="934"/>
      <c r="P188" s="934"/>
      <c r="Q188" s="937"/>
      <c r="R188" s="938"/>
    </row>
    <row r="189" spans="1:18" ht="15" customHeight="1" x14ac:dyDescent="0.25">
      <c r="A189" s="788" t="s">
        <v>1653</v>
      </c>
      <c r="B189" s="794">
        <v>44479</v>
      </c>
      <c r="C189" s="953" t="s">
        <v>1032</v>
      </c>
      <c r="D189" s="954"/>
      <c r="E189" s="788" t="s">
        <v>1124</v>
      </c>
      <c r="F189" s="721">
        <v>20</v>
      </c>
      <c r="G189" s="957">
        <v>0</v>
      </c>
      <c r="H189" s="958"/>
      <c r="I189" s="724">
        <v>0</v>
      </c>
      <c r="J189" s="723">
        <v>0</v>
      </c>
      <c r="K189" s="725">
        <v>20</v>
      </c>
      <c r="L189" s="726">
        <v>0</v>
      </c>
      <c r="M189" s="732">
        <v>0.28999999999999998</v>
      </c>
      <c r="N189" s="727">
        <v>0.28999999999999998</v>
      </c>
      <c r="O189" s="788" t="s">
        <v>1654</v>
      </c>
      <c r="P189" s="788" t="s">
        <v>1616</v>
      </c>
      <c r="Q189" s="939">
        <v>0</v>
      </c>
      <c r="R189" s="940"/>
    </row>
    <row r="190" spans="1:18" ht="15" customHeight="1" x14ac:dyDescent="0.25">
      <c r="A190" s="788" t="s">
        <v>1221</v>
      </c>
      <c r="B190" s="794">
        <v>44479</v>
      </c>
      <c r="C190" s="953" t="s">
        <v>971</v>
      </c>
      <c r="D190" s="954"/>
      <c r="E190" s="788" t="s">
        <v>1106</v>
      </c>
      <c r="F190" s="726">
        <v>5</v>
      </c>
      <c r="G190" s="957">
        <v>0</v>
      </c>
      <c r="H190" s="958"/>
      <c r="I190" s="724">
        <v>0</v>
      </c>
      <c r="J190" s="723">
        <v>0</v>
      </c>
      <c r="K190" s="722">
        <v>4.8</v>
      </c>
      <c r="L190" s="726">
        <v>0.2</v>
      </c>
      <c r="M190" s="732">
        <v>0.56999999999999995</v>
      </c>
      <c r="N190" s="727">
        <v>0.37</v>
      </c>
      <c r="O190" s="788" t="s">
        <v>1655</v>
      </c>
      <c r="P190" s="788" t="s">
        <v>1656</v>
      </c>
      <c r="Q190" s="939">
        <v>0</v>
      </c>
      <c r="R190" s="940"/>
    </row>
    <row r="191" spans="1:18" ht="15" customHeight="1" x14ac:dyDescent="0.25">
      <c r="A191" s="788" t="s">
        <v>1657</v>
      </c>
      <c r="B191" s="794">
        <v>44479</v>
      </c>
      <c r="C191" s="953" t="s">
        <v>971</v>
      </c>
      <c r="D191" s="954"/>
      <c r="E191" s="788" t="s">
        <v>1127</v>
      </c>
      <c r="F191" s="726">
        <v>6.14</v>
      </c>
      <c r="G191" s="957">
        <v>0</v>
      </c>
      <c r="H191" s="958"/>
      <c r="I191" s="724">
        <v>0</v>
      </c>
      <c r="J191" s="723">
        <v>0</v>
      </c>
      <c r="K191" s="722">
        <v>4.16</v>
      </c>
      <c r="L191" s="726">
        <v>1.98</v>
      </c>
      <c r="M191" s="732">
        <v>2.25</v>
      </c>
      <c r="N191" s="727">
        <v>0.26</v>
      </c>
      <c r="O191" s="788" t="s">
        <v>1658</v>
      </c>
      <c r="P191" s="788" t="s">
        <v>1659</v>
      </c>
      <c r="Q191" s="939">
        <v>0</v>
      </c>
      <c r="R191" s="940"/>
    </row>
    <row r="192" spans="1:18" ht="15" customHeight="1" x14ac:dyDescent="0.25">
      <c r="A192" s="788" t="s">
        <v>1108</v>
      </c>
      <c r="B192" s="794">
        <v>44479</v>
      </c>
      <c r="C192" s="953" t="s">
        <v>971</v>
      </c>
      <c r="D192" s="954"/>
      <c r="E192" s="788" t="s">
        <v>1109</v>
      </c>
      <c r="F192" s="726">
        <v>9</v>
      </c>
      <c r="G192" s="957">
        <v>0</v>
      </c>
      <c r="H192" s="958"/>
      <c r="I192" s="724">
        <v>0</v>
      </c>
      <c r="J192" s="723">
        <v>0</v>
      </c>
      <c r="K192" s="722">
        <v>8.8000000000000007</v>
      </c>
      <c r="L192" s="726">
        <v>0.2</v>
      </c>
      <c r="M192" s="732">
        <v>0.56999999999999995</v>
      </c>
      <c r="N192" s="727">
        <v>0.37</v>
      </c>
      <c r="O192" s="788" t="s">
        <v>1660</v>
      </c>
      <c r="P192" s="788" t="s">
        <v>1656</v>
      </c>
      <c r="Q192" s="939">
        <v>0</v>
      </c>
      <c r="R192" s="940"/>
    </row>
    <row r="193" spans="1:18" ht="15" customHeight="1" x14ac:dyDescent="0.25">
      <c r="A193" s="788" t="s">
        <v>1080</v>
      </c>
      <c r="B193" s="794">
        <v>44479</v>
      </c>
      <c r="C193" s="953" t="s">
        <v>956</v>
      </c>
      <c r="D193" s="954"/>
      <c r="E193" s="788" t="s">
        <v>1081</v>
      </c>
      <c r="F193" s="726">
        <v>3.86</v>
      </c>
      <c r="G193" s="957">
        <v>0</v>
      </c>
      <c r="H193" s="958"/>
      <c r="I193" s="724">
        <v>0</v>
      </c>
      <c r="J193" s="723">
        <v>0</v>
      </c>
      <c r="K193" s="722">
        <v>3.86</v>
      </c>
      <c r="L193" s="726">
        <v>0</v>
      </c>
      <c r="M193" s="732">
        <v>7.0000000000000007E-2</v>
      </c>
      <c r="N193" s="727">
        <v>7.0000000000000007E-2</v>
      </c>
      <c r="O193" s="788" t="s">
        <v>1661</v>
      </c>
      <c r="P193" s="788" t="s">
        <v>1616</v>
      </c>
      <c r="Q193" s="939">
        <v>0</v>
      </c>
      <c r="R193" s="940"/>
    </row>
    <row r="194" spans="1:18" ht="15" customHeight="1" x14ac:dyDescent="0.25">
      <c r="A194" s="788" t="s">
        <v>1088</v>
      </c>
      <c r="B194" s="794">
        <v>44479</v>
      </c>
      <c r="C194" s="953" t="s">
        <v>1063</v>
      </c>
      <c r="D194" s="954"/>
      <c r="E194" s="788" t="s">
        <v>1089</v>
      </c>
      <c r="F194" s="721">
        <v>41</v>
      </c>
      <c r="G194" s="957">
        <v>0</v>
      </c>
      <c r="H194" s="958"/>
      <c r="I194" s="724">
        <v>0</v>
      </c>
      <c r="J194" s="723">
        <v>0</v>
      </c>
      <c r="K194" s="725">
        <v>43</v>
      </c>
      <c r="L194" s="731">
        <v>-2</v>
      </c>
      <c r="M194" s="732">
        <v>0</v>
      </c>
      <c r="N194" s="727">
        <v>2</v>
      </c>
      <c r="O194" s="788" t="s">
        <v>1662</v>
      </c>
      <c r="P194" s="789" t="s">
        <v>1349</v>
      </c>
      <c r="Q194" s="939">
        <v>0</v>
      </c>
      <c r="R194" s="940"/>
    </row>
    <row r="195" spans="1:18" ht="15" customHeight="1" x14ac:dyDescent="0.25">
      <c r="A195" s="788" t="s">
        <v>1663</v>
      </c>
      <c r="B195" s="794">
        <v>44479</v>
      </c>
      <c r="C195" s="953" t="s">
        <v>1254</v>
      </c>
      <c r="D195" s="954"/>
      <c r="E195" s="788" t="s">
        <v>1255</v>
      </c>
      <c r="F195" s="726">
        <v>0</v>
      </c>
      <c r="G195" s="957">
        <v>0</v>
      </c>
      <c r="H195" s="958"/>
      <c r="I195" s="724">
        <v>0</v>
      </c>
      <c r="J195" s="723">
        <v>0</v>
      </c>
      <c r="K195" s="722">
        <v>0</v>
      </c>
      <c r="L195" s="726">
        <v>0</v>
      </c>
      <c r="M195" s="732">
        <v>0.15</v>
      </c>
      <c r="N195" s="727">
        <v>0.15</v>
      </c>
      <c r="O195" s="788" t="s">
        <v>1664</v>
      </c>
      <c r="P195" s="788" t="s">
        <v>1616</v>
      </c>
      <c r="Q195" s="939">
        <v>0</v>
      </c>
      <c r="R195" s="940"/>
    </row>
    <row r="196" spans="1:18" ht="15" customHeight="1" x14ac:dyDescent="0.25">
      <c r="A196" s="788" t="s">
        <v>1665</v>
      </c>
      <c r="B196" s="794">
        <v>44479</v>
      </c>
      <c r="C196" s="953" t="s">
        <v>1114</v>
      </c>
      <c r="D196" s="954"/>
      <c r="E196" s="788" t="s">
        <v>1115</v>
      </c>
      <c r="F196" s="726">
        <v>0</v>
      </c>
      <c r="G196" s="957">
        <v>0</v>
      </c>
      <c r="H196" s="958"/>
      <c r="I196" s="724">
        <v>0</v>
      </c>
      <c r="J196" s="723">
        <v>0</v>
      </c>
      <c r="K196" s="722">
        <v>0</v>
      </c>
      <c r="L196" s="726">
        <v>0</v>
      </c>
      <c r="M196" s="732">
        <v>0.15</v>
      </c>
      <c r="N196" s="727">
        <v>0.15</v>
      </c>
      <c r="O196" s="788" t="s">
        <v>1666</v>
      </c>
      <c r="P196" s="788" t="s">
        <v>1616</v>
      </c>
      <c r="Q196" s="939">
        <v>0</v>
      </c>
      <c r="R196" s="940"/>
    </row>
    <row r="197" spans="1:18" ht="15" customHeight="1" x14ac:dyDescent="0.25">
      <c r="A197" s="788" t="s">
        <v>1667</v>
      </c>
      <c r="B197" s="794">
        <v>44479</v>
      </c>
      <c r="C197" s="953" t="s">
        <v>956</v>
      </c>
      <c r="D197" s="954"/>
      <c r="E197" s="788" t="s">
        <v>1235</v>
      </c>
      <c r="F197" s="726">
        <v>0</v>
      </c>
      <c r="G197" s="957">
        <v>0</v>
      </c>
      <c r="H197" s="958"/>
      <c r="I197" s="724">
        <v>0</v>
      </c>
      <c r="J197" s="723">
        <v>0</v>
      </c>
      <c r="K197" s="722">
        <v>0</v>
      </c>
      <c r="L197" s="726">
        <v>0</v>
      </c>
      <c r="M197" s="732">
        <v>0.04</v>
      </c>
      <c r="N197" s="727">
        <v>0.04</v>
      </c>
      <c r="O197" s="788" t="s">
        <v>1668</v>
      </c>
      <c r="P197" s="788" t="s">
        <v>1616</v>
      </c>
      <c r="Q197" s="939">
        <v>0</v>
      </c>
      <c r="R197" s="940"/>
    </row>
    <row r="198" spans="1:18" ht="15" customHeight="1" x14ac:dyDescent="0.25">
      <c r="A198" s="788" t="s">
        <v>1252</v>
      </c>
      <c r="B198" s="794">
        <v>44479</v>
      </c>
      <c r="C198" s="953" t="s">
        <v>971</v>
      </c>
      <c r="D198" s="954"/>
      <c r="E198" s="788" t="s">
        <v>1253</v>
      </c>
      <c r="F198" s="726">
        <v>8</v>
      </c>
      <c r="G198" s="957">
        <v>0</v>
      </c>
      <c r="H198" s="958"/>
      <c r="I198" s="724">
        <v>0</v>
      </c>
      <c r="J198" s="723">
        <v>0</v>
      </c>
      <c r="K198" s="722">
        <v>6.8</v>
      </c>
      <c r="L198" s="726">
        <v>1.2</v>
      </c>
      <c r="M198" s="732">
        <v>1.9</v>
      </c>
      <c r="N198" s="727">
        <v>0.7</v>
      </c>
      <c r="O198" s="788" t="s">
        <v>1669</v>
      </c>
      <c r="P198" s="788" t="s">
        <v>1670</v>
      </c>
      <c r="Q198" s="939">
        <v>0</v>
      </c>
      <c r="R198" s="940"/>
    </row>
    <row r="199" spans="1:18" ht="15" customHeight="1" x14ac:dyDescent="0.25">
      <c r="A199" s="788" t="s">
        <v>1671</v>
      </c>
      <c r="B199" s="794">
        <v>44479</v>
      </c>
      <c r="C199" s="953" t="s">
        <v>966</v>
      </c>
      <c r="D199" s="954"/>
      <c r="E199" s="788" t="s">
        <v>1289</v>
      </c>
      <c r="F199" s="726">
        <v>0.8</v>
      </c>
      <c r="G199" s="957">
        <v>4</v>
      </c>
      <c r="H199" s="958"/>
      <c r="I199" s="724">
        <v>0</v>
      </c>
      <c r="J199" s="723">
        <v>0</v>
      </c>
      <c r="K199" s="722">
        <v>0.5</v>
      </c>
      <c r="L199" s="726">
        <v>4.3</v>
      </c>
      <c r="M199" s="732">
        <v>4.91</v>
      </c>
      <c r="N199" s="727">
        <v>0.61</v>
      </c>
      <c r="O199" s="788" t="s">
        <v>1672</v>
      </c>
      <c r="P199" s="788" t="s">
        <v>1673</v>
      </c>
      <c r="Q199" s="939">
        <v>0</v>
      </c>
      <c r="R199" s="940"/>
    </row>
    <row r="200" spans="1:18" ht="15" customHeight="1" x14ac:dyDescent="0.25">
      <c r="A200" s="788" t="s">
        <v>1250</v>
      </c>
      <c r="B200" s="794">
        <v>44479</v>
      </c>
      <c r="C200" s="953" t="s">
        <v>971</v>
      </c>
      <c r="D200" s="954"/>
      <c r="E200" s="788" t="s">
        <v>1251</v>
      </c>
      <c r="F200" s="726">
        <v>3.5</v>
      </c>
      <c r="G200" s="957">
        <v>0</v>
      </c>
      <c r="H200" s="958"/>
      <c r="I200" s="724">
        <v>0</v>
      </c>
      <c r="J200" s="723">
        <v>0</v>
      </c>
      <c r="K200" s="722">
        <v>3.4</v>
      </c>
      <c r="L200" s="726">
        <v>0.1</v>
      </c>
      <c r="M200" s="732">
        <v>0.47</v>
      </c>
      <c r="N200" s="727">
        <v>0.37</v>
      </c>
      <c r="O200" s="788" t="s">
        <v>1674</v>
      </c>
      <c r="P200" s="788" t="s">
        <v>1675</v>
      </c>
      <c r="Q200" s="939">
        <v>0</v>
      </c>
      <c r="R200" s="940"/>
    </row>
    <row r="201" spans="1:18" ht="15" customHeight="1" x14ac:dyDescent="0.25">
      <c r="A201" s="788" t="s">
        <v>1676</v>
      </c>
      <c r="B201" s="794">
        <v>44479</v>
      </c>
      <c r="C201" s="953" t="s">
        <v>970</v>
      </c>
      <c r="D201" s="954"/>
      <c r="E201" s="788" t="s">
        <v>1111</v>
      </c>
      <c r="F201" s="726">
        <v>8</v>
      </c>
      <c r="G201" s="957">
        <v>0</v>
      </c>
      <c r="H201" s="958"/>
      <c r="I201" s="724">
        <v>0</v>
      </c>
      <c r="J201" s="723">
        <v>0</v>
      </c>
      <c r="K201" s="722">
        <v>5.6</v>
      </c>
      <c r="L201" s="726">
        <v>2.4</v>
      </c>
      <c r="M201" s="732">
        <v>4.3</v>
      </c>
      <c r="N201" s="727">
        <v>1.9</v>
      </c>
      <c r="O201" s="788" t="s">
        <v>1677</v>
      </c>
      <c r="P201" s="788" t="s">
        <v>1678</v>
      </c>
      <c r="Q201" s="939">
        <v>0</v>
      </c>
      <c r="R201" s="940"/>
    </row>
    <row r="202" spans="1:18" ht="15" customHeight="1" x14ac:dyDescent="0.25">
      <c r="A202" s="788" t="s">
        <v>1679</v>
      </c>
      <c r="B202" s="794">
        <v>44479</v>
      </c>
      <c r="C202" s="953" t="s">
        <v>1027</v>
      </c>
      <c r="D202" s="954"/>
      <c r="E202" s="788" t="s">
        <v>1028</v>
      </c>
      <c r="F202" s="726">
        <v>7</v>
      </c>
      <c r="G202" s="957">
        <v>0</v>
      </c>
      <c r="H202" s="958"/>
      <c r="I202" s="724">
        <v>0</v>
      </c>
      <c r="J202" s="723">
        <v>0</v>
      </c>
      <c r="K202" s="722">
        <v>6.2</v>
      </c>
      <c r="L202" s="726">
        <v>0.8</v>
      </c>
      <c r="M202" s="732">
        <v>0.97</v>
      </c>
      <c r="N202" s="727">
        <v>0.17</v>
      </c>
      <c r="O202" s="788" t="s">
        <v>1680</v>
      </c>
      <c r="P202" s="788" t="s">
        <v>1681</v>
      </c>
      <c r="Q202" s="939">
        <v>0</v>
      </c>
      <c r="R202" s="940"/>
    </row>
    <row r="203" spans="1:18" ht="15" customHeight="1" x14ac:dyDescent="0.25">
      <c r="A203" s="788" t="s">
        <v>980</v>
      </c>
      <c r="B203" s="794">
        <v>44479</v>
      </c>
      <c r="C203" s="953" t="s">
        <v>981</v>
      </c>
      <c r="D203" s="954"/>
      <c r="E203" s="788" t="s">
        <v>982</v>
      </c>
      <c r="F203" s="721">
        <v>11</v>
      </c>
      <c r="G203" s="957">
        <v>0</v>
      </c>
      <c r="H203" s="958"/>
      <c r="I203" s="724">
        <v>0</v>
      </c>
      <c r="J203" s="723">
        <v>0</v>
      </c>
      <c r="K203" s="722">
        <v>8.1</v>
      </c>
      <c r="L203" s="726">
        <v>2.9</v>
      </c>
      <c r="M203" s="732">
        <v>3.5</v>
      </c>
      <c r="N203" s="727">
        <v>0.6</v>
      </c>
      <c r="O203" s="788" t="s">
        <v>1682</v>
      </c>
      <c r="P203" s="788" t="s">
        <v>1683</v>
      </c>
      <c r="Q203" s="939">
        <v>0</v>
      </c>
      <c r="R203" s="940"/>
    </row>
    <row r="204" spans="1:18" ht="15" customHeight="1" x14ac:dyDescent="0.25">
      <c r="A204" s="788" t="s">
        <v>1151</v>
      </c>
      <c r="B204" s="794">
        <v>44479</v>
      </c>
      <c r="C204" s="953" t="s">
        <v>1063</v>
      </c>
      <c r="D204" s="954"/>
      <c r="E204" s="788" t="s">
        <v>1089</v>
      </c>
      <c r="F204" s="721">
        <v>33</v>
      </c>
      <c r="G204" s="957">
        <v>0</v>
      </c>
      <c r="H204" s="958"/>
      <c r="I204" s="724">
        <v>0</v>
      </c>
      <c r="J204" s="723">
        <v>0</v>
      </c>
      <c r="K204" s="725">
        <v>37</v>
      </c>
      <c r="L204" s="731">
        <v>-4</v>
      </c>
      <c r="M204" s="732">
        <v>0</v>
      </c>
      <c r="N204" s="727">
        <v>4</v>
      </c>
      <c r="O204" s="788" t="s">
        <v>1684</v>
      </c>
      <c r="P204" s="789" t="s">
        <v>1349</v>
      </c>
      <c r="Q204" s="939">
        <v>0</v>
      </c>
      <c r="R204" s="940"/>
    </row>
    <row r="205" spans="1:18" ht="15" customHeight="1" x14ac:dyDescent="0.25">
      <c r="A205" s="788" t="s">
        <v>1142</v>
      </c>
      <c r="B205" s="794">
        <v>44479</v>
      </c>
      <c r="C205" s="953" t="s">
        <v>1063</v>
      </c>
      <c r="D205" s="954"/>
      <c r="E205" s="788" t="s">
        <v>1143</v>
      </c>
      <c r="F205" s="721">
        <v>18</v>
      </c>
      <c r="G205" s="957">
        <v>0</v>
      </c>
      <c r="H205" s="958"/>
      <c r="I205" s="724">
        <v>0</v>
      </c>
      <c r="J205" s="723">
        <v>0</v>
      </c>
      <c r="K205" s="725">
        <v>19.899999999999999</v>
      </c>
      <c r="L205" s="731">
        <v>-1.9</v>
      </c>
      <c r="M205" s="732">
        <v>0</v>
      </c>
      <c r="N205" s="727">
        <v>1.9</v>
      </c>
      <c r="O205" s="788" t="s">
        <v>1685</v>
      </c>
      <c r="P205" s="789" t="s">
        <v>1349</v>
      </c>
      <c r="Q205" s="939">
        <v>0</v>
      </c>
      <c r="R205" s="940"/>
    </row>
    <row r="206" spans="1:18" ht="15" customHeight="1" x14ac:dyDescent="0.25">
      <c r="A206" s="788" t="s">
        <v>1125</v>
      </c>
      <c r="B206" s="794">
        <v>44479</v>
      </c>
      <c r="C206" s="953" t="s">
        <v>1039</v>
      </c>
      <c r="D206" s="954"/>
      <c r="E206" s="788" t="s">
        <v>1126</v>
      </c>
      <c r="F206" s="726">
        <v>1</v>
      </c>
      <c r="G206" s="957">
        <v>0</v>
      </c>
      <c r="H206" s="958"/>
      <c r="I206" s="724">
        <v>0</v>
      </c>
      <c r="J206" s="723">
        <v>0</v>
      </c>
      <c r="K206" s="722">
        <v>1.1000000000000001</v>
      </c>
      <c r="L206" s="731">
        <v>-0.1</v>
      </c>
      <c r="M206" s="732">
        <v>0.01</v>
      </c>
      <c r="N206" s="727">
        <v>0.11</v>
      </c>
      <c r="O206" s="788" t="s">
        <v>1686</v>
      </c>
      <c r="P206" s="789" t="s">
        <v>1687</v>
      </c>
      <c r="Q206" s="939">
        <v>0</v>
      </c>
      <c r="R206" s="940"/>
    </row>
    <row r="207" spans="1:18" ht="15" customHeight="1" x14ac:dyDescent="0.25">
      <c r="A207" s="788" t="s">
        <v>1688</v>
      </c>
      <c r="B207" s="794">
        <v>44479</v>
      </c>
      <c r="C207" s="953" t="s">
        <v>956</v>
      </c>
      <c r="D207" s="954"/>
      <c r="E207" s="788" t="s">
        <v>1230</v>
      </c>
      <c r="F207" s="726">
        <v>1.52</v>
      </c>
      <c r="G207" s="957">
        <v>0</v>
      </c>
      <c r="H207" s="958"/>
      <c r="I207" s="724">
        <v>0</v>
      </c>
      <c r="J207" s="723">
        <v>0</v>
      </c>
      <c r="K207" s="722">
        <v>1.59</v>
      </c>
      <c r="L207" s="731">
        <v>-7.0000000000000007E-2</v>
      </c>
      <c r="M207" s="732">
        <v>0.06</v>
      </c>
      <c r="N207" s="727">
        <v>0.13</v>
      </c>
      <c r="O207" s="788" t="s">
        <v>1689</v>
      </c>
      <c r="P207" s="789" t="s">
        <v>1690</v>
      </c>
      <c r="Q207" s="939">
        <v>0</v>
      </c>
      <c r="R207" s="940"/>
    </row>
    <row r="208" spans="1:18" ht="15" customHeight="1" x14ac:dyDescent="0.25">
      <c r="A208" s="788" t="s">
        <v>1691</v>
      </c>
      <c r="B208" s="794">
        <v>44479</v>
      </c>
      <c r="C208" s="953" t="s">
        <v>1023</v>
      </c>
      <c r="D208" s="954"/>
      <c r="E208" s="788" t="s">
        <v>1024</v>
      </c>
      <c r="F208" s="726">
        <v>2.8</v>
      </c>
      <c r="G208" s="957">
        <v>0</v>
      </c>
      <c r="H208" s="958"/>
      <c r="I208" s="724">
        <v>0</v>
      </c>
      <c r="J208" s="723">
        <v>0</v>
      </c>
      <c r="K208" s="722">
        <v>2.6</v>
      </c>
      <c r="L208" s="726">
        <v>0.2</v>
      </c>
      <c r="M208" s="732">
        <v>0.39</v>
      </c>
      <c r="N208" s="727">
        <v>0.19</v>
      </c>
      <c r="O208" s="788" t="s">
        <v>1692</v>
      </c>
      <c r="P208" s="788" t="s">
        <v>1693</v>
      </c>
      <c r="Q208" s="939">
        <v>0</v>
      </c>
      <c r="R208" s="940"/>
    </row>
    <row r="209" spans="1:18" ht="15" customHeight="1" x14ac:dyDescent="0.25">
      <c r="A209" s="788" t="s">
        <v>1694</v>
      </c>
      <c r="B209" s="794">
        <v>44479</v>
      </c>
      <c r="C209" s="953" t="s">
        <v>1063</v>
      </c>
      <c r="D209" s="954"/>
      <c r="E209" s="788" t="s">
        <v>1089</v>
      </c>
      <c r="F209" s="721">
        <v>32</v>
      </c>
      <c r="G209" s="957">
        <v>0</v>
      </c>
      <c r="H209" s="958"/>
      <c r="I209" s="724">
        <v>0</v>
      </c>
      <c r="J209" s="723">
        <v>0</v>
      </c>
      <c r="K209" s="725">
        <v>32</v>
      </c>
      <c r="L209" s="726">
        <v>0</v>
      </c>
      <c r="M209" s="732">
        <v>5</v>
      </c>
      <c r="N209" s="727">
        <v>5</v>
      </c>
      <c r="O209" s="788" t="s">
        <v>1695</v>
      </c>
      <c r="P209" s="788" t="s">
        <v>1616</v>
      </c>
      <c r="Q209" s="939">
        <v>0</v>
      </c>
      <c r="R209" s="940"/>
    </row>
    <row r="210" spans="1:18" ht="14.1" customHeight="1" x14ac:dyDescent="0.25">
      <c r="A210" s="788" t="s">
        <v>1696</v>
      </c>
      <c r="B210" s="794">
        <v>44479</v>
      </c>
      <c r="C210" s="953" t="s">
        <v>1209</v>
      </c>
      <c r="D210" s="954"/>
      <c r="E210" s="788" t="s">
        <v>1210</v>
      </c>
      <c r="F210" s="726">
        <v>5</v>
      </c>
      <c r="G210" s="957">
        <v>0</v>
      </c>
      <c r="H210" s="958"/>
      <c r="I210" s="724">
        <v>0</v>
      </c>
      <c r="J210" s="723">
        <v>0</v>
      </c>
      <c r="K210" s="722">
        <v>5.5</v>
      </c>
      <c r="L210" s="731">
        <v>-0.5</v>
      </c>
      <c r="M210" s="732">
        <v>0.11</v>
      </c>
      <c r="N210" s="727">
        <v>0.61</v>
      </c>
      <c r="O210" s="788" t="s">
        <v>1697</v>
      </c>
      <c r="P210" s="789" t="s">
        <v>1698</v>
      </c>
      <c r="Q210" s="939">
        <v>0</v>
      </c>
      <c r="R210" s="940"/>
    </row>
    <row r="211" spans="1:18" ht="30" customHeight="1" x14ac:dyDescent="0.25">
      <c r="A211" s="785" t="s">
        <v>939</v>
      </c>
      <c r="B211" s="786" t="s">
        <v>940</v>
      </c>
      <c r="C211" s="973" t="s">
        <v>941</v>
      </c>
      <c r="D211" s="974"/>
      <c r="E211" s="786" t="s">
        <v>942</v>
      </c>
      <c r="F211" s="786" t="s">
        <v>943</v>
      </c>
      <c r="G211" s="975" t="s">
        <v>944</v>
      </c>
      <c r="H211" s="976"/>
      <c r="I211" s="786" t="s">
        <v>945</v>
      </c>
      <c r="J211" s="787" t="s">
        <v>946</v>
      </c>
      <c r="K211" s="786" t="s">
        <v>947</v>
      </c>
      <c r="L211" s="786" t="s">
        <v>948</v>
      </c>
      <c r="M211" s="786" t="s">
        <v>949</v>
      </c>
      <c r="N211" s="786" t="s">
        <v>950</v>
      </c>
      <c r="O211" s="739" t="s">
        <v>951</v>
      </c>
      <c r="P211" s="786" t="s">
        <v>952</v>
      </c>
      <c r="Q211" s="975" t="s">
        <v>953</v>
      </c>
      <c r="R211" s="976"/>
    </row>
    <row r="212" spans="1:18" ht="15" customHeight="1" x14ac:dyDescent="0.25">
      <c r="A212" s="788" t="s">
        <v>1280</v>
      </c>
      <c r="B212" s="794">
        <v>44479</v>
      </c>
      <c r="C212" s="953" t="s">
        <v>1205</v>
      </c>
      <c r="D212" s="954"/>
      <c r="E212" s="788" t="s">
        <v>1281</v>
      </c>
      <c r="F212" s="726">
        <v>2.5</v>
      </c>
      <c r="G212" s="957">
        <v>0</v>
      </c>
      <c r="H212" s="958"/>
      <c r="I212" s="724">
        <v>0</v>
      </c>
      <c r="J212" s="723">
        <v>0</v>
      </c>
      <c r="K212" s="722">
        <v>2.6</v>
      </c>
      <c r="L212" s="731">
        <v>-0.1</v>
      </c>
      <c r="M212" s="732">
        <v>0.57999999999999996</v>
      </c>
      <c r="N212" s="727">
        <v>0.68</v>
      </c>
      <c r="O212" s="788" t="s">
        <v>1699</v>
      </c>
      <c r="P212" s="789" t="s">
        <v>1700</v>
      </c>
      <c r="Q212" s="939">
        <v>0</v>
      </c>
      <c r="R212" s="940"/>
    </row>
    <row r="213" spans="1:18" ht="15" customHeight="1" x14ac:dyDescent="0.25">
      <c r="A213" s="788" t="s">
        <v>1701</v>
      </c>
      <c r="B213" s="794">
        <v>44479</v>
      </c>
      <c r="C213" s="953" t="s">
        <v>956</v>
      </c>
      <c r="D213" s="954"/>
      <c r="E213" s="788" t="s">
        <v>1277</v>
      </c>
      <c r="F213" s="726">
        <v>0</v>
      </c>
      <c r="G213" s="957">
        <v>0</v>
      </c>
      <c r="H213" s="958"/>
      <c r="I213" s="724">
        <v>0</v>
      </c>
      <c r="J213" s="723">
        <v>0</v>
      </c>
      <c r="K213" s="722">
        <v>0</v>
      </c>
      <c r="L213" s="726">
        <v>0</v>
      </c>
      <c r="M213" s="732">
        <v>0.11</v>
      </c>
      <c r="N213" s="727">
        <v>0.11</v>
      </c>
      <c r="O213" s="788" t="s">
        <v>1702</v>
      </c>
      <c r="P213" s="788" t="s">
        <v>1616</v>
      </c>
      <c r="Q213" s="939">
        <v>0</v>
      </c>
      <c r="R213" s="940"/>
    </row>
    <row r="214" spans="1:18" ht="15" customHeight="1" x14ac:dyDescent="0.25">
      <c r="A214" s="788" t="s">
        <v>1266</v>
      </c>
      <c r="B214" s="794">
        <v>44479</v>
      </c>
      <c r="C214" s="953" t="s">
        <v>956</v>
      </c>
      <c r="D214" s="954"/>
      <c r="E214" s="788" t="s">
        <v>990</v>
      </c>
      <c r="F214" s="726">
        <v>6.8</v>
      </c>
      <c r="G214" s="955">
        <v>45.4</v>
      </c>
      <c r="H214" s="956"/>
      <c r="I214" s="724">
        <v>0</v>
      </c>
      <c r="J214" s="723">
        <v>0</v>
      </c>
      <c r="K214" s="725">
        <v>32.72</v>
      </c>
      <c r="L214" s="721">
        <v>19.48</v>
      </c>
      <c r="M214" s="720">
        <v>21.42</v>
      </c>
      <c r="N214" s="727">
        <v>1.94</v>
      </c>
      <c r="O214" s="788" t="s">
        <v>1703</v>
      </c>
      <c r="P214" s="788" t="s">
        <v>1704</v>
      </c>
      <c r="Q214" s="939">
        <v>0</v>
      </c>
      <c r="R214" s="940"/>
    </row>
    <row r="215" spans="1:18" ht="15" customHeight="1" x14ac:dyDescent="0.25">
      <c r="A215" s="788" t="s">
        <v>1705</v>
      </c>
      <c r="B215" s="794">
        <v>44479</v>
      </c>
      <c r="C215" s="953" t="s">
        <v>956</v>
      </c>
      <c r="D215" s="954"/>
      <c r="E215" s="788" t="s">
        <v>1067</v>
      </c>
      <c r="F215" s="726">
        <v>1.5</v>
      </c>
      <c r="G215" s="957">
        <v>0</v>
      </c>
      <c r="H215" s="958"/>
      <c r="I215" s="724">
        <v>0</v>
      </c>
      <c r="J215" s="723">
        <v>0</v>
      </c>
      <c r="K215" s="722">
        <v>1</v>
      </c>
      <c r="L215" s="726">
        <v>0.5</v>
      </c>
      <c r="M215" s="732">
        <v>0.96</v>
      </c>
      <c r="N215" s="727">
        <v>0.46</v>
      </c>
      <c r="O215" s="788" t="s">
        <v>1706</v>
      </c>
      <c r="P215" s="788" t="s">
        <v>1707</v>
      </c>
      <c r="Q215" s="939">
        <v>0</v>
      </c>
      <c r="R215" s="940"/>
    </row>
    <row r="216" spans="1:18" ht="15" customHeight="1" x14ac:dyDescent="0.25">
      <c r="A216" s="788" t="s">
        <v>1228</v>
      </c>
      <c r="B216" s="794">
        <v>44479</v>
      </c>
      <c r="C216" s="953" t="s">
        <v>1063</v>
      </c>
      <c r="D216" s="954"/>
      <c r="E216" s="788" t="s">
        <v>1089</v>
      </c>
      <c r="F216" s="721">
        <v>18</v>
      </c>
      <c r="G216" s="957">
        <v>0</v>
      </c>
      <c r="H216" s="958"/>
      <c r="I216" s="724">
        <v>0</v>
      </c>
      <c r="J216" s="723">
        <v>0</v>
      </c>
      <c r="K216" s="725">
        <v>19</v>
      </c>
      <c r="L216" s="731">
        <v>-1</v>
      </c>
      <c r="M216" s="732">
        <v>6</v>
      </c>
      <c r="N216" s="727">
        <v>7</v>
      </c>
      <c r="O216" s="788" t="s">
        <v>1708</v>
      </c>
      <c r="P216" s="789" t="s">
        <v>1709</v>
      </c>
      <c r="Q216" s="939">
        <v>0</v>
      </c>
      <c r="R216" s="940"/>
    </row>
    <row r="217" spans="1:18" ht="15" customHeight="1" x14ac:dyDescent="0.25">
      <c r="A217" s="788" t="s">
        <v>1065</v>
      </c>
      <c r="B217" s="794">
        <v>44479</v>
      </c>
      <c r="C217" s="953" t="s">
        <v>956</v>
      </c>
      <c r="D217" s="954"/>
      <c r="E217" s="788" t="s">
        <v>1061</v>
      </c>
      <c r="F217" s="726">
        <v>3</v>
      </c>
      <c r="G217" s="957">
        <v>0</v>
      </c>
      <c r="H217" s="958"/>
      <c r="I217" s="724">
        <v>0</v>
      </c>
      <c r="J217" s="723">
        <v>0</v>
      </c>
      <c r="K217" s="722">
        <v>3</v>
      </c>
      <c r="L217" s="726">
        <v>0</v>
      </c>
      <c r="M217" s="732">
        <v>0.41</v>
      </c>
      <c r="N217" s="727">
        <v>0.41</v>
      </c>
      <c r="O217" s="788" t="s">
        <v>1710</v>
      </c>
      <c r="P217" s="788" t="s">
        <v>1616</v>
      </c>
      <c r="Q217" s="939">
        <v>0</v>
      </c>
      <c r="R217" s="940"/>
    </row>
    <row r="218" spans="1:18" ht="15" customHeight="1" x14ac:dyDescent="0.25">
      <c r="A218" s="788" t="s">
        <v>1270</v>
      </c>
      <c r="B218" s="794">
        <v>44479</v>
      </c>
      <c r="C218" s="953" t="s">
        <v>1063</v>
      </c>
      <c r="D218" s="954"/>
      <c r="E218" s="788" t="s">
        <v>1089</v>
      </c>
      <c r="F218" s="721">
        <v>29</v>
      </c>
      <c r="G218" s="957">
        <v>0</v>
      </c>
      <c r="H218" s="958"/>
      <c r="I218" s="724">
        <v>0</v>
      </c>
      <c r="J218" s="723">
        <v>0</v>
      </c>
      <c r="K218" s="725">
        <v>35</v>
      </c>
      <c r="L218" s="731">
        <v>-6</v>
      </c>
      <c r="M218" s="732">
        <v>2</v>
      </c>
      <c r="N218" s="727">
        <v>8</v>
      </c>
      <c r="O218" s="788" t="s">
        <v>1711</v>
      </c>
      <c r="P218" s="789" t="s">
        <v>1712</v>
      </c>
      <c r="Q218" s="939">
        <v>0</v>
      </c>
      <c r="R218" s="940"/>
    </row>
    <row r="219" spans="1:18" ht="15" customHeight="1" x14ac:dyDescent="0.25">
      <c r="A219" s="788" t="s">
        <v>1713</v>
      </c>
      <c r="B219" s="794">
        <v>44479</v>
      </c>
      <c r="C219" s="953" t="s">
        <v>956</v>
      </c>
      <c r="D219" s="954"/>
      <c r="E219" s="788" t="s">
        <v>1264</v>
      </c>
      <c r="F219" s="721">
        <v>13</v>
      </c>
      <c r="G219" s="957">
        <v>0</v>
      </c>
      <c r="H219" s="958"/>
      <c r="I219" s="724">
        <v>0</v>
      </c>
      <c r="J219" s="723">
        <v>0</v>
      </c>
      <c r="K219" s="725">
        <v>14</v>
      </c>
      <c r="L219" s="731">
        <v>-1</v>
      </c>
      <c r="M219" s="732">
        <v>1.95</v>
      </c>
      <c r="N219" s="727">
        <v>2.95</v>
      </c>
      <c r="O219" s="788" t="s">
        <v>1714</v>
      </c>
      <c r="P219" s="789" t="s">
        <v>1715</v>
      </c>
      <c r="Q219" s="939">
        <v>0</v>
      </c>
      <c r="R219" s="940"/>
    </row>
    <row r="220" spans="1:18" ht="15" customHeight="1" x14ac:dyDescent="0.25">
      <c r="A220" s="788" t="s">
        <v>1034</v>
      </c>
      <c r="B220" s="794">
        <v>44479</v>
      </c>
      <c r="C220" s="953" t="s">
        <v>970</v>
      </c>
      <c r="D220" s="954"/>
      <c r="E220" s="788" t="s">
        <v>1035</v>
      </c>
      <c r="F220" s="726">
        <v>1.5</v>
      </c>
      <c r="G220" s="957">
        <v>9.99</v>
      </c>
      <c r="H220" s="958"/>
      <c r="I220" s="724">
        <v>0</v>
      </c>
      <c r="J220" s="723">
        <v>0</v>
      </c>
      <c r="K220" s="722">
        <v>7</v>
      </c>
      <c r="L220" s="726">
        <v>4.49</v>
      </c>
      <c r="M220" s="732">
        <v>5.07</v>
      </c>
      <c r="N220" s="727">
        <v>0.57999999999999996</v>
      </c>
      <c r="O220" s="788" t="s">
        <v>1716</v>
      </c>
      <c r="P220" s="788" t="s">
        <v>1717</v>
      </c>
      <c r="Q220" s="939">
        <v>0</v>
      </c>
      <c r="R220" s="940"/>
    </row>
    <row r="221" spans="1:18" ht="15" customHeight="1" x14ac:dyDescent="0.25">
      <c r="A221" s="788" t="s">
        <v>1718</v>
      </c>
      <c r="B221" s="794">
        <v>44479</v>
      </c>
      <c r="C221" s="953" t="s">
        <v>971</v>
      </c>
      <c r="D221" s="954"/>
      <c r="E221" s="788" t="s">
        <v>972</v>
      </c>
      <c r="F221" s="721">
        <v>12.5</v>
      </c>
      <c r="G221" s="957">
        <v>0</v>
      </c>
      <c r="H221" s="958"/>
      <c r="I221" s="724">
        <v>0</v>
      </c>
      <c r="J221" s="723">
        <v>0</v>
      </c>
      <c r="K221" s="725">
        <v>14</v>
      </c>
      <c r="L221" s="731">
        <v>-1.5</v>
      </c>
      <c r="M221" s="732">
        <v>0.28000000000000003</v>
      </c>
      <c r="N221" s="727">
        <v>1.78</v>
      </c>
      <c r="O221" s="788" t="s">
        <v>1719</v>
      </c>
      <c r="P221" s="789" t="s">
        <v>1720</v>
      </c>
      <c r="Q221" s="939">
        <v>0</v>
      </c>
      <c r="R221" s="940"/>
    </row>
    <row r="222" spans="1:18" ht="15" customHeight="1" x14ac:dyDescent="0.25">
      <c r="A222" s="788" t="s">
        <v>1721</v>
      </c>
      <c r="B222" s="794">
        <v>44479</v>
      </c>
      <c r="C222" s="953" t="s">
        <v>956</v>
      </c>
      <c r="D222" s="954"/>
      <c r="E222" s="788" t="s">
        <v>1000</v>
      </c>
      <c r="F222" s="726">
        <v>0.5</v>
      </c>
      <c r="G222" s="957">
        <v>2.2999999999999998</v>
      </c>
      <c r="H222" s="958"/>
      <c r="I222" s="724">
        <v>0</v>
      </c>
      <c r="J222" s="723">
        <v>0</v>
      </c>
      <c r="K222" s="722">
        <v>2.5</v>
      </c>
      <c r="L222" s="726">
        <v>0.3</v>
      </c>
      <c r="M222" s="732">
        <v>0.69</v>
      </c>
      <c r="N222" s="727">
        <v>0.39</v>
      </c>
      <c r="O222" s="788" t="s">
        <v>1722</v>
      </c>
      <c r="P222" s="788" t="s">
        <v>1723</v>
      </c>
      <c r="Q222" s="939">
        <v>0</v>
      </c>
      <c r="R222" s="940"/>
    </row>
    <row r="223" spans="1:18" ht="15" customHeight="1" x14ac:dyDescent="0.25">
      <c r="A223" s="788" t="s">
        <v>1031</v>
      </c>
      <c r="B223" s="794">
        <v>44479</v>
      </c>
      <c r="C223" s="953" t="s">
        <v>1032</v>
      </c>
      <c r="D223" s="954"/>
      <c r="E223" s="788" t="s">
        <v>1033</v>
      </c>
      <c r="F223" s="721">
        <v>48</v>
      </c>
      <c r="G223" s="957">
        <v>0</v>
      </c>
      <c r="H223" s="958"/>
      <c r="I223" s="724">
        <v>0</v>
      </c>
      <c r="J223" s="723">
        <v>0</v>
      </c>
      <c r="K223" s="725">
        <v>51.2</v>
      </c>
      <c r="L223" s="731">
        <v>-3.2</v>
      </c>
      <c r="M223" s="732">
        <v>3.27</v>
      </c>
      <c r="N223" s="727">
        <v>6.47</v>
      </c>
      <c r="O223" s="788" t="s">
        <v>1724</v>
      </c>
      <c r="P223" s="789" t="s">
        <v>1725</v>
      </c>
      <c r="Q223" s="939">
        <v>0</v>
      </c>
      <c r="R223" s="940"/>
    </row>
    <row r="224" spans="1:18" ht="15" customHeight="1" x14ac:dyDescent="0.25">
      <c r="A224" s="788" t="s">
        <v>1286</v>
      </c>
      <c r="B224" s="794">
        <v>44479</v>
      </c>
      <c r="C224" s="953" t="s">
        <v>1134</v>
      </c>
      <c r="D224" s="954"/>
      <c r="E224" s="788" t="s">
        <v>1287</v>
      </c>
      <c r="F224" s="726">
        <v>0</v>
      </c>
      <c r="G224" s="955">
        <v>12</v>
      </c>
      <c r="H224" s="956"/>
      <c r="I224" s="724">
        <v>0</v>
      </c>
      <c r="J224" s="723">
        <v>0</v>
      </c>
      <c r="K224" s="722">
        <v>9.1999999999999993</v>
      </c>
      <c r="L224" s="726">
        <v>2.8</v>
      </c>
      <c r="M224" s="732">
        <v>4.82</v>
      </c>
      <c r="N224" s="727">
        <v>2.02</v>
      </c>
      <c r="O224" s="788" t="s">
        <v>1726</v>
      </c>
      <c r="P224" s="788" t="s">
        <v>1727</v>
      </c>
      <c r="Q224" s="939">
        <v>0</v>
      </c>
      <c r="R224" s="940"/>
    </row>
    <row r="225" spans="1:18" ht="15" customHeight="1" x14ac:dyDescent="0.25">
      <c r="A225" s="788" t="s">
        <v>1258</v>
      </c>
      <c r="B225" s="794">
        <v>44479</v>
      </c>
      <c r="C225" s="953" t="s">
        <v>971</v>
      </c>
      <c r="D225" s="954"/>
      <c r="E225" s="788" t="s">
        <v>1259</v>
      </c>
      <c r="F225" s="726">
        <v>9.1999999999999993</v>
      </c>
      <c r="G225" s="957">
        <v>0</v>
      </c>
      <c r="H225" s="958"/>
      <c r="I225" s="724">
        <v>0</v>
      </c>
      <c r="J225" s="723">
        <v>0</v>
      </c>
      <c r="K225" s="722">
        <v>9.1999999999999993</v>
      </c>
      <c r="L225" s="726">
        <v>0</v>
      </c>
      <c r="M225" s="732">
        <v>1.92</v>
      </c>
      <c r="N225" s="727">
        <v>1.92</v>
      </c>
      <c r="O225" s="788" t="s">
        <v>1728</v>
      </c>
      <c r="P225" s="788" t="s">
        <v>1616</v>
      </c>
      <c r="Q225" s="939">
        <v>0</v>
      </c>
      <c r="R225" s="940"/>
    </row>
    <row r="226" spans="1:18" ht="15" customHeight="1" x14ac:dyDescent="0.25">
      <c r="A226" s="933" t="s">
        <v>1729</v>
      </c>
      <c r="B226" s="941">
        <v>44479</v>
      </c>
      <c r="C226" s="943" t="s">
        <v>1730</v>
      </c>
      <c r="D226" s="944"/>
      <c r="E226" s="933" t="s">
        <v>1731</v>
      </c>
      <c r="F226" s="963">
        <v>0.8</v>
      </c>
      <c r="G226" s="949">
        <v>0</v>
      </c>
      <c r="H226" s="950"/>
      <c r="I226" s="959">
        <v>0</v>
      </c>
      <c r="J226" s="723">
        <v>0</v>
      </c>
      <c r="K226" s="969">
        <v>0.6</v>
      </c>
      <c r="L226" s="963">
        <v>0.2</v>
      </c>
      <c r="M226" s="971">
        <v>0.46</v>
      </c>
      <c r="N226" s="733">
        <v>0.26</v>
      </c>
      <c r="O226" s="933" t="s">
        <v>1732</v>
      </c>
      <c r="P226" s="933" t="s">
        <v>1733</v>
      </c>
      <c r="Q226" s="935">
        <v>0</v>
      </c>
      <c r="R226" s="936"/>
    </row>
    <row r="227" spans="1:18" ht="5.0999999999999996" customHeight="1" x14ac:dyDescent="0.25">
      <c r="A227" s="934"/>
      <c r="B227" s="942"/>
      <c r="C227" s="945"/>
      <c r="D227" s="946"/>
      <c r="E227" s="934"/>
      <c r="F227" s="964"/>
      <c r="G227" s="951"/>
      <c r="H227" s="952"/>
      <c r="I227" s="960"/>
      <c r="J227" s="729"/>
      <c r="K227" s="970"/>
      <c r="L227" s="964"/>
      <c r="M227" s="972"/>
      <c r="N227" s="728"/>
      <c r="O227" s="934"/>
      <c r="P227" s="934"/>
      <c r="Q227" s="937"/>
      <c r="R227" s="938"/>
    </row>
    <row r="228" spans="1:18" ht="15" customHeight="1" x14ac:dyDescent="0.25">
      <c r="A228" s="788" t="s">
        <v>1131</v>
      </c>
      <c r="B228" s="794">
        <v>44479</v>
      </c>
      <c r="C228" s="953" t="s">
        <v>1132</v>
      </c>
      <c r="D228" s="954"/>
      <c r="E228" s="788" t="s">
        <v>1133</v>
      </c>
      <c r="F228" s="721">
        <v>15.87</v>
      </c>
      <c r="G228" s="957">
        <v>0</v>
      </c>
      <c r="H228" s="958"/>
      <c r="I228" s="724">
        <v>0</v>
      </c>
      <c r="J228" s="723">
        <v>0</v>
      </c>
      <c r="K228" s="725">
        <v>22.93</v>
      </c>
      <c r="L228" s="731">
        <v>-7.05</v>
      </c>
      <c r="M228" s="732">
        <v>0</v>
      </c>
      <c r="N228" s="727">
        <v>7.05</v>
      </c>
      <c r="O228" s="788" t="s">
        <v>1734</v>
      </c>
      <c r="P228" s="789" t="s">
        <v>1349</v>
      </c>
      <c r="Q228" s="939">
        <v>0</v>
      </c>
      <c r="R228" s="940"/>
    </row>
    <row r="229" spans="1:18" ht="15" customHeight="1" x14ac:dyDescent="0.25">
      <c r="A229" s="788" t="s">
        <v>975</v>
      </c>
      <c r="B229" s="794">
        <v>44479</v>
      </c>
      <c r="C229" s="953" t="s">
        <v>976</v>
      </c>
      <c r="D229" s="954"/>
      <c r="E229" s="788" t="s">
        <v>977</v>
      </c>
      <c r="F229" s="726">
        <v>0.93</v>
      </c>
      <c r="G229" s="957">
        <v>0</v>
      </c>
      <c r="H229" s="958"/>
      <c r="I229" s="724">
        <v>0</v>
      </c>
      <c r="J229" s="723">
        <v>0</v>
      </c>
      <c r="K229" s="722">
        <v>1.08</v>
      </c>
      <c r="L229" s="731">
        <v>-0.16</v>
      </c>
      <c r="M229" s="732">
        <v>0.06</v>
      </c>
      <c r="N229" s="727">
        <v>0.22</v>
      </c>
      <c r="O229" s="788" t="s">
        <v>1735</v>
      </c>
      <c r="P229" s="789" t="s">
        <v>1736</v>
      </c>
      <c r="Q229" s="939">
        <v>0</v>
      </c>
      <c r="R229" s="940"/>
    </row>
    <row r="230" spans="1:18" ht="14.1" customHeight="1" x14ac:dyDescent="0.25">
      <c r="A230" s="933" t="s">
        <v>1737</v>
      </c>
      <c r="B230" s="941">
        <v>44479</v>
      </c>
      <c r="C230" s="943" t="s">
        <v>1219</v>
      </c>
      <c r="D230" s="944"/>
      <c r="E230" s="933" t="s">
        <v>1220</v>
      </c>
      <c r="F230" s="963">
        <v>0.33</v>
      </c>
      <c r="G230" s="949">
        <v>0</v>
      </c>
      <c r="H230" s="950"/>
      <c r="I230" s="959">
        <v>0</v>
      </c>
      <c r="J230" s="723">
        <v>0</v>
      </c>
      <c r="K230" s="969">
        <v>0.7</v>
      </c>
      <c r="L230" s="979">
        <v>-0.37</v>
      </c>
      <c r="M230" s="971">
        <v>0.01</v>
      </c>
      <c r="N230" s="733">
        <v>0.38</v>
      </c>
      <c r="O230" s="933" t="s">
        <v>1738</v>
      </c>
      <c r="P230" s="790" t="s">
        <v>1739</v>
      </c>
      <c r="Q230" s="935">
        <v>0</v>
      </c>
      <c r="R230" s="936"/>
    </row>
    <row r="231" spans="1:18" ht="5.0999999999999996" customHeight="1" x14ac:dyDescent="0.25">
      <c r="A231" s="934"/>
      <c r="B231" s="942"/>
      <c r="C231" s="945"/>
      <c r="D231" s="946"/>
      <c r="E231" s="934"/>
      <c r="F231" s="964"/>
      <c r="G231" s="951"/>
      <c r="H231" s="952"/>
      <c r="I231" s="960"/>
      <c r="J231" s="729"/>
      <c r="K231" s="970"/>
      <c r="L231" s="980"/>
      <c r="M231" s="972"/>
      <c r="N231" s="728"/>
      <c r="O231" s="934"/>
      <c r="P231" s="728"/>
      <c r="Q231" s="937"/>
      <c r="R231" s="938"/>
    </row>
    <row r="232" spans="1:18" ht="15" customHeight="1" x14ac:dyDescent="0.25">
      <c r="A232" s="788" t="s">
        <v>1740</v>
      </c>
      <c r="B232" s="794">
        <v>44479</v>
      </c>
      <c r="C232" s="953" t="s">
        <v>984</v>
      </c>
      <c r="D232" s="954"/>
      <c r="E232" s="788" t="s">
        <v>1153</v>
      </c>
      <c r="F232" s="721">
        <v>11</v>
      </c>
      <c r="G232" s="955">
        <v>24</v>
      </c>
      <c r="H232" s="956"/>
      <c r="I232" s="724">
        <v>0</v>
      </c>
      <c r="J232" s="723">
        <v>0</v>
      </c>
      <c r="K232" s="725">
        <v>32</v>
      </c>
      <c r="L232" s="726">
        <v>3</v>
      </c>
      <c r="M232" s="732">
        <v>7</v>
      </c>
      <c r="N232" s="727">
        <v>4</v>
      </c>
      <c r="O232" s="788" t="s">
        <v>1741</v>
      </c>
      <c r="P232" s="788" t="s">
        <v>1742</v>
      </c>
      <c r="Q232" s="939">
        <v>0</v>
      </c>
      <c r="R232" s="940"/>
    </row>
    <row r="233" spans="1:18" ht="14.1" customHeight="1" x14ac:dyDescent="0.25">
      <c r="A233" s="933" t="s">
        <v>1743</v>
      </c>
      <c r="B233" s="941">
        <v>44479</v>
      </c>
      <c r="C233" s="943" t="s">
        <v>1074</v>
      </c>
      <c r="D233" s="944"/>
      <c r="E233" s="933" t="s">
        <v>1075</v>
      </c>
      <c r="F233" s="963">
        <v>4</v>
      </c>
      <c r="G233" s="949">
        <v>0</v>
      </c>
      <c r="H233" s="950"/>
      <c r="I233" s="959">
        <v>0</v>
      </c>
      <c r="J233" s="723">
        <v>0</v>
      </c>
      <c r="K233" s="969">
        <v>4.2</v>
      </c>
      <c r="L233" s="979">
        <v>-0.2</v>
      </c>
      <c r="M233" s="971">
        <v>0.49</v>
      </c>
      <c r="N233" s="733">
        <v>0.69</v>
      </c>
      <c r="O233" s="933" t="s">
        <v>1744</v>
      </c>
      <c r="P233" s="790" t="s">
        <v>1745</v>
      </c>
      <c r="Q233" s="935">
        <v>0</v>
      </c>
      <c r="R233" s="936"/>
    </row>
    <row r="234" spans="1:18" ht="5.0999999999999996" customHeight="1" x14ac:dyDescent="0.25">
      <c r="A234" s="934"/>
      <c r="B234" s="942"/>
      <c r="C234" s="945"/>
      <c r="D234" s="946"/>
      <c r="E234" s="934"/>
      <c r="F234" s="964"/>
      <c r="G234" s="951"/>
      <c r="H234" s="952"/>
      <c r="I234" s="960"/>
      <c r="J234" s="729"/>
      <c r="K234" s="970"/>
      <c r="L234" s="980"/>
      <c r="M234" s="972"/>
      <c r="N234" s="728"/>
      <c r="O234" s="934"/>
      <c r="P234" s="728"/>
      <c r="Q234" s="937"/>
      <c r="R234" s="938"/>
    </row>
    <row r="235" spans="1:18" ht="15" customHeight="1" x14ac:dyDescent="0.25">
      <c r="A235" s="788" t="s">
        <v>1746</v>
      </c>
      <c r="B235" s="794">
        <v>44479</v>
      </c>
      <c r="C235" s="953" t="s">
        <v>956</v>
      </c>
      <c r="D235" s="954"/>
      <c r="E235" s="788" t="s">
        <v>990</v>
      </c>
      <c r="F235" s="726">
        <v>6.4</v>
      </c>
      <c r="G235" s="955">
        <v>27.24</v>
      </c>
      <c r="H235" s="956"/>
      <c r="I235" s="724">
        <v>0</v>
      </c>
      <c r="J235" s="723">
        <v>0</v>
      </c>
      <c r="K235" s="725">
        <v>20</v>
      </c>
      <c r="L235" s="721">
        <v>13.64</v>
      </c>
      <c r="M235" s="720">
        <v>20.8</v>
      </c>
      <c r="N235" s="727">
        <v>7.16</v>
      </c>
      <c r="O235" s="788" t="s">
        <v>1747</v>
      </c>
      <c r="P235" s="788" t="s">
        <v>1748</v>
      </c>
      <c r="Q235" s="939">
        <v>0</v>
      </c>
      <c r="R235" s="940"/>
    </row>
    <row r="236" spans="1:18" ht="14.1" customHeight="1" x14ac:dyDescent="0.25">
      <c r="A236" s="933" t="s">
        <v>1749</v>
      </c>
      <c r="B236" s="941">
        <v>44479</v>
      </c>
      <c r="C236" s="943" t="s">
        <v>1055</v>
      </c>
      <c r="D236" s="944"/>
      <c r="E236" s="933" t="s">
        <v>1056</v>
      </c>
      <c r="F236" s="963">
        <v>1.5</v>
      </c>
      <c r="G236" s="965">
        <v>11.5</v>
      </c>
      <c r="H236" s="966"/>
      <c r="I236" s="959">
        <v>0</v>
      </c>
      <c r="J236" s="723">
        <v>0</v>
      </c>
      <c r="K236" s="961">
        <v>14.1</v>
      </c>
      <c r="L236" s="979">
        <v>-1.1000000000000001</v>
      </c>
      <c r="M236" s="971">
        <v>1.02</v>
      </c>
      <c r="N236" s="733">
        <v>2.12</v>
      </c>
      <c r="O236" s="933" t="s">
        <v>1750</v>
      </c>
      <c r="P236" s="790" t="s">
        <v>1751</v>
      </c>
      <c r="Q236" s="935">
        <v>0</v>
      </c>
      <c r="R236" s="936"/>
    </row>
    <row r="237" spans="1:18" ht="5.0999999999999996" customHeight="1" x14ac:dyDescent="0.25">
      <c r="A237" s="934"/>
      <c r="B237" s="942"/>
      <c r="C237" s="945"/>
      <c r="D237" s="946"/>
      <c r="E237" s="934"/>
      <c r="F237" s="964"/>
      <c r="G237" s="967"/>
      <c r="H237" s="968"/>
      <c r="I237" s="960"/>
      <c r="J237" s="729"/>
      <c r="K237" s="962"/>
      <c r="L237" s="980"/>
      <c r="M237" s="972"/>
      <c r="N237" s="728"/>
      <c r="O237" s="934"/>
      <c r="P237" s="728"/>
      <c r="Q237" s="937"/>
      <c r="R237" s="938"/>
    </row>
    <row r="238" spans="1:18" ht="15" customHeight="1" x14ac:dyDescent="0.25">
      <c r="A238" s="788" t="s">
        <v>1231</v>
      </c>
      <c r="B238" s="794">
        <v>44479</v>
      </c>
      <c r="C238" s="953" t="s">
        <v>970</v>
      </c>
      <c r="D238" s="954"/>
      <c r="E238" s="788" t="s">
        <v>1232</v>
      </c>
      <c r="F238" s="721">
        <v>13.5</v>
      </c>
      <c r="G238" s="957">
        <v>0</v>
      </c>
      <c r="H238" s="958"/>
      <c r="I238" s="724">
        <v>0</v>
      </c>
      <c r="J238" s="723">
        <v>0</v>
      </c>
      <c r="K238" s="725">
        <v>16</v>
      </c>
      <c r="L238" s="731">
        <v>-2.5</v>
      </c>
      <c r="M238" s="732">
        <v>0.81</v>
      </c>
      <c r="N238" s="727">
        <v>3.31</v>
      </c>
      <c r="O238" s="788" t="s">
        <v>1752</v>
      </c>
      <c r="P238" s="789" t="s">
        <v>1753</v>
      </c>
      <c r="Q238" s="939">
        <v>0</v>
      </c>
      <c r="R238" s="940"/>
    </row>
    <row r="239" spans="1:18" ht="15" customHeight="1" x14ac:dyDescent="0.25">
      <c r="A239" s="788" t="s">
        <v>1754</v>
      </c>
      <c r="B239" s="794">
        <v>44479</v>
      </c>
      <c r="C239" s="953" t="s">
        <v>956</v>
      </c>
      <c r="D239" s="954"/>
      <c r="E239" s="788" t="s">
        <v>1072</v>
      </c>
      <c r="F239" s="721">
        <v>12</v>
      </c>
      <c r="G239" s="957">
        <v>0</v>
      </c>
      <c r="H239" s="958"/>
      <c r="I239" s="724">
        <v>0</v>
      </c>
      <c r="J239" s="723">
        <v>0</v>
      </c>
      <c r="K239" s="725">
        <v>14.4</v>
      </c>
      <c r="L239" s="731">
        <v>-2.4</v>
      </c>
      <c r="M239" s="732">
        <v>0.12</v>
      </c>
      <c r="N239" s="727">
        <v>2.52</v>
      </c>
      <c r="O239" s="788" t="s">
        <v>1755</v>
      </c>
      <c r="P239" s="789" t="s">
        <v>1756</v>
      </c>
      <c r="Q239" s="939">
        <v>0</v>
      </c>
      <c r="R239" s="940"/>
    </row>
    <row r="240" spans="1:18" ht="15" customHeight="1" x14ac:dyDescent="0.25">
      <c r="A240" s="788" t="s">
        <v>973</v>
      </c>
      <c r="B240" s="794">
        <v>44479</v>
      </c>
      <c r="C240" s="953" t="s">
        <v>956</v>
      </c>
      <c r="D240" s="954"/>
      <c r="E240" s="788" t="s">
        <v>974</v>
      </c>
      <c r="F240" s="726">
        <v>2.2000000000000002</v>
      </c>
      <c r="G240" s="957">
        <v>0</v>
      </c>
      <c r="H240" s="958"/>
      <c r="I240" s="724">
        <v>0</v>
      </c>
      <c r="J240" s="723">
        <v>0</v>
      </c>
      <c r="K240" s="722">
        <v>2.4</v>
      </c>
      <c r="L240" s="731">
        <v>-0.2</v>
      </c>
      <c r="M240" s="732">
        <v>0.95</v>
      </c>
      <c r="N240" s="727">
        <v>1.1499999999999999</v>
      </c>
      <c r="O240" s="788" t="s">
        <v>1757</v>
      </c>
      <c r="P240" s="789" t="s">
        <v>1758</v>
      </c>
      <c r="Q240" s="939">
        <v>0</v>
      </c>
      <c r="R240" s="940"/>
    </row>
    <row r="241" spans="1:18" ht="14.1" customHeight="1" x14ac:dyDescent="0.25">
      <c r="A241" s="788" t="s">
        <v>1759</v>
      </c>
      <c r="B241" s="794">
        <v>44479</v>
      </c>
      <c r="C241" s="953" t="s">
        <v>971</v>
      </c>
      <c r="D241" s="954"/>
      <c r="E241" s="788" t="s">
        <v>1273</v>
      </c>
      <c r="F241" s="721">
        <v>10.17</v>
      </c>
      <c r="G241" s="957">
        <v>0</v>
      </c>
      <c r="H241" s="958"/>
      <c r="I241" s="724">
        <v>0</v>
      </c>
      <c r="J241" s="723">
        <v>0</v>
      </c>
      <c r="K241" s="725">
        <v>11.26</v>
      </c>
      <c r="L241" s="731">
        <v>-1.0900000000000001</v>
      </c>
      <c r="M241" s="732">
        <v>0.16</v>
      </c>
      <c r="N241" s="727">
        <v>1.25</v>
      </c>
      <c r="O241" s="788" t="s">
        <v>1760</v>
      </c>
      <c r="P241" s="789" t="s">
        <v>1761</v>
      </c>
      <c r="Q241" s="939">
        <v>0</v>
      </c>
      <c r="R241" s="940"/>
    </row>
    <row r="242" spans="1:18" ht="30" customHeight="1" x14ac:dyDescent="0.25">
      <c r="A242" s="785" t="s">
        <v>939</v>
      </c>
      <c r="B242" s="786" t="s">
        <v>940</v>
      </c>
      <c r="C242" s="973" t="s">
        <v>941</v>
      </c>
      <c r="D242" s="974"/>
      <c r="E242" s="786" t="s">
        <v>942</v>
      </c>
      <c r="F242" s="786" t="s">
        <v>943</v>
      </c>
      <c r="G242" s="975" t="s">
        <v>944</v>
      </c>
      <c r="H242" s="976"/>
      <c r="I242" s="786" t="s">
        <v>945</v>
      </c>
      <c r="J242" s="787" t="s">
        <v>946</v>
      </c>
      <c r="K242" s="786" t="s">
        <v>947</v>
      </c>
      <c r="L242" s="786" t="s">
        <v>948</v>
      </c>
      <c r="M242" s="786" t="s">
        <v>949</v>
      </c>
      <c r="N242" s="786" t="s">
        <v>950</v>
      </c>
      <c r="O242" s="739" t="s">
        <v>951</v>
      </c>
      <c r="P242" s="786" t="s">
        <v>952</v>
      </c>
      <c r="Q242" s="975" t="s">
        <v>953</v>
      </c>
      <c r="R242" s="976"/>
    </row>
    <row r="243" spans="1:18" ht="15" customHeight="1" x14ac:dyDescent="0.25">
      <c r="A243" s="933" t="s">
        <v>1005</v>
      </c>
      <c r="B243" s="941">
        <v>44479</v>
      </c>
      <c r="C243" s="943" t="s">
        <v>1006</v>
      </c>
      <c r="D243" s="944"/>
      <c r="E243" s="933" t="s">
        <v>1007</v>
      </c>
      <c r="F243" s="963">
        <v>0.9</v>
      </c>
      <c r="G243" s="949">
        <v>0</v>
      </c>
      <c r="H243" s="950"/>
      <c r="I243" s="959">
        <v>0</v>
      </c>
      <c r="J243" s="723">
        <v>0</v>
      </c>
      <c r="K243" s="969">
        <v>1.9</v>
      </c>
      <c r="L243" s="979">
        <v>-1</v>
      </c>
      <c r="M243" s="971">
        <v>0.04</v>
      </c>
      <c r="N243" s="733">
        <v>1.04</v>
      </c>
      <c r="O243" s="933" t="s">
        <v>1762</v>
      </c>
      <c r="P243" s="790" t="s">
        <v>1763</v>
      </c>
      <c r="Q243" s="935">
        <v>0</v>
      </c>
      <c r="R243" s="936"/>
    </row>
    <row r="244" spans="1:18" ht="5.0999999999999996" customHeight="1" x14ac:dyDescent="0.25">
      <c r="A244" s="934"/>
      <c r="B244" s="942"/>
      <c r="C244" s="945"/>
      <c r="D244" s="946"/>
      <c r="E244" s="934"/>
      <c r="F244" s="964"/>
      <c r="G244" s="951"/>
      <c r="H244" s="952"/>
      <c r="I244" s="960"/>
      <c r="J244" s="729"/>
      <c r="K244" s="970"/>
      <c r="L244" s="980"/>
      <c r="M244" s="972"/>
      <c r="N244" s="728"/>
      <c r="O244" s="934"/>
      <c r="P244" s="728"/>
      <c r="Q244" s="937"/>
      <c r="R244" s="938"/>
    </row>
    <row r="245" spans="1:18" ht="15" customHeight="1" x14ac:dyDescent="0.25">
      <c r="A245" s="788" t="s">
        <v>995</v>
      </c>
      <c r="B245" s="794">
        <v>44479</v>
      </c>
      <c r="C245" s="953" t="s">
        <v>996</v>
      </c>
      <c r="D245" s="954"/>
      <c r="E245" s="788" t="s">
        <v>997</v>
      </c>
      <c r="F245" s="726">
        <v>0</v>
      </c>
      <c r="G245" s="957">
        <v>0</v>
      </c>
      <c r="H245" s="958"/>
      <c r="I245" s="724">
        <v>0</v>
      </c>
      <c r="J245" s="723">
        <v>0</v>
      </c>
      <c r="K245" s="722">
        <v>0.8</v>
      </c>
      <c r="L245" s="731">
        <v>-0.8</v>
      </c>
      <c r="M245" s="732">
        <v>0.02</v>
      </c>
      <c r="N245" s="727">
        <v>0.82</v>
      </c>
      <c r="O245" s="788" t="s">
        <v>1764</v>
      </c>
      <c r="P245" s="789" t="s">
        <v>1765</v>
      </c>
      <c r="Q245" s="939">
        <v>0</v>
      </c>
      <c r="R245" s="940"/>
    </row>
    <row r="246" spans="1:18" ht="15" customHeight="1" x14ac:dyDescent="0.25">
      <c r="A246" s="933" t="s">
        <v>1010</v>
      </c>
      <c r="B246" s="941">
        <v>44479</v>
      </c>
      <c r="C246" s="943" t="s">
        <v>966</v>
      </c>
      <c r="D246" s="944"/>
      <c r="E246" s="933" t="s">
        <v>1011</v>
      </c>
      <c r="F246" s="947">
        <v>81.599999999999994</v>
      </c>
      <c r="G246" s="949">
        <v>0</v>
      </c>
      <c r="H246" s="950"/>
      <c r="I246" s="959">
        <v>0</v>
      </c>
      <c r="J246" s="723">
        <v>0</v>
      </c>
      <c r="K246" s="961">
        <v>115.2</v>
      </c>
      <c r="L246" s="979">
        <v>-33.6</v>
      </c>
      <c r="M246" s="981">
        <v>10</v>
      </c>
      <c r="N246" s="730">
        <v>43.6</v>
      </c>
      <c r="O246" s="933" t="s">
        <v>1766</v>
      </c>
      <c r="P246" s="790" t="s">
        <v>1767</v>
      </c>
      <c r="Q246" s="935">
        <v>0</v>
      </c>
      <c r="R246" s="936"/>
    </row>
    <row r="247" spans="1:18" ht="5.0999999999999996" customHeight="1" x14ac:dyDescent="0.25">
      <c r="A247" s="934"/>
      <c r="B247" s="942"/>
      <c r="C247" s="945"/>
      <c r="D247" s="946"/>
      <c r="E247" s="934"/>
      <c r="F247" s="948"/>
      <c r="G247" s="951"/>
      <c r="H247" s="952"/>
      <c r="I247" s="960"/>
      <c r="J247" s="729"/>
      <c r="K247" s="962"/>
      <c r="L247" s="980"/>
      <c r="M247" s="982"/>
      <c r="N247" s="728"/>
      <c r="O247" s="934"/>
      <c r="P247" s="728"/>
      <c r="Q247" s="937"/>
      <c r="R247" s="938"/>
    </row>
    <row r="248" spans="1:18" ht="15" customHeight="1" x14ac:dyDescent="0.25">
      <c r="A248" s="788" t="s">
        <v>1278</v>
      </c>
      <c r="B248" s="794">
        <v>44479</v>
      </c>
      <c r="C248" s="953" t="s">
        <v>984</v>
      </c>
      <c r="D248" s="954"/>
      <c r="E248" s="788" t="s">
        <v>1279</v>
      </c>
      <c r="F248" s="721">
        <v>78</v>
      </c>
      <c r="G248" s="957">
        <v>0</v>
      </c>
      <c r="H248" s="958"/>
      <c r="I248" s="724">
        <v>0</v>
      </c>
      <c r="J248" s="723">
        <v>0</v>
      </c>
      <c r="K248" s="725">
        <v>150</v>
      </c>
      <c r="L248" s="731">
        <v>-72</v>
      </c>
      <c r="M248" s="720">
        <v>48</v>
      </c>
      <c r="N248" s="719">
        <v>120</v>
      </c>
      <c r="O248" s="788" t="s">
        <v>1768</v>
      </c>
      <c r="P248" s="789" t="s">
        <v>1769</v>
      </c>
      <c r="Q248" s="939">
        <v>0</v>
      </c>
      <c r="R248" s="940"/>
    </row>
    <row r="249" spans="1:18" ht="15" customHeight="1" x14ac:dyDescent="0.25">
      <c r="A249" s="788" t="s">
        <v>1770</v>
      </c>
      <c r="B249" s="794">
        <v>44479</v>
      </c>
      <c r="C249" s="953" t="s">
        <v>956</v>
      </c>
      <c r="D249" s="954"/>
      <c r="E249" s="788" t="s">
        <v>1022</v>
      </c>
      <c r="F249" s="726">
        <v>2.1</v>
      </c>
      <c r="G249" s="957">
        <v>0</v>
      </c>
      <c r="H249" s="958"/>
      <c r="I249" s="724">
        <v>0</v>
      </c>
      <c r="J249" s="723">
        <v>0</v>
      </c>
      <c r="K249" s="722">
        <v>4.2</v>
      </c>
      <c r="L249" s="731">
        <v>-2.1</v>
      </c>
      <c r="M249" s="732">
        <v>1.53</v>
      </c>
      <c r="N249" s="727">
        <v>3.63</v>
      </c>
      <c r="O249" s="788" t="s">
        <v>1771</v>
      </c>
      <c r="P249" s="789" t="s">
        <v>1772</v>
      </c>
      <c r="Q249" s="939">
        <v>0</v>
      </c>
      <c r="R249" s="940"/>
    </row>
    <row r="250" spans="1:18" ht="15" customHeight="1" x14ac:dyDescent="0.25">
      <c r="A250" s="788" t="s">
        <v>1208</v>
      </c>
      <c r="B250" s="794">
        <v>44479</v>
      </c>
      <c r="C250" s="953" t="s">
        <v>1180</v>
      </c>
      <c r="D250" s="954"/>
      <c r="E250" s="788" t="s">
        <v>1773</v>
      </c>
      <c r="F250" s="726">
        <v>2</v>
      </c>
      <c r="G250" s="955">
        <v>12</v>
      </c>
      <c r="H250" s="956"/>
      <c r="I250" s="724">
        <v>0</v>
      </c>
      <c r="J250" s="723">
        <v>0</v>
      </c>
      <c r="K250" s="722">
        <v>8</v>
      </c>
      <c r="L250" s="726">
        <v>6</v>
      </c>
      <c r="M250" s="720">
        <v>29.24</v>
      </c>
      <c r="N250" s="719">
        <v>23.24</v>
      </c>
      <c r="O250" s="788" t="s">
        <v>1774</v>
      </c>
      <c r="P250" s="788" t="s">
        <v>1775</v>
      </c>
      <c r="Q250" s="939">
        <v>0</v>
      </c>
      <c r="R250" s="940"/>
    </row>
    <row r="251" spans="1:18" ht="15" customHeight="1" x14ac:dyDescent="0.25">
      <c r="A251" s="933" t="s">
        <v>1776</v>
      </c>
      <c r="B251" s="941">
        <v>44479</v>
      </c>
      <c r="C251" s="943" t="s">
        <v>966</v>
      </c>
      <c r="D251" s="944"/>
      <c r="E251" s="933" t="s">
        <v>1265</v>
      </c>
      <c r="F251" s="947">
        <v>96</v>
      </c>
      <c r="G251" s="949">
        <v>0</v>
      </c>
      <c r="H251" s="950"/>
      <c r="I251" s="959">
        <v>0</v>
      </c>
      <c r="J251" s="723">
        <v>0</v>
      </c>
      <c r="K251" s="961">
        <v>172.8</v>
      </c>
      <c r="L251" s="979">
        <v>-76.8</v>
      </c>
      <c r="M251" s="971">
        <v>9</v>
      </c>
      <c r="N251" s="730">
        <v>85.8</v>
      </c>
      <c r="O251" s="933" t="s">
        <v>1777</v>
      </c>
      <c r="P251" s="790" t="s">
        <v>1778</v>
      </c>
      <c r="Q251" s="935">
        <v>0</v>
      </c>
      <c r="R251" s="936"/>
    </row>
    <row r="252" spans="1:18" ht="5.0999999999999996" customHeight="1" x14ac:dyDescent="0.25">
      <c r="A252" s="934"/>
      <c r="B252" s="942"/>
      <c r="C252" s="945"/>
      <c r="D252" s="946"/>
      <c r="E252" s="934"/>
      <c r="F252" s="948"/>
      <c r="G252" s="951"/>
      <c r="H252" s="952"/>
      <c r="I252" s="960"/>
      <c r="J252" s="729"/>
      <c r="K252" s="962"/>
      <c r="L252" s="980"/>
      <c r="M252" s="972"/>
      <c r="N252" s="728"/>
      <c r="O252" s="934"/>
      <c r="P252" s="728"/>
      <c r="Q252" s="937"/>
      <c r="R252" s="938"/>
    </row>
    <row r="253" spans="1:18" ht="15" customHeight="1" x14ac:dyDescent="0.25">
      <c r="A253" s="788" t="s">
        <v>1295</v>
      </c>
      <c r="B253" s="794">
        <v>44479</v>
      </c>
      <c r="C253" s="953" t="s">
        <v>1296</v>
      </c>
      <c r="D253" s="954"/>
      <c r="E253" s="788" t="s">
        <v>1779</v>
      </c>
      <c r="F253" s="726">
        <v>2.25</v>
      </c>
      <c r="G253" s="955">
        <v>10</v>
      </c>
      <c r="H253" s="956"/>
      <c r="I253" s="724">
        <v>0</v>
      </c>
      <c r="J253" s="723">
        <v>0</v>
      </c>
      <c r="K253" s="722">
        <v>9</v>
      </c>
      <c r="L253" s="726">
        <v>3.25</v>
      </c>
      <c r="M253" s="732">
        <v>6.15</v>
      </c>
      <c r="N253" s="727">
        <v>2.9</v>
      </c>
      <c r="O253" s="788" t="s">
        <v>1780</v>
      </c>
      <c r="P253" s="788" t="s">
        <v>1781</v>
      </c>
      <c r="Q253" s="939">
        <v>0</v>
      </c>
      <c r="R253" s="940"/>
    </row>
    <row r="254" spans="1:18" ht="15" customHeight="1" x14ac:dyDescent="0.25">
      <c r="A254" s="788" t="s">
        <v>1782</v>
      </c>
      <c r="B254" s="794">
        <v>44479</v>
      </c>
      <c r="C254" s="953" t="s">
        <v>970</v>
      </c>
      <c r="D254" s="954"/>
      <c r="E254" s="788" t="s">
        <v>1143</v>
      </c>
      <c r="F254" s="721">
        <v>26</v>
      </c>
      <c r="G254" s="957">
        <v>0</v>
      </c>
      <c r="H254" s="958"/>
      <c r="I254" s="724">
        <v>0</v>
      </c>
      <c r="J254" s="723">
        <v>0</v>
      </c>
      <c r="K254" s="725">
        <v>21</v>
      </c>
      <c r="L254" s="726">
        <v>5</v>
      </c>
      <c r="M254" s="720">
        <v>45.46</v>
      </c>
      <c r="N254" s="719">
        <v>40.46</v>
      </c>
      <c r="O254" s="788" t="s">
        <v>1783</v>
      </c>
      <c r="P254" s="788" t="s">
        <v>1784</v>
      </c>
      <c r="Q254" s="939">
        <v>0</v>
      </c>
      <c r="R254" s="940"/>
    </row>
    <row r="255" spans="1:18" ht="15" customHeight="1" x14ac:dyDescent="0.25">
      <c r="A255" s="791" t="s">
        <v>1300</v>
      </c>
      <c r="B255" s="718"/>
      <c r="C255" s="983"/>
      <c r="D255" s="984"/>
      <c r="E255" s="718"/>
      <c r="F255" s="791" t="s">
        <v>1785</v>
      </c>
      <c r="G255" s="985" t="s">
        <v>1786</v>
      </c>
      <c r="H255" s="986"/>
      <c r="I255" s="791" t="s">
        <v>1301</v>
      </c>
      <c r="J255" s="792" t="s">
        <v>1787</v>
      </c>
      <c r="K255" s="791" t="s">
        <v>1788</v>
      </c>
      <c r="L255" s="791" t="s">
        <v>1789</v>
      </c>
      <c r="M255" s="791" t="s">
        <v>1790</v>
      </c>
      <c r="N255" s="791" t="s">
        <v>1791</v>
      </c>
      <c r="O255" s="791" t="s">
        <v>1792</v>
      </c>
      <c r="P255" s="791" t="s">
        <v>1793</v>
      </c>
      <c r="Q255" s="987">
        <v>0</v>
      </c>
      <c r="R255" s="988"/>
    </row>
    <row r="256" spans="1:18" ht="14.1" customHeight="1" x14ac:dyDescent="0.25">
      <c r="A256" s="784" t="s">
        <v>1302</v>
      </c>
    </row>
    <row r="257" spans="1:17" ht="20.100000000000001" customHeight="1" x14ac:dyDescent="0.25">
      <c r="A257" s="717"/>
      <c r="B257" s="989" t="s">
        <v>1303</v>
      </c>
      <c r="C257" s="990"/>
      <c r="D257" s="989" t="s">
        <v>1304</v>
      </c>
      <c r="E257" s="991"/>
      <c r="F257" s="991"/>
      <c r="G257" s="990"/>
      <c r="H257" s="992"/>
      <c r="I257" s="993"/>
      <c r="J257" s="993"/>
      <c r="K257" s="993"/>
      <c r="L257" s="993"/>
      <c r="M257" s="993"/>
      <c r="N257" s="993"/>
      <c r="O257" s="993"/>
      <c r="P257" s="993"/>
      <c r="Q257" s="994"/>
    </row>
    <row r="258" spans="1:17" ht="18.95" customHeight="1" x14ac:dyDescent="0.25">
      <c r="A258" s="793" t="s">
        <v>1305</v>
      </c>
      <c r="B258" s="928" t="s">
        <v>1794</v>
      </c>
      <c r="C258" s="929"/>
      <c r="D258" s="925"/>
      <c r="E258" s="926"/>
      <c r="F258" s="926"/>
      <c r="G258" s="927"/>
      <c r="H258" s="925"/>
      <c r="I258" s="926"/>
      <c r="J258" s="926"/>
      <c r="K258" s="926"/>
      <c r="L258" s="926"/>
      <c r="M258" s="926"/>
      <c r="N258" s="926"/>
      <c r="O258" s="926"/>
      <c r="P258" s="926"/>
      <c r="Q258" s="927"/>
    </row>
    <row r="259" spans="1:17" ht="20.100000000000001" customHeight="1" x14ac:dyDescent="0.25">
      <c r="A259" s="793" t="s">
        <v>1306</v>
      </c>
      <c r="B259" s="928" t="s">
        <v>1795</v>
      </c>
      <c r="C259" s="929"/>
      <c r="D259" s="930" t="s">
        <v>1796</v>
      </c>
      <c r="E259" s="931"/>
      <c r="F259" s="931"/>
      <c r="G259" s="932"/>
      <c r="H259" s="925"/>
      <c r="I259" s="926"/>
      <c r="J259" s="926"/>
      <c r="K259" s="926"/>
      <c r="L259" s="926"/>
      <c r="M259" s="926"/>
      <c r="N259" s="926"/>
      <c r="O259" s="926"/>
      <c r="P259" s="926"/>
      <c r="Q259" s="927"/>
    </row>
    <row r="260" spans="1:17" ht="20.100000000000001" customHeight="1" x14ac:dyDescent="0.25">
      <c r="A260" s="793" t="s">
        <v>1307</v>
      </c>
      <c r="B260" s="928" t="s">
        <v>1797</v>
      </c>
      <c r="C260" s="929"/>
      <c r="D260" s="930" t="s">
        <v>1798</v>
      </c>
      <c r="E260" s="931"/>
      <c r="F260" s="931"/>
      <c r="G260" s="932"/>
      <c r="H260" s="925"/>
      <c r="I260" s="926"/>
      <c r="J260" s="926"/>
      <c r="K260" s="926"/>
      <c r="L260" s="926"/>
      <c r="M260" s="926"/>
      <c r="N260" s="926"/>
      <c r="O260" s="926"/>
      <c r="P260" s="926"/>
      <c r="Q260" s="927"/>
    </row>
    <row r="261" spans="1:17" ht="20.100000000000001" customHeight="1" x14ac:dyDescent="0.25">
      <c r="A261" s="793" t="s">
        <v>1308</v>
      </c>
      <c r="B261" s="928" t="s">
        <v>1799</v>
      </c>
      <c r="C261" s="929"/>
      <c r="D261" s="930" t="s">
        <v>1800</v>
      </c>
      <c r="E261" s="931"/>
      <c r="F261" s="931"/>
      <c r="G261" s="932"/>
      <c r="H261" s="925"/>
      <c r="I261" s="926"/>
      <c r="J261" s="926"/>
      <c r="K261" s="926"/>
      <c r="L261" s="926"/>
      <c r="M261" s="926"/>
      <c r="N261" s="926"/>
      <c r="O261" s="926"/>
      <c r="P261" s="926"/>
      <c r="Q261" s="927"/>
    </row>
  </sheetData>
  <mergeCells count="858">
    <mergeCell ref="Q255:R255"/>
    <mergeCell ref="B257:C257"/>
    <mergeCell ref="D257:G257"/>
    <mergeCell ref="H257:Q257"/>
    <mergeCell ref="B258:C258"/>
    <mergeCell ref="B261:C261"/>
    <mergeCell ref="D261:G261"/>
    <mergeCell ref="H261:Q261"/>
    <mergeCell ref="B259:C259"/>
    <mergeCell ref="D259:G259"/>
    <mergeCell ref="C253:D253"/>
    <mergeCell ref="G253:H253"/>
    <mergeCell ref="C254:D254"/>
    <mergeCell ref="G254:H254"/>
    <mergeCell ref="C255:D255"/>
    <mergeCell ref="G255:H255"/>
    <mergeCell ref="L246:L247"/>
    <mergeCell ref="M246:M247"/>
    <mergeCell ref="C249:D249"/>
    <mergeCell ref="G249:H249"/>
    <mergeCell ref="I251:I252"/>
    <mergeCell ref="K251:K252"/>
    <mergeCell ref="L251:L252"/>
    <mergeCell ref="M251:M252"/>
    <mergeCell ref="C242:D242"/>
    <mergeCell ref="G242:H242"/>
    <mergeCell ref="Q241:R241"/>
    <mergeCell ref="Q242:R242"/>
    <mergeCell ref="I243:I244"/>
    <mergeCell ref="K243:K244"/>
    <mergeCell ref="L243:L244"/>
    <mergeCell ref="M243:M244"/>
    <mergeCell ref="O243:O244"/>
    <mergeCell ref="Q243:R244"/>
    <mergeCell ref="C240:D240"/>
    <mergeCell ref="G240:H240"/>
    <mergeCell ref="Q239:R239"/>
    <mergeCell ref="Q240:R240"/>
    <mergeCell ref="C241:D241"/>
    <mergeCell ref="G241:H241"/>
    <mergeCell ref="C238:D238"/>
    <mergeCell ref="G238:H238"/>
    <mergeCell ref="Q236:R237"/>
    <mergeCell ref="Q238:R238"/>
    <mergeCell ref="C239:D239"/>
    <mergeCell ref="G239:H239"/>
    <mergeCell ref="C235:D235"/>
    <mergeCell ref="G235:H235"/>
    <mergeCell ref="K236:K237"/>
    <mergeCell ref="L236:L237"/>
    <mergeCell ref="M236:M237"/>
    <mergeCell ref="O236:O237"/>
    <mergeCell ref="O230:O231"/>
    <mergeCell ref="Q230:R231"/>
    <mergeCell ref="Q232:R232"/>
    <mergeCell ref="I233:I234"/>
    <mergeCell ref="K233:K234"/>
    <mergeCell ref="L233:L234"/>
    <mergeCell ref="M233:M234"/>
    <mergeCell ref="I230:I231"/>
    <mergeCell ref="K230:K231"/>
    <mergeCell ref="L230:L231"/>
    <mergeCell ref="M230:M231"/>
    <mergeCell ref="C232:D232"/>
    <mergeCell ref="G232:H232"/>
    <mergeCell ref="A226:A227"/>
    <mergeCell ref="B226:B227"/>
    <mergeCell ref="G226:H227"/>
    <mergeCell ref="I226:I227"/>
    <mergeCell ref="K226:K227"/>
    <mergeCell ref="L226:L227"/>
    <mergeCell ref="C228:D228"/>
    <mergeCell ref="C225:D225"/>
    <mergeCell ref="G225:H225"/>
    <mergeCell ref="Q225:R225"/>
    <mergeCell ref="C226:D227"/>
    <mergeCell ref="E226:E227"/>
    <mergeCell ref="F226:F227"/>
    <mergeCell ref="M226:M227"/>
    <mergeCell ref="O226:O227"/>
    <mergeCell ref="P226:P227"/>
    <mergeCell ref="Q226:R227"/>
    <mergeCell ref="C223:D223"/>
    <mergeCell ref="G223:H223"/>
    <mergeCell ref="C224:D224"/>
    <mergeCell ref="G224:H224"/>
    <mergeCell ref="Q223:R223"/>
    <mergeCell ref="Q224:R224"/>
    <mergeCell ref="C218:D218"/>
    <mergeCell ref="G218:H218"/>
    <mergeCell ref="Q217:R217"/>
    <mergeCell ref="Q218:R218"/>
    <mergeCell ref="C222:D222"/>
    <mergeCell ref="G222:H222"/>
    <mergeCell ref="Q222:R222"/>
    <mergeCell ref="Q219:R219"/>
    <mergeCell ref="C220:D220"/>
    <mergeCell ref="G220:H220"/>
    <mergeCell ref="C216:D216"/>
    <mergeCell ref="G216:H216"/>
    <mergeCell ref="Q215:R215"/>
    <mergeCell ref="Q216:R216"/>
    <mergeCell ref="C217:D217"/>
    <mergeCell ref="G217:H217"/>
    <mergeCell ref="C214:D214"/>
    <mergeCell ref="G214:H214"/>
    <mergeCell ref="Q213:R213"/>
    <mergeCell ref="Q214:R214"/>
    <mergeCell ref="C215:D215"/>
    <mergeCell ref="G215:H215"/>
    <mergeCell ref="C212:D212"/>
    <mergeCell ref="G212:H212"/>
    <mergeCell ref="Q211:R211"/>
    <mergeCell ref="Q212:R212"/>
    <mergeCell ref="C213:D213"/>
    <mergeCell ref="G213:H213"/>
    <mergeCell ref="G208:H208"/>
    <mergeCell ref="C210:D210"/>
    <mergeCell ref="G210:H210"/>
    <mergeCell ref="Q210:R210"/>
    <mergeCell ref="C211:D211"/>
    <mergeCell ref="G211:H211"/>
    <mergeCell ref="C204:D204"/>
    <mergeCell ref="G204:H204"/>
    <mergeCell ref="C203:D203"/>
    <mergeCell ref="G203:H203"/>
    <mergeCell ref="Q203:R203"/>
    <mergeCell ref="C206:D206"/>
    <mergeCell ref="G206:H206"/>
    <mergeCell ref="Q204:R204"/>
    <mergeCell ref="Q205:R205"/>
    <mergeCell ref="Q206:R206"/>
    <mergeCell ref="C199:D199"/>
    <mergeCell ref="G199:H199"/>
    <mergeCell ref="Q199:R199"/>
    <mergeCell ref="C200:D200"/>
    <mergeCell ref="G200:H200"/>
    <mergeCell ref="Q195:R195"/>
    <mergeCell ref="Q196:R196"/>
    <mergeCell ref="Q197:R197"/>
    <mergeCell ref="C198:D198"/>
    <mergeCell ref="G198:H198"/>
    <mergeCell ref="P187:P188"/>
    <mergeCell ref="C189:D189"/>
    <mergeCell ref="G189:H189"/>
    <mergeCell ref="C190:D190"/>
    <mergeCell ref="G190:H190"/>
    <mergeCell ref="C191:D191"/>
    <mergeCell ref="G191:H191"/>
    <mergeCell ref="C186:D186"/>
    <mergeCell ref="G186:H186"/>
    <mergeCell ref="A187:A188"/>
    <mergeCell ref="B187:B188"/>
    <mergeCell ref="C187:D188"/>
    <mergeCell ref="F187:F188"/>
    <mergeCell ref="G187:H188"/>
    <mergeCell ref="C185:D185"/>
    <mergeCell ref="G185:H185"/>
    <mergeCell ref="M183:M184"/>
    <mergeCell ref="O183:O184"/>
    <mergeCell ref="P183:P184"/>
    <mergeCell ref="Q183:R184"/>
    <mergeCell ref="Q185:R185"/>
    <mergeCell ref="C182:D182"/>
    <mergeCell ref="G182:H182"/>
    <mergeCell ref="Q182:R182"/>
    <mergeCell ref="I183:I184"/>
    <mergeCell ref="K183:K184"/>
    <mergeCell ref="L183:L184"/>
    <mergeCell ref="G183:H184"/>
    <mergeCell ref="C180:D180"/>
    <mergeCell ref="G180:H180"/>
    <mergeCell ref="C181:D181"/>
    <mergeCell ref="G181:H181"/>
    <mergeCell ref="Q180:R180"/>
    <mergeCell ref="Q181:R181"/>
    <mergeCell ref="C178:D178"/>
    <mergeCell ref="G178:H178"/>
    <mergeCell ref="C179:D179"/>
    <mergeCell ref="G179:H179"/>
    <mergeCell ref="Q178:R178"/>
    <mergeCell ref="Q179:R179"/>
    <mergeCell ref="C176:D176"/>
    <mergeCell ref="G176:H176"/>
    <mergeCell ref="C177:D177"/>
    <mergeCell ref="G177:H177"/>
    <mergeCell ref="Q176:R176"/>
    <mergeCell ref="Q177:R177"/>
    <mergeCell ref="Q173:R173"/>
    <mergeCell ref="C174:D174"/>
    <mergeCell ref="G174:H174"/>
    <mergeCell ref="C175:D175"/>
    <mergeCell ref="G175:H175"/>
    <mergeCell ref="Q174:R174"/>
    <mergeCell ref="Q175:R175"/>
    <mergeCell ref="C171:D171"/>
    <mergeCell ref="G171:H171"/>
    <mergeCell ref="C172:D172"/>
    <mergeCell ref="G172:H172"/>
    <mergeCell ref="C173:D173"/>
    <mergeCell ref="G173:H173"/>
    <mergeCell ref="C168:D168"/>
    <mergeCell ref="G168:H168"/>
    <mergeCell ref="C169:D169"/>
    <mergeCell ref="G169:H169"/>
    <mergeCell ref="C170:D170"/>
    <mergeCell ref="G170:H170"/>
    <mergeCell ref="C167:D167"/>
    <mergeCell ref="G167:H167"/>
    <mergeCell ref="M165:M166"/>
    <mergeCell ref="O165:O166"/>
    <mergeCell ref="P165:P166"/>
    <mergeCell ref="Q165:R166"/>
    <mergeCell ref="Q167:R167"/>
    <mergeCell ref="Q161:R162"/>
    <mergeCell ref="Q163:R163"/>
    <mergeCell ref="C164:D164"/>
    <mergeCell ref="G164:H164"/>
    <mergeCell ref="Q164:R164"/>
    <mergeCell ref="I165:I166"/>
    <mergeCell ref="K165:K166"/>
    <mergeCell ref="L165:L166"/>
    <mergeCell ref="L161:L162"/>
    <mergeCell ref="M161:M162"/>
    <mergeCell ref="C163:D163"/>
    <mergeCell ref="G163:H163"/>
    <mergeCell ref="O161:O162"/>
    <mergeCell ref="P161:P162"/>
    <mergeCell ref="C159:D159"/>
    <mergeCell ref="G159:H159"/>
    <mergeCell ref="C160:D160"/>
    <mergeCell ref="G160:H160"/>
    <mergeCell ref="I161:I162"/>
    <mergeCell ref="K161:K162"/>
    <mergeCell ref="C157:D157"/>
    <mergeCell ref="G157:H157"/>
    <mergeCell ref="K154:K155"/>
    <mergeCell ref="L154:L155"/>
    <mergeCell ref="C158:D158"/>
    <mergeCell ref="G158:H158"/>
    <mergeCell ref="Q150:R150"/>
    <mergeCell ref="Q151:R151"/>
    <mergeCell ref="C152:D152"/>
    <mergeCell ref="G152:H152"/>
    <mergeCell ref="C153:D153"/>
    <mergeCell ref="G153:H153"/>
    <mergeCell ref="Q152:R152"/>
    <mergeCell ref="Q153:R153"/>
    <mergeCell ref="C147:D147"/>
    <mergeCell ref="G147:H147"/>
    <mergeCell ref="C150:D150"/>
    <mergeCell ref="G150:H150"/>
    <mergeCell ref="C151:D151"/>
    <mergeCell ref="G151:H151"/>
    <mergeCell ref="C143:D143"/>
    <mergeCell ref="G143:H143"/>
    <mergeCell ref="Q143:R143"/>
    <mergeCell ref="I144:I145"/>
    <mergeCell ref="K144:K145"/>
    <mergeCell ref="L144:L145"/>
    <mergeCell ref="M144:M145"/>
    <mergeCell ref="O144:O145"/>
    <mergeCell ref="P144:P145"/>
    <mergeCell ref="Q144:R145"/>
    <mergeCell ref="C141:D141"/>
    <mergeCell ref="G141:H141"/>
    <mergeCell ref="C142:D142"/>
    <mergeCell ref="G142:H142"/>
    <mergeCell ref="Q141:R141"/>
    <mergeCell ref="Q142:R142"/>
    <mergeCell ref="C139:D139"/>
    <mergeCell ref="G139:H139"/>
    <mergeCell ref="C140:D140"/>
    <mergeCell ref="G140:H140"/>
    <mergeCell ref="Q139:R139"/>
    <mergeCell ref="Q140:R140"/>
    <mergeCell ref="C136:D136"/>
    <mergeCell ref="G136:H136"/>
    <mergeCell ref="Q136:R136"/>
    <mergeCell ref="C137:D137"/>
    <mergeCell ref="G137:H137"/>
    <mergeCell ref="C138:D138"/>
    <mergeCell ref="G138:H138"/>
    <mergeCell ref="Q137:R137"/>
    <mergeCell ref="Q138:R138"/>
    <mergeCell ref="C131:D131"/>
    <mergeCell ref="G131:H131"/>
    <mergeCell ref="C132:D132"/>
    <mergeCell ref="G132:H132"/>
    <mergeCell ref="Q131:R131"/>
    <mergeCell ref="Q132:R132"/>
    <mergeCell ref="C129:D129"/>
    <mergeCell ref="G129:H129"/>
    <mergeCell ref="C130:D130"/>
    <mergeCell ref="G130:H130"/>
    <mergeCell ref="Q129:R129"/>
    <mergeCell ref="Q130:R130"/>
    <mergeCell ref="C127:D127"/>
    <mergeCell ref="G127:H127"/>
    <mergeCell ref="C128:D128"/>
    <mergeCell ref="G128:H128"/>
    <mergeCell ref="Q127:R127"/>
    <mergeCell ref="Q128:R128"/>
    <mergeCell ref="C125:D125"/>
    <mergeCell ref="G125:H125"/>
    <mergeCell ref="C126:D126"/>
    <mergeCell ref="G126:H126"/>
    <mergeCell ref="Q125:R125"/>
    <mergeCell ref="Q126:R126"/>
    <mergeCell ref="C123:D123"/>
    <mergeCell ref="G123:H123"/>
    <mergeCell ref="C124:D124"/>
    <mergeCell ref="G124:H124"/>
    <mergeCell ref="Q123:R123"/>
    <mergeCell ref="Q124:R124"/>
    <mergeCell ref="C121:D121"/>
    <mergeCell ref="G121:H121"/>
    <mergeCell ref="C122:D122"/>
    <mergeCell ref="G122:H122"/>
    <mergeCell ref="Q121:R121"/>
    <mergeCell ref="Q122:R122"/>
    <mergeCell ref="C119:D119"/>
    <mergeCell ref="G119:H119"/>
    <mergeCell ref="C120:D120"/>
    <mergeCell ref="G120:H120"/>
    <mergeCell ref="Q119:R119"/>
    <mergeCell ref="Q120:R120"/>
    <mergeCell ref="C117:D117"/>
    <mergeCell ref="G117:H117"/>
    <mergeCell ref="C118:D118"/>
    <mergeCell ref="G118:H118"/>
    <mergeCell ref="Q117:R117"/>
    <mergeCell ref="Q118:R118"/>
    <mergeCell ref="C115:D115"/>
    <mergeCell ref="G115:H115"/>
    <mergeCell ref="C116:D116"/>
    <mergeCell ref="G116:H116"/>
    <mergeCell ref="Q115:R115"/>
    <mergeCell ref="Q116:R116"/>
    <mergeCell ref="C113:D113"/>
    <mergeCell ref="G113:H113"/>
    <mergeCell ref="C114:D114"/>
    <mergeCell ref="G114:H114"/>
    <mergeCell ref="Q113:R113"/>
    <mergeCell ref="Q114:R114"/>
    <mergeCell ref="C111:D111"/>
    <mergeCell ref="G111:H111"/>
    <mergeCell ref="C112:D112"/>
    <mergeCell ref="G112:H112"/>
    <mergeCell ref="Q111:R111"/>
    <mergeCell ref="Q112:R112"/>
    <mergeCell ref="C109:D109"/>
    <mergeCell ref="G109:H109"/>
    <mergeCell ref="C110:D110"/>
    <mergeCell ref="G110:H110"/>
    <mergeCell ref="Q109:R109"/>
    <mergeCell ref="Q110:R110"/>
    <mergeCell ref="C107:D107"/>
    <mergeCell ref="G107:H107"/>
    <mergeCell ref="C108:D108"/>
    <mergeCell ref="G108:H108"/>
    <mergeCell ref="Q107:R107"/>
    <mergeCell ref="Q108:R108"/>
    <mergeCell ref="C105:D105"/>
    <mergeCell ref="G105:H105"/>
    <mergeCell ref="C106:D106"/>
    <mergeCell ref="G106:H106"/>
    <mergeCell ref="Q105:R105"/>
    <mergeCell ref="Q106:R106"/>
    <mergeCell ref="C103:D103"/>
    <mergeCell ref="G103:H103"/>
    <mergeCell ref="C104:D104"/>
    <mergeCell ref="G104:H104"/>
    <mergeCell ref="Q103:R103"/>
    <mergeCell ref="Q104:R104"/>
    <mergeCell ref="C101:D101"/>
    <mergeCell ref="G101:H101"/>
    <mergeCell ref="C102:D102"/>
    <mergeCell ref="G102:H102"/>
    <mergeCell ref="Q101:R101"/>
    <mergeCell ref="Q102:R102"/>
    <mergeCell ref="C100:D100"/>
    <mergeCell ref="G100:H100"/>
    <mergeCell ref="M98:M99"/>
    <mergeCell ref="O98:O99"/>
    <mergeCell ref="Q98:R99"/>
    <mergeCell ref="Q100:R100"/>
    <mergeCell ref="C97:D97"/>
    <mergeCell ref="G97:H97"/>
    <mergeCell ref="Q97:R97"/>
    <mergeCell ref="I98:I99"/>
    <mergeCell ref="K98:K99"/>
    <mergeCell ref="L98:L99"/>
    <mergeCell ref="C95:D95"/>
    <mergeCell ref="G95:H95"/>
    <mergeCell ref="C96:D96"/>
    <mergeCell ref="G96:H96"/>
    <mergeCell ref="Q95:R95"/>
    <mergeCell ref="Q96:R96"/>
    <mergeCell ref="C93:D93"/>
    <mergeCell ref="G93:H93"/>
    <mergeCell ref="C94:D94"/>
    <mergeCell ref="G94:H94"/>
    <mergeCell ref="Q93:R93"/>
    <mergeCell ref="Q94:R94"/>
    <mergeCell ref="C91:D91"/>
    <mergeCell ref="G91:H91"/>
    <mergeCell ref="C92:D92"/>
    <mergeCell ref="G92:H92"/>
    <mergeCell ref="Q91:R91"/>
    <mergeCell ref="Q92:R92"/>
    <mergeCell ref="C89:D89"/>
    <mergeCell ref="G89:H89"/>
    <mergeCell ref="C90:D90"/>
    <mergeCell ref="G90:H90"/>
    <mergeCell ref="Q89:R89"/>
    <mergeCell ref="Q90:R90"/>
    <mergeCell ref="C87:D87"/>
    <mergeCell ref="G87:H87"/>
    <mergeCell ref="C88:D88"/>
    <mergeCell ref="G88:H88"/>
    <mergeCell ref="Q87:R87"/>
    <mergeCell ref="Q88:R88"/>
    <mergeCell ref="C85:D85"/>
    <mergeCell ref="G85:H85"/>
    <mergeCell ref="C86:D86"/>
    <mergeCell ref="G86:H86"/>
    <mergeCell ref="Q85:R85"/>
    <mergeCell ref="Q86:R86"/>
    <mergeCell ref="C83:D83"/>
    <mergeCell ref="G83:H83"/>
    <mergeCell ref="C84:D84"/>
    <mergeCell ref="G84:H84"/>
    <mergeCell ref="Q83:R83"/>
    <mergeCell ref="Q84:R84"/>
    <mergeCell ref="C81:D81"/>
    <mergeCell ref="G81:H81"/>
    <mergeCell ref="C82:D82"/>
    <mergeCell ref="G82:H82"/>
    <mergeCell ref="Q81:R81"/>
    <mergeCell ref="Q82:R82"/>
    <mergeCell ref="C79:D79"/>
    <mergeCell ref="G79:H79"/>
    <mergeCell ref="C80:D80"/>
    <mergeCell ref="G80:H80"/>
    <mergeCell ref="Q79:R79"/>
    <mergeCell ref="Q80:R80"/>
    <mergeCell ref="C77:D77"/>
    <mergeCell ref="G77:H77"/>
    <mergeCell ref="C78:D78"/>
    <mergeCell ref="G78:H78"/>
    <mergeCell ref="Q77:R77"/>
    <mergeCell ref="Q78:R78"/>
    <mergeCell ref="C75:D75"/>
    <mergeCell ref="G75:H75"/>
    <mergeCell ref="C76:D76"/>
    <mergeCell ref="G76:H76"/>
    <mergeCell ref="Q75:R75"/>
    <mergeCell ref="Q76:R76"/>
    <mergeCell ref="C73:D73"/>
    <mergeCell ref="G73:H73"/>
    <mergeCell ref="C74:D74"/>
    <mergeCell ref="G74:H74"/>
    <mergeCell ref="Q73:R73"/>
    <mergeCell ref="Q74:R74"/>
    <mergeCell ref="C71:D71"/>
    <mergeCell ref="G71:H71"/>
    <mergeCell ref="C72:D72"/>
    <mergeCell ref="G72:H72"/>
    <mergeCell ref="Q71:R71"/>
    <mergeCell ref="Q72:R72"/>
    <mergeCell ref="C69:D69"/>
    <mergeCell ref="G69:H69"/>
    <mergeCell ref="C70:D70"/>
    <mergeCell ref="G70:H70"/>
    <mergeCell ref="Q69:R69"/>
    <mergeCell ref="Q70:R70"/>
    <mergeCell ref="C67:D67"/>
    <mergeCell ref="G67:H67"/>
    <mergeCell ref="C68:D68"/>
    <mergeCell ref="G68:H68"/>
    <mergeCell ref="Q67:R67"/>
    <mergeCell ref="Q68:R68"/>
    <mergeCell ref="C65:D65"/>
    <mergeCell ref="G65:H65"/>
    <mergeCell ref="C66:D66"/>
    <mergeCell ref="G66:H66"/>
    <mergeCell ref="Q65:R65"/>
    <mergeCell ref="Q66:R66"/>
    <mergeCell ref="C63:D63"/>
    <mergeCell ref="G63:H63"/>
    <mergeCell ref="C64:D64"/>
    <mergeCell ref="G64:H64"/>
    <mergeCell ref="Q63:R63"/>
    <mergeCell ref="Q64:R64"/>
    <mergeCell ref="C61:D61"/>
    <mergeCell ref="G61:H61"/>
    <mergeCell ref="C62:D62"/>
    <mergeCell ref="G62:H62"/>
    <mergeCell ref="Q61:R61"/>
    <mergeCell ref="Q62:R62"/>
    <mergeCell ref="C60:D60"/>
    <mergeCell ref="G60:H60"/>
    <mergeCell ref="M58:M59"/>
    <mergeCell ref="O58:O59"/>
    <mergeCell ref="Q58:R59"/>
    <mergeCell ref="Q60:R60"/>
    <mergeCell ref="C57:D57"/>
    <mergeCell ref="G57:H57"/>
    <mergeCell ref="Q57:R57"/>
    <mergeCell ref="I58:I59"/>
    <mergeCell ref="K58:K59"/>
    <mergeCell ref="L58:L59"/>
    <mergeCell ref="C55:D55"/>
    <mergeCell ref="G55:H55"/>
    <mergeCell ref="C56:D56"/>
    <mergeCell ref="G56:H56"/>
    <mergeCell ref="Q55:R55"/>
    <mergeCell ref="Q56:R56"/>
    <mergeCell ref="C53:D53"/>
    <mergeCell ref="G53:H53"/>
    <mergeCell ref="C54:D54"/>
    <mergeCell ref="G54:H54"/>
    <mergeCell ref="Q53:R53"/>
    <mergeCell ref="Q54:R54"/>
    <mergeCell ref="Q49:R49"/>
    <mergeCell ref="Q50:R50"/>
    <mergeCell ref="C51:D51"/>
    <mergeCell ref="G51:H51"/>
    <mergeCell ref="C52:D52"/>
    <mergeCell ref="G52:H52"/>
    <mergeCell ref="Q51:R51"/>
    <mergeCell ref="Q52:R52"/>
    <mergeCell ref="C48:D48"/>
    <mergeCell ref="G48:H48"/>
    <mergeCell ref="C49:D49"/>
    <mergeCell ref="G49:H49"/>
    <mergeCell ref="C50:D50"/>
    <mergeCell ref="G50:H50"/>
    <mergeCell ref="C43:D43"/>
    <mergeCell ref="G43:H43"/>
    <mergeCell ref="I45:I46"/>
    <mergeCell ref="K45:K46"/>
    <mergeCell ref="C47:D47"/>
    <mergeCell ref="G47:H47"/>
    <mergeCell ref="C41:D41"/>
    <mergeCell ref="G41:H41"/>
    <mergeCell ref="C42:D42"/>
    <mergeCell ref="G42:H42"/>
    <mergeCell ref="Q41:R41"/>
    <mergeCell ref="Q42:R42"/>
    <mergeCell ref="C39:D39"/>
    <mergeCell ref="G39:H39"/>
    <mergeCell ref="C40:D40"/>
    <mergeCell ref="G40:H40"/>
    <mergeCell ref="Q39:R39"/>
    <mergeCell ref="Q40:R40"/>
    <mergeCell ref="C37:D37"/>
    <mergeCell ref="G37:H37"/>
    <mergeCell ref="C38:D38"/>
    <mergeCell ref="G38:H38"/>
    <mergeCell ref="Q37:R37"/>
    <mergeCell ref="Q38:R38"/>
    <mergeCell ref="C35:D35"/>
    <mergeCell ref="G35:H35"/>
    <mergeCell ref="C36:D36"/>
    <mergeCell ref="G36:H36"/>
    <mergeCell ref="Q35:R35"/>
    <mergeCell ref="Q36:R36"/>
    <mergeCell ref="C33:D33"/>
    <mergeCell ref="G33:H33"/>
    <mergeCell ref="C34:D34"/>
    <mergeCell ref="G34:H34"/>
    <mergeCell ref="Q33:R33"/>
    <mergeCell ref="Q34:R34"/>
    <mergeCell ref="C31:D31"/>
    <mergeCell ref="G31:H31"/>
    <mergeCell ref="C32:D32"/>
    <mergeCell ref="G32:H32"/>
    <mergeCell ref="Q31:R31"/>
    <mergeCell ref="Q32:R32"/>
    <mergeCell ref="C29:D29"/>
    <mergeCell ref="G29:H29"/>
    <mergeCell ref="C30:D30"/>
    <mergeCell ref="G30:H30"/>
    <mergeCell ref="Q29:R29"/>
    <mergeCell ref="Q30:R30"/>
    <mergeCell ref="C27:D27"/>
    <mergeCell ref="G27:H27"/>
    <mergeCell ref="C28:D28"/>
    <mergeCell ref="G28:H28"/>
    <mergeCell ref="Q27:R27"/>
    <mergeCell ref="Q28:R28"/>
    <mergeCell ref="C25:D25"/>
    <mergeCell ref="G25:H25"/>
    <mergeCell ref="C26:D26"/>
    <mergeCell ref="G26:H26"/>
    <mergeCell ref="Q25:R25"/>
    <mergeCell ref="Q26:R26"/>
    <mergeCell ref="C23:D23"/>
    <mergeCell ref="G23:H23"/>
    <mergeCell ref="C24:D24"/>
    <mergeCell ref="G24:H24"/>
    <mergeCell ref="Q23:R23"/>
    <mergeCell ref="Q24:R24"/>
    <mergeCell ref="C20:D20"/>
    <mergeCell ref="G20:H20"/>
    <mergeCell ref="Q20:R20"/>
    <mergeCell ref="C21:D21"/>
    <mergeCell ref="G21:H21"/>
    <mergeCell ref="C22:D22"/>
    <mergeCell ref="G22:H22"/>
    <mergeCell ref="Q21:R21"/>
    <mergeCell ref="Q22:R22"/>
    <mergeCell ref="C15:D15"/>
    <mergeCell ref="G15:H15"/>
    <mergeCell ref="C16:D16"/>
    <mergeCell ref="G16:H16"/>
    <mergeCell ref="Q15:R15"/>
    <mergeCell ref="Q16:R16"/>
    <mergeCell ref="C13:D13"/>
    <mergeCell ref="G13:H13"/>
    <mergeCell ref="C14:D14"/>
    <mergeCell ref="G14:H14"/>
    <mergeCell ref="Q13:R13"/>
    <mergeCell ref="Q14:R14"/>
    <mergeCell ref="C11:D11"/>
    <mergeCell ref="G11:H11"/>
    <mergeCell ref="C12:D12"/>
    <mergeCell ref="G12:H12"/>
    <mergeCell ref="Q11:R11"/>
    <mergeCell ref="Q12:R12"/>
    <mergeCell ref="C9:D9"/>
    <mergeCell ref="G9:H9"/>
    <mergeCell ref="C10:D10"/>
    <mergeCell ref="G10:H10"/>
    <mergeCell ref="Q9:R9"/>
    <mergeCell ref="Q10:R10"/>
    <mergeCell ref="Q17:R17"/>
    <mergeCell ref="C18:D18"/>
    <mergeCell ref="G18:H18"/>
    <mergeCell ref="Q18:R18"/>
    <mergeCell ref="C19:D19"/>
    <mergeCell ref="G19:H19"/>
    <mergeCell ref="Q19:R19"/>
    <mergeCell ref="C17:D17"/>
    <mergeCell ref="G17:H17"/>
    <mergeCell ref="Q43:R43"/>
    <mergeCell ref="C44:D44"/>
    <mergeCell ref="G44:H44"/>
    <mergeCell ref="Q44:R44"/>
    <mergeCell ref="A45:A46"/>
    <mergeCell ref="B45:B46"/>
    <mergeCell ref="C45:D46"/>
    <mergeCell ref="E45:E46"/>
    <mergeCell ref="F45:F46"/>
    <mergeCell ref="G45:H46"/>
    <mergeCell ref="L45:L46"/>
    <mergeCell ref="M45:M46"/>
    <mergeCell ref="O45:O46"/>
    <mergeCell ref="Q45:R46"/>
    <mergeCell ref="Q47:R47"/>
    <mergeCell ref="Q48:R48"/>
    <mergeCell ref="A58:A59"/>
    <mergeCell ref="B58:B59"/>
    <mergeCell ref="C58:D59"/>
    <mergeCell ref="E58:E59"/>
    <mergeCell ref="F58:F59"/>
    <mergeCell ref="G58:H59"/>
    <mergeCell ref="A98:A99"/>
    <mergeCell ref="B98:B99"/>
    <mergeCell ref="C98:D99"/>
    <mergeCell ref="E98:E99"/>
    <mergeCell ref="F98:F99"/>
    <mergeCell ref="G98:H99"/>
    <mergeCell ref="Q133:R133"/>
    <mergeCell ref="C134:D134"/>
    <mergeCell ref="G134:H134"/>
    <mergeCell ref="Q134:R134"/>
    <mergeCell ref="C135:D135"/>
    <mergeCell ref="G135:H135"/>
    <mergeCell ref="Q135:R135"/>
    <mergeCell ref="C133:D133"/>
    <mergeCell ref="G133:H133"/>
    <mergeCell ref="A144:A145"/>
    <mergeCell ref="B144:B145"/>
    <mergeCell ref="C144:D145"/>
    <mergeCell ref="E144:E145"/>
    <mergeCell ref="F144:F145"/>
    <mergeCell ref="G144:H145"/>
    <mergeCell ref="Q146:R146"/>
    <mergeCell ref="Q147:R147"/>
    <mergeCell ref="C148:D148"/>
    <mergeCell ref="G148:H148"/>
    <mergeCell ref="Q148:R148"/>
    <mergeCell ref="C149:D149"/>
    <mergeCell ref="G149:H149"/>
    <mergeCell ref="Q149:R149"/>
    <mergeCell ref="C146:D146"/>
    <mergeCell ref="G146:H146"/>
    <mergeCell ref="A154:A155"/>
    <mergeCell ref="B154:B155"/>
    <mergeCell ref="C154:D155"/>
    <mergeCell ref="F154:F155"/>
    <mergeCell ref="G154:H155"/>
    <mergeCell ref="I154:I155"/>
    <mergeCell ref="M154:M155"/>
    <mergeCell ref="O154:O155"/>
    <mergeCell ref="P154:P155"/>
    <mergeCell ref="Q154:R155"/>
    <mergeCell ref="C156:D156"/>
    <mergeCell ref="G156:H156"/>
    <mergeCell ref="Q156:R156"/>
    <mergeCell ref="Q157:R157"/>
    <mergeCell ref="Q158:R158"/>
    <mergeCell ref="Q159:R159"/>
    <mergeCell ref="Q160:R160"/>
    <mergeCell ref="A161:A162"/>
    <mergeCell ref="B161:B162"/>
    <mergeCell ref="C161:D162"/>
    <mergeCell ref="E161:E162"/>
    <mergeCell ref="F161:F162"/>
    <mergeCell ref="G161:H162"/>
    <mergeCell ref="A165:A166"/>
    <mergeCell ref="B165:B166"/>
    <mergeCell ref="C165:D166"/>
    <mergeCell ref="E165:E166"/>
    <mergeCell ref="F165:F166"/>
    <mergeCell ref="G165:H166"/>
    <mergeCell ref="Q168:R168"/>
    <mergeCell ref="Q169:R169"/>
    <mergeCell ref="Q170:R170"/>
    <mergeCell ref="Q171:R171"/>
    <mergeCell ref="Q172:R172"/>
    <mergeCell ref="A183:A184"/>
    <mergeCell ref="B183:B184"/>
    <mergeCell ref="C183:D184"/>
    <mergeCell ref="E183:E184"/>
    <mergeCell ref="F183:F184"/>
    <mergeCell ref="Q186:R186"/>
    <mergeCell ref="E187:E188"/>
    <mergeCell ref="Q187:R188"/>
    <mergeCell ref="Q189:R189"/>
    <mergeCell ref="Q190:R190"/>
    <mergeCell ref="I187:I188"/>
    <mergeCell ref="K187:K188"/>
    <mergeCell ref="L187:L188"/>
    <mergeCell ref="M187:M188"/>
    <mergeCell ref="O187:O188"/>
    <mergeCell ref="Q191:R191"/>
    <mergeCell ref="C192:D192"/>
    <mergeCell ref="G192:H192"/>
    <mergeCell ref="Q192:R192"/>
    <mergeCell ref="Q193:R193"/>
    <mergeCell ref="C194:D194"/>
    <mergeCell ref="G194:H194"/>
    <mergeCell ref="Q194:R194"/>
    <mergeCell ref="C193:D193"/>
    <mergeCell ref="G193:H193"/>
    <mergeCell ref="Q198:R198"/>
    <mergeCell ref="C195:D195"/>
    <mergeCell ref="C196:D196"/>
    <mergeCell ref="G196:H196"/>
    <mergeCell ref="C197:D197"/>
    <mergeCell ref="G197:H197"/>
    <mergeCell ref="G195:H195"/>
    <mergeCell ref="Q200:R200"/>
    <mergeCell ref="C201:D201"/>
    <mergeCell ref="G201:H201"/>
    <mergeCell ref="Q201:R201"/>
    <mergeCell ref="C202:D202"/>
    <mergeCell ref="G202:H202"/>
    <mergeCell ref="Q202:R202"/>
    <mergeCell ref="Q207:R207"/>
    <mergeCell ref="Q208:R208"/>
    <mergeCell ref="C209:D209"/>
    <mergeCell ref="G209:H209"/>
    <mergeCell ref="Q209:R209"/>
    <mergeCell ref="C205:D205"/>
    <mergeCell ref="G205:H205"/>
    <mergeCell ref="C207:D207"/>
    <mergeCell ref="G207:H207"/>
    <mergeCell ref="C208:D208"/>
    <mergeCell ref="Q220:R220"/>
    <mergeCell ref="C221:D221"/>
    <mergeCell ref="G221:H221"/>
    <mergeCell ref="Q221:R221"/>
    <mergeCell ref="C219:D219"/>
    <mergeCell ref="G219:H219"/>
    <mergeCell ref="G228:H228"/>
    <mergeCell ref="Q228:R228"/>
    <mergeCell ref="Q229:R229"/>
    <mergeCell ref="C229:D229"/>
    <mergeCell ref="G229:H229"/>
    <mergeCell ref="A230:A231"/>
    <mergeCell ref="B230:B231"/>
    <mergeCell ref="C230:D231"/>
    <mergeCell ref="E230:E231"/>
    <mergeCell ref="F230:F231"/>
    <mergeCell ref="G230:H231"/>
    <mergeCell ref="A233:A234"/>
    <mergeCell ref="B233:B234"/>
    <mergeCell ref="C233:D234"/>
    <mergeCell ref="E233:E234"/>
    <mergeCell ref="F233:F234"/>
    <mergeCell ref="G233:H234"/>
    <mergeCell ref="O233:O234"/>
    <mergeCell ref="Q233:R234"/>
    <mergeCell ref="Q235:R235"/>
    <mergeCell ref="A236:A237"/>
    <mergeCell ref="B236:B237"/>
    <mergeCell ref="C236:D237"/>
    <mergeCell ref="E236:E237"/>
    <mergeCell ref="F236:F237"/>
    <mergeCell ref="G236:H237"/>
    <mergeCell ref="I236:I237"/>
    <mergeCell ref="A243:A244"/>
    <mergeCell ref="B243:B244"/>
    <mergeCell ref="C243:D244"/>
    <mergeCell ref="E243:E244"/>
    <mergeCell ref="F243:F244"/>
    <mergeCell ref="G243:H244"/>
    <mergeCell ref="C245:D245"/>
    <mergeCell ref="G245:H245"/>
    <mergeCell ref="Q245:R245"/>
    <mergeCell ref="A246:A247"/>
    <mergeCell ref="B246:B247"/>
    <mergeCell ref="C246:D247"/>
    <mergeCell ref="E246:E247"/>
    <mergeCell ref="F246:F247"/>
    <mergeCell ref="G246:H247"/>
    <mergeCell ref="O246:O247"/>
    <mergeCell ref="Q246:R247"/>
    <mergeCell ref="Q248:R248"/>
    <mergeCell ref="Q249:R249"/>
    <mergeCell ref="C250:D250"/>
    <mergeCell ref="G250:H250"/>
    <mergeCell ref="Q250:R250"/>
    <mergeCell ref="C248:D248"/>
    <mergeCell ref="G248:H248"/>
    <mergeCell ref="I246:I247"/>
    <mergeCell ref="K246:K247"/>
    <mergeCell ref="A251:A252"/>
    <mergeCell ref="B251:B252"/>
    <mergeCell ref="C251:D252"/>
    <mergeCell ref="E251:E252"/>
    <mergeCell ref="F251:F252"/>
    <mergeCell ref="G251:H252"/>
    <mergeCell ref="H259:Q259"/>
    <mergeCell ref="B260:C260"/>
    <mergeCell ref="D260:G260"/>
    <mergeCell ref="H260:Q260"/>
    <mergeCell ref="O251:O252"/>
    <mergeCell ref="Q251:R252"/>
    <mergeCell ref="Q253:R253"/>
    <mergeCell ref="Q254:R254"/>
    <mergeCell ref="D258:G258"/>
    <mergeCell ref="H258:Q25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C2E9-4C83-4F46-B757-F7DB39DF0E03}">
  <sheetPr codeName="Sheet2"/>
  <dimension ref="A2:A76"/>
  <sheetViews>
    <sheetView workbookViewId="0">
      <selection activeCell="I37" sqref="I37"/>
    </sheetView>
  </sheetViews>
  <sheetFormatPr defaultRowHeight="15" customHeight="1" x14ac:dyDescent="0.25"/>
  <cols>
    <col min="1" max="1" width="20.28515625" customWidth="1"/>
  </cols>
  <sheetData>
    <row r="2" spans="1:1" x14ac:dyDescent="0.25">
      <c r="A2" t="s">
        <v>89</v>
      </c>
    </row>
    <row r="3" spans="1:1" x14ac:dyDescent="0.25">
      <c r="A3" t="s">
        <v>90</v>
      </c>
    </row>
    <row r="4" spans="1:1" x14ac:dyDescent="0.25">
      <c r="A4" t="s">
        <v>348</v>
      </c>
    </row>
    <row r="5" spans="1:1" x14ac:dyDescent="0.25">
      <c r="A5" t="s">
        <v>113</v>
      </c>
    </row>
    <row r="6" spans="1:1" x14ac:dyDescent="0.25">
      <c r="A6" t="s">
        <v>105</v>
      </c>
    </row>
    <row r="7" spans="1:1" x14ac:dyDescent="0.25">
      <c r="A7" t="s">
        <v>107</v>
      </c>
    </row>
    <row r="8" spans="1:1" x14ac:dyDescent="0.25">
      <c r="A8" t="s">
        <v>109</v>
      </c>
    </row>
    <row r="9" spans="1:1" x14ac:dyDescent="0.25">
      <c r="A9" t="s">
        <v>111</v>
      </c>
    </row>
    <row r="10" spans="1:1" x14ac:dyDescent="0.25">
      <c r="A10" t="s">
        <v>91</v>
      </c>
    </row>
    <row r="11" spans="1:1" x14ac:dyDescent="0.25">
      <c r="A11" t="s">
        <v>112</v>
      </c>
    </row>
    <row r="12" spans="1:1" x14ac:dyDescent="0.25">
      <c r="A12" t="s">
        <v>337</v>
      </c>
    </row>
    <row r="13" spans="1:1" x14ac:dyDescent="0.25">
      <c r="A13" t="s">
        <v>104</v>
      </c>
    </row>
    <row r="14" spans="1:1" x14ac:dyDescent="0.25">
      <c r="A14" t="s">
        <v>106</v>
      </c>
    </row>
    <row r="15" spans="1:1" x14ac:dyDescent="0.25">
      <c r="A15" t="s">
        <v>108</v>
      </c>
    </row>
    <row r="16" spans="1:1" x14ac:dyDescent="0.25">
      <c r="A16" t="s">
        <v>110</v>
      </c>
    </row>
    <row r="17" spans="1:1" x14ac:dyDescent="0.25">
      <c r="A17" t="s">
        <v>51</v>
      </c>
    </row>
    <row r="18" spans="1:1" x14ac:dyDescent="0.25">
      <c r="A18" t="s">
        <v>64</v>
      </c>
    </row>
    <row r="19" spans="1:1" x14ac:dyDescent="0.25">
      <c r="A19" t="s">
        <v>67</v>
      </c>
    </row>
    <row r="20" spans="1:1" x14ac:dyDescent="0.25">
      <c r="A20" t="s">
        <v>88</v>
      </c>
    </row>
    <row r="21" spans="1:1" x14ac:dyDescent="0.25">
      <c r="A21" t="s">
        <v>56</v>
      </c>
    </row>
    <row r="22" spans="1:1" x14ac:dyDescent="0.25">
      <c r="A22" t="s">
        <v>59</v>
      </c>
    </row>
    <row r="23" spans="1:1" x14ac:dyDescent="0.25">
      <c r="A23" t="s">
        <v>338</v>
      </c>
    </row>
    <row r="24" spans="1:1" x14ac:dyDescent="0.25">
      <c r="A24" t="s">
        <v>70</v>
      </c>
    </row>
    <row r="25" spans="1:1" x14ac:dyDescent="0.25">
      <c r="A25" t="s">
        <v>342</v>
      </c>
    </row>
    <row r="26" spans="1:1" x14ac:dyDescent="0.25">
      <c r="A26" t="s">
        <v>53</v>
      </c>
    </row>
    <row r="27" spans="1:1" x14ac:dyDescent="0.25">
      <c r="A27" t="s">
        <v>52</v>
      </c>
    </row>
    <row r="28" spans="1:1" x14ac:dyDescent="0.25">
      <c r="A28" t="s">
        <v>71</v>
      </c>
    </row>
    <row r="29" spans="1:1" x14ac:dyDescent="0.25">
      <c r="A29" t="s">
        <v>61</v>
      </c>
    </row>
    <row r="30" spans="1:1" x14ac:dyDescent="0.25">
      <c r="A30" t="s">
        <v>80</v>
      </c>
    </row>
    <row r="31" spans="1:1" x14ac:dyDescent="0.25">
      <c r="A31" t="s">
        <v>82</v>
      </c>
    </row>
    <row r="32" spans="1:1" x14ac:dyDescent="0.25">
      <c r="A32" t="s">
        <v>350</v>
      </c>
    </row>
    <row r="33" spans="1:1" x14ac:dyDescent="0.25">
      <c r="A33" t="s">
        <v>351</v>
      </c>
    </row>
    <row r="34" spans="1:1" x14ac:dyDescent="0.25">
      <c r="A34" t="s">
        <v>57</v>
      </c>
    </row>
    <row r="35" spans="1:1" x14ac:dyDescent="0.25">
      <c r="A35" t="s">
        <v>347</v>
      </c>
    </row>
    <row r="36" spans="1:1" x14ac:dyDescent="0.25">
      <c r="A36" t="s">
        <v>349</v>
      </c>
    </row>
    <row r="37" spans="1:1" x14ac:dyDescent="0.25">
      <c r="A37" t="s">
        <v>344</v>
      </c>
    </row>
    <row r="38" spans="1:1" x14ac:dyDescent="0.25">
      <c r="A38" t="s">
        <v>95</v>
      </c>
    </row>
    <row r="39" spans="1:1" x14ac:dyDescent="0.25">
      <c r="A39" t="s">
        <v>84</v>
      </c>
    </row>
    <row r="40" spans="1:1" x14ac:dyDescent="0.25">
      <c r="A40" t="s">
        <v>83</v>
      </c>
    </row>
    <row r="41" spans="1:1" x14ac:dyDescent="0.25">
      <c r="A41" t="s">
        <v>118</v>
      </c>
    </row>
    <row r="42" spans="1:1" x14ac:dyDescent="0.25">
      <c r="A42" t="s">
        <v>343</v>
      </c>
    </row>
    <row r="43" spans="1:1" x14ac:dyDescent="0.25">
      <c r="A43" t="s">
        <v>86</v>
      </c>
    </row>
    <row r="44" spans="1:1" x14ac:dyDescent="0.25">
      <c r="A44" t="s">
        <v>345</v>
      </c>
    </row>
    <row r="45" spans="1:1" x14ac:dyDescent="0.25">
      <c r="A45" t="s">
        <v>346</v>
      </c>
    </row>
    <row r="46" spans="1:1" x14ac:dyDescent="0.25">
      <c r="A46" t="s">
        <v>79</v>
      </c>
    </row>
    <row r="47" spans="1:1" x14ac:dyDescent="0.25">
      <c r="A47" t="s">
        <v>97</v>
      </c>
    </row>
    <row r="48" spans="1:1" x14ac:dyDescent="0.25">
      <c r="A48" t="s">
        <v>76</v>
      </c>
    </row>
    <row r="49" spans="1:1" x14ac:dyDescent="0.25">
      <c r="A49" t="s">
        <v>55</v>
      </c>
    </row>
    <row r="50" spans="1:1" x14ac:dyDescent="0.25">
      <c r="A50" t="s">
        <v>81</v>
      </c>
    </row>
    <row r="51" spans="1:1" x14ac:dyDescent="0.25">
      <c r="A51" t="s">
        <v>66</v>
      </c>
    </row>
    <row r="52" spans="1:1" x14ac:dyDescent="0.25">
      <c r="A52" t="s">
        <v>87</v>
      </c>
    </row>
    <row r="53" spans="1:1" x14ac:dyDescent="0.25">
      <c r="A53" t="s">
        <v>85</v>
      </c>
    </row>
    <row r="54" spans="1:1" x14ac:dyDescent="0.25">
      <c r="A54" t="s">
        <v>58</v>
      </c>
    </row>
    <row r="55" spans="1:1" x14ac:dyDescent="0.25">
      <c r="A55" t="s">
        <v>65</v>
      </c>
    </row>
    <row r="56" spans="1:1" x14ac:dyDescent="0.25">
      <c r="A56" t="s">
        <v>68</v>
      </c>
    </row>
    <row r="57" spans="1:1" x14ac:dyDescent="0.25">
      <c r="A57" t="s">
        <v>121</v>
      </c>
    </row>
    <row r="58" spans="1:1" x14ac:dyDescent="0.25">
      <c r="A58" t="s">
        <v>139</v>
      </c>
    </row>
    <row r="59" spans="1:1" x14ac:dyDescent="0.25">
      <c r="A59" t="s">
        <v>62</v>
      </c>
    </row>
    <row r="60" spans="1:1" x14ac:dyDescent="0.25">
      <c r="A60" t="s">
        <v>78</v>
      </c>
    </row>
    <row r="61" spans="1:1" x14ac:dyDescent="0.25">
      <c r="A61" t="s">
        <v>123</v>
      </c>
    </row>
    <row r="62" spans="1:1" x14ac:dyDescent="0.25">
      <c r="A62" t="s">
        <v>340</v>
      </c>
    </row>
    <row r="63" spans="1:1" x14ac:dyDescent="0.25">
      <c r="A63" t="s">
        <v>63</v>
      </c>
    </row>
    <row r="64" spans="1:1" x14ac:dyDescent="0.25">
      <c r="A64" t="s">
        <v>69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60</v>
      </c>
    </row>
    <row r="68" spans="1:1" x14ac:dyDescent="0.25">
      <c r="A68" t="s">
        <v>54</v>
      </c>
    </row>
    <row r="69" spans="1:1" x14ac:dyDescent="0.25">
      <c r="A69" t="s">
        <v>352</v>
      </c>
    </row>
    <row r="70" spans="1:1" x14ac:dyDescent="0.25">
      <c r="A70" t="s">
        <v>237</v>
      </c>
    </row>
    <row r="71" spans="1:1" x14ac:dyDescent="0.25">
      <c r="A71" t="s">
        <v>120</v>
      </c>
    </row>
    <row r="72" spans="1:1" x14ac:dyDescent="0.25">
      <c r="A72" t="s">
        <v>122</v>
      </c>
    </row>
    <row r="73" spans="1:1" x14ac:dyDescent="0.25">
      <c r="A73" t="s">
        <v>96</v>
      </c>
    </row>
    <row r="74" spans="1:1" x14ac:dyDescent="0.25">
      <c r="A74" t="s">
        <v>94</v>
      </c>
    </row>
    <row r="75" spans="1:1" x14ac:dyDescent="0.25">
      <c r="A75" t="s">
        <v>77</v>
      </c>
    </row>
    <row r="76" spans="1:1" x14ac:dyDescent="0.25">
      <c r="A76" t="s">
        <v>119</v>
      </c>
    </row>
  </sheetData>
  <phoneticPr fontId="15" type="noConversion"/>
  <pageMargins left="0.7" right="0.7" top="0.75" bottom="0.75" header="0.3" footer="0.3"/>
  <pageSetup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FRONT PAGE</vt:lpstr>
      <vt:lpstr>Inventory Worksheet</vt:lpstr>
      <vt:lpstr>INVENTORY INPUT</vt:lpstr>
      <vt:lpstr>Paper Cleaning</vt:lpstr>
      <vt:lpstr>Daily Product Breakdown</vt:lpstr>
      <vt:lpstr>VARIENCES</vt:lpstr>
      <vt:lpstr>Recipes</vt:lpstr>
      <vt:lpstr>Pasta Prep</vt:lpstr>
      <vt:lpstr>PIZZA SALAD</vt:lpstr>
      <vt:lpstr>LINE PREP</vt:lpstr>
      <vt:lpstr>FREEZER PULL</vt:lpstr>
      <vt:lpstr>MD Usage</vt:lpstr>
      <vt:lpstr>Supply Inventory </vt:lpstr>
      <vt:lpstr>ORDER GUIDE</vt:lpstr>
      <vt:lpstr>USAGES</vt:lpstr>
      <vt:lpstr>Drop List</vt:lpstr>
      <vt:lpstr>CLOSE</vt:lpstr>
      <vt:lpstr>'MD Usage'!Database</vt:lpstr>
      <vt:lpstr>'Supply Inventory '!paperclose</vt:lpstr>
      <vt:lpstr>paperclose</vt:lpstr>
      <vt:lpstr>'Supply Inventory '!paperpurchase</vt:lpstr>
      <vt:lpstr>paperpurchase</vt:lpstr>
      <vt:lpstr>'FREEZER PULL'!Print_Area</vt:lpstr>
      <vt:lpstr>'FRONT PAGE'!Print_Area</vt:lpstr>
      <vt:lpstr>'INVENTORY INPUT'!Print_Area</vt:lpstr>
      <vt:lpstr>'Inventory Worksheet'!Print_Area</vt:lpstr>
      <vt:lpstr>'LINE PREP'!Print_Area</vt:lpstr>
      <vt:lpstr>'ORDER GUIDE'!Print_Area</vt:lpstr>
      <vt:lpstr>'Paper Cleaning'!Print_Area</vt:lpstr>
      <vt:lpstr>'PIZZA SALAD'!Print_Area</vt:lpstr>
      <vt:lpstr>'Supply Inventory '!Print_Area</vt:lpstr>
      <vt:lpstr>'Inventory Worksheet'!PURCHASES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Gunter</dc:creator>
  <cp:lastModifiedBy>Lillia Gunter</cp:lastModifiedBy>
  <cp:lastPrinted>2025-02-04T17:31:21Z</cp:lastPrinted>
  <dcterms:created xsi:type="dcterms:W3CDTF">2013-09-19T22:23:20Z</dcterms:created>
  <dcterms:modified xsi:type="dcterms:W3CDTF">2026-07-05T19:33:29Z</dcterms:modified>
</cp:coreProperties>
</file>